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slgaonline.sharepoint.com/sites/CRB-Files/Shared Documents/26250 Liquor Distribution/Wholesale Price Lists and WPP/2026/4 - April 2026/FINAL/"/>
    </mc:Choice>
  </mc:AlternateContent>
  <xr:revisionPtr revIDLastSave="2" documentId="8_{16A5EDF8-A811-4A5E-9C28-0629DD800437}" xr6:coauthVersionLast="47" xr6:coauthVersionMax="47" xr10:uidLastSave="{7B5F2644-F557-4474-8AA7-3CF12C0C3AD5}"/>
  <bookViews>
    <workbookView xWindow="28680" yWindow="-120" windowWidth="29040" windowHeight="15720" xr2:uid="{00000000-000D-0000-FFFF-FFFF00000000}"/>
  </bookViews>
  <sheets>
    <sheet name="page" sheetId="1" r:id="rId1"/>
  </sheets>
  <externalReferences>
    <externalReference r:id="rId2"/>
  </externalReferences>
  <definedNames>
    <definedName name="_xlnm._FilterDatabase" localSheetId="0" hidden="1">page!$A$1:$T$3112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T3" i="1" s="1"/>
  <c r="S4" i="1"/>
  <c r="T4" i="1" s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S12" i="1"/>
  <c r="T12" i="1" s="1"/>
  <c r="S13" i="1"/>
  <c r="T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28" i="1"/>
  <c r="T28" i="1" s="1"/>
  <c r="S29" i="1"/>
  <c r="T29" i="1" s="1"/>
  <c r="S30" i="1"/>
  <c r="T30" i="1" s="1"/>
  <c r="S31" i="1"/>
  <c r="T31" i="1" s="1"/>
  <c r="S32" i="1"/>
  <c r="T32" i="1" s="1"/>
  <c r="S33" i="1"/>
  <c r="T33" i="1" s="1"/>
  <c r="S34" i="1"/>
  <c r="T34" i="1" s="1"/>
  <c r="S35" i="1"/>
  <c r="T35" i="1" s="1"/>
  <c r="S36" i="1"/>
  <c r="T36" i="1" s="1"/>
  <c r="S37" i="1"/>
  <c r="T37" i="1" s="1"/>
  <c r="S38" i="1"/>
  <c r="T38" i="1" s="1"/>
  <c r="S39" i="1"/>
  <c r="T39" i="1" s="1"/>
  <c r="S40" i="1"/>
  <c r="T40" i="1" s="1"/>
  <c r="S41" i="1"/>
  <c r="T41" i="1" s="1"/>
  <c r="S42" i="1"/>
  <c r="T42" i="1" s="1"/>
  <c r="S43" i="1"/>
  <c r="T43" i="1" s="1"/>
  <c r="S44" i="1"/>
  <c r="T44" i="1" s="1"/>
  <c r="S45" i="1"/>
  <c r="T45" i="1" s="1"/>
  <c r="S46" i="1"/>
  <c r="T46" i="1" s="1"/>
  <c r="S47" i="1"/>
  <c r="T47" i="1" s="1"/>
  <c r="S48" i="1"/>
  <c r="T48" i="1" s="1"/>
  <c r="S49" i="1"/>
  <c r="T49" i="1" s="1"/>
  <c r="S50" i="1"/>
  <c r="T50" i="1" s="1"/>
  <c r="S51" i="1"/>
  <c r="T51" i="1" s="1"/>
  <c r="S52" i="1"/>
  <c r="T52" i="1" s="1"/>
  <c r="S53" i="1"/>
  <c r="T53" i="1" s="1"/>
  <c r="S54" i="1"/>
  <c r="T54" i="1" s="1"/>
  <c r="S55" i="1"/>
  <c r="T55" i="1" s="1"/>
  <c r="S56" i="1"/>
  <c r="T56" i="1" s="1"/>
  <c r="S57" i="1"/>
  <c r="T57" i="1" s="1"/>
  <c r="S58" i="1"/>
  <c r="T58" i="1" s="1"/>
  <c r="S59" i="1"/>
  <c r="T59" i="1" s="1"/>
  <c r="S60" i="1"/>
  <c r="T60" i="1" s="1"/>
  <c r="S61" i="1"/>
  <c r="T61" i="1" s="1"/>
  <c r="S62" i="1"/>
  <c r="T62" i="1" s="1"/>
  <c r="S63" i="1"/>
  <c r="T63" i="1" s="1"/>
  <c r="S64" i="1"/>
  <c r="T64" i="1" s="1"/>
  <c r="S65" i="1"/>
  <c r="T65" i="1" s="1"/>
  <c r="S66" i="1"/>
  <c r="T66" i="1" s="1"/>
  <c r="S67" i="1"/>
  <c r="T67" i="1" s="1"/>
  <c r="S68" i="1"/>
  <c r="T68" i="1" s="1"/>
  <c r="S69" i="1"/>
  <c r="T69" i="1" s="1"/>
  <c r="S70" i="1"/>
  <c r="T70" i="1" s="1"/>
  <c r="S71" i="1"/>
  <c r="T71" i="1" s="1"/>
  <c r="S72" i="1"/>
  <c r="T72" i="1" s="1"/>
  <c r="S73" i="1"/>
  <c r="T73" i="1" s="1"/>
  <c r="S74" i="1"/>
  <c r="T74" i="1" s="1"/>
  <c r="S75" i="1"/>
  <c r="T75" i="1" s="1"/>
  <c r="S76" i="1"/>
  <c r="T76" i="1" s="1"/>
  <c r="S77" i="1"/>
  <c r="T77" i="1" s="1"/>
  <c r="S78" i="1"/>
  <c r="T78" i="1" s="1"/>
  <c r="S79" i="1"/>
  <c r="T79" i="1" s="1"/>
  <c r="S80" i="1"/>
  <c r="T80" i="1" s="1"/>
  <c r="S81" i="1"/>
  <c r="T81" i="1" s="1"/>
  <c r="S82" i="1"/>
  <c r="T82" i="1" s="1"/>
  <c r="S83" i="1"/>
  <c r="T83" i="1" s="1"/>
  <c r="S84" i="1"/>
  <c r="T84" i="1" s="1"/>
  <c r="S85" i="1"/>
  <c r="T85" i="1" s="1"/>
  <c r="S86" i="1"/>
  <c r="T86" i="1" s="1"/>
  <c r="S87" i="1"/>
  <c r="T87" i="1" s="1"/>
  <c r="S88" i="1"/>
  <c r="T88" i="1" s="1"/>
  <c r="S89" i="1"/>
  <c r="T89" i="1" s="1"/>
  <c r="S90" i="1"/>
  <c r="T90" i="1" s="1"/>
  <c r="S91" i="1"/>
  <c r="T91" i="1" s="1"/>
  <c r="S92" i="1"/>
  <c r="T92" i="1" s="1"/>
  <c r="S93" i="1"/>
  <c r="T93" i="1" s="1"/>
  <c r="S94" i="1"/>
  <c r="T94" i="1" s="1"/>
  <c r="S95" i="1"/>
  <c r="T95" i="1" s="1"/>
  <c r="S96" i="1"/>
  <c r="T96" i="1" s="1"/>
  <c r="S97" i="1"/>
  <c r="T97" i="1" s="1"/>
  <c r="S98" i="1"/>
  <c r="T98" i="1" s="1"/>
  <c r="S99" i="1"/>
  <c r="T99" i="1" s="1"/>
  <c r="S100" i="1"/>
  <c r="T100" i="1" s="1"/>
  <c r="S101" i="1"/>
  <c r="T101" i="1" s="1"/>
  <c r="S102" i="1"/>
  <c r="T102" i="1" s="1"/>
  <c r="S103" i="1"/>
  <c r="T103" i="1" s="1"/>
  <c r="S104" i="1"/>
  <c r="T104" i="1" s="1"/>
  <c r="S105" i="1"/>
  <c r="T105" i="1" s="1"/>
  <c r="S106" i="1"/>
  <c r="T106" i="1" s="1"/>
  <c r="S107" i="1"/>
  <c r="T107" i="1" s="1"/>
  <c r="S108" i="1"/>
  <c r="T108" i="1" s="1"/>
  <c r="S109" i="1"/>
  <c r="T109" i="1" s="1"/>
  <c r="S110" i="1"/>
  <c r="T110" i="1" s="1"/>
  <c r="S111" i="1"/>
  <c r="T111" i="1" s="1"/>
  <c r="S112" i="1"/>
  <c r="T112" i="1" s="1"/>
  <c r="S113" i="1"/>
  <c r="T113" i="1" s="1"/>
  <c r="S114" i="1"/>
  <c r="T114" i="1" s="1"/>
  <c r="S115" i="1"/>
  <c r="T115" i="1" s="1"/>
  <c r="S116" i="1"/>
  <c r="T116" i="1" s="1"/>
  <c r="S117" i="1"/>
  <c r="T117" i="1" s="1"/>
  <c r="S118" i="1"/>
  <c r="T118" i="1" s="1"/>
  <c r="S119" i="1"/>
  <c r="T119" i="1" s="1"/>
  <c r="S120" i="1"/>
  <c r="T120" i="1" s="1"/>
  <c r="S121" i="1"/>
  <c r="T121" i="1" s="1"/>
  <c r="S122" i="1"/>
  <c r="T122" i="1" s="1"/>
  <c r="S123" i="1"/>
  <c r="T123" i="1" s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 s="1"/>
  <c r="S143" i="1"/>
  <c r="T143" i="1" s="1"/>
  <c r="S144" i="1"/>
  <c r="T144" i="1" s="1"/>
  <c r="S145" i="1"/>
  <c r="T145" i="1" s="1"/>
  <c r="S146" i="1"/>
  <c r="T146" i="1" s="1"/>
  <c r="S147" i="1"/>
  <c r="T147" i="1" s="1"/>
  <c r="S148" i="1"/>
  <c r="T148" i="1" s="1"/>
  <c r="S149" i="1"/>
  <c r="T149" i="1" s="1"/>
  <c r="S150" i="1"/>
  <c r="T150" i="1" s="1"/>
  <c r="S151" i="1"/>
  <c r="T151" i="1" s="1"/>
  <c r="S152" i="1"/>
  <c r="T152" i="1" s="1"/>
  <c r="S153" i="1"/>
  <c r="T153" i="1" s="1"/>
  <c r="S154" i="1"/>
  <c r="T154" i="1" s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89" i="1"/>
  <c r="T189" i="1" s="1"/>
  <c r="S190" i="1"/>
  <c r="T190" i="1" s="1"/>
  <c r="S191" i="1"/>
  <c r="T191" i="1" s="1"/>
  <c r="S192" i="1"/>
  <c r="T192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1" i="1"/>
  <c r="T211" i="1" s="1"/>
  <c r="S212" i="1"/>
  <c r="T212" i="1" s="1"/>
  <c r="S213" i="1"/>
  <c r="T213" i="1" s="1"/>
  <c r="S214" i="1"/>
  <c r="T214" i="1" s="1"/>
  <c r="S215" i="1"/>
  <c r="T215" i="1" s="1"/>
  <c r="S216" i="1"/>
  <c r="T216" i="1" s="1"/>
  <c r="S217" i="1"/>
  <c r="T217" i="1" s="1"/>
  <c r="S218" i="1"/>
  <c r="T218" i="1" s="1"/>
  <c r="S219" i="1"/>
  <c r="T219" i="1" s="1"/>
  <c r="S220" i="1"/>
  <c r="T220" i="1" s="1"/>
  <c r="S221" i="1"/>
  <c r="T221" i="1" s="1"/>
  <c r="S222" i="1"/>
  <c r="T222" i="1" s="1"/>
  <c r="S223" i="1"/>
  <c r="T223" i="1" s="1"/>
  <c r="S224" i="1"/>
  <c r="T224" i="1" s="1"/>
  <c r="S225" i="1"/>
  <c r="T225" i="1" s="1"/>
  <c r="S226" i="1"/>
  <c r="T226" i="1" s="1"/>
  <c r="S227" i="1"/>
  <c r="T227" i="1" s="1"/>
  <c r="S228" i="1"/>
  <c r="T228" i="1" s="1"/>
  <c r="S229" i="1"/>
  <c r="T229" i="1" s="1"/>
  <c r="S230" i="1"/>
  <c r="T230" i="1" s="1"/>
  <c r="S231" i="1"/>
  <c r="T231" i="1" s="1"/>
  <c r="S232" i="1"/>
  <c r="T232" i="1" s="1"/>
  <c r="S233" i="1"/>
  <c r="T233" i="1" s="1"/>
  <c r="S234" i="1"/>
  <c r="T234" i="1" s="1"/>
  <c r="S235" i="1"/>
  <c r="T235" i="1" s="1"/>
  <c r="S236" i="1"/>
  <c r="T236" i="1" s="1"/>
  <c r="S237" i="1"/>
  <c r="T237" i="1" s="1"/>
  <c r="S238" i="1"/>
  <c r="T238" i="1" s="1"/>
  <c r="S239" i="1"/>
  <c r="T239" i="1" s="1"/>
  <c r="S240" i="1"/>
  <c r="T240" i="1" s="1"/>
  <c r="S241" i="1"/>
  <c r="T241" i="1" s="1"/>
  <c r="S242" i="1"/>
  <c r="T242" i="1" s="1"/>
  <c r="S243" i="1"/>
  <c r="T243" i="1" s="1"/>
  <c r="S244" i="1"/>
  <c r="T244" i="1" s="1"/>
  <c r="S245" i="1"/>
  <c r="T245" i="1" s="1"/>
  <c r="S246" i="1"/>
  <c r="T246" i="1" s="1"/>
  <c r="S247" i="1"/>
  <c r="T247" i="1" s="1"/>
  <c r="S248" i="1"/>
  <c r="T248" i="1" s="1"/>
  <c r="S249" i="1"/>
  <c r="T249" i="1" s="1"/>
  <c r="S250" i="1"/>
  <c r="T250" i="1" s="1"/>
  <c r="S251" i="1"/>
  <c r="T251" i="1" s="1"/>
  <c r="S252" i="1"/>
  <c r="T252" i="1" s="1"/>
  <c r="S253" i="1"/>
  <c r="T253" i="1" s="1"/>
  <c r="S254" i="1"/>
  <c r="T254" i="1" s="1"/>
  <c r="S255" i="1"/>
  <c r="T255" i="1" s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T264" i="1" s="1"/>
  <c r="S265" i="1"/>
  <c r="T265" i="1" s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T273" i="1" s="1"/>
  <c r="S274" i="1"/>
  <c r="T274" i="1" s="1"/>
  <c r="S275" i="1"/>
  <c r="T275" i="1" s="1"/>
  <c r="S276" i="1"/>
  <c r="T276" i="1" s="1"/>
  <c r="S277" i="1"/>
  <c r="T277" i="1" s="1"/>
  <c r="S278" i="1"/>
  <c r="T278" i="1" s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T284" i="1" s="1"/>
  <c r="S285" i="1"/>
  <c r="T285" i="1" s="1"/>
  <c r="S286" i="1"/>
  <c r="T286" i="1" s="1"/>
  <c r="S287" i="1"/>
  <c r="T287" i="1" s="1"/>
  <c r="S288" i="1"/>
  <c r="T288" i="1" s="1"/>
  <c r="S289" i="1"/>
  <c r="T289" i="1" s="1"/>
  <c r="S290" i="1"/>
  <c r="T290" i="1" s="1"/>
  <c r="S291" i="1"/>
  <c r="T291" i="1" s="1"/>
  <c r="S292" i="1"/>
  <c r="T292" i="1" s="1"/>
  <c r="S293" i="1"/>
  <c r="T293" i="1" s="1"/>
  <c r="S294" i="1"/>
  <c r="T294" i="1" s="1"/>
  <c r="S295" i="1"/>
  <c r="T295" i="1" s="1"/>
  <c r="S296" i="1"/>
  <c r="T296" i="1" s="1"/>
  <c r="S297" i="1"/>
  <c r="T297" i="1" s="1"/>
  <c r="S298" i="1"/>
  <c r="T298" i="1" s="1"/>
  <c r="S299" i="1"/>
  <c r="T299" i="1" s="1"/>
  <c r="S300" i="1"/>
  <c r="T300" i="1" s="1"/>
  <c r="S301" i="1"/>
  <c r="T301" i="1" s="1"/>
  <c r="S302" i="1"/>
  <c r="T302" i="1" s="1"/>
  <c r="S303" i="1"/>
  <c r="T303" i="1" s="1"/>
  <c r="S304" i="1"/>
  <c r="T304" i="1" s="1"/>
  <c r="S305" i="1"/>
  <c r="T305" i="1" s="1"/>
  <c r="S306" i="1"/>
  <c r="T306" i="1" s="1"/>
  <c r="S307" i="1"/>
  <c r="T307" i="1" s="1"/>
  <c r="S308" i="1"/>
  <c r="T308" i="1" s="1"/>
  <c r="S309" i="1"/>
  <c r="T309" i="1" s="1"/>
  <c r="S310" i="1"/>
  <c r="T310" i="1" s="1"/>
  <c r="S311" i="1"/>
  <c r="T311" i="1" s="1"/>
  <c r="S312" i="1"/>
  <c r="T312" i="1" s="1"/>
  <c r="S313" i="1"/>
  <c r="T313" i="1" s="1"/>
  <c r="S314" i="1"/>
  <c r="T314" i="1" s="1"/>
  <c r="S315" i="1"/>
  <c r="T315" i="1" s="1"/>
  <c r="S316" i="1"/>
  <c r="T316" i="1" s="1"/>
  <c r="S317" i="1"/>
  <c r="T317" i="1" s="1"/>
  <c r="S318" i="1"/>
  <c r="T318" i="1" s="1"/>
  <c r="S319" i="1"/>
  <c r="T319" i="1" s="1"/>
  <c r="S320" i="1"/>
  <c r="T320" i="1" s="1"/>
  <c r="S321" i="1"/>
  <c r="T321" i="1" s="1"/>
  <c r="S322" i="1"/>
  <c r="T322" i="1" s="1"/>
  <c r="S323" i="1"/>
  <c r="T323" i="1" s="1"/>
  <c r="S324" i="1"/>
  <c r="T324" i="1" s="1"/>
  <c r="S325" i="1"/>
  <c r="T325" i="1" s="1"/>
  <c r="S326" i="1"/>
  <c r="T326" i="1" s="1"/>
  <c r="S327" i="1"/>
  <c r="T327" i="1" s="1"/>
  <c r="S328" i="1"/>
  <c r="T328" i="1" s="1"/>
  <c r="S329" i="1"/>
  <c r="T329" i="1" s="1"/>
  <c r="S330" i="1"/>
  <c r="T330" i="1" s="1"/>
  <c r="S331" i="1"/>
  <c r="T331" i="1" s="1"/>
  <c r="S332" i="1"/>
  <c r="T332" i="1" s="1"/>
  <c r="S333" i="1"/>
  <c r="T333" i="1" s="1"/>
  <c r="S334" i="1"/>
  <c r="T334" i="1" s="1"/>
  <c r="S335" i="1"/>
  <c r="T335" i="1" s="1"/>
  <c r="S336" i="1"/>
  <c r="T336" i="1" s="1"/>
  <c r="S337" i="1"/>
  <c r="T337" i="1" s="1"/>
  <c r="S338" i="1"/>
  <c r="T338" i="1" s="1"/>
  <c r="S339" i="1"/>
  <c r="T339" i="1" s="1"/>
  <c r="S340" i="1"/>
  <c r="T340" i="1" s="1"/>
  <c r="S341" i="1"/>
  <c r="T341" i="1" s="1"/>
  <c r="S342" i="1"/>
  <c r="T342" i="1" s="1"/>
  <c r="S343" i="1"/>
  <c r="T343" i="1" s="1"/>
  <c r="S344" i="1"/>
  <c r="T344" i="1" s="1"/>
  <c r="S345" i="1"/>
  <c r="T345" i="1" s="1"/>
  <c r="S346" i="1"/>
  <c r="T346" i="1" s="1"/>
  <c r="S347" i="1"/>
  <c r="T347" i="1" s="1"/>
  <c r="S348" i="1"/>
  <c r="T348" i="1" s="1"/>
  <c r="S349" i="1"/>
  <c r="T349" i="1" s="1"/>
  <c r="S350" i="1"/>
  <c r="T350" i="1" s="1"/>
  <c r="S351" i="1"/>
  <c r="T351" i="1" s="1"/>
  <c r="S352" i="1"/>
  <c r="T352" i="1" s="1"/>
  <c r="S353" i="1"/>
  <c r="T353" i="1" s="1"/>
  <c r="S354" i="1"/>
  <c r="T354" i="1" s="1"/>
  <c r="S355" i="1"/>
  <c r="T355" i="1" s="1"/>
  <c r="S356" i="1"/>
  <c r="T356" i="1" s="1"/>
  <c r="S357" i="1"/>
  <c r="T357" i="1" s="1"/>
  <c r="S358" i="1"/>
  <c r="T358" i="1" s="1"/>
  <c r="S359" i="1"/>
  <c r="T359" i="1" s="1"/>
  <c r="S360" i="1"/>
  <c r="T360" i="1" s="1"/>
  <c r="S361" i="1"/>
  <c r="T361" i="1" s="1"/>
  <c r="S362" i="1"/>
  <c r="T362" i="1" s="1"/>
  <c r="S363" i="1"/>
  <c r="T363" i="1" s="1"/>
  <c r="S364" i="1"/>
  <c r="T364" i="1" s="1"/>
  <c r="S365" i="1"/>
  <c r="T365" i="1" s="1"/>
  <c r="S366" i="1"/>
  <c r="T366" i="1" s="1"/>
  <c r="S367" i="1"/>
  <c r="T367" i="1" s="1"/>
  <c r="S368" i="1"/>
  <c r="T368" i="1" s="1"/>
  <c r="S369" i="1"/>
  <c r="T369" i="1" s="1"/>
  <c r="S370" i="1"/>
  <c r="T370" i="1" s="1"/>
  <c r="S371" i="1"/>
  <c r="T371" i="1" s="1"/>
  <c r="S372" i="1"/>
  <c r="T372" i="1" s="1"/>
  <c r="S373" i="1"/>
  <c r="T373" i="1" s="1"/>
  <c r="S374" i="1"/>
  <c r="T374" i="1" s="1"/>
  <c r="S375" i="1"/>
  <c r="T375" i="1" s="1"/>
  <c r="S376" i="1"/>
  <c r="T376" i="1" s="1"/>
  <c r="S377" i="1"/>
  <c r="T377" i="1" s="1"/>
  <c r="S378" i="1"/>
  <c r="T378" i="1" s="1"/>
  <c r="S379" i="1"/>
  <c r="T379" i="1" s="1"/>
  <c r="S380" i="1"/>
  <c r="T380" i="1" s="1"/>
  <c r="S381" i="1"/>
  <c r="T381" i="1" s="1"/>
  <c r="S382" i="1"/>
  <c r="T382" i="1" s="1"/>
  <c r="S383" i="1"/>
  <c r="T383" i="1" s="1"/>
  <c r="S384" i="1"/>
  <c r="T384" i="1" s="1"/>
  <c r="S385" i="1"/>
  <c r="T385" i="1" s="1"/>
  <c r="S386" i="1"/>
  <c r="T386" i="1" s="1"/>
  <c r="S387" i="1"/>
  <c r="T387" i="1" s="1"/>
  <c r="S388" i="1"/>
  <c r="T388" i="1" s="1"/>
  <c r="S389" i="1"/>
  <c r="T389" i="1" s="1"/>
  <c r="S390" i="1"/>
  <c r="T390" i="1" s="1"/>
  <c r="S391" i="1"/>
  <c r="T391" i="1" s="1"/>
  <c r="S392" i="1"/>
  <c r="T392" i="1" s="1"/>
  <c r="S393" i="1"/>
  <c r="T393" i="1" s="1"/>
  <c r="S394" i="1"/>
  <c r="T394" i="1" s="1"/>
  <c r="S395" i="1"/>
  <c r="T395" i="1" s="1"/>
  <c r="S396" i="1"/>
  <c r="T396" i="1" s="1"/>
  <c r="S397" i="1"/>
  <c r="T397" i="1" s="1"/>
  <c r="S398" i="1"/>
  <c r="T398" i="1" s="1"/>
  <c r="S399" i="1"/>
  <c r="T399" i="1" s="1"/>
  <c r="S400" i="1"/>
  <c r="T400" i="1" s="1"/>
  <c r="S401" i="1"/>
  <c r="T401" i="1" s="1"/>
  <c r="S402" i="1"/>
  <c r="T402" i="1" s="1"/>
  <c r="S403" i="1"/>
  <c r="T403" i="1" s="1"/>
  <c r="S404" i="1"/>
  <c r="T404" i="1" s="1"/>
  <c r="S405" i="1"/>
  <c r="T405" i="1" s="1"/>
  <c r="S406" i="1"/>
  <c r="T406" i="1" s="1"/>
  <c r="S407" i="1"/>
  <c r="T407" i="1" s="1"/>
  <c r="S408" i="1"/>
  <c r="T408" i="1" s="1"/>
  <c r="S409" i="1"/>
  <c r="T409" i="1" s="1"/>
  <c r="S410" i="1"/>
  <c r="T410" i="1" s="1"/>
  <c r="S411" i="1"/>
  <c r="T411" i="1" s="1"/>
  <c r="S412" i="1"/>
  <c r="T412" i="1" s="1"/>
  <c r="S413" i="1"/>
  <c r="T413" i="1" s="1"/>
  <c r="S414" i="1"/>
  <c r="T414" i="1" s="1"/>
  <c r="S415" i="1"/>
  <c r="T415" i="1" s="1"/>
  <c r="S416" i="1"/>
  <c r="T416" i="1" s="1"/>
  <c r="S417" i="1"/>
  <c r="T417" i="1" s="1"/>
  <c r="S418" i="1"/>
  <c r="T418" i="1" s="1"/>
  <c r="S419" i="1"/>
  <c r="T419" i="1" s="1"/>
  <c r="S420" i="1"/>
  <c r="T420" i="1" s="1"/>
  <c r="S421" i="1"/>
  <c r="T421" i="1" s="1"/>
  <c r="S422" i="1"/>
  <c r="T422" i="1" s="1"/>
  <c r="S423" i="1"/>
  <c r="T423" i="1" s="1"/>
  <c r="S424" i="1"/>
  <c r="T424" i="1" s="1"/>
  <c r="S425" i="1"/>
  <c r="T425" i="1" s="1"/>
  <c r="S426" i="1"/>
  <c r="T426" i="1" s="1"/>
  <c r="S427" i="1"/>
  <c r="T427" i="1" s="1"/>
  <c r="S428" i="1"/>
  <c r="T428" i="1" s="1"/>
  <c r="S429" i="1"/>
  <c r="T429" i="1" s="1"/>
  <c r="S430" i="1"/>
  <c r="T430" i="1" s="1"/>
  <c r="S431" i="1"/>
  <c r="T431" i="1" s="1"/>
  <c r="S432" i="1"/>
  <c r="T432" i="1" s="1"/>
  <c r="S433" i="1"/>
  <c r="T433" i="1" s="1"/>
  <c r="S434" i="1"/>
  <c r="T434" i="1" s="1"/>
  <c r="S435" i="1"/>
  <c r="T435" i="1" s="1"/>
  <c r="S436" i="1"/>
  <c r="T436" i="1" s="1"/>
  <c r="S437" i="1"/>
  <c r="T437" i="1" s="1"/>
  <c r="S438" i="1"/>
  <c r="T438" i="1" s="1"/>
  <c r="S439" i="1"/>
  <c r="T439" i="1" s="1"/>
  <c r="S440" i="1"/>
  <c r="T440" i="1" s="1"/>
  <c r="S441" i="1"/>
  <c r="T441" i="1" s="1"/>
  <c r="S442" i="1"/>
  <c r="T442" i="1" s="1"/>
  <c r="S443" i="1"/>
  <c r="T443" i="1" s="1"/>
  <c r="S444" i="1"/>
  <c r="T444" i="1" s="1"/>
  <c r="S445" i="1"/>
  <c r="T445" i="1" s="1"/>
  <c r="S446" i="1"/>
  <c r="T446" i="1" s="1"/>
  <c r="S447" i="1"/>
  <c r="T447" i="1" s="1"/>
  <c r="S448" i="1"/>
  <c r="T448" i="1" s="1"/>
  <c r="S449" i="1"/>
  <c r="T449" i="1" s="1"/>
  <c r="S450" i="1"/>
  <c r="T450" i="1" s="1"/>
  <c r="S451" i="1"/>
  <c r="T451" i="1" s="1"/>
  <c r="S452" i="1"/>
  <c r="T452" i="1" s="1"/>
  <c r="S453" i="1"/>
  <c r="T453" i="1" s="1"/>
  <c r="S454" i="1"/>
  <c r="T454" i="1" s="1"/>
  <c r="S455" i="1"/>
  <c r="T455" i="1" s="1"/>
  <c r="S456" i="1"/>
  <c r="T456" i="1" s="1"/>
  <c r="S457" i="1"/>
  <c r="T457" i="1" s="1"/>
  <c r="S458" i="1"/>
  <c r="T458" i="1" s="1"/>
  <c r="S459" i="1"/>
  <c r="T459" i="1" s="1"/>
  <c r="S460" i="1"/>
  <c r="T460" i="1" s="1"/>
  <c r="S461" i="1"/>
  <c r="T461" i="1" s="1"/>
  <c r="S462" i="1"/>
  <c r="T462" i="1" s="1"/>
  <c r="S463" i="1"/>
  <c r="T463" i="1" s="1"/>
  <c r="S464" i="1"/>
  <c r="T464" i="1" s="1"/>
  <c r="S465" i="1"/>
  <c r="T465" i="1" s="1"/>
  <c r="S466" i="1"/>
  <c r="T466" i="1" s="1"/>
  <c r="S467" i="1"/>
  <c r="T467" i="1" s="1"/>
  <c r="S468" i="1"/>
  <c r="T468" i="1" s="1"/>
  <c r="S469" i="1"/>
  <c r="T469" i="1" s="1"/>
  <c r="S470" i="1"/>
  <c r="T470" i="1" s="1"/>
  <c r="S471" i="1"/>
  <c r="T471" i="1" s="1"/>
  <c r="S472" i="1"/>
  <c r="T472" i="1" s="1"/>
  <c r="S473" i="1"/>
  <c r="T473" i="1" s="1"/>
  <c r="S474" i="1"/>
  <c r="T474" i="1" s="1"/>
  <c r="S475" i="1"/>
  <c r="T475" i="1" s="1"/>
  <c r="S476" i="1"/>
  <c r="T476" i="1" s="1"/>
  <c r="S477" i="1"/>
  <c r="T477" i="1" s="1"/>
  <c r="S478" i="1"/>
  <c r="T478" i="1" s="1"/>
  <c r="S479" i="1"/>
  <c r="T479" i="1" s="1"/>
  <c r="S480" i="1"/>
  <c r="T480" i="1" s="1"/>
  <c r="S481" i="1"/>
  <c r="T481" i="1" s="1"/>
  <c r="S482" i="1"/>
  <c r="T482" i="1" s="1"/>
  <c r="S483" i="1"/>
  <c r="T483" i="1" s="1"/>
  <c r="S484" i="1"/>
  <c r="T484" i="1" s="1"/>
  <c r="S485" i="1"/>
  <c r="T485" i="1" s="1"/>
  <c r="S486" i="1"/>
  <c r="T486" i="1" s="1"/>
  <c r="S487" i="1"/>
  <c r="T487" i="1" s="1"/>
  <c r="S488" i="1"/>
  <c r="T488" i="1" s="1"/>
  <c r="S489" i="1"/>
  <c r="T489" i="1" s="1"/>
  <c r="S490" i="1"/>
  <c r="T490" i="1" s="1"/>
  <c r="S491" i="1"/>
  <c r="T491" i="1" s="1"/>
  <c r="S492" i="1"/>
  <c r="T492" i="1" s="1"/>
  <c r="S493" i="1"/>
  <c r="T493" i="1" s="1"/>
  <c r="S494" i="1"/>
  <c r="T494" i="1" s="1"/>
  <c r="S495" i="1"/>
  <c r="T495" i="1" s="1"/>
  <c r="S496" i="1"/>
  <c r="T496" i="1" s="1"/>
  <c r="S497" i="1"/>
  <c r="T497" i="1" s="1"/>
  <c r="S498" i="1"/>
  <c r="T498" i="1" s="1"/>
  <c r="S499" i="1"/>
  <c r="T499" i="1" s="1"/>
  <c r="S500" i="1"/>
  <c r="T500" i="1" s="1"/>
  <c r="S501" i="1"/>
  <c r="T501" i="1" s="1"/>
  <c r="S502" i="1"/>
  <c r="T502" i="1" s="1"/>
  <c r="S503" i="1"/>
  <c r="T503" i="1" s="1"/>
  <c r="S504" i="1"/>
  <c r="T504" i="1" s="1"/>
  <c r="S505" i="1"/>
  <c r="T505" i="1" s="1"/>
  <c r="S506" i="1"/>
  <c r="T506" i="1" s="1"/>
  <c r="S507" i="1"/>
  <c r="T507" i="1" s="1"/>
  <c r="S508" i="1"/>
  <c r="T508" i="1" s="1"/>
  <c r="S509" i="1"/>
  <c r="T509" i="1" s="1"/>
  <c r="S510" i="1"/>
  <c r="T510" i="1" s="1"/>
  <c r="S511" i="1"/>
  <c r="T511" i="1" s="1"/>
  <c r="S512" i="1"/>
  <c r="T512" i="1" s="1"/>
  <c r="S513" i="1"/>
  <c r="T513" i="1" s="1"/>
  <c r="S514" i="1"/>
  <c r="T514" i="1" s="1"/>
  <c r="S515" i="1"/>
  <c r="T515" i="1" s="1"/>
  <c r="S516" i="1"/>
  <c r="T516" i="1" s="1"/>
  <c r="S517" i="1"/>
  <c r="T517" i="1" s="1"/>
  <c r="S518" i="1"/>
  <c r="T518" i="1" s="1"/>
  <c r="S519" i="1"/>
  <c r="T519" i="1" s="1"/>
  <c r="S520" i="1"/>
  <c r="T520" i="1" s="1"/>
  <c r="S521" i="1"/>
  <c r="T521" i="1" s="1"/>
  <c r="S522" i="1"/>
  <c r="T522" i="1" s="1"/>
  <c r="S523" i="1"/>
  <c r="T523" i="1" s="1"/>
  <c r="S524" i="1"/>
  <c r="T524" i="1" s="1"/>
  <c r="S525" i="1"/>
  <c r="T525" i="1" s="1"/>
  <c r="S526" i="1"/>
  <c r="T526" i="1" s="1"/>
  <c r="S527" i="1"/>
  <c r="T527" i="1" s="1"/>
  <c r="S528" i="1"/>
  <c r="T528" i="1" s="1"/>
  <c r="S529" i="1"/>
  <c r="T529" i="1" s="1"/>
  <c r="S530" i="1"/>
  <c r="T530" i="1" s="1"/>
  <c r="S531" i="1"/>
  <c r="T531" i="1" s="1"/>
  <c r="S532" i="1"/>
  <c r="T532" i="1" s="1"/>
  <c r="S533" i="1"/>
  <c r="T533" i="1" s="1"/>
  <c r="S534" i="1"/>
  <c r="T534" i="1" s="1"/>
  <c r="S535" i="1"/>
  <c r="T535" i="1" s="1"/>
  <c r="S536" i="1"/>
  <c r="T536" i="1" s="1"/>
  <c r="S537" i="1"/>
  <c r="T537" i="1" s="1"/>
  <c r="S538" i="1"/>
  <c r="T538" i="1" s="1"/>
  <c r="S539" i="1"/>
  <c r="T539" i="1" s="1"/>
  <c r="S540" i="1"/>
  <c r="T540" i="1" s="1"/>
  <c r="S541" i="1"/>
  <c r="T541" i="1" s="1"/>
  <c r="S542" i="1"/>
  <c r="T542" i="1" s="1"/>
  <c r="S543" i="1"/>
  <c r="T543" i="1" s="1"/>
  <c r="S544" i="1"/>
  <c r="T544" i="1" s="1"/>
  <c r="S545" i="1"/>
  <c r="T545" i="1" s="1"/>
  <c r="S546" i="1"/>
  <c r="T546" i="1" s="1"/>
  <c r="S547" i="1"/>
  <c r="T547" i="1" s="1"/>
  <c r="S548" i="1"/>
  <c r="T548" i="1" s="1"/>
  <c r="S549" i="1"/>
  <c r="T549" i="1" s="1"/>
  <c r="S550" i="1"/>
  <c r="T550" i="1" s="1"/>
  <c r="S551" i="1"/>
  <c r="T551" i="1" s="1"/>
  <c r="S552" i="1"/>
  <c r="T552" i="1" s="1"/>
  <c r="S553" i="1"/>
  <c r="T553" i="1" s="1"/>
  <c r="S554" i="1"/>
  <c r="T554" i="1" s="1"/>
  <c r="S555" i="1"/>
  <c r="T555" i="1" s="1"/>
  <c r="S556" i="1"/>
  <c r="T556" i="1" s="1"/>
  <c r="S557" i="1"/>
  <c r="T557" i="1" s="1"/>
  <c r="S558" i="1"/>
  <c r="T558" i="1" s="1"/>
  <c r="S559" i="1"/>
  <c r="T559" i="1" s="1"/>
  <c r="S560" i="1"/>
  <c r="T560" i="1" s="1"/>
  <c r="S561" i="1"/>
  <c r="T561" i="1" s="1"/>
  <c r="S562" i="1"/>
  <c r="T562" i="1" s="1"/>
  <c r="S563" i="1"/>
  <c r="T563" i="1" s="1"/>
  <c r="S564" i="1"/>
  <c r="T564" i="1" s="1"/>
  <c r="S565" i="1"/>
  <c r="T565" i="1" s="1"/>
  <c r="S566" i="1"/>
  <c r="T566" i="1" s="1"/>
  <c r="S567" i="1"/>
  <c r="T567" i="1" s="1"/>
  <c r="S568" i="1"/>
  <c r="T568" i="1" s="1"/>
  <c r="S569" i="1"/>
  <c r="T569" i="1" s="1"/>
  <c r="S570" i="1"/>
  <c r="T570" i="1" s="1"/>
  <c r="S571" i="1"/>
  <c r="T571" i="1" s="1"/>
  <c r="S572" i="1"/>
  <c r="T572" i="1" s="1"/>
  <c r="S573" i="1"/>
  <c r="T573" i="1" s="1"/>
  <c r="S574" i="1"/>
  <c r="T574" i="1" s="1"/>
  <c r="S575" i="1"/>
  <c r="T575" i="1" s="1"/>
  <c r="S576" i="1"/>
  <c r="T576" i="1" s="1"/>
  <c r="S577" i="1"/>
  <c r="T577" i="1" s="1"/>
  <c r="S578" i="1"/>
  <c r="T578" i="1" s="1"/>
  <c r="S579" i="1"/>
  <c r="T579" i="1" s="1"/>
  <c r="S580" i="1"/>
  <c r="T580" i="1" s="1"/>
  <c r="S581" i="1"/>
  <c r="T581" i="1" s="1"/>
  <c r="S582" i="1"/>
  <c r="T582" i="1" s="1"/>
  <c r="S583" i="1"/>
  <c r="T583" i="1" s="1"/>
  <c r="S584" i="1"/>
  <c r="T584" i="1" s="1"/>
  <c r="S585" i="1"/>
  <c r="T585" i="1" s="1"/>
  <c r="S586" i="1"/>
  <c r="T586" i="1" s="1"/>
  <c r="S587" i="1"/>
  <c r="T587" i="1" s="1"/>
  <c r="S588" i="1"/>
  <c r="T588" i="1" s="1"/>
  <c r="S589" i="1"/>
  <c r="T589" i="1" s="1"/>
  <c r="S590" i="1"/>
  <c r="T590" i="1" s="1"/>
  <c r="S591" i="1"/>
  <c r="T591" i="1" s="1"/>
  <c r="S592" i="1"/>
  <c r="T592" i="1" s="1"/>
  <c r="S593" i="1"/>
  <c r="T593" i="1" s="1"/>
  <c r="S594" i="1"/>
  <c r="T594" i="1" s="1"/>
  <c r="S595" i="1"/>
  <c r="T595" i="1" s="1"/>
  <c r="S596" i="1"/>
  <c r="T596" i="1" s="1"/>
  <c r="S597" i="1"/>
  <c r="T597" i="1" s="1"/>
  <c r="S598" i="1"/>
  <c r="T598" i="1" s="1"/>
  <c r="S599" i="1"/>
  <c r="T599" i="1" s="1"/>
  <c r="S600" i="1"/>
  <c r="T600" i="1" s="1"/>
  <c r="S601" i="1"/>
  <c r="T601" i="1" s="1"/>
  <c r="S602" i="1"/>
  <c r="T602" i="1" s="1"/>
  <c r="S603" i="1"/>
  <c r="T603" i="1" s="1"/>
  <c r="S604" i="1"/>
  <c r="T604" i="1" s="1"/>
  <c r="S605" i="1"/>
  <c r="T605" i="1" s="1"/>
  <c r="S606" i="1"/>
  <c r="T606" i="1" s="1"/>
  <c r="S607" i="1"/>
  <c r="T607" i="1" s="1"/>
  <c r="S608" i="1"/>
  <c r="T608" i="1" s="1"/>
  <c r="S609" i="1"/>
  <c r="T609" i="1" s="1"/>
  <c r="S610" i="1"/>
  <c r="T610" i="1" s="1"/>
  <c r="S611" i="1"/>
  <c r="T611" i="1" s="1"/>
  <c r="S612" i="1"/>
  <c r="T612" i="1" s="1"/>
  <c r="S613" i="1"/>
  <c r="T613" i="1" s="1"/>
  <c r="S614" i="1"/>
  <c r="T614" i="1" s="1"/>
  <c r="S615" i="1"/>
  <c r="T615" i="1" s="1"/>
  <c r="S616" i="1"/>
  <c r="T616" i="1" s="1"/>
  <c r="S617" i="1"/>
  <c r="T617" i="1" s="1"/>
  <c r="S618" i="1"/>
  <c r="T618" i="1" s="1"/>
  <c r="S619" i="1"/>
  <c r="T619" i="1" s="1"/>
  <c r="S620" i="1"/>
  <c r="T620" i="1" s="1"/>
  <c r="S621" i="1"/>
  <c r="T621" i="1" s="1"/>
  <c r="S622" i="1"/>
  <c r="T622" i="1" s="1"/>
  <c r="S623" i="1"/>
  <c r="T623" i="1" s="1"/>
  <c r="S624" i="1"/>
  <c r="T624" i="1" s="1"/>
  <c r="S625" i="1"/>
  <c r="T625" i="1" s="1"/>
  <c r="S626" i="1"/>
  <c r="T626" i="1" s="1"/>
  <c r="S627" i="1"/>
  <c r="T627" i="1" s="1"/>
  <c r="S628" i="1"/>
  <c r="T628" i="1" s="1"/>
  <c r="S629" i="1"/>
  <c r="T629" i="1" s="1"/>
  <c r="S630" i="1"/>
  <c r="T630" i="1" s="1"/>
  <c r="S631" i="1"/>
  <c r="T631" i="1" s="1"/>
  <c r="S632" i="1"/>
  <c r="T632" i="1" s="1"/>
  <c r="S633" i="1"/>
  <c r="T633" i="1" s="1"/>
  <c r="S634" i="1"/>
  <c r="T634" i="1" s="1"/>
  <c r="S635" i="1"/>
  <c r="T635" i="1" s="1"/>
  <c r="S636" i="1"/>
  <c r="T636" i="1" s="1"/>
  <c r="S637" i="1"/>
  <c r="T637" i="1" s="1"/>
  <c r="S638" i="1"/>
  <c r="T638" i="1" s="1"/>
  <c r="S639" i="1"/>
  <c r="T639" i="1" s="1"/>
  <c r="S640" i="1"/>
  <c r="T640" i="1" s="1"/>
  <c r="S641" i="1"/>
  <c r="T641" i="1" s="1"/>
  <c r="S642" i="1"/>
  <c r="T642" i="1" s="1"/>
  <c r="S643" i="1"/>
  <c r="T643" i="1" s="1"/>
  <c r="S644" i="1"/>
  <c r="T644" i="1" s="1"/>
  <c r="S645" i="1"/>
  <c r="T645" i="1" s="1"/>
  <c r="S646" i="1"/>
  <c r="T646" i="1" s="1"/>
  <c r="S647" i="1"/>
  <c r="T647" i="1" s="1"/>
  <c r="S648" i="1"/>
  <c r="T648" i="1" s="1"/>
  <c r="S649" i="1"/>
  <c r="T649" i="1" s="1"/>
  <c r="S650" i="1"/>
  <c r="T650" i="1" s="1"/>
  <c r="S651" i="1"/>
  <c r="T651" i="1" s="1"/>
  <c r="S652" i="1"/>
  <c r="T652" i="1" s="1"/>
  <c r="S653" i="1"/>
  <c r="T653" i="1" s="1"/>
  <c r="S654" i="1"/>
  <c r="T654" i="1" s="1"/>
  <c r="S655" i="1"/>
  <c r="T655" i="1" s="1"/>
  <c r="S656" i="1"/>
  <c r="T656" i="1" s="1"/>
  <c r="S657" i="1"/>
  <c r="T657" i="1" s="1"/>
  <c r="S658" i="1"/>
  <c r="T658" i="1" s="1"/>
  <c r="S659" i="1"/>
  <c r="T659" i="1" s="1"/>
  <c r="S660" i="1"/>
  <c r="T660" i="1" s="1"/>
  <c r="S661" i="1"/>
  <c r="T661" i="1" s="1"/>
  <c r="S662" i="1"/>
  <c r="T662" i="1" s="1"/>
  <c r="S663" i="1"/>
  <c r="T663" i="1" s="1"/>
  <c r="S664" i="1"/>
  <c r="T664" i="1" s="1"/>
  <c r="S665" i="1"/>
  <c r="T665" i="1" s="1"/>
  <c r="S666" i="1"/>
  <c r="T666" i="1" s="1"/>
  <c r="S667" i="1"/>
  <c r="T667" i="1" s="1"/>
  <c r="S668" i="1"/>
  <c r="T668" i="1" s="1"/>
  <c r="S669" i="1"/>
  <c r="T669" i="1" s="1"/>
  <c r="S670" i="1"/>
  <c r="T670" i="1" s="1"/>
  <c r="S671" i="1"/>
  <c r="T671" i="1" s="1"/>
  <c r="S672" i="1"/>
  <c r="T672" i="1" s="1"/>
  <c r="S673" i="1"/>
  <c r="T673" i="1" s="1"/>
  <c r="S674" i="1"/>
  <c r="T674" i="1" s="1"/>
  <c r="S675" i="1"/>
  <c r="T675" i="1" s="1"/>
  <c r="S676" i="1"/>
  <c r="T676" i="1" s="1"/>
  <c r="S677" i="1"/>
  <c r="T677" i="1" s="1"/>
  <c r="S678" i="1"/>
  <c r="T678" i="1" s="1"/>
  <c r="S679" i="1"/>
  <c r="T679" i="1" s="1"/>
  <c r="S680" i="1"/>
  <c r="T680" i="1" s="1"/>
  <c r="S681" i="1"/>
  <c r="T681" i="1" s="1"/>
  <c r="S682" i="1"/>
  <c r="T682" i="1" s="1"/>
  <c r="S683" i="1"/>
  <c r="T683" i="1" s="1"/>
  <c r="S684" i="1"/>
  <c r="T684" i="1" s="1"/>
  <c r="S685" i="1"/>
  <c r="T685" i="1" s="1"/>
  <c r="S686" i="1"/>
  <c r="T686" i="1" s="1"/>
  <c r="S687" i="1"/>
  <c r="T687" i="1" s="1"/>
  <c r="S688" i="1"/>
  <c r="T688" i="1" s="1"/>
  <c r="S689" i="1"/>
  <c r="T689" i="1" s="1"/>
  <c r="S690" i="1"/>
  <c r="T690" i="1" s="1"/>
  <c r="S691" i="1"/>
  <c r="T691" i="1" s="1"/>
  <c r="S692" i="1"/>
  <c r="T692" i="1" s="1"/>
  <c r="S693" i="1"/>
  <c r="T693" i="1" s="1"/>
  <c r="S694" i="1"/>
  <c r="T694" i="1" s="1"/>
  <c r="S695" i="1"/>
  <c r="T695" i="1" s="1"/>
  <c r="S696" i="1"/>
  <c r="T696" i="1" s="1"/>
  <c r="S697" i="1"/>
  <c r="T697" i="1" s="1"/>
  <c r="S698" i="1"/>
  <c r="T698" i="1" s="1"/>
  <c r="S699" i="1"/>
  <c r="T699" i="1" s="1"/>
  <c r="S700" i="1"/>
  <c r="T700" i="1" s="1"/>
  <c r="S701" i="1"/>
  <c r="T701" i="1" s="1"/>
  <c r="S702" i="1"/>
  <c r="T702" i="1" s="1"/>
  <c r="S703" i="1"/>
  <c r="T703" i="1" s="1"/>
  <c r="S704" i="1"/>
  <c r="T704" i="1" s="1"/>
  <c r="S705" i="1"/>
  <c r="T705" i="1" s="1"/>
  <c r="S706" i="1"/>
  <c r="T706" i="1" s="1"/>
  <c r="S707" i="1"/>
  <c r="T707" i="1" s="1"/>
  <c r="S708" i="1"/>
  <c r="T708" i="1" s="1"/>
  <c r="S709" i="1"/>
  <c r="T709" i="1" s="1"/>
  <c r="S710" i="1"/>
  <c r="T710" i="1" s="1"/>
  <c r="S711" i="1"/>
  <c r="T711" i="1" s="1"/>
  <c r="S712" i="1"/>
  <c r="T712" i="1" s="1"/>
  <c r="S713" i="1"/>
  <c r="T713" i="1" s="1"/>
  <c r="S714" i="1"/>
  <c r="T714" i="1" s="1"/>
  <c r="S715" i="1"/>
  <c r="T715" i="1" s="1"/>
  <c r="S716" i="1"/>
  <c r="T716" i="1" s="1"/>
  <c r="S717" i="1"/>
  <c r="T717" i="1" s="1"/>
  <c r="S718" i="1"/>
  <c r="T718" i="1" s="1"/>
  <c r="S719" i="1"/>
  <c r="T719" i="1" s="1"/>
  <c r="S720" i="1"/>
  <c r="T720" i="1" s="1"/>
  <c r="S721" i="1"/>
  <c r="T721" i="1" s="1"/>
  <c r="S722" i="1"/>
  <c r="T722" i="1" s="1"/>
  <c r="S723" i="1"/>
  <c r="T723" i="1" s="1"/>
  <c r="S724" i="1"/>
  <c r="T724" i="1" s="1"/>
  <c r="S725" i="1"/>
  <c r="T725" i="1" s="1"/>
  <c r="S726" i="1"/>
  <c r="T726" i="1" s="1"/>
  <c r="S727" i="1"/>
  <c r="T727" i="1" s="1"/>
  <c r="S728" i="1"/>
  <c r="T728" i="1" s="1"/>
  <c r="S729" i="1"/>
  <c r="T729" i="1" s="1"/>
  <c r="S730" i="1"/>
  <c r="T730" i="1" s="1"/>
  <c r="S731" i="1"/>
  <c r="T731" i="1" s="1"/>
  <c r="S732" i="1"/>
  <c r="T732" i="1" s="1"/>
  <c r="S733" i="1"/>
  <c r="T733" i="1" s="1"/>
  <c r="S734" i="1"/>
  <c r="T734" i="1" s="1"/>
  <c r="S735" i="1"/>
  <c r="T735" i="1" s="1"/>
  <c r="S736" i="1"/>
  <c r="T736" i="1" s="1"/>
  <c r="S737" i="1"/>
  <c r="T737" i="1" s="1"/>
  <c r="S738" i="1"/>
  <c r="T738" i="1" s="1"/>
  <c r="S739" i="1"/>
  <c r="T739" i="1" s="1"/>
  <c r="S740" i="1"/>
  <c r="T740" i="1" s="1"/>
  <c r="S741" i="1"/>
  <c r="T741" i="1" s="1"/>
  <c r="S742" i="1"/>
  <c r="T742" i="1" s="1"/>
  <c r="S743" i="1"/>
  <c r="T743" i="1" s="1"/>
  <c r="S744" i="1"/>
  <c r="T744" i="1" s="1"/>
  <c r="S745" i="1"/>
  <c r="T745" i="1" s="1"/>
  <c r="S746" i="1"/>
  <c r="T746" i="1" s="1"/>
  <c r="S747" i="1"/>
  <c r="T747" i="1" s="1"/>
  <c r="S748" i="1"/>
  <c r="T748" i="1" s="1"/>
  <c r="S749" i="1"/>
  <c r="T749" i="1" s="1"/>
  <c r="S750" i="1"/>
  <c r="T750" i="1" s="1"/>
  <c r="S751" i="1"/>
  <c r="T751" i="1" s="1"/>
  <c r="S752" i="1"/>
  <c r="T752" i="1" s="1"/>
  <c r="S753" i="1"/>
  <c r="T753" i="1" s="1"/>
  <c r="S754" i="1"/>
  <c r="T754" i="1" s="1"/>
  <c r="S755" i="1"/>
  <c r="T755" i="1" s="1"/>
  <c r="S756" i="1"/>
  <c r="T756" i="1" s="1"/>
  <c r="S757" i="1"/>
  <c r="T757" i="1" s="1"/>
  <c r="S758" i="1"/>
  <c r="T758" i="1" s="1"/>
  <c r="S759" i="1"/>
  <c r="T759" i="1" s="1"/>
  <c r="S760" i="1"/>
  <c r="T760" i="1" s="1"/>
  <c r="S761" i="1"/>
  <c r="T761" i="1" s="1"/>
  <c r="S762" i="1"/>
  <c r="T762" i="1" s="1"/>
  <c r="S763" i="1"/>
  <c r="T763" i="1" s="1"/>
  <c r="S764" i="1"/>
  <c r="T764" i="1" s="1"/>
  <c r="S765" i="1"/>
  <c r="T765" i="1" s="1"/>
  <c r="S766" i="1"/>
  <c r="T766" i="1" s="1"/>
  <c r="S767" i="1"/>
  <c r="T767" i="1" s="1"/>
  <c r="S768" i="1"/>
  <c r="T768" i="1" s="1"/>
  <c r="S769" i="1"/>
  <c r="T769" i="1" s="1"/>
  <c r="S770" i="1"/>
  <c r="T770" i="1" s="1"/>
  <c r="S771" i="1"/>
  <c r="T771" i="1" s="1"/>
  <c r="S772" i="1"/>
  <c r="T772" i="1" s="1"/>
  <c r="S773" i="1"/>
  <c r="T773" i="1" s="1"/>
  <c r="S774" i="1"/>
  <c r="T774" i="1" s="1"/>
  <c r="S775" i="1"/>
  <c r="T775" i="1" s="1"/>
  <c r="S776" i="1"/>
  <c r="T776" i="1" s="1"/>
  <c r="S777" i="1"/>
  <c r="T777" i="1" s="1"/>
  <c r="S778" i="1"/>
  <c r="T778" i="1" s="1"/>
  <c r="S779" i="1"/>
  <c r="T779" i="1" s="1"/>
  <c r="S780" i="1"/>
  <c r="T780" i="1" s="1"/>
  <c r="S781" i="1"/>
  <c r="T781" i="1" s="1"/>
  <c r="S782" i="1"/>
  <c r="T782" i="1" s="1"/>
  <c r="S783" i="1"/>
  <c r="T783" i="1" s="1"/>
  <c r="S784" i="1"/>
  <c r="T784" i="1" s="1"/>
  <c r="S785" i="1"/>
  <c r="T785" i="1" s="1"/>
  <c r="S786" i="1"/>
  <c r="T786" i="1" s="1"/>
  <c r="S787" i="1"/>
  <c r="T787" i="1" s="1"/>
  <c r="S788" i="1"/>
  <c r="T788" i="1" s="1"/>
  <c r="S789" i="1"/>
  <c r="T789" i="1" s="1"/>
  <c r="S790" i="1"/>
  <c r="T790" i="1" s="1"/>
  <c r="S791" i="1"/>
  <c r="T791" i="1" s="1"/>
  <c r="S792" i="1"/>
  <c r="T792" i="1" s="1"/>
  <c r="S793" i="1"/>
  <c r="T793" i="1" s="1"/>
  <c r="S794" i="1"/>
  <c r="T794" i="1" s="1"/>
  <c r="S795" i="1"/>
  <c r="T795" i="1" s="1"/>
  <c r="S796" i="1"/>
  <c r="T796" i="1" s="1"/>
  <c r="S797" i="1"/>
  <c r="T797" i="1" s="1"/>
  <c r="S798" i="1"/>
  <c r="T798" i="1" s="1"/>
  <c r="S799" i="1"/>
  <c r="T799" i="1" s="1"/>
  <c r="S800" i="1"/>
  <c r="T800" i="1" s="1"/>
  <c r="S801" i="1"/>
  <c r="T801" i="1" s="1"/>
  <c r="S802" i="1"/>
  <c r="T802" i="1" s="1"/>
  <c r="S803" i="1"/>
  <c r="T803" i="1" s="1"/>
  <c r="S804" i="1"/>
  <c r="T804" i="1" s="1"/>
  <c r="S805" i="1"/>
  <c r="T805" i="1" s="1"/>
  <c r="S806" i="1"/>
  <c r="T806" i="1" s="1"/>
  <c r="S807" i="1"/>
  <c r="T807" i="1" s="1"/>
  <c r="S808" i="1"/>
  <c r="T808" i="1" s="1"/>
  <c r="S809" i="1"/>
  <c r="T809" i="1" s="1"/>
  <c r="S810" i="1"/>
  <c r="T810" i="1" s="1"/>
  <c r="S811" i="1"/>
  <c r="T811" i="1" s="1"/>
  <c r="S812" i="1"/>
  <c r="T812" i="1" s="1"/>
  <c r="S813" i="1"/>
  <c r="T813" i="1" s="1"/>
  <c r="S814" i="1"/>
  <c r="T814" i="1" s="1"/>
  <c r="S815" i="1"/>
  <c r="T815" i="1" s="1"/>
  <c r="S816" i="1"/>
  <c r="T816" i="1" s="1"/>
  <c r="S817" i="1"/>
  <c r="T817" i="1" s="1"/>
  <c r="S818" i="1"/>
  <c r="T818" i="1" s="1"/>
  <c r="S819" i="1"/>
  <c r="T819" i="1" s="1"/>
  <c r="S820" i="1"/>
  <c r="T820" i="1" s="1"/>
  <c r="S821" i="1"/>
  <c r="T821" i="1" s="1"/>
  <c r="S822" i="1"/>
  <c r="T822" i="1" s="1"/>
  <c r="S823" i="1"/>
  <c r="T823" i="1" s="1"/>
  <c r="S824" i="1"/>
  <c r="T824" i="1" s="1"/>
  <c r="S825" i="1"/>
  <c r="T825" i="1" s="1"/>
  <c r="S826" i="1"/>
  <c r="T826" i="1" s="1"/>
  <c r="S827" i="1"/>
  <c r="T827" i="1" s="1"/>
  <c r="S828" i="1"/>
  <c r="T828" i="1" s="1"/>
  <c r="S829" i="1"/>
  <c r="T829" i="1" s="1"/>
  <c r="S830" i="1"/>
  <c r="T830" i="1" s="1"/>
  <c r="S831" i="1"/>
  <c r="T831" i="1" s="1"/>
  <c r="S832" i="1"/>
  <c r="T832" i="1" s="1"/>
  <c r="S833" i="1"/>
  <c r="T833" i="1" s="1"/>
  <c r="S834" i="1"/>
  <c r="T834" i="1" s="1"/>
  <c r="S835" i="1"/>
  <c r="T835" i="1" s="1"/>
  <c r="S836" i="1"/>
  <c r="T836" i="1" s="1"/>
  <c r="S837" i="1"/>
  <c r="T837" i="1" s="1"/>
  <c r="S838" i="1"/>
  <c r="T838" i="1" s="1"/>
  <c r="S839" i="1"/>
  <c r="T839" i="1" s="1"/>
  <c r="S840" i="1"/>
  <c r="T840" i="1" s="1"/>
  <c r="S841" i="1"/>
  <c r="T841" i="1" s="1"/>
  <c r="S842" i="1"/>
  <c r="T842" i="1" s="1"/>
  <c r="S843" i="1"/>
  <c r="T843" i="1" s="1"/>
  <c r="S844" i="1"/>
  <c r="T844" i="1" s="1"/>
  <c r="S845" i="1"/>
  <c r="T845" i="1" s="1"/>
  <c r="S846" i="1"/>
  <c r="T846" i="1" s="1"/>
  <c r="S847" i="1"/>
  <c r="T847" i="1" s="1"/>
  <c r="S848" i="1"/>
  <c r="T848" i="1" s="1"/>
  <c r="S849" i="1"/>
  <c r="T849" i="1" s="1"/>
  <c r="S850" i="1"/>
  <c r="T850" i="1" s="1"/>
  <c r="S851" i="1"/>
  <c r="T851" i="1" s="1"/>
  <c r="S852" i="1"/>
  <c r="T852" i="1" s="1"/>
  <c r="S853" i="1"/>
  <c r="T853" i="1" s="1"/>
  <c r="S854" i="1"/>
  <c r="T854" i="1" s="1"/>
  <c r="S855" i="1"/>
  <c r="T855" i="1" s="1"/>
  <c r="S856" i="1"/>
  <c r="T856" i="1" s="1"/>
  <c r="S857" i="1"/>
  <c r="T857" i="1" s="1"/>
  <c r="S858" i="1"/>
  <c r="T858" i="1" s="1"/>
  <c r="S859" i="1"/>
  <c r="T859" i="1" s="1"/>
  <c r="S860" i="1"/>
  <c r="T860" i="1" s="1"/>
  <c r="S861" i="1"/>
  <c r="T861" i="1" s="1"/>
  <c r="S862" i="1"/>
  <c r="T862" i="1" s="1"/>
  <c r="S863" i="1"/>
  <c r="T863" i="1" s="1"/>
  <c r="S864" i="1"/>
  <c r="T864" i="1" s="1"/>
  <c r="S865" i="1"/>
  <c r="T865" i="1" s="1"/>
  <c r="S866" i="1"/>
  <c r="T866" i="1" s="1"/>
  <c r="S867" i="1"/>
  <c r="T867" i="1" s="1"/>
  <c r="S868" i="1"/>
  <c r="T868" i="1" s="1"/>
  <c r="S869" i="1"/>
  <c r="T869" i="1" s="1"/>
  <c r="S870" i="1"/>
  <c r="T870" i="1" s="1"/>
  <c r="S871" i="1"/>
  <c r="T871" i="1" s="1"/>
  <c r="S872" i="1"/>
  <c r="T872" i="1" s="1"/>
  <c r="S873" i="1"/>
  <c r="T873" i="1" s="1"/>
  <c r="S874" i="1"/>
  <c r="T874" i="1" s="1"/>
  <c r="S875" i="1"/>
  <c r="T875" i="1" s="1"/>
  <c r="S876" i="1"/>
  <c r="T876" i="1" s="1"/>
  <c r="S877" i="1"/>
  <c r="T877" i="1" s="1"/>
  <c r="S878" i="1"/>
  <c r="T878" i="1" s="1"/>
  <c r="S879" i="1"/>
  <c r="T879" i="1" s="1"/>
  <c r="S880" i="1"/>
  <c r="T880" i="1" s="1"/>
  <c r="S881" i="1"/>
  <c r="T881" i="1" s="1"/>
  <c r="S882" i="1"/>
  <c r="T882" i="1" s="1"/>
  <c r="S883" i="1"/>
  <c r="T883" i="1" s="1"/>
  <c r="S884" i="1"/>
  <c r="T884" i="1" s="1"/>
  <c r="S885" i="1"/>
  <c r="T885" i="1" s="1"/>
  <c r="S886" i="1"/>
  <c r="T886" i="1" s="1"/>
  <c r="S887" i="1"/>
  <c r="T887" i="1" s="1"/>
  <c r="S888" i="1"/>
  <c r="T888" i="1" s="1"/>
  <c r="S889" i="1"/>
  <c r="T889" i="1" s="1"/>
  <c r="S890" i="1"/>
  <c r="T890" i="1" s="1"/>
  <c r="S891" i="1"/>
  <c r="T891" i="1" s="1"/>
  <c r="S892" i="1"/>
  <c r="T892" i="1" s="1"/>
  <c r="S893" i="1"/>
  <c r="T893" i="1" s="1"/>
  <c r="S894" i="1"/>
  <c r="T894" i="1" s="1"/>
  <c r="S895" i="1"/>
  <c r="T895" i="1" s="1"/>
  <c r="S896" i="1"/>
  <c r="T896" i="1" s="1"/>
  <c r="S897" i="1"/>
  <c r="T897" i="1" s="1"/>
  <c r="S898" i="1"/>
  <c r="T898" i="1" s="1"/>
  <c r="S899" i="1"/>
  <c r="T899" i="1" s="1"/>
  <c r="S900" i="1"/>
  <c r="T900" i="1" s="1"/>
  <c r="S901" i="1"/>
  <c r="T901" i="1" s="1"/>
  <c r="S902" i="1"/>
  <c r="T902" i="1" s="1"/>
  <c r="S903" i="1"/>
  <c r="T903" i="1" s="1"/>
  <c r="S904" i="1"/>
  <c r="T904" i="1" s="1"/>
  <c r="S905" i="1"/>
  <c r="T905" i="1" s="1"/>
  <c r="S906" i="1"/>
  <c r="T906" i="1" s="1"/>
  <c r="S907" i="1"/>
  <c r="T907" i="1" s="1"/>
  <c r="S908" i="1"/>
  <c r="T908" i="1" s="1"/>
  <c r="S909" i="1"/>
  <c r="T909" i="1" s="1"/>
  <c r="S910" i="1"/>
  <c r="T910" i="1" s="1"/>
  <c r="S911" i="1"/>
  <c r="T911" i="1" s="1"/>
  <c r="S912" i="1"/>
  <c r="T912" i="1" s="1"/>
  <c r="S913" i="1"/>
  <c r="T913" i="1" s="1"/>
  <c r="S914" i="1"/>
  <c r="T914" i="1" s="1"/>
  <c r="S915" i="1"/>
  <c r="T915" i="1" s="1"/>
  <c r="S916" i="1"/>
  <c r="T916" i="1" s="1"/>
  <c r="S917" i="1"/>
  <c r="T917" i="1" s="1"/>
  <c r="S918" i="1"/>
  <c r="T918" i="1" s="1"/>
  <c r="S919" i="1"/>
  <c r="T919" i="1" s="1"/>
  <c r="S920" i="1"/>
  <c r="T920" i="1" s="1"/>
  <c r="S921" i="1"/>
  <c r="T921" i="1" s="1"/>
  <c r="S922" i="1"/>
  <c r="T922" i="1" s="1"/>
  <c r="S923" i="1"/>
  <c r="T923" i="1" s="1"/>
  <c r="S924" i="1"/>
  <c r="T924" i="1" s="1"/>
  <c r="S925" i="1"/>
  <c r="T925" i="1" s="1"/>
  <c r="S926" i="1"/>
  <c r="T926" i="1" s="1"/>
  <c r="S927" i="1"/>
  <c r="T927" i="1" s="1"/>
  <c r="S928" i="1"/>
  <c r="T928" i="1" s="1"/>
  <c r="S929" i="1"/>
  <c r="T929" i="1" s="1"/>
  <c r="S930" i="1"/>
  <c r="T930" i="1" s="1"/>
  <c r="S931" i="1"/>
  <c r="T931" i="1" s="1"/>
  <c r="S932" i="1"/>
  <c r="T932" i="1" s="1"/>
  <c r="S933" i="1"/>
  <c r="T933" i="1" s="1"/>
  <c r="S934" i="1"/>
  <c r="T934" i="1" s="1"/>
  <c r="S935" i="1"/>
  <c r="T935" i="1" s="1"/>
  <c r="S936" i="1"/>
  <c r="T936" i="1" s="1"/>
  <c r="S937" i="1"/>
  <c r="T937" i="1" s="1"/>
  <c r="S938" i="1"/>
  <c r="T938" i="1" s="1"/>
  <c r="S939" i="1"/>
  <c r="T939" i="1" s="1"/>
  <c r="S940" i="1"/>
  <c r="T940" i="1" s="1"/>
  <c r="S941" i="1"/>
  <c r="T941" i="1" s="1"/>
  <c r="S942" i="1"/>
  <c r="T942" i="1" s="1"/>
  <c r="S943" i="1"/>
  <c r="T943" i="1" s="1"/>
  <c r="S944" i="1"/>
  <c r="T944" i="1" s="1"/>
  <c r="S945" i="1"/>
  <c r="T945" i="1" s="1"/>
  <c r="S946" i="1"/>
  <c r="T946" i="1" s="1"/>
  <c r="S947" i="1"/>
  <c r="T947" i="1" s="1"/>
  <c r="S948" i="1"/>
  <c r="T948" i="1" s="1"/>
  <c r="S949" i="1"/>
  <c r="T949" i="1" s="1"/>
  <c r="S950" i="1"/>
  <c r="T950" i="1" s="1"/>
  <c r="S951" i="1"/>
  <c r="T951" i="1" s="1"/>
  <c r="S952" i="1"/>
  <c r="T952" i="1" s="1"/>
  <c r="S953" i="1"/>
  <c r="T953" i="1" s="1"/>
  <c r="S954" i="1"/>
  <c r="T954" i="1" s="1"/>
  <c r="S955" i="1"/>
  <c r="T955" i="1" s="1"/>
  <c r="S956" i="1"/>
  <c r="T956" i="1" s="1"/>
  <c r="S957" i="1"/>
  <c r="T957" i="1" s="1"/>
  <c r="S958" i="1"/>
  <c r="T958" i="1" s="1"/>
  <c r="S959" i="1"/>
  <c r="T959" i="1" s="1"/>
  <c r="S960" i="1"/>
  <c r="T960" i="1" s="1"/>
  <c r="S961" i="1"/>
  <c r="T961" i="1" s="1"/>
  <c r="S962" i="1"/>
  <c r="T962" i="1" s="1"/>
  <c r="S963" i="1"/>
  <c r="T963" i="1" s="1"/>
  <c r="S964" i="1"/>
  <c r="T964" i="1" s="1"/>
  <c r="S965" i="1"/>
  <c r="T965" i="1" s="1"/>
  <c r="S966" i="1"/>
  <c r="T966" i="1" s="1"/>
  <c r="S967" i="1"/>
  <c r="T967" i="1" s="1"/>
  <c r="S968" i="1"/>
  <c r="T968" i="1" s="1"/>
  <c r="S969" i="1"/>
  <c r="T969" i="1" s="1"/>
  <c r="S970" i="1"/>
  <c r="T970" i="1" s="1"/>
  <c r="S971" i="1"/>
  <c r="T971" i="1" s="1"/>
  <c r="S972" i="1"/>
  <c r="T972" i="1" s="1"/>
  <c r="S973" i="1"/>
  <c r="T973" i="1" s="1"/>
  <c r="S974" i="1"/>
  <c r="T974" i="1" s="1"/>
  <c r="S975" i="1"/>
  <c r="T975" i="1" s="1"/>
  <c r="S976" i="1"/>
  <c r="T976" i="1" s="1"/>
  <c r="S977" i="1"/>
  <c r="T977" i="1" s="1"/>
  <c r="S978" i="1"/>
  <c r="T978" i="1" s="1"/>
  <c r="S979" i="1"/>
  <c r="T979" i="1" s="1"/>
  <c r="S980" i="1"/>
  <c r="T980" i="1" s="1"/>
  <c r="S981" i="1"/>
  <c r="T981" i="1" s="1"/>
  <c r="S982" i="1"/>
  <c r="T982" i="1" s="1"/>
  <c r="S983" i="1"/>
  <c r="T983" i="1" s="1"/>
  <c r="S984" i="1"/>
  <c r="T984" i="1" s="1"/>
  <c r="S985" i="1"/>
  <c r="T985" i="1" s="1"/>
  <c r="S986" i="1"/>
  <c r="T986" i="1" s="1"/>
  <c r="S987" i="1"/>
  <c r="T987" i="1" s="1"/>
  <c r="S988" i="1"/>
  <c r="T988" i="1" s="1"/>
  <c r="S989" i="1"/>
  <c r="T989" i="1" s="1"/>
  <c r="S990" i="1"/>
  <c r="T990" i="1" s="1"/>
  <c r="S991" i="1"/>
  <c r="T991" i="1" s="1"/>
  <c r="S992" i="1"/>
  <c r="T992" i="1" s="1"/>
  <c r="S993" i="1"/>
  <c r="T993" i="1" s="1"/>
  <c r="S994" i="1"/>
  <c r="T994" i="1" s="1"/>
  <c r="S995" i="1"/>
  <c r="T995" i="1" s="1"/>
  <c r="S996" i="1"/>
  <c r="T996" i="1" s="1"/>
  <c r="S997" i="1"/>
  <c r="T997" i="1" s="1"/>
  <c r="S998" i="1"/>
  <c r="T998" i="1" s="1"/>
  <c r="S999" i="1"/>
  <c r="T999" i="1" s="1"/>
  <c r="S1000" i="1"/>
  <c r="T1000" i="1" s="1"/>
  <c r="S1001" i="1"/>
  <c r="T1001" i="1" s="1"/>
  <c r="S1002" i="1"/>
  <c r="T1002" i="1" s="1"/>
  <c r="S1003" i="1"/>
  <c r="T1003" i="1" s="1"/>
  <c r="S1004" i="1"/>
  <c r="T1004" i="1" s="1"/>
  <c r="S1005" i="1"/>
  <c r="T1005" i="1" s="1"/>
  <c r="S1006" i="1"/>
  <c r="T1006" i="1" s="1"/>
  <c r="S1007" i="1"/>
  <c r="T1007" i="1" s="1"/>
  <c r="S1008" i="1"/>
  <c r="T1008" i="1" s="1"/>
  <c r="S1009" i="1"/>
  <c r="T1009" i="1" s="1"/>
  <c r="S1010" i="1"/>
  <c r="T1010" i="1" s="1"/>
  <c r="S1011" i="1"/>
  <c r="T1011" i="1" s="1"/>
  <c r="S1012" i="1"/>
  <c r="T1012" i="1" s="1"/>
  <c r="S1013" i="1"/>
  <c r="T1013" i="1" s="1"/>
  <c r="S1014" i="1"/>
  <c r="T1014" i="1" s="1"/>
  <c r="S1015" i="1"/>
  <c r="T1015" i="1" s="1"/>
  <c r="S1016" i="1"/>
  <c r="T1016" i="1" s="1"/>
  <c r="S1017" i="1"/>
  <c r="T1017" i="1" s="1"/>
  <c r="S1018" i="1"/>
  <c r="T1018" i="1" s="1"/>
  <c r="S1019" i="1"/>
  <c r="T1019" i="1" s="1"/>
  <c r="S1020" i="1"/>
  <c r="T1020" i="1" s="1"/>
  <c r="S1021" i="1"/>
  <c r="T1021" i="1" s="1"/>
  <c r="S1022" i="1"/>
  <c r="T1022" i="1" s="1"/>
  <c r="S1023" i="1"/>
  <c r="T1023" i="1" s="1"/>
  <c r="S1024" i="1"/>
  <c r="T1024" i="1" s="1"/>
  <c r="S1025" i="1"/>
  <c r="T1025" i="1" s="1"/>
  <c r="S1026" i="1"/>
  <c r="T1026" i="1" s="1"/>
  <c r="S1027" i="1"/>
  <c r="T1027" i="1" s="1"/>
  <c r="S1028" i="1"/>
  <c r="T1028" i="1" s="1"/>
  <c r="S1029" i="1"/>
  <c r="T1029" i="1" s="1"/>
  <c r="S1030" i="1"/>
  <c r="T1030" i="1" s="1"/>
  <c r="S1031" i="1"/>
  <c r="T1031" i="1" s="1"/>
  <c r="S1032" i="1"/>
  <c r="T1032" i="1" s="1"/>
  <c r="S1033" i="1"/>
  <c r="T1033" i="1" s="1"/>
  <c r="S1034" i="1"/>
  <c r="T1034" i="1" s="1"/>
  <c r="S1035" i="1"/>
  <c r="T1035" i="1" s="1"/>
  <c r="S1036" i="1"/>
  <c r="T1036" i="1" s="1"/>
  <c r="S1037" i="1"/>
  <c r="T1037" i="1" s="1"/>
  <c r="S1038" i="1"/>
  <c r="T1038" i="1" s="1"/>
  <c r="S1039" i="1"/>
  <c r="T1039" i="1" s="1"/>
  <c r="S1040" i="1"/>
  <c r="T1040" i="1" s="1"/>
  <c r="S1041" i="1"/>
  <c r="T1041" i="1" s="1"/>
  <c r="S1042" i="1"/>
  <c r="T1042" i="1" s="1"/>
  <c r="S1043" i="1"/>
  <c r="T1043" i="1" s="1"/>
  <c r="S1044" i="1"/>
  <c r="T1044" i="1" s="1"/>
  <c r="S1045" i="1"/>
  <c r="T1045" i="1" s="1"/>
  <c r="S1046" i="1"/>
  <c r="T1046" i="1" s="1"/>
  <c r="S1047" i="1"/>
  <c r="T1047" i="1" s="1"/>
  <c r="S1048" i="1"/>
  <c r="T1048" i="1" s="1"/>
  <c r="S1049" i="1"/>
  <c r="T1049" i="1" s="1"/>
  <c r="S1050" i="1"/>
  <c r="T1050" i="1" s="1"/>
  <c r="S1051" i="1"/>
  <c r="T1051" i="1" s="1"/>
  <c r="S1052" i="1"/>
  <c r="T1052" i="1" s="1"/>
  <c r="S1053" i="1"/>
  <c r="T1053" i="1" s="1"/>
  <c r="S1054" i="1"/>
  <c r="T1054" i="1" s="1"/>
  <c r="S1055" i="1"/>
  <c r="T1055" i="1" s="1"/>
  <c r="S1056" i="1"/>
  <c r="T1056" i="1" s="1"/>
  <c r="S1057" i="1"/>
  <c r="T1057" i="1" s="1"/>
  <c r="S1058" i="1"/>
  <c r="T1058" i="1" s="1"/>
  <c r="S1059" i="1"/>
  <c r="T1059" i="1" s="1"/>
  <c r="S1060" i="1"/>
  <c r="T1060" i="1" s="1"/>
  <c r="S1061" i="1"/>
  <c r="T1061" i="1" s="1"/>
  <c r="S1062" i="1"/>
  <c r="T1062" i="1" s="1"/>
  <c r="S1063" i="1"/>
  <c r="T1063" i="1" s="1"/>
  <c r="S1064" i="1"/>
  <c r="T1064" i="1" s="1"/>
  <c r="S1065" i="1"/>
  <c r="T1065" i="1" s="1"/>
  <c r="S1066" i="1"/>
  <c r="T1066" i="1" s="1"/>
  <c r="S1067" i="1"/>
  <c r="T1067" i="1" s="1"/>
  <c r="S1068" i="1"/>
  <c r="T1068" i="1" s="1"/>
  <c r="S1069" i="1"/>
  <c r="T1069" i="1" s="1"/>
  <c r="S1070" i="1"/>
  <c r="T1070" i="1" s="1"/>
  <c r="S1071" i="1"/>
  <c r="T1071" i="1" s="1"/>
  <c r="S1072" i="1"/>
  <c r="T1072" i="1" s="1"/>
  <c r="S1073" i="1"/>
  <c r="T1073" i="1" s="1"/>
  <c r="S1074" i="1"/>
  <c r="T1074" i="1" s="1"/>
  <c r="S1075" i="1"/>
  <c r="T1075" i="1" s="1"/>
  <c r="S1076" i="1"/>
  <c r="T1076" i="1" s="1"/>
  <c r="S1077" i="1"/>
  <c r="T1077" i="1" s="1"/>
  <c r="S1078" i="1"/>
  <c r="T1078" i="1" s="1"/>
  <c r="S1079" i="1"/>
  <c r="T1079" i="1" s="1"/>
  <c r="S1080" i="1"/>
  <c r="T1080" i="1" s="1"/>
  <c r="S1081" i="1"/>
  <c r="T1081" i="1" s="1"/>
  <c r="S1082" i="1"/>
  <c r="T1082" i="1" s="1"/>
  <c r="S1083" i="1"/>
  <c r="T1083" i="1" s="1"/>
  <c r="S1084" i="1"/>
  <c r="T1084" i="1" s="1"/>
  <c r="S1085" i="1"/>
  <c r="T1085" i="1" s="1"/>
  <c r="S1086" i="1"/>
  <c r="T1086" i="1" s="1"/>
  <c r="S1087" i="1"/>
  <c r="T1087" i="1" s="1"/>
  <c r="S1088" i="1"/>
  <c r="T1088" i="1" s="1"/>
  <c r="S1089" i="1"/>
  <c r="T1089" i="1" s="1"/>
  <c r="S1090" i="1"/>
  <c r="T1090" i="1" s="1"/>
  <c r="S1091" i="1"/>
  <c r="T1091" i="1" s="1"/>
  <c r="S1092" i="1"/>
  <c r="T1092" i="1" s="1"/>
  <c r="S1093" i="1"/>
  <c r="T1093" i="1" s="1"/>
  <c r="S1094" i="1"/>
  <c r="T1094" i="1" s="1"/>
  <c r="S1095" i="1"/>
  <c r="T1095" i="1" s="1"/>
  <c r="S1096" i="1"/>
  <c r="T1096" i="1" s="1"/>
  <c r="S1097" i="1"/>
  <c r="T1097" i="1" s="1"/>
  <c r="S1098" i="1"/>
  <c r="T1098" i="1" s="1"/>
  <c r="S1099" i="1"/>
  <c r="T1099" i="1" s="1"/>
  <c r="S1100" i="1"/>
  <c r="T1100" i="1" s="1"/>
  <c r="S1101" i="1"/>
  <c r="T1101" i="1" s="1"/>
  <c r="S1102" i="1"/>
  <c r="T1102" i="1" s="1"/>
  <c r="S1103" i="1"/>
  <c r="T1103" i="1" s="1"/>
  <c r="S1104" i="1"/>
  <c r="T1104" i="1" s="1"/>
  <c r="S1105" i="1"/>
  <c r="T1105" i="1" s="1"/>
  <c r="S1106" i="1"/>
  <c r="T1106" i="1" s="1"/>
  <c r="S1107" i="1"/>
  <c r="T1107" i="1" s="1"/>
  <c r="S1108" i="1"/>
  <c r="T1108" i="1" s="1"/>
  <c r="S1109" i="1"/>
  <c r="T1109" i="1" s="1"/>
  <c r="S1110" i="1"/>
  <c r="T1110" i="1" s="1"/>
  <c r="S1111" i="1"/>
  <c r="T1111" i="1" s="1"/>
  <c r="S1112" i="1"/>
  <c r="T1112" i="1" s="1"/>
  <c r="S1113" i="1"/>
  <c r="T1113" i="1" s="1"/>
  <c r="S1114" i="1"/>
  <c r="T1114" i="1" s="1"/>
  <c r="S1115" i="1"/>
  <c r="T1115" i="1" s="1"/>
  <c r="S1116" i="1"/>
  <c r="T1116" i="1" s="1"/>
  <c r="S1117" i="1"/>
  <c r="T1117" i="1" s="1"/>
  <c r="S1118" i="1"/>
  <c r="T1118" i="1" s="1"/>
  <c r="S1119" i="1"/>
  <c r="T1119" i="1" s="1"/>
  <c r="S1120" i="1"/>
  <c r="T1120" i="1" s="1"/>
  <c r="S1121" i="1"/>
  <c r="T1121" i="1" s="1"/>
  <c r="S1122" i="1"/>
  <c r="T1122" i="1" s="1"/>
  <c r="S1123" i="1"/>
  <c r="T1123" i="1" s="1"/>
  <c r="S1124" i="1"/>
  <c r="T1124" i="1" s="1"/>
  <c r="S1125" i="1"/>
  <c r="T1125" i="1" s="1"/>
  <c r="S1126" i="1"/>
  <c r="T1126" i="1" s="1"/>
  <c r="S1127" i="1"/>
  <c r="T1127" i="1" s="1"/>
  <c r="S1128" i="1"/>
  <c r="T1128" i="1" s="1"/>
  <c r="S1129" i="1"/>
  <c r="T1129" i="1" s="1"/>
  <c r="S1130" i="1"/>
  <c r="T1130" i="1" s="1"/>
  <c r="S1131" i="1"/>
  <c r="T1131" i="1" s="1"/>
  <c r="S1132" i="1"/>
  <c r="T1132" i="1" s="1"/>
  <c r="S1133" i="1"/>
  <c r="T1133" i="1" s="1"/>
  <c r="S1134" i="1"/>
  <c r="T1134" i="1" s="1"/>
  <c r="S1135" i="1"/>
  <c r="T1135" i="1" s="1"/>
  <c r="S1136" i="1"/>
  <c r="T1136" i="1" s="1"/>
  <c r="S1137" i="1"/>
  <c r="T1137" i="1" s="1"/>
  <c r="S1138" i="1"/>
  <c r="T1138" i="1" s="1"/>
  <c r="S1139" i="1"/>
  <c r="T1139" i="1" s="1"/>
  <c r="S1140" i="1"/>
  <c r="T1140" i="1" s="1"/>
  <c r="S1141" i="1"/>
  <c r="T1141" i="1" s="1"/>
  <c r="S1142" i="1"/>
  <c r="T1142" i="1" s="1"/>
  <c r="S1143" i="1"/>
  <c r="T1143" i="1" s="1"/>
  <c r="S1144" i="1"/>
  <c r="T1144" i="1" s="1"/>
  <c r="S1145" i="1"/>
  <c r="T1145" i="1" s="1"/>
  <c r="S1146" i="1"/>
  <c r="T1146" i="1" s="1"/>
  <c r="S1147" i="1"/>
  <c r="T1147" i="1" s="1"/>
  <c r="S1148" i="1"/>
  <c r="T1148" i="1" s="1"/>
  <c r="S1149" i="1"/>
  <c r="T1149" i="1" s="1"/>
  <c r="S1150" i="1"/>
  <c r="T1150" i="1" s="1"/>
  <c r="S1151" i="1"/>
  <c r="T1151" i="1" s="1"/>
  <c r="S1152" i="1"/>
  <c r="T1152" i="1" s="1"/>
  <c r="S1153" i="1"/>
  <c r="T1153" i="1" s="1"/>
  <c r="S1154" i="1"/>
  <c r="T1154" i="1" s="1"/>
  <c r="S1155" i="1"/>
  <c r="T1155" i="1" s="1"/>
  <c r="S1156" i="1"/>
  <c r="T1156" i="1" s="1"/>
  <c r="S1157" i="1"/>
  <c r="T1157" i="1" s="1"/>
  <c r="S1158" i="1"/>
  <c r="T1158" i="1" s="1"/>
  <c r="S1159" i="1"/>
  <c r="T1159" i="1" s="1"/>
  <c r="S1160" i="1"/>
  <c r="T1160" i="1" s="1"/>
  <c r="S1161" i="1"/>
  <c r="T1161" i="1" s="1"/>
  <c r="S1162" i="1"/>
  <c r="T1162" i="1" s="1"/>
  <c r="S1163" i="1"/>
  <c r="T1163" i="1" s="1"/>
  <c r="S1164" i="1"/>
  <c r="T1164" i="1" s="1"/>
  <c r="S1165" i="1"/>
  <c r="T1165" i="1" s="1"/>
  <c r="S1166" i="1"/>
  <c r="T1166" i="1" s="1"/>
  <c r="S1167" i="1"/>
  <c r="T1167" i="1" s="1"/>
  <c r="S1168" i="1"/>
  <c r="T1168" i="1" s="1"/>
  <c r="S1169" i="1"/>
  <c r="T1169" i="1" s="1"/>
  <c r="S1170" i="1"/>
  <c r="T1170" i="1" s="1"/>
  <c r="S1171" i="1"/>
  <c r="T1171" i="1" s="1"/>
  <c r="S1172" i="1"/>
  <c r="T1172" i="1" s="1"/>
  <c r="S1173" i="1"/>
  <c r="T1173" i="1" s="1"/>
  <c r="S1174" i="1"/>
  <c r="T1174" i="1" s="1"/>
  <c r="S1175" i="1"/>
  <c r="T1175" i="1" s="1"/>
  <c r="S1176" i="1"/>
  <c r="T1176" i="1" s="1"/>
  <c r="S1177" i="1"/>
  <c r="T1177" i="1" s="1"/>
  <c r="S1178" i="1"/>
  <c r="T1178" i="1" s="1"/>
  <c r="S1179" i="1"/>
  <c r="T1179" i="1" s="1"/>
  <c r="S1180" i="1"/>
  <c r="T1180" i="1" s="1"/>
  <c r="S1181" i="1"/>
  <c r="T1181" i="1" s="1"/>
  <c r="S1182" i="1"/>
  <c r="T1182" i="1" s="1"/>
  <c r="S1183" i="1"/>
  <c r="T1183" i="1" s="1"/>
  <c r="S1184" i="1"/>
  <c r="T1184" i="1" s="1"/>
  <c r="S1185" i="1"/>
  <c r="T1185" i="1" s="1"/>
  <c r="S1186" i="1"/>
  <c r="T1186" i="1" s="1"/>
  <c r="S1187" i="1"/>
  <c r="T1187" i="1" s="1"/>
  <c r="S1188" i="1"/>
  <c r="T1188" i="1" s="1"/>
  <c r="S1189" i="1"/>
  <c r="T1189" i="1" s="1"/>
  <c r="S1190" i="1"/>
  <c r="T1190" i="1" s="1"/>
  <c r="S1191" i="1"/>
  <c r="T1191" i="1" s="1"/>
  <c r="S1192" i="1"/>
  <c r="T1192" i="1" s="1"/>
  <c r="S1193" i="1"/>
  <c r="T1193" i="1" s="1"/>
  <c r="S1194" i="1"/>
  <c r="T1194" i="1" s="1"/>
  <c r="S1195" i="1"/>
  <c r="T1195" i="1" s="1"/>
  <c r="S1196" i="1"/>
  <c r="T1196" i="1" s="1"/>
  <c r="S1197" i="1"/>
  <c r="T1197" i="1" s="1"/>
  <c r="S1198" i="1"/>
  <c r="T1198" i="1" s="1"/>
  <c r="S1199" i="1"/>
  <c r="T1199" i="1" s="1"/>
  <c r="S1200" i="1"/>
  <c r="T1200" i="1" s="1"/>
  <c r="S1201" i="1"/>
  <c r="T1201" i="1" s="1"/>
  <c r="S1202" i="1"/>
  <c r="T1202" i="1" s="1"/>
  <c r="S1203" i="1"/>
  <c r="T1203" i="1" s="1"/>
  <c r="S1204" i="1"/>
  <c r="T1204" i="1" s="1"/>
  <c r="S1205" i="1"/>
  <c r="T1205" i="1" s="1"/>
  <c r="S1206" i="1"/>
  <c r="T1206" i="1" s="1"/>
  <c r="S1207" i="1"/>
  <c r="T1207" i="1" s="1"/>
  <c r="S1208" i="1"/>
  <c r="T1208" i="1" s="1"/>
  <c r="S1209" i="1"/>
  <c r="T1209" i="1" s="1"/>
  <c r="S1210" i="1"/>
  <c r="T1210" i="1" s="1"/>
  <c r="S1211" i="1"/>
  <c r="T1211" i="1" s="1"/>
  <c r="S1212" i="1"/>
  <c r="T1212" i="1" s="1"/>
  <c r="S1213" i="1"/>
  <c r="T1213" i="1" s="1"/>
  <c r="S1214" i="1"/>
  <c r="T1214" i="1" s="1"/>
  <c r="S1215" i="1"/>
  <c r="T1215" i="1" s="1"/>
  <c r="S1216" i="1"/>
  <c r="T1216" i="1" s="1"/>
  <c r="S1217" i="1"/>
  <c r="T1217" i="1" s="1"/>
  <c r="S1218" i="1"/>
  <c r="T1218" i="1" s="1"/>
  <c r="S1219" i="1"/>
  <c r="T1219" i="1" s="1"/>
  <c r="S1220" i="1"/>
  <c r="T1220" i="1" s="1"/>
  <c r="S1221" i="1"/>
  <c r="T1221" i="1" s="1"/>
  <c r="S1222" i="1"/>
  <c r="T1222" i="1" s="1"/>
  <c r="S1223" i="1"/>
  <c r="T1223" i="1" s="1"/>
  <c r="S1224" i="1"/>
  <c r="T1224" i="1" s="1"/>
  <c r="S1225" i="1"/>
  <c r="T1225" i="1" s="1"/>
  <c r="S1226" i="1"/>
  <c r="T1226" i="1" s="1"/>
  <c r="S1227" i="1"/>
  <c r="T1227" i="1" s="1"/>
  <c r="S1228" i="1"/>
  <c r="T1228" i="1" s="1"/>
  <c r="S1229" i="1"/>
  <c r="T1229" i="1" s="1"/>
  <c r="S1230" i="1"/>
  <c r="T1230" i="1" s="1"/>
  <c r="S1231" i="1"/>
  <c r="T1231" i="1" s="1"/>
  <c r="S1232" i="1"/>
  <c r="T1232" i="1" s="1"/>
  <c r="S1233" i="1"/>
  <c r="T1233" i="1" s="1"/>
  <c r="S1234" i="1"/>
  <c r="T1234" i="1" s="1"/>
  <c r="S1235" i="1"/>
  <c r="T1235" i="1" s="1"/>
  <c r="S1236" i="1"/>
  <c r="T1236" i="1" s="1"/>
  <c r="S1237" i="1"/>
  <c r="T1237" i="1" s="1"/>
  <c r="S1238" i="1"/>
  <c r="T1238" i="1" s="1"/>
  <c r="S1239" i="1"/>
  <c r="T1239" i="1" s="1"/>
  <c r="S1240" i="1"/>
  <c r="T1240" i="1" s="1"/>
  <c r="S1241" i="1"/>
  <c r="T1241" i="1" s="1"/>
  <c r="S1242" i="1"/>
  <c r="T1242" i="1" s="1"/>
  <c r="S1243" i="1"/>
  <c r="T1243" i="1" s="1"/>
  <c r="S1244" i="1"/>
  <c r="T1244" i="1" s="1"/>
  <c r="S1245" i="1"/>
  <c r="T1245" i="1" s="1"/>
  <c r="S1246" i="1"/>
  <c r="T1246" i="1" s="1"/>
  <c r="S1247" i="1"/>
  <c r="T1247" i="1" s="1"/>
  <c r="S1248" i="1"/>
  <c r="T1248" i="1" s="1"/>
  <c r="S1249" i="1"/>
  <c r="T1249" i="1" s="1"/>
  <c r="S1250" i="1"/>
  <c r="T1250" i="1" s="1"/>
  <c r="S1251" i="1"/>
  <c r="T1251" i="1" s="1"/>
  <c r="S1252" i="1"/>
  <c r="T1252" i="1" s="1"/>
  <c r="S1253" i="1"/>
  <c r="T1253" i="1" s="1"/>
  <c r="S1254" i="1"/>
  <c r="T1254" i="1" s="1"/>
  <c r="S1255" i="1"/>
  <c r="T1255" i="1" s="1"/>
  <c r="S1256" i="1"/>
  <c r="T1256" i="1" s="1"/>
  <c r="S1257" i="1"/>
  <c r="T1257" i="1" s="1"/>
  <c r="S1258" i="1"/>
  <c r="T1258" i="1" s="1"/>
  <c r="S1259" i="1"/>
  <c r="T1259" i="1" s="1"/>
  <c r="S1260" i="1"/>
  <c r="T1260" i="1" s="1"/>
  <c r="S1261" i="1"/>
  <c r="T1261" i="1" s="1"/>
  <c r="S1262" i="1"/>
  <c r="T1262" i="1" s="1"/>
  <c r="S1263" i="1"/>
  <c r="T1263" i="1" s="1"/>
  <c r="S1264" i="1"/>
  <c r="T1264" i="1" s="1"/>
  <c r="S1265" i="1"/>
  <c r="T1265" i="1" s="1"/>
  <c r="S1266" i="1"/>
  <c r="T1266" i="1" s="1"/>
  <c r="S1267" i="1"/>
  <c r="T1267" i="1" s="1"/>
  <c r="S1268" i="1"/>
  <c r="T1268" i="1" s="1"/>
  <c r="S1269" i="1"/>
  <c r="T1269" i="1" s="1"/>
  <c r="S1270" i="1"/>
  <c r="T1270" i="1" s="1"/>
  <c r="S1271" i="1"/>
  <c r="T1271" i="1" s="1"/>
  <c r="S1272" i="1"/>
  <c r="T1272" i="1" s="1"/>
  <c r="S1273" i="1"/>
  <c r="T1273" i="1" s="1"/>
  <c r="S1274" i="1"/>
  <c r="T1274" i="1" s="1"/>
  <c r="S1275" i="1"/>
  <c r="T1275" i="1" s="1"/>
  <c r="S1276" i="1"/>
  <c r="T1276" i="1" s="1"/>
  <c r="S1277" i="1"/>
  <c r="T1277" i="1" s="1"/>
  <c r="S1278" i="1"/>
  <c r="T1278" i="1" s="1"/>
  <c r="S1279" i="1"/>
  <c r="T1279" i="1" s="1"/>
  <c r="S1280" i="1"/>
  <c r="T1280" i="1" s="1"/>
  <c r="S1281" i="1"/>
  <c r="T1281" i="1" s="1"/>
  <c r="S1282" i="1"/>
  <c r="T1282" i="1" s="1"/>
  <c r="S1283" i="1"/>
  <c r="T1283" i="1" s="1"/>
  <c r="S1284" i="1"/>
  <c r="T1284" i="1" s="1"/>
  <c r="S1285" i="1"/>
  <c r="T1285" i="1" s="1"/>
  <c r="S1286" i="1"/>
  <c r="T1286" i="1" s="1"/>
  <c r="S1287" i="1"/>
  <c r="T1287" i="1" s="1"/>
  <c r="S1288" i="1"/>
  <c r="T1288" i="1" s="1"/>
  <c r="S1289" i="1"/>
  <c r="T1289" i="1" s="1"/>
  <c r="S1290" i="1"/>
  <c r="T1290" i="1" s="1"/>
  <c r="S1291" i="1"/>
  <c r="T1291" i="1" s="1"/>
  <c r="S1292" i="1"/>
  <c r="T1292" i="1" s="1"/>
  <c r="S1293" i="1"/>
  <c r="T1293" i="1" s="1"/>
  <c r="S1294" i="1"/>
  <c r="T1294" i="1" s="1"/>
  <c r="S1295" i="1"/>
  <c r="T1295" i="1" s="1"/>
  <c r="S1296" i="1"/>
  <c r="T1296" i="1" s="1"/>
  <c r="S1297" i="1"/>
  <c r="T1297" i="1" s="1"/>
  <c r="S1298" i="1"/>
  <c r="T1298" i="1" s="1"/>
  <c r="S1299" i="1"/>
  <c r="T1299" i="1" s="1"/>
  <c r="S1300" i="1"/>
  <c r="T1300" i="1" s="1"/>
  <c r="S1301" i="1"/>
  <c r="T1301" i="1" s="1"/>
  <c r="S1302" i="1"/>
  <c r="T1302" i="1" s="1"/>
  <c r="S1303" i="1"/>
  <c r="T1303" i="1" s="1"/>
  <c r="S1304" i="1"/>
  <c r="T1304" i="1" s="1"/>
  <c r="S1305" i="1"/>
  <c r="T1305" i="1" s="1"/>
  <c r="S1306" i="1"/>
  <c r="T1306" i="1" s="1"/>
  <c r="S1307" i="1"/>
  <c r="T1307" i="1" s="1"/>
  <c r="S1308" i="1"/>
  <c r="T1308" i="1" s="1"/>
  <c r="S1309" i="1"/>
  <c r="T1309" i="1" s="1"/>
  <c r="S1310" i="1"/>
  <c r="T1310" i="1" s="1"/>
  <c r="S1311" i="1"/>
  <c r="T1311" i="1" s="1"/>
  <c r="S1312" i="1"/>
  <c r="T1312" i="1" s="1"/>
  <c r="S1313" i="1"/>
  <c r="T1313" i="1" s="1"/>
  <c r="S1314" i="1"/>
  <c r="T1314" i="1" s="1"/>
  <c r="S1315" i="1"/>
  <c r="T1315" i="1" s="1"/>
  <c r="S1316" i="1"/>
  <c r="T1316" i="1" s="1"/>
  <c r="S1317" i="1"/>
  <c r="T1317" i="1" s="1"/>
  <c r="S1318" i="1"/>
  <c r="T1318" i="1" s="1"/>
  <c r="S1319" i="1"/>
  <c r="T1319" i="1" s="1"/>
  <c r="S1320" i="1"/>
  <c r="T1320" i="1" s="1"/>
  <c r="S1321" i="1"/>
  <c r="T1321" i="1" s="1"/>
  <c r="S1322" i="1"/>
  <c r="T1322" i="1" s="1"/>
  <c r="S1323" i="1"/>
  <c r="T1323" i="1" s="1"/>
  <c r="S1324" i="1"/>
  <c r="T1324" i="1" s="1"/>
  <c r="S1325" i="1"/>
  <c r="T1325" i="1" s="1"/>
  <c r="S1326" i="1"/>
  <c r="T1326" i="1" s="1"/>
  <c r="S1327" i="1"/>
  <c r="T1327" i="1" s="1"/>
  <c r="S1328" i="1"/>
  <c r="T1328" i="1" s="1"/>
  <c r="S1329" i="1"/>
  <c r="T1329" i="1" s="1"/>
  <c r="S1330" i="1"/>
  <c r="T1330" i="1" s="1"/>
  <c r="S1331" i="1"/>
  <c r="T1331" i="1" s="1"/>
  <c r="S1332" i="1"/>
  <c r="T1332" i="1" s="1"/>
  <c r="S1333" i="1"/>
  <c r="T1333" i="1" s="1"/>
  <c r="S1334" i="1"/>
  <c r="T1334" i="1" s="1"/>
  <c r="S1335" i="1"/>
  <c r="T1335" i="1" s="1"/>
  <c r="S1336" i="1"/>
  <c r="T1336" i="1" s="1"/>
  <c r="S1337" i="1"/>
  <c r="T1337" i="1" s="1"/>
  <c r="S1338" i="1"/>
  <c r="T1338" i="1" s="1"/>
  <c r="S1339" i="1"/>
  <c r="T1339" i="1" s="1"/>
  <c r="S1340" i="1"/>
  <c r="T1340" i="1" s="1"/>
  <c r="S1341" i="1"/>
  <c r="T1341" i="1" s="1"/>
  <c r="S1342" i="1"/>
  <c r="T1342" i="1" s="1"/>
  <c r="S1343" i="1"/>
  <c r="T1343" i="1" s="1"/>
  <c r="S1344" i="1"/>
  <c r="T1344" i="1" s="1"/>
  <c r="S1345" i="1"/>
  <c r="T1345" i="1" s="1"/>
  <c r="S1346" i="1"/>
  <c r="T1346" i="1" s="1"/>
  <c r="S1347" i="1"/>
  <c r="T1347" i="1" s="1"/>
  <c r="S1348" i="1"/>
  <c r="T1348" i="1" s="1"/>
  <c r="S1349" i="1"/>
  <c r="T1349" i="1" s="1"/>
  <c r="S1350" i="1"/>
  <c r="T1350" i="1" s="1"/>
  <c r="S1351" i="1"/>
  <c r="T1351" i="1" s="1"/>
  <c r="S1352" i="1"/>
  <c r="T1352" i="1" s="1"/>
  <c r="S1353" i="1"/>
  <c r="T1353" i="1" s="1"/>
  <c r="S1354" i="1"/>
  <c r="T1354" i="1" s="1"/>
  <c r="S1355" i="1"/>
  <c r="T1355" i="1" s="1"/>
  <c r="S1356" i="1"/>
  <c r="T1356" i="1" s="1"/>
  <c r="S1357" i="1"/>
  <c r="T1357" i="1" s="1"/>
  <c r="S1358" i="1"/>
  <c r="T1358" i="1" s="1"/>
  <c r="S1359" i="1"/>
  <c r="T1359" i="1" s="1"/>
  <c r="S1360" i="1"/>
  <c r="T1360" i="1" s="1"/>
  <c r="S1361" i="1"/>
  <c r="T1361" i="1" s="1"/>
  <c r="S1362" i="1"/>
  <c r="T1362" i="1" s="1"/>
  <c r="S1363" i="1"/>
  <c r="T1363" i="1" s="1"/>
  <c r="S1364" i="1"/>
  <c r="T1364" i="1" s="1"/>
  <c r="S1365" i="1"/>
  <c r="T1365" i="1" s="1"/>
  <c r="S1366" i="1"/>
  <c r="T1366" i="1" s="1"/>
  <c r="S1367" i="1"/>
  <c r="T1367" i="1" s="1"/>
  <c r="S1368" i="1"/>
  <c r="T1368" i="1" s="1"/>
  <c r="S1369" i="1"/>
  <c r="T1369" i="1" s="1"/>
  <c r="S1370" i="1"/>
  <c r="T1370" i="1" s="1"/>
  <c r="S1371" i="1"/>
  <c r="T1371" i="1" s="1"/>
  <c r="S1372" i="1"/>
  <c r="T1372" i="1" s="1"/>
  <c r="S1373" i="1"/>
  <c r="T1373" i="1" s="1"/>
  <c r="S1374" i="1"/>
  <c r="T1374" i="1" s="1"/>
  <c r="S1375" i="1"/>
  <c r="T1375" i="1" s="1"/>
  <c r="S1376" i="1"/>
  <c r="T1376" i="1" s="1"/>
  <c r="S1377" i="1"/>
  <c r="T1377" i="1" s="1"/>
  <c r="S1378" i="1"/>
  <c r="T1378" i="1" s="1"/>
  <c r="S1379" i="1"/>
  <c r="T1379" i="1" s="1"/>
  <c r="S1380" i="1"/>
  <c r="T1380" i="1" s="1"/>
  <c r="S1381" i="1"/>
  <c r="T1381" i="1" s="1"/>
  <c r="S1382" i="1"/>
  <c r="T1382" i="1" s="1"/>
  <c r="S1383" i="1"/>
  <c r="T1383" i="1" s="1"/>
  <c r="S1384" i="1"/>
  <c r="T1384" i="1" s="1"/>
  <c r="S1385" i="1"/>
  <c r="T1385" i="1" s="1"/>
  <c r="S1386" i="1"/>
  <c r="T1386" i="1" s="1"/>
  <c r="S1387" i="1"/>
  <c r="T1387" i="1" s="1"/>
  <c r="S1388" i="1"/>
  <c r="T1388" i="1" s="1"/>
  <c r="S1389" i="1"/>
  <c r="T1389" i="1" s="1"/>
  <c r="S1390" i="1"/>
  <c r="T1390" i="1" s="1"/>
  <c r="S1391" i="1"/>
  <c r="T1391" i="1" s="1"/>
  <c r="S1392" i="1"/>
  <c r="T1392" i="1" s="1"/>
  <c r="S1393" i="1"/>
  <c r="T1393" i="1" s="1"/>
  <c r="S1394" i="1"/>
  <c r="T1394" i="1" s="1"/>
  <c r="S1395" i="1"/>
  <c r="T1395" i="1" s="1"/>
  <c r="S1396" i="1"/>
  <c r="T1396" i="1" s="1"/>
  <c r="S1397" i="1"/>
  <c r="T1397" i="1" s="1"/>
  <c r="S1398" i="1"/>
  <c r="T1398" i="1" s="1"/>
  <c r="S1399" i="1"/>
  <c r="T1399" i="1" s="1"/>
  <c r="S1400" i="1"/>
  <c r="T1400" i="1" s="1"/>
  <c r="S1401" i="1"/>
  <c r="T1401" i="1" s="1"/>
  <c r="S1402" i="1"/>
  <c r="T1402" i="1" s="1"/>
  <c r="S1403" i="1"/>
  <c r="T1403" i="1" s="1"/>
  <c r="S1404" i="1"/>
  <c r="T1404" i="1" s="1"/>
  <c r="S1405" i="1"/>
  <c r="T1405" i="1" s="1"/>
  <c r="S1406" i="1"/>
  <c r="T1406" i="1" s="1"/>
  <c r="S1407" i="1"/>
  <c r="T1407" i="1" s="1"/>
  <c r="S1408" i="1"/>
  <c r="T1408" i="1" s="1"/>
  <c r="S1409" i="1"/>
  <c r="T1409" i="1" s="1"/>
  <c r="S1410" i="1"/>
  <c r="T1410" i="1" s="1"/>
  <c r="S1411" i="1"/>
  <c r="T1411" i="1" s="1"/>
  <c r="S1412" i="1"/>
  <c r="T1412" i="1" s="1"/>
  <c r="S1413" i="1"/>
  <c r="T1413" i="1" s="1"/>
  <c r="S1414" i="1"/>
  <c r="T1414" i="1" s="1"/>
  <c r="S1415" i="1"/>
  <c r="T1415" i="1" s="1"/>
  <c r="S1416" i="1"/>
  <c r="T1416" i="1" s="1"/>
  <c r="S1417" i="1"/>
  <c r="T1417" i="1" s="1"/>
  <c r="S1418" i="1"/>
  <c r="T1418" i="1" s="1"/>
  <c r="S1419" i="1"/>
  <c r="T1419" i="1" s="1"/>
  <c r="S1420" i="1"/>
  <c r="T1420" i="1" s="1"/>
  <c r="S1421" i="1"/>
  <c r="T1421" i="1" s="1"/>
  <c r="S1422" i="1"/>
  <c r="T1422" i="1" s="1"/>
  <c r="S1423" i="1"/>
  <c r="T1423" i="1" s="1"/>
  <c r="S1424" i="1"/>
  <c r="T1424" i="1" s="1"/>
  <c r="S1425" i="1"/>
  <c r="T1425" i="1" s="1"/>
  <c r="S1426" i="1"/>
  <c r="T1426" i="1" s="1"/>
  <c r="S1427" i="1"/>
  <c r="T1427" i="1" s="1"/>
  <c r="S1428" i="1"/>
  <c r="T1428" i="1" s="1"/>
  <c r="S1429" i="1"/>
  <c r="T1429" i="1" s="1"/>
  <c r="S1430" i="1"/>
  <c r="T1430" i="1" s="1"/>
  <c r="S1431" i="1"/>
  <c r="T1431" i="1" s="1"/>
  <c r="S1432" i="1"/>
  <c r="T1432" i="1" s="1"/>
  <c r="S1433" i="1"/>
  <c r="T1433" i="1" s="1"/>
  <c r="S1434" i="1"/>
  <c r="T1434" i="1" s="1"/>
  <c r="S1435" i="1"/>
  <c r="T1435" i="1" s="1"/>
  <c r="S1436" i="1"/>
  <c r="T1436" i="1" s="1"/>
  <c r="S1437" i="1"/>
  <c r="T1437" i="1" s="1"/>
  <c r="S1438" i="1"/>
  <c r="T1438" i="1" s="1"/>
  <c r="S1439" i="1"/>
  <c r="T1439" i="1" s="1"/>
  <c r="S1440" i="1"/>
  <c r="T1440" i="1" s="1"/>
  <c r="S1441" i="1"/>
  <c r="T1441" i="1" s="1"/>
  <c r="S1442" i="1"/>
  <c r="T1442" i="1" s="1"/>
  <c r="S1443" i="1"/>
  <c r="T1443" i="1" s="1"/>
  <c r="S1444" i="1"/>
  <c r="T1444" i="1" s="1"/>
  <c r="S1445" i="1"/>
  <c r="T1445" i="1" s="1"/>
  <c r="S1446" i="1"/>
  <c r="T1446" i="1" s="1"/>
  <c r="S1447" i="1"/>
  <c r="T1447" i="1" s="1"/>
  <c r="S1448" i="1"/>
  <c r="T1448" i="1" s="1"/>
  <c r="S1449" i="1"/>
  <c r="T1449" i="1" s="1"/>
  <c r="S1450" i="1"/>
  <c r="T1450" i="1" s="1"/>
  <c r="S1451" i="1"/>
  <c r="T1451" i="1" s="1"/>
  <c r="S1452" i="1"/>
  <c r="T1452" i="1" s="1"/>
  <c r="S1453" i="1"/>
  <c r="T1453" i="1" s="1"/>
  <c r="S1454" i="1"/>
  <c r="T1454" i="1" s="1"/>
  <c r="S1455" i="1"/>
  <c r="T1455" i="1" s="1"/>
  <c r="S1456" i="1"/>
  <c r="T1456" i="1" s="1"/>
  <c r="S1457" i="1"/>
  <c r="T1457" i="1" s="1"/>
  <c r="S1458" i="1"/>
  <c r="T1458" i="1" s="1"/>
  <c r="S1459" i="1"/>
  <c r="T1459" i="1" s="1"/>
  <c r="S1460" i="1"/>
  <c r="T1460" i="1" s="1"/>
  <c r="S1461" i="1"/>
  <c r="T1461" i="1" s="1"/>
  <c r="S1462" i="1"/>
  <c r="T1462" i="1" s="1"/>
  <c r="S1463" i="1"/>
  <c r="T1463" i="1" s="1"/>
  <c r="S1464" i="1"/>
  <c r="T1464" i="1" s="1"/>
  <c r="S1465" i="1"/>
  <c r="T1465" i="1" s="1"/>
  <c r="S1466" i="1"/>
  <c r="T1466" i="1" s="1"/>
  <c r="S1467" i="1"/>
  <c r="T1467" i="1" s="1"/>
  <c r="S1468" i="1"/>
  <c r="T1468" i="1" s="1"/>
  <c r="S1469" i="1"/>
  <c r="T1469" i="1" s="1"/>
  <c r="S1470" i="1"/>
  <c r="T1470" i="1" s="1"/>
  <c r="S1471" i="1"/>
  <c r="T1471" i="1" s="1"/>
  <c r="S1472" i="1"/>
  <c r="T1472" i="1" s="1"/>
  <c r="S1473" i="1"/>
  <c r="T1473" i="1" s="1"/>
  <c r="S1474" i="1"/>
  <c r="T1474" i="1" s="1"/>
  <c r="S1475" i="1"/>
  <c r="T1475" i="1" s="1"/>
  <c r="S1476" i="1"/>
  <c r="T1476" i="1" s="1"/>
  <c r="S1477" i="1"/>
  <c r="T1477" i="1" s="1"/>
  <c r="S1478" i="1"/>
  <c r="T1478" i="1" s="1"/>
  <c r="S1479" i="1"/>
  <c r="T1479" i="1" s="1"/>
  <c r="S1480" i="1"/>
  <c r="T1480" i="1" s="1"/>
  <c r="S1481" i="1"/>
  <c r="T1481" i="1" s="1"/>
  <c r="S1482" i="1"/>
  <c r="T1482" i="1" s="1"/>
  <c r="S1483" i="1"/>
  <c r="T1483" i="1" s="1"/>
  <c r="S1484" i="1"/>
  <c r="T1484" i="1" s="1"/>
  <c r="S1485" i="1"/>
  <c r="T1485" i="1" s="1"/>
  <c r="S1486" i="1"/>
  <c r="T1486" i="1" s="1"/>
  <c r="S1487" i="1"/>
  <c r="T1487" i="1" s="1"/>
  <c r="S1488" i="1"/>
  <c r="T1488" i="1" s="1"/>
  <c r="S1489" i="1"/>
  <c r="T1489" i="1" s="1"/>
  <c r="S1490" i="1"/>
  <c r="T1490" i="1" s="1"/>
  <c r="S1491" i="1"/>
  <c r="T1491" i="1" s="1"/>
  <c r="S1492" i="1"/>
  <c r="T1492" i="1" s="1"/>
  <c r="S1493" i="1"/>
  <c r="T1493" i="1" s="1"/>
  <c r="S1494" i="1"/>
  <c r="T1494" i="1" s="1"/>
  <c r="S1495" i="1"/>
  <c r="T1495" i="1" s="1"/>
  <c r="S1496" i="1"/>
  <c r="T1496" i="1" s="1"/>
  <c r="S1497" i="1"/>
  <c r="T1497" i="1" s="1"/>
  <c r="S1498" i="1"/>
  <c r="T1498" i="1" s="1"/>
  <c r="S1499" i="1"/>
  <c r="T1499" i="1" s="1"/>
  <c r="S1500" i="1"/>
  <c r="T1500" i="1" s="1"/>
  <c r="S1501" i="1"/>
  <c r="T1501" i="1" s="1"/>
  <c r="S1502" i="1"/>
  <c r="T1502" i="1" s="1"/>
  <c r="S1503" i="1"/>
  <c r="T1503" i="1" s="1"/>
  <c r="S1504" i="1"/>
  <c r="T1504" i="1" s="1"/>
  <c r="S1505" i="1"/>
  <c r="T1505" i="1" s="1"/>
  <c r="S1506" i="1"/>
  <c r="T1506" i="1" s="1"/>
  <c r="S1507" i="1"/>
  <c r="T1507" i="1" s="1"/>
  <c r="S1508" i="1"/>
  <c r="T1508" i="1" s="1"/>
  <c r="S1509" i="1"/>
  <c r="T1509" i="1" s="1"/>
  <c r="S1510" i="1"/>
  <c r="T1510" i="1" s="1"/>
  <c r="S1511" i="1"/>
  <c r="T1511" i="1" s="1"/>
  <c r="S1512" i="1"/>
  <c r="T1512" i="1" s="1"/>
  <c r="S1513" i="1"/>
  <c r="T1513" i="1" s="1"/>
  <c r="S1514" i="1"/>
  <c r="T1514" i="1" s="1"/>
  <c r="S1515" i="1"/>
  <c r="T1515" i="1" s="1"/>
  <c r="S1516" i="1"/>
  <c r="T1516" i="1" s="1"/>
  <c r="S1517" i="1"/>
  <c r="T1517" i="1" s="1"/>
  <c r="S1518" i="1"/>
  <c r="T1518" i="1" s="1"/>
  <c r="S1519" i="1"/>
  <c r="T1519" i="1" s="1"/>
  <c r="S1520" i="1"/>
  <c r="T1520" i="1" s="1"/>
  <c r="S1521" i="1"/>
  <c r="T1521" i="1" s="1"/>
  <c r="S1522" i="1"/>
  <c r="T1522" i="1" s="1"/>
  <c r="S1523" i="1"/>
  <c r="T1523" i="1" s="1"/>
  <c r="S1524" i="1"/>
  <c r="T1524" i="1" s="1"/>
  <c r="S1525" i="1"/>
  <c r="T1525" i="1" s="1"/>
  <c r="S1526" i="1"/>
  <c r="T1526" i="1" s="1"/>
  <c r="S1527" i="1"/>
  <c r="T1527" i="1" s="1"/>
  <c r="S1528" i="1"/>
  <c r="T1528" i="1" s="1"/>
  <c r="S1529" i="1"/>
  <c r="T1529" i="1" s="1"/>
  <c r="S1530" i="1"/>
  <c r="T1530" i="1" s="1"/>
  <c r="S1531" i="1"/>
  <c r="T1531" i="1" s="1"/>
  <c r="S1532" i="1"/>
  <c r="T1532" i="1" s="1"/>
  <c r="S1533" i="1"/>
  <c r="T1533" i="1" s="1"/>
  <c r="S1534" i="1"/>
  <c r="T1534" i="1" s="1"/>
  <c r="S1535" i="1"/>
  <c r="T1535" i="1" s="1"/>
  <c r="S1536" i="1"/>
  <c r="T1536" i="1" s="1"/>
  <c r="S1537" i="1"/>
  <c r="T1537" i="1" s="1"/>
  <c r="S1538" i="1"/>
  <c r="T1538" i="1" s="1"/>
  <c r="S1539" i="1"/>
  <c r="T1539" i="1" s="1"/>
  <c r="S1540" i="1"/>
  <c r="T1540" i="1" s="1"/>
  <c r="S1541" i="1"/>
  <c r="T1541" i="1" s="1"/>
  <c r="S1542" i="1"/>
  <c r="T1542" i="1" s="1"/>
  <c r="S1543" i="1"/>
  <c r="T1543" i="1" s="1"/>
  <c r="S1544" i="1"/>
  <c r="T1544" i="1" s="1"/>
  <c r="S1545" i="1"/>
  <c r="T1545" i="1" s="1"/>
  <c r="S1546" i="1"/>
  <c r="T1546" i="1" s="1"/>
  <c r="S1547" i="1"/>
  <c r="T1547" i="1" s="1"/>
  <c r="S1548" i="1"/>
  <c r="T1548" i="1" s="1"/>
  <c r="S1549" i="1"/>
  <c r="T1549" i="1" s="1"/>
  <c r="S1550" i="1"/>
  <c r="T1550" i="1" s="1"/>
  <c r="S1551" i="1"/>
  <c r="T1551" i="1" s="1"/>
  <c r="S1552" i="1"/>
  <c r="T1552" i="1" s="1"/>
  <c r="S1553" i="1"/>
  <c r="T1553" i="1" s="1"/>
  <c r="S1554" i="1"/>
  <c r="T1554" i="1" s="1"/>
  <c r="S1555" i="1"/>
  <c r="T1555" i="1" s="1"/>
  <c r="S1556" i="1"/>
  <c r="T1556" i="1" s="1"/>
  <c r="S1557" i="1"/>
  <c r="T1557" i="1" s="1"/>
  <c r="S1558" i="1"/>
  <c r="T1558" i="1" s="1"/>
  <c r="S1559" i="1"/>
  <c r="T1559" i="1" s="1"/>
  <c r="S1560" i="1"/>
  <c r="T1560" i="1" s="1"/>
  <c r="S1561" i="1"/>
  <c r="T1561" i="1" s="1"/>
  <c r="S1562" i="1"/>
  <c r="T1562" i="1" s="1"/>
  <c r="S1563" i="1"/>
  <c r="T1563" i="1" s="1"/>
  <c r="S1564" i="1"/>
  <c r="T1564" i="1" s="1"/>
  <c r="S1565" i="1"/>
  <c r="T1565" i="1" s="1"/>
  <c r="S1566" i="1"/>
  <c r="T1566" i="1" s="1"/>
  <c r="S1567" i="1"/>
  <c r="T1567" i="1" s="1"/>
  <c r="S1568" i="1"/>
  <c r="T1568" i="1" s="1"/>
  <c r="S1569" i="1"/>
  <c r="T1569" i="1" s="1"/>
  <c r="S1570" i="1"/>
  <c r="T1570" i="1" s="1"/>
  <c r="S1571" i="1"/>
  <c r="T1571" i="1" s="1"/>
  <c r="S1572" i="1"/>
  <c r="T1572" i="1" s="1"/>
  <c r="S1573" i="1"/>
  <c r="T1573" i="1" s="1"/>
  <c r="S1574" i="1"/>
  <c r="T1574" i="1" s="1"/>
  <c r="S1575" i="1"/>
  <c r="T1575" i="1" s="1"/>
  <c r="S1576" i="1"/>
  <c r="T1576" i="1" s="1"/>
  <c r="S1577" i="1"/>
  <c r="T1577" i="1" s="1"/>
  <c r="S1578" i="1"/>
  <c r="T1578" i="1" s="1"/>
  <c r="S1579" i="1"/>
  <c r="T1579" i="1" s="1"/>
  <c r="S1580" i="1"/>
  <c r="T1580" i="1" s="1"/>
  <c r="S1581" i="1"/>
  <c r="T1581" i="1" s="1"/>
  <c r="S1582" i="1"/>
  <c r="T1582" i="1" s="1"/>
  <c r="S1583" i="1"/>
  <c r="T1583" i="1" s="1"/>
  <c r="S1584" i="1"/>
  <c r="T1584" i="1" s="1"/>
  <c r="S1585" i="1"/>
  <c r="T1585" i="1" s="1"/>
  <c r="S1586" i="1"/>
  <c r="T1586" i="1" s="1"/>
  <c r="S1587" i="1"/>
  <c r="T1587" i="1" s="1"/>
  <c r="S1588" i="1"/>
  <c r="T1588" i="1" s="1"/>
  <c r="S1589" i="1"/>
  <c r="T1589" i="1" s="1"/>
  <c r="S1590" i="1"/>
  <c r="T1590" i="1" s="1"/>
  <c r="S1591" i="1"/>
  <c r="T1591" i="1" s="1"/>
  <c r="S1592" i="1"/>
  <c r="T1592" i="1" s="1"/>
  <c r="S1593" i="1"/>
  <c r="T1593" i="1" s="1"/>
  <c r="S1594" i="1"/>
  <c r="T1594" i="1" s="1"/>
  <c r="S1595" i="1"/>
  <c r="T1595" i="1" s="1"/>
  <c r="S1596" i="1"/>
  <c r="T1596" i="1" s="1"/>
  <c r="S1597" i="1"/>
  <c r="T1597" i="1" s="1"/>
  <c r="S1598" i="1"/>
  <c r="T1598" i="1" s="1"/>
  <c r="S1599" i="1"/>
  <c r="T1599" i="1" s="1"/>
  <c r="S1600" i="1"/>
  <c r="T1600" i="1" s="1"/>
  <c r="S1601" i="1"/>
  <c r="T1601" i="1" s="1"/>
  <c r="S1602" i="1"/>
  <c r="T1602" i="1" s="1"/>
  <c r="S1603" i="1"/>
  <c r="T1603" i="1" s="1"/>
  <c r="S1604" i="1"/>
  <c r="T1604" i="1" s="1"/>
  <c r="S1605" i="1"/>
  <c r="T1605" i="1" s="1"/>
  <c r="S1606" i="1"/>
  <c r="T1606" i="1" s="1"/>
  <c r="S1607" i="1"/>
  <c r="T1607" i="1" s="1"/>
  <c r="S1608" i="1"/>
  <c r="T1608" i="1" s="1"/>
  <c r="S1609" i="1"/>
  <c r="T1609" i="1" s="1"/>
  <c r="S1610" i="1"/>
  <c r="T1610" i="1" s="1"/>
  <c r="S1611" i="1"/>
  <c r="T1611" i="1" s="1"/>
  <c r="S1612" i="1"/>
  <c r="T1612" i="1" s="1"/>
  <c r="S1613" i="1"/>
  <c r="T1613" i="1" s="1"/>
  <c r="S1614" i="1"/>
  <c r="T1614" i="1" s="1"/>
  <c r="S1615" i="1"/>
  <c r="T1615" i="1" s="1"/>
  <c r="S1616" i="1"/>
  <c r="T1616" i="1" s="1"/>
  <c r="S1617" i="1"/>
  <c r="T1617" i="1" s="1"/>
  <c r="S1618" i="1"/>
  <c r="T1618" i="1" s="1"/>
  <c r="S1619" i="1"/>
  <c r="T1619" i="1" s="1"/>
  <c r="S1620" i="1"/>
  <c r="T1620" i="1" s="1"/>
  <c r="S1621" i="1"/>
  <c r="T1621" i="1" s="1"/>
  <c r="S1622" i="1"/>
  <c r="T1622" i="1" s="1"/>
  <c r="S1623" i="1"/>
  <c r="T1623" i="1" s="1"/>
  <c r="S1624" i="1"/>
  <c r="T1624" i="1" s="1"/>
  <c r="S1625" i="1"/>
  <c r="T1625" i="1" s="1"/>
  <c r="S1626" i="1"/>
  <c r="T1626" i="1" s="1"/>
  <c r="S1627" i="1"/>
  <c r="T1627" i="1" s="1"/>
  <c r="S1628" i="1"/>
  <c r="T1628" i="1" s="1"/>
  <c r="S1629" i="1"/>
  <c r="T1629" i="1" s="1"/>
  <c r="S1630" i="1"/>
  <c r="T1630" i="1" s="1"/>
  <c r="S1631" i="1"/>
  <c r="T1631" i="1" s="1"/>
  <c r="S1632" i="1"/>
  <c r="T1632" i="1" s="1"/>
  <c r="S1633" i="1"/>
  <c r="T1633" i="1" s="1"/>
  <c r="S1634" i="1"/>
  <c r="T1634" i="1" s="1"/>
  <c r="S1635" i="1"/>
  <c r="T1635" i="1" s="1"/>
  <c r="S1636" i="1"/>
  <c r="T1636" i="1" s="1"/>
  <c r="S1637" i="1"/>
  <c r="T1637" i="1" s="1"/>
  <c r="S1638" i="1"/>
  <c r="T1638" i="1" s="1"/>
  <c r="S1639" i="1"/>
  <c r="T1639" i="1" s="1"/>
  <c r="S1640" i="1"/>
  <c r="T1640" i="1" s="1"/>
  <c r="S1641" i="1"/>
  <c r="T1641" i="1" s="1"/>
  <c r="S1642" i="1"/>
  <c r="T1642" i="1" s="1"/>
  <c r="S1643" i="1"/>
  <c r="T1643" i="1" s="1"/>
  <c r="S1644" i="1"/>
  <c r="T1644" i="1" s="1"/>
  <c r="S1645" i="1"/>
  <c r="T1645" i="1" s="1"/>
  <c r="S1646" i="1"/>
  <c r="T1646" i="1" s="1"/>
  <c r="S1647" i="1"/>
  <c r="T1647" i="1" s="1"/>
  <c r="S1648" i="1"/>
  <c r="T1648" i="1" s="1"/>
  <c r="S1649" i="1"/>
  <c r="T1649" i="1" s="1"/>
  <c r="S1650" i="1"/>
  <c r="T1650" i="1" s="1"/>
  <c r="S1651" i="1"/>
  <c r="T1651" i="1" s="1"/>
  <c r="S1652" i="1"/>
  <c r="T1652" i="1" s="1"/>
  <c r="S1653" i="1"/>
  <c r="T1653" i="1" s="1"/>
  <c r="S1654" i="1"/>
  <c r="T1654" i="1" s="1"/>
  <c r="S1655" i="1"/>
  <c r="T1655" i="1" s="1"/>
  <c r="S1656" i="1"/>
  <c r="T1656" i="1" s="1"/>
  <c r="S1657" i="1"/>
  <c r="T1657" i="1" s="1"/>
  <c r="S1658" i="1"/>
  <c r="T1658" i="1" s="1"/>
  <c r="S1659" i="1"/>
  <c r="T1659" i="1" s="1"/>
  <c r="S1660" i="1"/>
  <c r="T1660" i="1" s="1"/>
  <c r="S1661" i="1"/>
  <c r="T1661" i="1" s="1"/>
  <c r="S1662" i="1"/>
  <c r="T1662" i="1" s="1"/>
  <c r="S1663" i="1"/>
  <c r="T1663" i="1" s="1"/>
  <c r="S1664" i="1"/>
  <c r="T1664" i="1" s="1"/>
  <c r="S1665" i="1"/>
  <c r="T1665" i="1" s="1"/>
  <c r="S1666" i="1"/>
  <c r="T1666" i="1" s="1"/>
  <c r="S1667" i="1"/>
  <c r="T1667" i="1" s="1"/>
  <c r="S1668" i="1"/>
  <c r="T1668" i="1" s="1"/>
  <c r="S1669" i="1"/>
  <c r="T1669" i="1" s="1"/>
  <c r="S1670" i="1"/>
  <c r="T1670" i="1" s="1"/>
  <c r="S1671" i="1"/>
  <c r="T1671" i="1" s="1"/>
  <c r="S1672" i="1"/>
  <c r="T1672" i="1" s="1"/>
  <c r="S1673" i="1"/>
  <c r="T1673" i="1" s="1"/>
  <c r="S1674" i="1"/>
  <c r="T1674" i="1" s="1"/>
  <c r="S1675" i="1"/>
  <c r="T1675" i="1" s="1"/>
  <c r="S1676" i="1"/>
  <c r="T1676" i="1" s="1"/>
  <c r="S1677" i="1"/>
  <c r="T1677" i="1" s="1"/>
  <c r="S1678" i="1"/>
  <c r="T1678" i="1" s="1"/>
  <c r="S1679" i="1"/>
  <c r="T1679" i="1" s="1"/>
  <c r="S1680" i="1"/>
  <c r="T1680" i="1" s="1"/>
  <c r="S1681" i="1"/>
  <c r="T1681" i="1" s="1"/>
  <c r="S1682" i="1"/>
  <c r="T1682" i="1" s="1"/>
  <c r="S1683" i="1"/>
  <c r="T1683" i="1" s="1"/>
  <c r="S1684" i="1"/>
  <c r="T1684" i="1" s="1"/>
  <c r="S1685" i="1"/>
  <c r="T1685" i="1" s="1"/>
  <c r="S1686" i="1"/>
  <c r="T1686" i="1" s="1"/>
  <c r="S1687" i="1"/>
  <c r="T1687" i="1" s="1"/>
  <c r="S1688" i="1"/>
  <c r="T1688" i="1" s="1"/>
  <c r="S1689" i="1"/>
  <c r="T1689" i="1" s="1"/>
  <c r="S1690" i="1"/>
  <c r="T1690" i="1" s="1"/>
  <c r="S1691" i="1"/>
  <c r="T1691" i="1" s="1"/>
  <c r="S1692" i="1"/>
  <c r="T1692" i="1" s="1"/>
  <c r="S1693" i="1"/>
  <c r="T1693" i="1" s="1"/>
  <c r="S1694" i="1"/>
  <c r="T1694" i="1" s="1"/>
  <c r="S1695" i="1"/>
  <c r="T1695" i="1" s="1"/>
  <c r="S1696" i="1"/>
  <c r="T1696" i="1" s="1"/>
  <c r="S1697" i="1"/>
  <c r="T1697" i="1" s="1"/>
  <c r="S1698" i="1"/>
  <c r="T1698" i="1" s="1"/>
  <c r="S1699" i="1"/>
  <c r="T1699" i="1" s="1"/>
  <c r="S1700" i="1"/>
  <c r="T1700" i="1" s="1"/>
  <c r="S1701" i="1"/>
  <c r="T1701" i="1" s="1"/>
  <c r="S1702" i="1"/>
  <c r="T1702" i="1" s="1"/>
  <c r="S1703" i="1"/>
  <c r="T1703" i="1" s="1"/>
  <c r="S1704" i="1"/>
  <c r="T1704" i="1" s="1"/>
  <c r="S1705" i="1"/>
  <c r="T1705" i="1" s="1"/>
  <c r="S1706" i="1"/>
  <c r="T1706" i="1" s="1"/>
  <c r="S1707" i="1"/>
  <c r="T1707" i="1" s="1"/>
  <c r="S1708" i="1"/>
  <c r="T1708" i="1" s="1"/>
  <c r="S1709" i="1"/>
  <c r="T1709" i="1" s="1"/>
  <c r="S1710" i="1"/>
  <c r="T1710" i="1" s="1"/>
  <c r="S1711" i="1"/>
  <c r="T1711" i="1" s="1"/>
  <c r="S1712" i="1"/>
  <c r="T1712" i="1" s="1"/>
  <c r="S1713" i="1"/>
  <c r="T1713" i="1" s="1"/>
  <c r="S1714" i="1"/>
  <c r="T1714" i="1" s="1"/>
  <c r="S1715" i="1"/>
  <c r="T1715" i="1" s="1"/>
  <c r="S1716" i="1"/>
  <c r="T1716" i="1" s="1"/>
  <c r="S1717" i="1"/>
  <c r="T1717" i="1" s="1"/>
  <c r="S1718" i="1"/>
  <c r="T1718" i="1" s="1"/>
  <c r="S1719" i="1"/>
  <c r="T1719" i="1" s="1"/>
  <c r="S1720" i="1"/>
  <c r="T1720" i="1" s="1"/>
  <c r="S1721" i="1"/>
  <c r="T1721" i="1" s="1"/>
  <c r="S1722" i="1"/>
  <c r="T1722" i="1" s="1"/>
  <c r="S1723" i="1"/>
  <c r="T1723" i="1" s="1"/>
  <c r="S1724" i="1"/>
  <c r="T1724" i="1" s="1"/>
  <c r="S1725" i="1"/>
  <c r="T1725" i="1" s="1"/>
  <c r="S1726" i="1"/>
  <c r="T1726" i="1" s="1"/>
  <c r="S1727" i="1"/>
  <c r="T1727" i="1" s="1"/>
  <c r="S1728" i="1"/>
  <c r="T1728" i="1" s="1"/>
  <c r="S1729" i="1"/>
  <c r="T1729" i="1" s="1"/>
  <c r="S1730" i="1"/>
  <c r="T1730" i="1" s="1"/>
  <c r="S1731" i="1"/>
  <c r="T1731" i="1" s="1"/>
  <c r="S1732" i="1"/>
  <c r="T1732" i="1" s="1"/>
  <c r="S1733" i="1"/>
  <c r="T1733" i="1" s="1"/>
  <c r="S1734" i="1"/>
  <c r="T1734" i="1" s="1"/>
  <c r="S1735" i="1"/>
  <c r="T1735" i="1" s="1"/>
  <c r="S1736" i="1"/>
  <c r="T1736" i="1" s="1"/>
  <c r="S1737" i="1"/>
  <c r="T1737" i="1" s="1"/>
  <c r="S1738" i="1"/>
  <c r="T1738" i="1" s="1"/>
  <c r="S1739" i="1"/>
  <c r="T1739" i="1" s="1"/>
  <c r="S1740" i="1"/>
  <c r="T1740" i="1" s="1"/>
  <c r="S1741" i="1"/>
  <c r="T1741" i="1" s="1"/>
  <c r="S1742" i="1"/>
  <c r="T1742" i="1" s="1"/>
  <c r="S1743" i="1"/>
  <c r="T1743" i="1" s="1"/>
  <c r="S1744" i="1"/>
  <c r="T1744" i="1" s="1"/>
  <c r="S1745" i="1"/>
  <c r="T1745" i="1" s="1"/>
  <c r="S1746" i="1"/>
  <c r="T1746" i="1" s="1"/>
  <c r="S1747" i="1"/>
  <c r="T1747" i="1" s="1"/>
  <c r="S1748" i="1"/>
  <c r="T1748" i="1" s="1"/>
  <c r="S1749" i="1"/>
  <c r="T1749" i="1" s="1"/>
  <c r="S1750" i="1"/>
  <c r="T1750" i="1" s="1"/>
  <c r="S1751" i="1"/>
  <c r="T1751" i="1" s="1"/>
  <c r="S1752" i="1"/>
  <c r="T1752" i="1" s="1"/>
  <c r="S1753" i="1"/>
  <c r="T1753" i="1" s="1"/>
  <c r="S1754" i="1"/>
  <c r="T1754" i="1" s="1"/>
  <c r="S1755" i="1"/>
  <c r="T1755" i="1" s="1"/>
  <c r="S1756" i="1"/>
  <c r="T1756" i="1" s="1"/>
  <c r="S1757" i="1"/>
  <c r="T1757" i="1" s="1"/>
  <c r="S1758" i="1"/>
  <c r="T1758" i="1" s="1"/>
  <c r="S1759" i="1"/>
  <c r="T1759" i="1" s="1"/>
  <c r="S1760" i="1"/>
  <c r="T1760" i="1" s="1"/>
  <c r="S1761" i="1"/>
  <c r="T1761" i="1" s="1"/>
  <c r="S1762" i="1"/>
  <c r="T1762" i="1" s="1"/>
  <c r="S1763" i="1"/>
  <c r="T1763" i="1" s="1"/>
  <c r="S1764" i="1"/>
  <c r="T1764" i="1" s="1"/>
  <c r="S1765" i="1"/>
  <c r="T1765" i="1" s="1"/>
  <c r="S1766" i="1"/>
  <c r="T1766" i="1" s="1"/>
  <c r="S1767" i="1"/>
  <c r="T1767" i="1" s="1"/>
  <c r="S1768" i="1"/>
  <c r="T1768" i="1" s="1"/>
  <c r="S1769" i="1"/>
  <c r="T1769" i="1" s="1"/>
  <c r="S1770" i="1"/>
  <c r="T1770" i="1" s="1"/>
  <c r="S1771" i="1"/>
  <c r="T1771" i="1" s="1"/>
  <c r="S1772" i="1"/>
  <c r="T1772" i="1" s="1"/>
  <c r="S1773" i="1"/>
  <c r="T1773" i="1" s="1"/>
  <c r="S1774" i="1"/>
  <c r="T1774" i="1" s="1"/>
  <c r="S1775" i="1"/>
  <c r="T1775" i="1" s="1"/>
  <c r="S1776" i="1"/>
  <c r="T1776" i="1" s="1"/>
  <c r="S1777" i="1"/>
  <c r="T1777" i="1" s="1"/>
  <c r="S1778" i="1"/>
  <c r="T1778" i="1" s="1"/>
  <c r="S1779" i="1"/>
  <c r="T1779" i="1" s="1"/>
  <c r="S1780" i="1"/>
  <c r="T1780" i="1" s="1"/>
  <c r="S1781" i="1"/>
  <c r="T1781" i="1" s="1"/>
  <c r="S1782" i="1"/>
  <c r="T1782" i="1" s="1"/>
  <c r="S1783" i="1"/>
  <c r="T1783" i="1" s="1"/>
  <c r="S1784" i="1"/>
  <c r="T1784" i="1" s="1"/>
  <c r="S1785" i="1"/>
  <c r="T1785" i="1" s="1"/>
  <c r="S1786" i="1"/>
  <c r="T1786" i="1" s="1"/>
  <c r="S1787" i="1"/>
  <c r="T1787" i="1" s="1"/>
  <c r="S1788" i="1"/>
  <c r="T1788" i="1" s="1"/>
  <c r="S1789" i="1"/>
  <c r="T1789" i="1" s="1"/>
  <c r="S1790" i="1"/>
  <c r="T1790" i="1" s="1"/>
  <c r="S1791" i="1"/>
  <c r="T1791" i="1" s="1"/>
  <c r="S1792" i="1"/>
  <c r="T1792" i="1" s="1"/>
  <c r="S1793" i="1"/>
  <c r="T1793" i="1" s="1"/>
  <c r="S1794" i="1"/>
  <c r="T1794" i="1" s="1"/>
  <c r="S1795" i="1"/>
  <c r="T1795" i="1" s="1"/>
  <c r="S1796" i="1"/>
  <c r="T1796" i="1" s="1"/>
  <c r="S1797" i="1"/>
  <c r="T1797" i="1" s="1"/>
  <c r="S1798" i="1"/>
  <c r="T1798" i="1" s="1"/>
  <c r="S1799" i="1"/>
  <c r="T1799" i="1" s="1"/>
  <c r="S1800" i="1"/>
  <c r="T1800" i="1" s="1"/>
  <c r="S1801" i="1"/>
  <c r="T1801" i="1" s="1"/>
  <c r="S1802" i="1"/>
  <c r="T1802" i="1" s="1"/>
  <c r="S1803" i="1"/>
  <c r="T1803" i="1" s="1"/>
  <c r="S1804" i="1"/>
  <c r="T1804" i="1" s="1"/>
  <c r="S1805" i="1"/>
  <c r="T1805" i="1" s="1"/>
  <c r="S1806" i="1"/>
  <c r="T1806" i="1" s="1"/>
  <c r="S1807" i="1"/>
  <c r="T1807" i="1" s="1"/>
  <c r="S1808" i="1"/>
  <c r="T1808" i="1" s="1"/>
  <c r="S1809" i="1"/>
  <c r="T1809" i="1" s="1"/>
  <c r="S1810" i="1"/>
  <c r="T1810" i="1" s="1"/>
  <c r="S1811" i="1"/>
  <c r="T1811" i="1" s="1"/>
  <c r="S1812" i="1"/>
  <c r="T1812" i="1" s="1"/>
  <c r="S1813" i="1"/>
  <c r="T1813" i="1" s="1"/>
  <c r="S1814" i="1"/>
  <c r="T1814" i="1" s="1"/>
  <c r="S1815" i="1"/>
  <c r="T1815" i="1" s="1"/>
  <c r="S1816" i="1"/>
  <c r="T1816" i="1" s="1"/>
  <c r="S1817" i="1"/>
  <c r="T1817" i="1" s="1"/>
  <c r="S1818" i="1"/>
  <c r="T1818" i="1" s="1"/>
  <c r="S1819" i="1"/>
  <c r="T1819" i="1" s="1"/>
  <c r="S1820" i="1"/>
  <c r="T1820" i="1" s="1"/>
  <c r="S1821" i="1"/>
  <c r="T1821" i="1" s="1"/>
  <c r="S1822" i="1"/>
  <c r="T1822" i="1" s="1"/>
  <c r="S1823" i="1"/>
  <c r="T1823" i="1" s="1"/>
  <c r="S1824" i="1"/>
  <c r="T1824" i="1" s="1"/>
  <c r="S1825" i="1"/>
  <c r="T1825" i="1" s="1"/>
  <c r="S1826" i="1"/>
  <c r="T1826" i="1" s="1"/>
  <c r="S1827" i="1"/>
  <c r="T1827" i="1" s="1"/>
  <c r="S1828" i="1"/>
  <c r="T1828" i="1" s="1"/>
  <c r="S1829" i="1"/>
  <c r="T1829" i="1" s="1"/>
  <c r="S1830" i="1"/>
  <c r="T1830" i="1" s="1"/>
  <c r="S1831" i="1"/>
  <c r="T1831" i="1" s="1"/>
  <c r="S1832" i="1"/>
  <c r="T1832" i="1" s="1"/>
  <c r="S1833" i="1"/>
  <c r="T1833" i="1" s="1"/>
  <c r="S1834" i="1"/>
  <c r="T1834" i="1" s="1"/>
  <c r="S1835" i="1"/>
  <c r="T1835" i="1" s="1"/>
  <c r="S1836" i="1"/>
  <c r="T1836" i="1" s="1"/>
  <c r="S1837" i="1"/>
  <c r="T1837" i="1" s="1"/>
  <c r="S1838" i="1"/>
  <c r="T1838" i="1" s="1"/>
  <c r="S1839" i="1"/>
  <c r="T1839" i="1" s="1"/>
  <c r="S1840" i="1"/>
  <c r="T1840" i="1" s="1"/>
  <c r="S1841" i="1"/>
  <c r="T1841" i="1" s="1"/>
  <c r="S1842" i="1"/>
  <c r="T1842" i="1" s="1"/>
  <c r="S1843" i="1"/>
  <c r="T1843" i="1" s="1"/>
  <c r="S1844" i="1"/>
  <c r="T1844" i="1" s="1"/>
  <c r="S1845" i="1"/>
  <c r="T1845" i="1" s="1"/>
  <c r="S1846" i="1"/>
  <c r="T1846" i="1" s="1"/>
  <c r="S1847" i="1"/>
  <c r="T1847" i="1" s="1"/>
  <c r="S1848" i="1"/>
  <c r="T1848" i="1" s="1"/>
  <c r="S1849" i="1"/>
  <c r="T1849" i="1" s="1"/>
  <c r="S1850" i="1"/>
  <c r="T1850" i="1" s="1"/>
  <c r="S1851" i="1"/>
  <c r="T1851" i="1" s="1"/>
  <c r="S1852" i="1"/>
  <c r="T1852" i="1" s="1"/>
  <c r="S1853" i="1"/>
  <c r="T1853" i="1" s="1"/>
  <c r="S1854" i="1"/>
  <c r="T1854" i="1" s="1"/>
  <c r="S1855" i="1"/>
  <c r="T1855" i="1" s="1"/>
  <c r="S1856" i="1"/>
  <c r="T1856" i="1" s="1"/>
  <c r="S1857" i="1"/>
  <c r="T1857" i="1" s="1"/>
  <c r="S1858" i="1"/>
  <c r="T1858" i="1" s="1"/>
  <c r="S1859" i="1"/>
  <c r="T1859" i="1" s="1"/>
  <c r="S1860" i="1"/>
  <c r="T1860" i="1" s="1"/>
  <c r="S1861" i="1"/>
  <c r="T1861" i="1" s="1"/>
  <c r="S1862" i="1"/>
  <c r="T1862" i="1" s="1"/>
  <c r="S1863" i="1"/>
  <c r="T1863" i="1" s="1"/>
  <c r="S1864" i="1"/>
  <c r="T1864" i="1" s="1"/>
  <c r="S1865" i="1"/>
  <c r="T1865" i="1" s="1"/>
  <c r="S1866" i="1"/>
  <c r="T1866" i="1" s="1"/>
  <c r="S1867" i="1"/>
  <c r="T1867" i="1" s="1"/>
  <c r="S1868" i="1"/>
  <c r="T1868" i="1" s="1"/>
  <c r="S1869" i="1"/>
  <c r="T1869" i="1" s="1"/>
  <c r="S1870" i="1"/>
  <c r="T1870" i="1" s="1"/>
  <c r="S1871" i="1"/>
  <c r="T1871" i="1" s="1"/>
  <c r="S1872" i="1"/>
  <c r="T1872" i="1" s="1"/>
  <c r="S1873" i="1"/>
  <c r="T1873" i="1" s="1"/>
  <c r="S1874" i="1"/>
  <c r="T1874" i="1" s="1"/>
  <c r="S1875" i="1"/>
  <c r="T1875" i="1" s="1"/>
  <c r="S1876" i="1"/>
  <c r="T1876" i="1" s="1"/>
  <c r="S1877" i="1"/>
  <c r="T1877" i="1" s="1"/>
  <c r="S1878" i="1"/>
  <c r="T1878" i="1" s="1"/>
  <c r="S1879" i="1"/>
  <c r="T1879" i="1" s="1"/>
  <c r="S1880" i="1"/>
  <c r="T1880" i="1" s="1"/>
  <c r="S1881" i="1"/>
  <c r="T1881" i="1" s="1"/>
  <c r="S1882" i="1"/>
  <c r="T1882" i="1" s="1"/>
  <c r="S1883" i="1"/>
  <c r="T1883" i="1" s="1"/>
  <c r="S1884" i="1"/>
  <c r="T1884" i="1" s="1"/>
  <c r="S1885" i="1"/>
  <c r="T1885" i="1" s="1"/>
  <c r="S1886" i="1"/>
  <c r="T1886" i="1" s="1"/>
  <c r="S1887" i="1"/>
  <c r="T1887" i="1" s="1"/>
  <c r="S1888" i="1"/>
  <c r="T1888" i="1" s="1"/>
  <c r="S1889" i="1"/>
  <c r="T1889" i="1" s="1"/>
  <c r="S1890" i="1"/>
  <c r="T1890" i="1" s="1"/>
  <c r="S1891" i="1"/>
  <c r="T1891" i="1" s="1"/>
  <c r="S1892" i="1"/>
  <c r="T1892" i="1" s="1"/>
  <c r="S1893" i="1"/>
  <c r="T1893" i="1" s="1"/>
  <c r="S1894" i="1"/>
  <c r="T1894" i="1" s="1"/>
  <c r="S1895" i="1"/>
  <c r="T1895" i="1" s="1"/>
  <c r="S1896" i="1"/>
  <c r="T1896" i="1" s="1"/>
  <c r="S1897" i="1"/>
  <c r="T1897" i="1" s="1"/>
  <c r="S1898" i="1"/>
  <c r="T1898" i="1" s="1"/>
  <c r="S1899" i="1"/>
  <c r="T1899" i="1" s="1"/>
  <c r="S1900" i="1"/>
  <c r="T1900" i="1" s="1"/>
  <c r="S1901" i="1"/>
  <c r="T1901" i="1" s="1"/>
  <c r="S1902" i="1"/>
  <c r="T1902" i="1" s="1"/>
  <c r="S1903" i="1"/>
  <c r="T1903" i="1" s="1"/>
  <c r="S1904" i="1"/>
  <c r="T1904" i="1" s="1"/>
  <c r="S1905" i="1"/>
  <c r="T1905" i="1" s="1"/>
  <c r="S1906" i="1"/>
  <c r="T1906" i="1" s="1"/>
  <c r="S1907" i="1"/>
  <c r="T1907" i="1" s="1"/>
  <c r="S1908" i="1"/>
  <c r="T1908" i="1" s="1"/>
  <c r="S1909" i="1"/>
  <c r="T1909" i="1" s="1"/>
  <c r="S1910" i="1"/>
  <c r="T1910" i="1" s="1"/>
  <c r="S1911" i="1"/>
  <c r="T1911" i="1" s="1"/>
  <c r="S1912" i="1"/>
  <c r="T1912" i="1" s="1"/>
  <c r="S1913" i="1"/>
  <c r="T1913" i="1" s="1"/>
  <c r="S1914" i="1"/>
  <c r="T1914" i="1" s="1"/>
  <c r="S1915" i="1"/>
  <c r="T1915" i="1" s="1"/>
  <c r="S1916" i="1"/>
  <c r="T1916" i="1" s="1"/>
  <c r="S1917" i="1"/>
  <c r="T1917" i="1" s="1"/>
  <c r="S1918" i="1"/>
  <c r="T1918" i="1" s="1"/>
  <c r="S1919" i="1"/>
  <c r="T1919" i="1" s="1"/>
  <c r="S1920" i="1"/>
  <c r="T1920" i="1" s="1"/>
  <c r="S1921" i="1"/>
  <c r="T1921" i="1" s="1"/>
  <c r="S1922" i="1"/>
  <c r="T1922" i="1" s="1"/>
  <c r="S1923" i="1"/>
  <c r="T1923" i="1" s="1"/>
  <c r="S1924" i="1"/>
  <c r="T1924" i="1" s="1"/>
  <c r="S1925" i="1"/>
  <c r="T1925" i="1" s="1"/>
  <c r="S1926" i="1"/>
  <c r="T1926" i="1" s="1"/>
  <c r="S1927" i="1"/>
  <c r="T1927" i="1" s="1"/>
  <c r="S1928" i="1"/>
  <c r="T1928" i="1" s="1"/>
  <c r="S1929" i="1"/>
  <c r="T1929" i="1" s="1"/>
  <c r="S1930" i="1"/>
  <c r="T1930" i="1" s="1"/>
  <c r="S1931" i="1"/>
  <c r="T1931" i="1" s="1"/>
  <c r="S1932" i="1"/>
  <c r="T1932" i="1" s="1"/>
  <c r="S1933" i="1"/>
  <c r="T1933" i="1" s="1"/>
  <c r="S1934" i="1"/>
  <c r="T1934" i="1" s="1"/>
  <c r="S1935" i="1"/>
  <c r="T1935" i="1" s="1"/>
  <c r="S1936" i="1"/>
  <c r="T1936" i="1" s="1"/>
  <c r="S1937" i="1"/>
  <c r="T1937" i="1" s="1"/>
  <c r="S1938" i="1"/>
  <c r="T1938" i="1" s="1"/>
  <c r="S1939" i="1"/>
  <c r="T1939" i="1" s="1"/>
  <c r="S1940" i="1"/>
  <c r="T1940" i="1" s="1"/>
  <c r="S1941" i="1"/>
  <c r="T1941" i="1" s="1"/>
  <c r="S1942" i="1"/>
  <c r="T1942" i="1" s="1"/>
  <c r="S1943" i="1"/>
  <c r="T1943" i="1" s="1"/>
  <c r="S1944" i="1"/>
  <c r="T1944" i="1" s="1"/>
  <c r="S1945" i="1"/>
  <c r="T1945" i="1" s="1"/>
  <c r="S1946" i="1"/>
  <c r="T1946" i="1" s="1"/>
  <c r="S1947" i="1"/>
  <c r="T1947" i="1" s="1"/>
  <c r="S1948" i="1"/>
  <c r="T1948" i="1" s="1"/>
  <c r="S1949" i="1"/>
  <c r="T1949" i="1" s="1"/>
  <c r="S1950" i="1"/>
  <c r="T1950" i="1" s="1"/>
  <c r="S1951" i="1"/>
  <c r="T1951" i="1" s="1"/>
  <c r="S1952" i="1"/>
  <c r="T1952" i="1" s="1"/>
  <c r="S1953" i="1"/>
  <c r="T1953" i="1" s="1"/>
  <c r="S1954" i="1"/>
  <c r="T1954" i="1" s="1"/>
  <c r="S1955" i="1"/>
  <c r="T1955" i="1" s="1"/>
  <c r="S1956" i="1"/>
  <c r="T1956" i="1" s="1"/>
  <c r="S1957" i="1"/>
  <c r="T1957" i="1" s="1"/>
  <c r="S1958" i="1"/>
  <c r="T1958" i="1" s="1"/>
  <c r="S1959" i="1"/>
  <c r="T1959" i="1" s="1"/>
  <c r="S1960" i="1"/>
  <c r="T1960" i="1" s="1"/>
  <c r="S1961" i="1"/>
  <c r="T1961" i="1" s="1"/>
  <c r="S1962" i="1"/>
  <c r="T1962" i="1" s="1"/>
  <c r="S1963" i="1"/>
  <c r="T1963" i="1" s="1"/>
  <c r="S1964" i="1"/>
  <c r="T1964" i="1" s="1"/>
  <c r="S1965" i="1"/>
  <c r="T1965" i="1" s="1"/>
  <c r="S1966" i="1"/>
  <c r="T1966" i="1" s="1"/>
  <c r="S1967" i="1"/>
  <c r="T1967" i="1" s="1"/>
  <c r="S1968" i="1"/>
  <c r="T1968" i="1" s="1"/>
  <c r="S1969" i="1"/>
  <c r="T1969" i="1" s="1"/>
  <c r="S1970" i="1"/>
  <c r="T1970" i="1" s="1"/>
  <c r="S1971" i="1"/>
  <c r="T1971" i="1" s="1"/>
  <c r="S1972" i="1"/>
  <c r="T1972" i="1" s="1"/>
  <c r="S1973" i="1"/>
  <c r="T1973" i="1" s="1"/>
  <c r="S1974" i="1"/>
  <c r="T1974" i="1" s="1"/>
  <c r="S1975" i="1"/>
  <c r="T1975" i="1" s="1"/>
  <c r="S1976" i="1"/>
  <c r="T1976" i="1" s="1"/>
  <c r="S1977" i="1"/>
  <c r="T1977" i="1" s="1"/>
  <c r="S1978" i="1"/>
  <c r="T1978" i="1" s="1"/>
  <c r="S1979" i="1"/>
  <c r="T1979" i="1" s="1"/>
  <c r="S1980" i="1"/>
  <c r="T1980" i="1" s="1"/>
  <c r="S1981" i="1"/>
  <c r="T1981" i="1" s="1"/>
  <c r="S1982" i="1"/>
  <c r="T1982" i="1" s="1"/>
  <c r="S1983" i="1"/>
  <c r="T1983" i="1" s="1"/>
  <c r="S1984" i="1"/>
  <c r="T1984" i="1" s="1"/>
  <c r="S1985" i="1"/>
  <c r="T1985" i="1" s="1"/>
  <c r="S1986" i="1"/>
  <c r="T1986" i="1" s="1"/>
  <c r="S1987" i="1"/>
  <c r="T1987" i="1" s="1"/>
  <c r="S1988" i="1"/>
  <c r="T1988" i="1" s="1"/>
  <c r="S1989" i="1"/>
  <c r="T1989" i="1" s="1"/>
  <c r="S1990" i="1"/>
  <c r="T1990" i="1" s="1"/>
  <c r="S1991" i="1"/>
  <c r="T1991" i="1" s="1"/>
  <c r="S1992" i="1"/>
  <c r="T1992" i="1" s="1"/>
  <c r="S1993" i="1"/>
  <c r="T1993" i="1" s="1"/>
  <c r="S1994" i="1"/>
  <c r="T1994" i="1" s="1"/>
  <c r="S1995" i="1"/>
  <c r="T1995" i="1" s="1"/>
  <c r="S1996" i="1"/>
  <c r="T1996" i="1" s="1"/>
  <c r="S1997" i="1"/>
  <c r="T1997" i="1" s="1"/>
  <c r="S1998" i="1"/>
  <c r="T1998" i="1" s="1"/>
  <c r="S1999" i="1"/>
  <c r="T1999" i="1" s="1"/>
  <c r="S2000" i="1"/>
  <c r="T2000" i="1" s="1"/>
  <c r="S2001" i="1"/>
  <c r="T2001" i="1" s="1"/>
  <c r="S2002" i="1"/>
  <c r="T2002" i="1" s="1"/>
  <c r="S2003" i="1"/>
  <c r="T2003" i="1" s="1"/>
  <c r="S2004" i="1"/>
  <c r="T2004" i="1" s="1"/>
  <c r="S2005" i="1"/>
  <c r="T2005" i="1" s="1"/>
  <c r="S2006" i="1"/>
  <c r="T2006" i="1" s="1"/>
  <c r="S2007" i="1"/>
  <c r="T2007" i="1" s="1"/>
  <c r="S2008" i="1"/>
  <c r="T2008" i="1" s="1"/>
  <c r="S2009" i="1"/>
  <c r="T2009" i="1" s="1"/>
  <c r="S2010" i="1"/>
  <c r="T2010" i="1" s="1"/>
  <c r="S2011" i="1"/>
  <c r="T2011" i="1" s="1"/>
  <c r="S2012" i="1"/>
  <c r="T2012" i="1" s="1"/>
  <c r="S2013" i="1"/>
  <c r="T2013" i="1" s="1"/>
  <c r="S2014" i="1"/>
  <c r="T2014" i="1" s="1"/>
  <c r="S2015" i="1"/>
  <c r="T2015" i="1" s="1"/>
  <c r="S2016" i="1"/>
  <c r="T2016" i="1" s="1"/>
  <c r="S2017" i="1"/>
  <c r="T2017" i="1" s="1"/>
  <c r="S2018" i="1"/>
  <c r="T2018" i="1" s="1"/>
  <c r="S2019" i="1"/>
  <c r="T2019" i="1" s="1"/>
  <c r="S2020" i="1"/>
  <c r="T2020" i="1" s="1"/>
  <c r="S2021" i="1"/>
  <c r="T2021" i="1" s="1"/>
  <c r="S2022" i="1"/>
  <c r="T2022" i="1" s="1"/>
  <c r="S2023" i="1"/>
  <c r="T2023" i="1" s="1"/>
  <c r="S2024" i="1"/>
  <c r="T2024" i="1" s="1"/>
  <c r="S2025" i="1"/>
  <c r="T2025" i="1" s="1"/>
  <c r="S2026" i="1"/>
  <c r="T2026" i="1" s="1"/>
  <c r="S2027" i="1"/>
  <c r="T2027" i="1" s="1"/>
  <c r="S2028" i="1"/>
  <c r="T2028" i="1" s="1"/>
  <c r="S2029" i="1"/>
  <c r="T2029" i="1" s="1"/>
  <c r="S2030" i="1"/>
  <c r="T2030" i="1" s="1"/>
  <c r="S2031" i="1"/>
  <c r="T2031" i="1" s="1"/>
  <c r="S2032" i="1"/>
  <c r="T2032" i="1" s="1"/>
  <c r="S2033" i="1"/>
  <c r="T2033" i="1" s="1"/>
  <c r="S2034" i="1"/>
  <c r="T2034" i="1" s="1"/>
  <c r="S2035" i="1"/>
  <c r="T2035" i="1" s="1"/>
  <c r="S2036" i="1"/>
  <c r="T2036" i="1" s="1"/>
  <c r="S2037" i="1"/>
  <c r="T2037" i="1" s="1"/>
  <c r="S2038" i="1"/>
  <c r="T2038" i="1" s="1"/>
  <c r="S2039" i="1"/>
  <c r="T2039" i="1" s="1"/>
  <c r="S2040" i="1"/>
  <c r="T2040" i="1" s="1"/>
  <c r="S2041" i="1"/>
  <c r="T2041" i="1" s="1"/>
  <c r="S2042" i="1"/>
  <c r="T2042" i="1" s="1"/>
  <c r="S2043" i="1"/>
  <c r="T2043" i="1" s="1"/>
  <c r="S2044" i="1"/>
  <c r="T2044" i="1" s="1"/>
  <c r="S2045" i="1"/>
  <c r="T2045" i="1" s="1"/>
  <c r="S2046" i="1"/>
  <c r="T2046" i="1" s="1"/>
  <c r="S2047" i="1"/>
  <c r="T2047" i="1" s="1"/>
  <c r="S2048" i="1"/>
  <c r="T2048" i="1" s="1"/>
  <c r="S2049" i="1"/>
  <c r="T2049" i="1" s="1"/>
  <c r="S2050" i="1"/>
  <c r="T2050" i="1" s="1"/>
  <c r="S2051" i="1"/>
  <c r="T2051" i="1" s="1"/>
  <c r="S2052" i="1"/>
  <c r="T2052" i="1" s="1"/>
  <c r="S2053" i="1"/>
  <c r="T2053" i="1" s="1"/>
  <c r="S2054" i="1"/>
  <c r="T2054" i="1" s="1"/>
  <c r="S2055" i="1"/>
  <c r="T2055" i="1" s="1"/>
  <c r="S2056" i="1"/>
  <c r="T2056" i="1" s="1"/>
  <c r="S2057" i="1"/>
  <c r="T2057" i="1" s="1"/>
  <c r="S2058" i="1"/>
  <c r="T2058" i="1" s="1"/>
  <c r="S2059" i="1"/>
  <c r="T2059" i="1" s="1"/>
  <c r="S2060" i="1"/>
  <c r="T2060" i="1" s="1"/>
  <c r="S2061" i="1"/>
  <c r="T2061" i="1" s="1"/>
  <c r="S2062" i="1"/>
  <c r="T2062" i="1" s="1"/>
  <c r="S2063" i="1"/>
  <c r="T2063" i="1" s="1"/>
  <c r="S2064" i="1"/>
  <c r="T2064" i="1" s="1"/>
  <c r="S2065" i="1"/>
  <c r="T2065" i="1" s="1"/>
  <c r="S2066" i="1"/>
  <c r="T2066" i="1" s="1"/>
  <c r="S2067" i="1"/>
  <c r="T2067" i="1" s="1"/>
  <c r="S2068" i="1"/>
  <c r="T2068" i="1" s="1"/>
  <c r="S2069" i="1"/>
  <c r="T2069" i="1" s="1"/>
  <c r="S2070" i="1"/>
  <c r="T2070" i="1" s="1"/>
  <c r="S2071" i="1"/>
  <c r="T2071" i="1" s="1"/>
  <c r="S2072" i="1"/>
  <c r="T2072" i="1" s="1"/>
  <c r="S2073" i="1"/>
  <c r="T2073" i="1" s="1"/>
  <c r="S2074" i="1"/>
  <c r="T2074" i="1" s="1"/>
  <c r="S2075" i="1"/>
  <c r="T2075" i="1" s="1"/>
  <c r="S2076" i="1"/>
  <c r="T2076" i="1" s="1"/>
  <c r="S2077" i="1"/>
  <c r="T2077" i="1" s="1"/>
  <c r="S2078" i="1"/>
  <c r="T2078" i="1" s="1"/>
  <c r="S2079" i="1"/>
  <c r="T2079" i="1" s="1"/>
  <c r="S2080" i="1"/>
  <c r="T2080" i="1" s="1"/>
  <c r="S2081" i="1"/>
  <c r="T2081" i="1" s="1"/>
  <c r="S2082" i="1"/>
  <c r="T2082" i="1" s="1"/>
  <c r="S2083" i="1"/>
  <c r="T2083" i="1" s="1"/>
  <c r="S2084" i="1"/>
  <c r="T2084" i="1" s="1"/>
  <c r="S2085" i="1"/>
  <c r="T2085" i="1" s="1"/>
  <c r="S2086" i="1"/>
  <c r="T2086" i="1" s="1"/>
  <c r="S2087" i="1"/>
  <c r="T2087" i="1" s="1"/>
  <c r="S2088" i="1"/>
  <c r="T2088" i="1" s="1"/>
  <c r="S2089" i="1"/>
  <c r="T2089" i="1" s="1"/>
  <c r="S2090" i="1"/>
  <c r="T2090" i="1" s="1"/>
  <c r="S2091" i="1"/>
  <c r="T2091" i="1" s="1"/>
  <c r="S2092" i="1"/>
  <c r="T2092" i="1" s="1"/>
  <c r="S2093" i="1"/>
  <c r="T2093" i="1" s="1"/>
  <c r="S2094" i="1"/>
  <c r="T2094" i="1" s="1"/>
  <c r="S2095" i="1"/>
  <c r="T2095" i="1" s="1"/>
  <c r="S2096" i="1"/>
  <c r="T2096" i="1" s="1"/>
  <c r="S2097" i="1"/>
  <c r="T2097" i="1" s="1"/>
  <c r="S2098" i="1"/>
  <c r="T2098" i="1" s="1"/>
  <c r="S2099" i="1"/>
  <c r="T2099" i="1" s="1"/>
  <c r="S2100" i="1"/>
  <c r="T2100" i="1" s="1"/>
  <c r="S2101" i="1"/>
  <c r="T2101" i="1" s="1"/>
  <c r="S2102" i="1"/>
  <c r="T2102" i="1" s="1"/>
  <c r="S2103" i="1"/>
  <c r="T2103" i="1" s="1"/>
  <c r="S2104" i="1"/>
  <c r="T2104" i="1" s="1"/>
  <c r="S2105" i="1"/>
  <c r="T2105" i="1" s="1"/>
  <c r="S2106" i="1"/>
  <c r="T2106" i="1" s="1"/>
  <c r="S2107" i="1"/>
  <c r="T2107" i="1" s="1"/>
  <c r="S2108" i="1"/>
  <c r="T2108" i="1" s="1"/>
  <c r="S2109" i="1"/>
  <c r="T2109" i="1" s="1"/>
  <c r="S2110" i="1"/>
  <c r="T2110" i="1" s="1"/>
  <c r="S2111" i="1"/>
  <c r="T2111" i="1" s="1"/>
  <c r="S2112" i="1"/>
  <c r="T2112" i="1" s="1"/>
  <c r="S2113" i="1"/>
  <c r="T2113" i="1" s="1"/>
  <c r="S2114" i="1"/>
  <c r="T2114" i="1" s="1"/>
  <c r="S2115" i="1"/>
  <c r="T2115" i="1" s="1"/>
  <c r="S2116" i="1"/>
  <c r="T2116" i="1" s="1"/>
  <c r="S2117" i="1"/>
  <c r="T2117" i="1" s="1"/>
  <c r="S2118" i="1"/>
  <c r="T2118" i="1" s="1"/>
  <c r="S2119" i="1"/>
  <c r="T2119" i="1" s="1"/>
  <c r="S2120" i="1"/>
  <c r="T2120" i="1" s="1"/>
  <c r="S2121" i="1"/>
  <c r="T2121" i="1" s="1"/>
  <c r="S2122" i="1"/>
  <c r="T2122" i="1" s="1"/>
  <c r="S2123" i="1"/>
  <c r="T2123" i="1" s="1"/>
  <c r="S2124" i="1"/>
  <c r="T2124" i="1" s="1"/>
  <c r="S2125" i="1"/>
  <c r="T2125" i="1" s="1"/>
  <c r="S2126" i="1"/>
  <c r="T2126" i="1" s="1"/>
  <c r="S2127" i="1"/>
  <c r="T2127" i="1" s="1"/>
  <c r="S2128" i="1"/>
  <c r="T2128" i="1" s="1"/>
  <c r="S2129" i="1"/>
  <c r="T2129" i="1" s="1"/>
  <c r="S2130" i="1"/>
  <c r="T2130" i="1" s="1"/>
  <c r="S2131" i="1"/>
  <c r="T2131" i="1" s="1"/>
  <c r="S2132" i="1"/>
  <c r="T2132" i="1" s="1"/>
  <c r="S2133" i="1"/>
  <c r="T2133" i="1" s="1"/>
  <c r="S2134" i="1"/>
  <c r="T2134" i="1" s="1"/>
  <c r="S2135" i="1"/>
  <c r="T2135" i="1" s="1"/>
  <c r="S2136" i="1"/>
  <c r="T2136" i="1" s="1"/>
  <c r="S2137" i="1"/>
  <c r="T2137" i="1" s="1"/>
  <c r="S2138" i="1"/>
  <c r="T2138" i="1" s="1"/>
  <c r="S2139" i="1"/>
  <c r="T2139" i="1" s="1"/>
  <c r="S2140" i="1"/>
  <c r="T2140" i="1" s="1"/>
  <c r="S2141" i="1"/>
  <c r="T2141" i="1" s="1"/>
  <c r="S2142" i="1"/>
  <c r="T2142" i="1" s="1"/>
  <c r="S2143" i="1"/>
  <c r="T2143" i="1" s="1"/>
  <c r="S2144" i="1"/>
  <c r="T2144" i="1" s="1"/>
  <c r="S2145" i="1"/>
  <c r="T2145" i="1" s="1"/>
  <c r="S2146" i="1"/>
  <c r="T2146" i="1" s="1"/>
  <c r="S2147" i="1"/>
  <c r="T2147" i="1" s="1"/>
  <c r="S2148" i="1"/>
  <c r="T2148" i="1" s="1"/>
  <c r="S2149" i="1"/>
  <c r="T2149" i="1" s="1"/>
  <c r="S2150" i="1"/>
  <c r="T2150" i="1" s="1"/>
  <c r="S2151" i="1"/>
  <c r="T2151" i="1" s="1"/>
  <c r="S2152" i="1"/>
  <c r="T2152" i="1" s="1"/>
  <c r="S2153" i="1"/>
  <c r="T2153" i="1" s="1"/>
  <c r="S2154" i="1"/>
  <c r="T2154" i="1" s="1"/>
  <c r="S2155" i="1"/>
  <c r="T2155" i="1" s="1"/>
  <c r="S2156" i="1"/>
  <c r="T2156" i="1" s="1"/>
  <c r="S2157" i="1"/>
  <c r="T2157" i="1" s="1"/>
  <c r="S2158" i="1"/>
  <c r="T2158" i="1" s="1"/>
  <c r="S2159" i="1"/>
  <c r="T2159" i="1" s="1"/>
  <c r="S2160" i="1"/>
  <c r="T2160" i="1" s="1"/>
  <c r="S2161" i="1"/>
  <c r="T2161" i="1" s="1"/>
  <c r="S2162" i="1"/>
  <c r="T2162" i="1" s="1"/>
  <c r="S2163" i="1"/>
  <c r="T2163" i="1" s="1"/>
  <c r="S2164" i="1"/>
  <c r="T2164" i="1" s="1"/>
  <c r="S2165" i="1"/>
  <c r="T2165" i="1" s="1"/>
  <c r="S2166" i="1"/>
  <c r="T2166" i="1" s="1"/>
  <c r="S2167" i="1"/>
  <c r="T2167" i="1" s="1"/>
  <c r="S2168" i="1"/>
  <c r="T2168" i="1" s="1"/>
  <c r="S2169" i="1"/>
  <c r="T2169" i="1" s="1"/>
  <c r="S2170" i="1"/>
  <c r="T2170" i="1" s="1"/>
  <c r="S2171" i="1"/>
  <c r="T2171" i="1" s="1"/>
  <c r="S2172" i="1"/>
  <c r="T2172" i="1" s="1"/>
  <c r="S2173" i="1"/>
  <c r="T2173" i="1" s="1"/>
  <c r="S2174" i="1"/>
  <c r="T2174" i="1" s="1"/>
  <c r="S2175" i="1"/>
  <c r="T2175" i="1" s="1"/>
  <c r="S2176" i="1"/>
  <c r="T2176" i="1" s="1"/>
  <c r="S2177" i="1"/>
  <c r="T2177" i="1" s="1"/>
  <c r="S2178" i="1"/>
  <c r="T2178" i="1" s="1"/>
  <c r="S2179" i="1"/>
  <c r="T2179" i="1" s="1"/>
  <c r="S2180" i="1"/>
  <c r="T2180" i="1" s="1"/>
  <c r="S2181" i="1"/>
  <c r="T2181" i="1" s="1"/>
  <c r="S2182" i="1"/>
  <c r="T2182" i="1" s="1"/>
  <c r="S2183" i="1"/>
  <c r="T2183" i="1" s="1"/>
  <c r="S2184" i="1"/>
  <c r="T2184" i="1" s="1"/>
  <c r="S2185" i="1"/>
  <c r="T2185" i="1" s="1"/>
  <c r="S2186" i="1"/>
  <c r="T2186" i="1" s="1"/>
  <c r="S2187" i="1"/>
  <c r="T2187" i="1" s="1"/>
  <c r="S2188" i="1"/>
  <c r="T2188" i="1" s="1"/>
  <c r="S2189" i="1"/>
  <c r="T2189" i="1" s="1"/>
  <c r="S2190" i="1"/>
  <c r="T2190" i="1" s="1"/>
  <c r="S2191" i="1"/>
  <c r="T2191" i="1" s="1"/>
  <c r="S2192" i="1"/>
  <c r="T2192" i="1" s="1"/>
  <c r="S2193" i="1"/>
  <c r="T2193" i="1" s="1"/>
  <c r="S2194" i="1"/>
  <c r="T2194" i="1" s="1"/>
  <c r="S2195" i="1"/>
  <c r="T2195" i="1" s="1"/>
  <c r="S2196" i="1"/>
  <c r="T2196" i="1" s="1"/>
  <c r="S2197" i="1"/>
  <c r="T2197" i="1" s="1"/>
  <c r="S2198" i="1"/>
  <c r="T2198" i="1" s="1"/>
  <c r="S2199" i="1"/>
  <c r="T2199" i="1" s="1"/>
  <c r="S2200" i="1"/>
  <c r="T2200" i="1" s="1"/>
  <c r="S2201" i="1"/>
  <c r="T2201" i="1" s="1"/>
  <c r="S2202" i="1"/>
  <c r="T2202" i="1" s="1"/>
  <c r="S2203" i="1"/>
  <c r="T2203" i="1" s="1"/>
  <c r="S2204" i="1"/>
  <c r="T2204" i="1" s="1"/>
  <c r="S2205" i="1"/>
  <c r="T2205" i="1" s="1"/>
  <c r="S2206" i="1"/>
  <c r="T2206" i="1" s="1"/>
  <c r="S2207" i="1"/>
  <c r="T2207" i="1" s="1"/>
  <c r="S2208" i="1"/>
  <c r="T2208" i="1" s="1"/>
  <c r="S2209" i="1"/>
  <c r="T2209" i="1" s="1"/>
  <c r="S2210" i="1"/>
  <c r="T2210" i="1" s="1"/>
  <c r="S2211" i="1"/>
  <c r="T2211" i="1" s="1"/>
  <c r="S2212" i="1"/>
  <c r="T2212" i="1" s="1"/>
  <c r="S2213" i="1"/>
  <c r="T2213" i="1" s="1"/>
  <c r="S2214" i="1"/>
  <c r="T2214" i="1" s="1"/>
  <c r="S2215" i="1"/>
  <c r="T2215" i="1" s="1"/>
  <c r="S2216" i="1"/>
  <c r="T2216" i="1" s="1"/>
  <c r="S2217" i="1"/>
  <c r="T2217" i="1" s="1"/>
  <c r="S2218" i="1"/>
  <c r="T2218" i="1" s="1"/>
  <c r="S2219" i="1"/>
  <c r="T2219" i="1" s="1"/>
  <c r="S2220" i="1"/>
  <c r="T2220" i="1" s="1"/>
  <c r="S2221" i="1"/>
  <c r="T2221" i="1" s="1"/>
  <c r="S2222" i="1"/>
  <c r="T2222" i="1" s="1"/>
  <c r="S2223" i="1"/>
  <c r="T2223" i="1" s="1"/>
  <c r="S2224" i="1"/>
  <c r="T2224" i="1" s="1"/>
  <c r="S2225" i="1"/>
  <c r="T2225" i="1" s="1"/>
  <c r="S2226" i="1"/>
  <c r="T2226" i="1" s="1"/>
  <c r="S2227" i="1"/>
  <c r="T2227" i="1" s="1"/>
  <c r="S2228" i="1"/>
  <c r="T2228" i="1" s="1"/>
  <c r="S2229" i="1"/>
  <c r="T2229" i="1" s="1"/>
  <c r="S2230" i="1"/>
  <c r="T2230" i="1" s="1"/>
  <c r="S2231" i="1"/>
  <c r="T2231" i="1" s="1"/>
  <c r="S2232" i="1"/>
  <c r="T2232" i="1" s="1"/>
  <c r="S2233" i="1"/>
  <c r="T2233" i="1" s="1"/>
  <c r="S2234" i="1"/>
  <c r="T2234" i="1" s="1"/>
  <c r="S2235" i="1"/>
  <c r="T2235" i="1" s="1"/>
  <c r="S2236" i="1"/>
  <c r="T2236" i="1" s="1"/>
  <c r="S2237" i="1"/>
  <c r="T2237" i="1" s="1"/>
  <c r="S2238" i="1"/>
  <c r="T2238" i="1" s="1"/>
  <c r="S2239" i="1"/>
  <c r="T2239" i="1" s="1"/>
  <c r="S2240" i="1"/>
  <c r="T2240" i="1" s="1"/>
  <c r="S2241" i="1"/>
  <c r="T2241" i="1" s="1"/>
  <c r="S2242" i="1"/>
  <c r="T2242" i="1" s="1"/>
  <c r="S2243" i="1"/>
  <c r="T2243" i="1" s="1"/>
  <c r="S2244" i="1"/>
  <c r="T2244" i="1" s="1"/>
  <c r="S2245" i="1"/>
  <c r="T2245" i="1" s="1"/>
  <c r="S2246" i="1"/>
  <c r="T2246" i="1" s="1"/>
  <c r="S2247" i="1"/>
  <c r="T2247" i="1" s="1"/>
  <c r="S2248" i="1"/>
  <c r="T2248" i="1" s="1"/>
  <c r="S2249" i="1"/>
  <c r="T2249" i="1" s="1"/>
  <c r="S2250" i="1"/>
  <c r="T2250" i="1" s="1"/>
  <c r="S2251" i="1"/>
  <c r="T2251" i="1" s="1"/>
  <c r="S2252" i="1"/>
  <c r="T2252" i="1" s="1"/>
  <c r="S2253" i="1"/>
  <c r="T2253" i="1" s="1"/>
  <c r="S2254" i="1"/>
  <c r="T2254" i="1" s="1"/>
  <c r="S2255" i="1"/>
  <c r="T2255" i="1" s="1"/>
  <c r="S2256" i="1"/>
  <c r="T2256" i="1" s="1"/>
  <c r="S2257" i="1"/>
  <c r="T2257" i="1" s="1"/>
  <c r="S2258" i="1"/>
  <c r="T2258" i="1" s="1"/>
  <c r="S2259" i="1"/>
  <c r="T2259" i="1" s="1"/>
  <c r="S2260" i="1"/>
  <c r="T2260" i="1" s="1"/>
  <c r="S2261" i="1"/>
  <c r="T2261" i="1" s="1"/>
  <c r="S2262" i="1"/>
  <c r="T2262" i="1" s="1"/>
  <c r="S2263" i="1"/>
  <c r="T2263" i="1" s="1"/>
  <c r="S2264" i="1"/>
  <c r="T2264" i="1" s="1"/>
  <c r="S2265" i="1"/>
  <c r="T2265" i="1" s="1"/>
  <c r="S2266" i="1"/>
  <c r="T2266" i="1" s="1"/>
  <c r="S2267" i="1"/>
  <c r="T2267" i="1" s="1"/>
  <c r="S2268" i="1"/>
  <c r="T2268" i="1" s="1"/>
  <c r="S2269" i="1"/>
  <c r="T2269" i="1" s="1"/>
  <c r="S2270" i="1"/>
  <c r="T2270" i="1" s="1"/>
  <c r="S2271" i="1"/>
  <c r="T2271" i="1" s="1"/>
  <c r="S2272" i="1"/>
  <c r="T2272" i="1" s="1"/>
  <c r="S2273" i="1"/>
  <c r="T2273" i="1" s="1"/>
  <c r="S2274" i="1"/>
  <c r="T2274" i="1" s="1"/>
  <c r="S2275" i="1"/>
  <c r="T2275" i="1" s="1"/>
  <c r="S2276" i="1"/>
  <c r="T2276" i="1" s="1"/>
  <c r="S2277" i="1"/>
  <c r="T2277" i="1" s="1"/>
  <c r="S2278" i="1"/>
  <c r="T2278" i="1" s="1"/>
  <c r="S2279" i="1"/>
  <c r="T2279" i="1" s="1"/>
  <c r="S2280" i="1"/>
  <c r="T2280" i="1" s="1"/>
  <c r="S2281" i="1"/>
  <c r="T2281" i="1" s="1"/>
  <c r="S2282" i="1"/>
  <c r="T2282" i="1" s="1"/>
  <c r="S2283" i="1"/>
  <c r="T2283" i="1" s="1"/>
  <c r="S2284" i="1"/>
  <c r="T2284" i="1" s="1"/>
  <c r="S2285" i="1"/>
  <c r="T2285" i="1" s="1"/>
  <c r="S2286" i="1"/>
  <c r="T2286" i="1" s="1"/>
  <c r="S2287" i="1"/>
  <c r="T2287" i="1" s="1"/>
  <c r="S2288" i="1"/>
  <c r="T2288" i="1" s="1"/>
  <c r="S2289" i="1"/>
  <c r="T2289" i="1" s="1"/>
  <c r="S2290" i="1"/>
  <c r="T2290" i="1" s="1"/>
  <c r="S2291" i="1"/>
  <c r="T2291" i="1" s="1"/>
  <c r="S2292" i="1"/>
  <c r="T2292" i="1" s="1"/>
  <c r="S2293" i="1"/>
  <c r="T2293" i="1" s="1"/>
  <c r="S2294" i="1"/>
  <c r="T2294" i="1" s="1"/>
  <c r="S2295" i="1"/>
  <c r="T2295" i="1" s="1"/>
  <c r="S2296" i="1"/>
  <c r="T2296" i="1" s="1"/>
  <c r="S2297" i="1"/>
  <c r="T2297" i="1" s="1"/>
  <c r="S2298" i="1"/>
  <c r="T2298" i="1" s="1"/>
  <c r="S2299" i="1"/>
  <c r="T2299" i="1" s="1"/>
  <c r="S2300" i="1"/>
  <c r="T2300" i="1" s="1"/>
  <c r="S2301" i="1"/>
  <c r="T2301" i="1" s="1"/>
  <c r="S2302" i="1"/>
  <c r="T2302" i="1" s="1"/>
  <c r="S2303" i="1"/>
  <c r="T2303" i="1" s="1"/>
  <c r="S2304" i="1"/>
  <c r="T2304" i="1" s="1"/>
  <c r="S2305" i="1"/>
  <c r="T2305" i="1" s="1"/>
  <c r="S2306" i="1"/>
  <c r="T2306" i="1" s="1"/>
  <c r="S2307" i="1"/>
  <c r="T2307" i="1" s="1"/>
  <c r="S2308" i="1"/>
  <c r="T2308" i="1" s="1"/>
  <c r="S2309" i="1"/>
  <c r="T2309" i="1" s="1"/>
  <c r="S2310" i="1"/>
  <c r="T2310" i="1" s="1"/>
  <c r="S2311" i="1"/>
  <c r="T2311" i="1" s="1"/>
  <c r="S2312" i="1"/>
  <c r="T2312" i="1" s="1"/>
  <c r="S2313" i="1"/>
  <c r="T2313" i="1" s="1"/>
  <c r="S2314" i="1"/>
  <c r="T2314" i="1" s="1"/>
  <c r="S2315" i="1"/>
  <c r="T2315" i="1" s="1"/>
  <c r="S2316" i="1"/>
  <c r="T2316" i="1" s="1"/>
  <c r="S2317" i="1"/>
  <c r="T2317" i="1" s="1"/>
  <c r="S2318" i="1"/>
  <c r="T2318" i="1" s="1"/>
  <c r="S2319" i="1"/>
  <c r="T2319" i="1" s="1"/>
  <c r="S2320" i="1"/>
  <c r="T2320" i="1" s="1"/>
  <c r="S2321" i="1"/>
  <c r="T2321" i="1" s="1"/>
  <c r="S2322" i="1"/>
  <c r="T2322" i="1" s="1"/>
  <c r="S2323" i="1"/>
  <c r="T2323" i="1" s="1"/>
  <c r="S2324" i="1"/>
  <c r="T2324" i="1" s="1"/>
  <c r="S2325" i="1"/>
  <c r="T2325" i="1" s="1"/>
  <c r="S2326" i="1"/>
  <c r="T2326" i="1" s="1"/>
  <c r="S2327" i="1"/>
  <c r="T2327" i="1" s="1"/>
  <c r="S2328" i="1"/>
  <c r="T2328" i="1" s="1"/>
  <c r="S2329" i="1"/>
  <c r="T2329" i="1" s="1"/>
  <c r="S2330" i="1"/>
  <c r="T2330" i="1" s="1"/>
  <c r="S2331" i="1"/>
  <c r="T2331" i="1" s="1"/>
  <c r="S2332" i="1"/>
  <c r="T2332" i="1" s="1"/>
  <c r="S2333" i="1"/>
  <c r="T2333" i="1" s="1"/>
  <c r="S2334" i="1"/>
  <c r="T2334" i="1" s="1"/>
  <c r="S2335" i="1"/>
  <c r="T2335" i="1" s="1"/>
  <c r="S2336" i="1"/>
  <c r="T2336" i="1" s="1"/>
  <c r="S2337" i="1"/>
  <c r="T2337" i="1" s="1"/>
  <c r="S2338" i="1"/>
  <c r="T2338" i="1" s="1"/>
  <c r="S2339" i="1"/>
  <c r="T2339" i="1" s="1"/>
  <c r="S2340" i="1"/>
  <c r="T2340" i="1" s="1"/>
  <c r="S2341" i="1"/>
  <c r="T2341" i="1" s="1"/>
  <c r="S2342" i="1"/>
  <c r="T2342" i="1" s="1"/>
  <c r="S2343" i="1"/>
  <c r="T2343" i="1" s="1"/>
  <c r="S2344" i="1"/>
  <c r="T2344" i="1" s="1"/>
  <c r="S2345" i="1"/>
  <c r="T2345" i="1" s="1"/>
  <c r="S2346" i="1"/>
  <c r="T2346" i="1" s="1"/>
  <c r="S2347" i="1"/>
  <c r="T2347" i="1" s="1"/>
  <c r="S2348" i="1"/>
  <c r="T2348" i="1" s="1"/>
  <c r="S2349" i="1"/>
  <c r="T2349" i="1" s="1"/>
  <c r="S2350" i="1"/>
  <c r="T2350" i="1" s="1"/>
  <c r="S2351" i="1"/>
  <c r="T2351" i="1" s="1"/>
  <c r="S2352" i="1"/>
  <c r="T2352" i="1" s="1"/>
  <c r="S2353" i="1"/>
  <c r="T2353" i="1" s="1"/>
  <c r="S2354" i="1"/>
  <c r="T2354" i="1" s="1"/>
  <c r="S2355" i="1"/>
  <c r="T2355" i="1" s="1"/>
  <c r="S2356" i="1"/>
  <c r="T2356" i="1" s="1"/>
  <c r="S2357" i="1"/>
  <c r="T2357" i="1" s="1"/>
  <c r="S2358" i="1"/>
  <c r="T2358" i="1" s="1"/>
  <c r="S2359" i="1"/>
  <c r="T2359" i="1" s="1"/>
  <c r="S2360" i="1"/>
  <c r="T2360" i="1" s="1"/>
  <c r="S2361" i="1"/>
  <c r="T2361" i="1" s="1"/>
  <c r="S2362" i="1"/>
  <c r="T2362" i="1" s="1"/>
  <c r="S2363" i="1"/>
  <c r="T2363" i="1" s="1"/>
  <c r="S2364" i="1"/>
  <c r="T2364" i="1" s="1"/>
  <c r="S2365" i="1"/>
  <c r="T2365" i="1" s="1"/>
  <c r="S2366" i="1"/>
  <c r="T2366" i="1" s="1"/>
  <c r="S2367" i="1"/>
  <c r="T2367" i="1" s="1"/>
  <c r="S2368" i="1"/>
  <c r="T2368" i="1" s="1"/>
  <c r="S2369" i="1"/>
  <c r="T2369" i="1" s="1"/>
  <c r="S2370" i="1"/>
  <c r="T2370" i="1" s="1"/>
  <c r="S2371" i="1"/>
  <c r="T2371" i="1" s="1"/>
  <c r="S2372" i="1"/>
  <c r="T2372" i="1" s="1"/>
  <c r="S2373" i="1"/>
  <c r="T2373" i="1" s="1"/>
  <c r="S2374" i="1"/>
  <c r="T2374" i="1" s="1"/>
  <c r="S2375" i="1"/>
  <c r="T2375" i="1" s="1"/>
  <c r="S2376" i="1"/>
  <c r="T2376" i="1" s="1"/>
  <c r="S2377" i="1"/>
  <c r="T2377" i="1" s="1"/>
  <c r="S2378" i="1"/>
  <c r="T2378" i="1" s="1"/>
  <c r="S2379" i="1"/>
  <c r="T2379" i="1" s="1"/>
  <c r="S2380" i="1"/>
  <c r="T2380" i="1" s="1"/>
  <c r="S2381" i="1"/>
  <c r="T2381" i="1" s="1"/>
  <c r="S2382" i="1"/>
  <c r="T2382" i="1" s="1"/>
  <c r="S2383" i="1"/>
  <c r="T2383" i="1" s="1"/>
  <c r="S2384" i="1"/>
  <c r="T2384" i="1" s="1"/>
  <c r="S2385" i="1"/>
  <c r="T2385" i="1" s="1"/>
  <c r="S2386" i="1"/>
  <c r="T2386" i="1" s="1"/>
  <c r="S2387" i="1"/>
  <c r="T2387" i="1" s="1"/>
  <c r="S2388" i="1"/>
  <c r="T2388" i="1" s="1"/>
  <c r="S2389" i="1"/>
  <c r="T2389" i="1" s="1"/>
  <c r="S2390" i="1"/>
  <c r="T2390" i="1" s="1"/>
  <c r="S2391" i="1"/>
  <c r="T2391" i="1" s="1"/>
  <c r="S2392" i="1"/>
  <c r="T2392" i="1" s="1"/>
  <c r="S2393" i="1"/>
  <c r="T2393" i="1" s="1"/>
  <c r="S2394" i="1"/>
  <c r="T2394" i="1" s="1"/>
  <c r="S2395" i="1"/>
  <c r="T2395" i="1" s="1"/>
  <c r="S2396" i="1"/>
  <c r="T2396" i="1" s="1"/>
  <c r="S2397" i="1"/>
  <c r="T2397" i="1" s="1"/>
  <c r="S2398" i="1"/>
  <c r="T2398" i="1" s="1"/>
  <c r="S2399" i="1"/>
  <c r="T2399" i="1" s="1"/>
  <c r="S2400" i="1"/>
  <c r="T2400" i="1" s="1"/>
  <c r="S2401" i="1"/>
  <c r="T2401" i="1" s="1"/>
  <c r="S2402" i="1"/>
  <c r="T2402" i="1" s="1"/>
  <c r="S2403" i="1"/>
  <c r="T2403" i="1" s="1"/>
  <c r="S2404" i="1"/>
  <c r="T2404" i="1" s="1"/>
  <c r="S2405" i="1"/>
  <c r="T2405" i="1" s="1"/>
  <c r="S2406" i="1"/>
  <c r="T2406" i="1" s="1"/>
  <c r="S2407" i="1"/>
  <c r="T2407" i="1" s="1"/>
  <c r="S2408" i="1"/>
  <c r="T2408" i="1" s="1"/>
  <c r="S2409" i="1"/>
  <c r="T2409" i="1" s="1"/>
  <c r="S2410" i="1"/>
  <c r="T2410" i="1" s="1"/>
  <c r="S2411" i="1"/>
  <c r="T2411" i="1" s="1"/>
  <c r="S2412" i="1"/>
  <c r="T2412" i="1" s="1"/>
  <c r="S2413" i="1"/>
  <c r="T2413" i="1" s="1"/>
  <c r="S2414" i="1"/>
  <c r="T2414" i="1" s="1"/>
  <c r="S2415" i="1"/>
  <c r="T2415" i="1" s="1"/>
  <c r="S2416" i="1"/>
  <c r="T2416" i="1" s="1"/>
  <c r="S2417" i="1"/>
  <c r="T2417" i="1" s="1"/>
  <c r="S2418" i="1"/>
  <c r="T2418" i="1" s="1"/>
  <c r="S2419" i="1"/>
  <c r="T2419" i="1" s="1"/>
  <c r="S2420" i="1"/>
  <c r="T2420" i="1" s="1"/>
  <c r="S2421" i="1"/>
  <c r="T2421" i="1" s="1"/>
  <c r="S2422" i="1"/>
  <c r="T2422" i="1" s="1"/>
  <c r="S2423" i="1"/>
  <c r="T2423" i="1" s="1"/>
  <c r="S2424" i="1"/>
  <c r="T2424" i="1" s="1"/>
  <c r="S2425" i="1"/>
  <c r="T2425" i="1" s="1"/>
  <c r="S2426" i="1"/>
  <c r="T2426" i="1" s="1"/>
  <c r="S2427" i="1"/>
  <c r="T2427" i="1" s="1"/>
  <c r="S2428" i="1"/>
  <c r="T2428" i="1" s="1"/>
  <c r="S2429" i="1"/>
  <c r="T2429" i="1" s="1"/>
  <c r="S2430" i="1"/>
  <c r="T2430" i="1" s="1"/>
  <c r="S2431" i="1"/>
  <c r="T2431" i="1" s="1"/>
  <c r="S2432" i="1"/>
  <c r="T2432" i="1" s="1"/>
  <c r="S2433" i="1"/>
  <c r="T2433" i="1" s="1"/>
  <c r="S2434" i="1"/>
  <c r="T2434" i="1" s="1"/>
  <c r="S2435" i="1"/>
  <c r="T2435" i="1" s="1"/>
  <c r="S2436" i="1"/>
  <c r="T2436" i="1" s="1"/>
  <c r="S2437" i="1"/>
  <c r="T2437" i="1" s="1"/>
  <c r="S2438" i="1"/>
  <c r="T2438" i="1" s="1"/>
  <c r="S2439" i="1"/>
  <c r="T2439" i="1" s="1"/>
  <c r="S2440" i="1"/>
  <c r="T2440" i="1" s="1"/>
  <c r="S2441" i="1"/>
  <c r="T2441" i="1" s="1"/>
  <c r="S2442" i="1"/>
  <c r="T2442" i="1" s="1"/>
  <c r="S2443" i="1"/>
  <c r="T2443" i="1" s="1"/>
  <c r="S2444" i="1"/>
  <c r="T2444" i="1" s="1"/>
  <c r="S2445" i="1"/>
  <c r="T2445" i="1" s="1"/>
  <c r="S2446" i="1"/>
  <c r="T2446" i="1" s="1"/>
  <c r="S2447" i="1"/>
  <c r="T2447" i="1" s="1"/>
  <c r="S2448" i="1"/>
  <c r="T2448" i="1" s="1"/>
  <c r="S2449" i="1"/>
  <c r="T2449" i="1" s="1"/>
  <c r="S2450" i="1"/>
  <c r="T2450" i="1" s="1"/>
  <c r="S2451" i="1"/>
  <c r="T2451" i="1" s="1"/>
  <c r="S2452" i="1"/>
  <c r="T2452" i="1" s="1"/>
  <c r="S2453" i="1"/>
  <c r="T2453" i="1" s="1"/>
  <c r="S2454" i="1"/>
  <c r="T2454" i="1" s="1"/>
  <c r="S2455" i="1"/>
  <c r="T2455" i="1" s="1"/>
  <c r="S2456" i="1"/>
  <c r="T2456" i="1" s="1"/>
  <c r="S2457" i="1"/>
  <c r="T2457" i="1" s="1"/>
  <c r="S2458" i="1"/>
  <c r="T2458" i="1" s="1"/>
  <c r="S2459" i="1"/>
  <c r="T2459" i="1" s="1"/>
  <c r="S2460" i="1"/>
  <c r="T2460" i="1" s="1"/>
  <c r="S2461" i="1"/>
  <c r="T2461" i="1" s="1"/>
  <c r="S2462" i="1"/>
  <c r="T2462" i="1" s="1"/>
  <c r="S2463" i="1"/>
  <c r="T2463" i="1" s="1"/>
  <c r="S2464" i="1"/>
  <c r="T2464" i="1" s="1"/>
  <c r="S2465" i="1"/>
  <c r="T2465" i="1" s="1"/>
  <c r="S2466" i="1"/>
  <c r="T2466" i="1" s="1"/>
  <c r="S2467" i="1"/>
  <c r="T2467" i="1" s="1"/>
  <c r="S2468" i="1"/>
  <c r="T2468" i="1" s="1"/>
  <c r="S2469" i="1"/>
  <c r="T2469" i="1" s="1"/>
  <c r="S2470" i="1"/>
  <c r="T2470" i="1" s="1"/>
  <c r="S2471" i="1"/>
  <c r="T2471" i="1" s="1"/>
  <c r="S2472" i="1"/>
  <c r="T2472" i="1" s="1"/>
  <c r="S2473" i="1"/>
  <c r="T2473" i="1" s="1"/>
  <c r="S2474" i="1"/>
  <c r="T2474" i="1" s="1"/>
  <c r="S2475" i="1"/>
  <c r="T2475" i="1" s="1"/>
  <c r="S2476" i="1"/>
  <c r="T2476" i="1" s="1"/>
  <c r="S2477" i="1"/>
  <c r="T2477" i="1" s="1"/>
  <c r="S2478" i="1"/>
  <c r="T2478" i="1" s="1"/>
  <c r="S2479" i="1"/>
  <c r="T2479" i="1" s="1"/>
  <c r="S2480" i="1"/>
  <c r="T2480" i="1" s="1"/>
  <c r="S2481" i="1"/>
  <c r="T2481" i="1" s="1"/>
  <c r="S2482" i="1"/>
  <c r="T2482" i="1" s="1"/>
  <c r="S2483" i="1"/>
  <c r="T2483" i="1" s="1"/>
  <c r="S2484" i="1"/>
  <c r="T2484" i="1" s="1"/>
  <c r="S2485" i="1"/>
  <c r="T2485" i="1" s="1"/>
  <c r="S2486" i="1"/>
  <c r="T2486" i="1" s="1"/>
  <c r="S2487" i="1"/>
  <c r="T2487" i="1" s="1"/>
  <c r="S2488" i="1"/>
  <c r="T2488" i="1" s="1"/>
  <c r="S2489" i="1"/>
  <c r="T2489" i="1" s="1"/>
  <c r="S2490" i="1"/>
  <c r="T2490" i="1" s="1"/>
  <c r="S2491" i="1"/>
  <c r="T2491" i="1" s="1"/>
  <c r="S2492" i="1"/>
  <c r="T2492" i="1" s="1"/>
  <c r="S2493" i="1"/>
  <c r="T2493" i="1" s="1"/>
  <c r="S2494" i="1"/>
  <c r="T2494" i="1" s="1"/>
  <c r="S2495" i="1"/>
  <c r="T2495" i="1" s="1"/>
  <c r="S2496" i="1"/>
  <c r="T2496" i="1" s="1"/>
  <c r="S2497" i="1"/>
  <c r="T2497" i="1" s="1"/>
  <c r="S2498" i="1"/>
  <c r="T2498" i="1" s="1"/>
  <c r="S2499" i="1"/>
  <c r="T2499" i="1" s="1"/>
  <c r="S2500" i="1"/>
  <c r="T2500" i="1" s="1"/>
  <c r="S2501" i="1"/>
  <c r="T2501" i="1" s="1"/>
  <c r="S2502" i="1"/>
  <c r="T2502" i="1" s="1"/>
  <c r="S2503" i="1"/>
  <c r="T2503" i="1" s="1"/>
  <c r="S2504" i="1"/>
  <c r="T2504" i="1" s="1"/>
  <c r="S2505" i="1"/>
  <c r="T2505" i="1" s="1"/>
  <c r="S2506" i="1"/>
  <c r="T2506" i="1" s="1"/>
  <c r="S2507" i="1"/>
  <c r="T2507" i="1" s="1"/>
  <c r="S2508" i="1"/>
  <c r="T2508" i="1" s="1"/>
  <c r="S2509" i="1"/>
  <c r="T2509" i="1" s="1"/>
  <c r="S2510" i="1"/>
  <c r="T2510" i="1" s="1"/>
  <c r="S2511" i="1"/>
  <c r="T2511" i="1" s="1"/>
  <c r="S2512" i="1"/>
  <c r="T2512" i="1" s="1"/>
  <c r="S2513" i="1"/>
  <c r="T2513" i="1" s="1"/>
  <c r="S2514" i="1"/>
  <c r="T2514" i="1" s="1"/>
  <c r="S2515" i="1"/>
  <c r="T2515" i="1" s="1"/>
  <c r="S2516" i="1"/>
  <c r="T2516" i="1" s="1"/>
  <c r="S2517" i="1"/>
  <c r="T2517" i="1" s="1"/>
  <c r="S2518" i="1"/>
  <c r="T2518" i="1" s="1"/>
  <c r="S2519" i="1"/>
  <c r="T2519" i="1" s="1"/>
  <c r="S2520" i="1"/>
  <c r="T2520" i="1" s="1"/>
  <c r="S2521" i="1"/>
  <c r="T2521" i="1" s="1"/>
  <c r="S2522" i="1"/>
  <c r="T2522" i="1" s="1"/>
  <c r="S2523" i="1"/>
  <c r="T2523" i="1" s="1"/>
  <c r="S2524" i="1"/>
  <c r="T2524" i="1" s="1"/>
  <c r="S2525" i="1"/>
  <c r="T2525" i="1" s="1"/>
  <c r="S2526" i="1"/>
  <c r="T2526" i="1" s="1"/>
  <c r="S2527" i="1"/>
  <c r="T2527" i="1" s="1"/>
  <c r="S2528" i="1"/>
  <c r="T2528" i="1" s="1"/>
  <c r="S2529" i="1"/>
  <c r="T2529" i="1" s="1"/>
  <c r="S2530" i="1"/>
  <c r="T2530" i="1" s="1"/>
  <c r="S2531" i="1"/>
  <c r="T2531" i="1" s="1"/>
  <c r="S2532" i="1"/>
  <c r="T2532" i="1" s="1"/>
  <c r="S2533" i="1"/>
  <c r="T2533" i="1" s="1"/>
  <c r="S2534" i="1"/>
  <c r="T2534" i="1" s="1"/>
  <c r="S2535" i="1"/>
  <c r="T2535" i="1" s="1"/>
  <c r="S2536" i="1"/>
  <c r="T2536" i="1" s="1"/>
  <c r="S2537" i="1"/>
  <c r="T2537" i="1" s="1"/>
  <c r="S2538" i="1"/>
  <c r="T2538" i="1" s="1"/>
  <c r="S2539" i="1"/>
  <c r="T2539" i="1" s="1"/>
  <c r="S2540" i="1"/>
  <c r="T2540" i="1" s="1"/>
  <c r="S2541" i="1"/>
  <c r="T2541" i="1" s="1"/>
  <c r="S2542" i="1"/>
  <c r="T2542" i="1" s="1"/>
  <c r="S2543" i="1"/>
  <c r="T2543" i="1" s="1"/>
  <c r="S2544" i="1"/>
  <c r="T2544" i="1" s="1"/>
  <c r="S2545" i="1"/>
  <c r="T2545" i="1" s="1"/>
  <c r="S2546" i="1"/>
  <c r="T2546" i="1" s="1"/>
  <c r="S2547" i="1"/>
  <c r="T2547" i="1" s="1"/>
  <c r="S2548" i="1"/>
  <c r="T2548" i="1" s="1"/>
  <c r="S2549" i="1"/>
  <c r="T2549" i="1" s="1"/>
  <c r="S2550" i="1"/>
  <c r="T2550" i="1" s="1"/>
  <c r="S2551" i="1"/>
  <c r="T2551" i="1" s="1"/>
  <c r="S2552" i="1"/>
  <c r="T2552" i="1" s="1"/>
  <c r="S2553" i="1"/>
  <c r="T2553" i="1" s="1"/>
  <c r="S2554" i="1"/>
  <c r="T2554" i="1" s="1"/>
  <c r="S2555" i="1"/>
  <c r="T2555" i="1" s="1"/>
  <c r="S2556" i="1"/>
  <c r="T2556" i="1" s="1"/>
  <c r="S2557" i="1"/>
  <c r="T2557" i="1" s="1"/>
  <c r="S2558" i="1"/>
  <c r="T2558" i="1" s="1"/>
  <c r="S2559" i="1"/>
  <c r="T2559" i="1" s="1"/>
  <c r="S2560" i="1"/>
  <c r="T2560" i="1" s="1"/>
  <c r="S2561" i="1"/>
  <c r="T2561" i="1" s="1"/>
  <c r="S2562" i="1"/>
  <c r="T2562" i="1" s="1"/>
  <c r="S2563" i="1"/>
  <c r="T2563" i="1" s="1"/>
  <c r="S2564" i="1"/>
  <c r="T2564" i="1" s="1"/>
  <c r="S2565" i="1"/>
  <c r="T2565" i="1" s="1"/>
  <c r="S2566" i="1"/>
  <c r="T2566" i="1" s="1"/>
  <c r="S2567" i="1"/>
  <c r="T2567" i="1" s="1"/>
  <c r="S2568" i="1"/>
  <c r="T2568" i="1" s="1"/>
  <c r="S2569" i="1"/>
  <c r="T2569" i="1" s="1"/>
  <c r="S2570" i="1"/>
  <c r="T2570" i="1" s="1"/>
  <c r="S2571" i="1"/>
  <c r="T2571" i="1" s="1"/>
  <c r="S2572" i="1"/>
  <c r="T2572" i="1" s="1"/>
  <c r="S2573" i="1"/>
  <c r="T2573" i="1" s="1"/>
  <c r="S2574" i="1"/>
  <c r="T2574" i="1" s="1"/>
  <c r="S2575" i="1"/>
  <c r="T2575" i="1" s="1"/>
  <c r="S2576" i="1"/>
  <c r="T2576" i="1" s="1"/>
  <c r="S2577" i="1"/>
  <c r="T2577" i="1" s="1"/>
  <c r="S2578" i="1"/>
  <c r="T2578" i="1" s="1"/>
  <c r="S2579" i="1"/>
  <c r="T2579" i="1" s="1"/>
  <c r="S2580" i="1"/>
  <c r="T2580" i="1" s="1"/>
  <c r="S2581" i="1"/>
  <c r="T2581" i="1" s="1"/>
  <c r="S2582" i="1"/>
  <c r="T2582" i="1" s="1"/>
  <c r="S2583" i="1"/>
  <c r="T2583" i="1" s="1"/>
  <c r="S2584" i="1"/>
  <c r="T2584" i="1" s="1"/>
  <c r="S2585" i="1"/>
  <c r="T2585" i="1" s="1"/>
  <c r="S2586" i="1"/>
  <c r="T2586" i="1" s="1"/>
  <c r="S2587" i="1"/>
  <c r="T2587" i="1" s="1"/>
  <c r="S2588" i="1"/>
  <c r="T2588" i="1" s="1"/>
  <c r="S2589" i="1"/>
  <c r="T2589" i="1" s="1"/>
  <c r="S2590" i="1"/>
  <c r="T2590" i="1" s="1"/>
  <c r="S2591" i="1"/>
  <c r="T2591" i="1" s="1"/>
  <c r="S2592" i="1"/>
  <c r="T2592" i="1" s="1"/>
  <c r="S2593" i="1"/>
  <c r="T2593" i="1" s="1"/>
  <c r="S2594" i="1"/>
  <c r="T2594" i="1" s="1"/>
  <c r="S2595" i="1"/>
  <c r="T2595" i="1" s="1"/>
  <c r="S2596" i="1"/>
  <c r="T2596" i="1" s="1"/>
  <c r="S2597" i="1"/>
  <c r="T2597" i="1" s="1"/>
  <c r="S2598" i="1"/>
  <c r="T2598" i="1" s="1"/>
  <c r="S2599" i="1"/>
  <c r="T2599" i="1" s="1"/>
  <c r="S2600" i="1"/>
  <c r="T2600" i="1" s="1"/>
  <c r="S2601" i="1"/>
  <c r="T2601" i="1" s="1"/>
  <c r="S2602" i="1"/>
  <c r="T2602" i="1" s="1"/>
  <c r="S2603" i="1"/>
  <c r="T2603" i="1" s="1"/>
  <c r="S2604" i="1"/>
  <c r="T2604" i="1" s="1"/>
  <c r="S2605" i="1"/>
  <c r="T2605" i="1" s="1"/>
  <c r="S2606" i="1"/>
  <c r="T2606" i="1" s="1"/>
  <c r="S2607" i="1"/>
  <c r="T2607" i="1" s="1"/>
  <c r="S2608" i="1"/>
  <c r="T2608" i="1" s="1"/>
  <c r="S2609" i="1"/>
  <c r="T2609" i="1" s="1"/>
  <c r="S2610" i="1"/>
  <c r="T2610" i="1" s="1"/>
  <c r="S2611" i="1"/>
  <c r="T2611" i="1" s="1"/>
  <c r="S2612" i="1"/>
  <c r="T2612" i="1" s="1"/>
  <c r="S2613" i="1"/>
  <c r="T2613" i="1" s="1"/>
  <c r="S2614" i="1"/>
  <c r="T2614" i="1" s="1"/>
  <c r="S2615" i="1"/>
  <c r="T2615" i="1" s="1"/>
  <c r="S2616" i="1"/>
  <c r="T2616" i="1" s="1"/>
  <c r="S2617" i="1"/>
  <c r="T2617" i="1" s="1"/>
  <c r="S2618" i="1"/>
  <c r="T2618" i="1" s="1"/>
  <c r="S2619" i="1"/>
  <c r="T2619" i="1" s="1"/>
  <c r="S2620" i="1"/>
  <c r="T2620" i="1" s="1"/>
  <c r="S2621" i="1"/>
  <c r="T2621" i="1" s="1"/>
  <c r="S2622" i="1"/>
  <c r="T2622" i="1" s="1"/>
  <c r="S2623" i="1"/>
  <c r="T2623" i="1" s="1"/>
  <c r="S2624" i="1"/>
  <c r="T2624" i="1" s="1"/>
  <c r="S2625" i="1"/>
  <c r="T2625" i="1" s="1"/>
  <c r="S2626" i="1"/>
  <c r="T2626" i="1" s="1"/>
  <c r="S2627" i="1"/>
  <c r="T2627" i="1" s="1"/>
  <c r="S2628" i="1"/>
  <c r="T2628" i="1" s="1"/>
  <c r="S2629" i="1"/>
  <c r="T2629" i="1" s="1"/>
  <c r="S2630" i="1"/>
  <c r="T2630" i="1" s="1"/>
  <c r="S2631" i="1"/>
  <c r="T2631" i="1" s="1"/>
  <c r="S2632" i="1"/>
  <c r="T2632" i="1" s="1"/>
  <c r="S2633" i="1"/>
  <c r="T2633" i="1" s="1"/>
  <c r="S2634" i="1"/>
  <c r="T2634" i="1" s="1"/>
  <c r="S2635" i="1"/>
  <c r="T2635" i="1" s="1"/>
  <c r="S2636" i="1"/>
  <c r="T2636" i="1" s="1"/>
  <c r="S2637" i="1"/>
  <c r="T2637" i="1" s="1"/>
  <c r="S2638" i="1"/>
  <c r="T2638" i="1" s="1"/>
  <c r="S2639" i="1"/>
  <c r="T2639" i="1" s="1"/>
  <c r="S2640" i="1"/>
  <c r="T2640" i="1" s="1"/>
  <c r="S2641" i="1"/>
  <c r="T2641" i="1" s="1"/>
  <c r="S2642" i="1"/>
  <c r="T2642" i="1" s="1"/>
  <c r="S2643" i="1"/>
  <c r="T2643" i="1" s="1"/>
  <c r="S2644" i="1"/>
  <c r="T2644" i="1" s="1"/>
  <c r="S2645" i="1"/>
  <c r="T2645" i="1" s="1"/>
  <c r="S2646" i="1"/>
  <c r="T2646" i="1" s="1"/>
  <c r="S2647" i="1"/>
  <c r="T2647" i="1" s="1"/>
  <c r="S2648" i="1"/>
  <c r="T2648" i="1" s="1"/>
  <c r="S2649" i="1"/>
  <c r="T2649" i="1" s="1"/>
  <c r="S2650" i="1"/>
  <c r="T2650" i="1" s="1"/>
  <c r="S2651" i="1"/>
  <c r="T2651" i="1" s="1"/>
  <c r="S2652" i="1"/>
  <c r="T2652" i="1" s="1"/>
  <c r="S2653" i="1"/>
  <c r="T2653" i="1" s="1"/>
  <c r="S2654" i="1"/>
  <c r="T2654" i="1" s="1"/>
  <c r="S2655" i="1"/>
  <c r="T2655" i="1" s="1"/>
  <c r="S2656" i="1"/>
  <c r="T2656" i="1" s="1"/>
  <c r="S2657" i="1"/>
  <c r="T2657" i="1" s="1"/>
  <c r="S2658" i="1"/>
  <c r="T2658" i="1" s="1"/>
  <c r="S2659" i="1"/>
  <c r="T2659" i="1" s="1"/>
  <c r="S2660" i="1"/>
  <c r="T2660" i="1" s="1"/>
  <c r="S2661" i="1"/>
  <c r="T2661" i="1" s="1"/>
  <c r="S2662" i="1"/>
  <c r="T2662" i="1" s="1"/>
  <c r="S2663" i="1"/>
  <c r="T2663" i="1" s="1"/>
  <c r="S2664" i="1"/>
  <c r="T2664" i="1" s="1"/>
  <c r="S2665" i="1"/>
  <c r="T2665" i="1" s="1"/>
  <c r="S2666" i="1"/>
  <c r="T2666" i="1" s="1"/>
  <c r="S2667" i="1"/>
  <c r="T2667" i="1" s="1"/>
  <c r="S2668" i="1"/>
  <c r="T2668" i="1" s="1"/>
  <c r="S2669" i="1"/>
  <c r="T2669" i="1" s="1"/>
  <c r="S2670" i="1"/>
  <c r="T2670" i="1" s="1"/>
  <c r="S2671" i="1"/>
  <c r="T2671" i="1" s="1"/>
  <c r="S2672" i="1"/>
  <c r="T2672" i="1" s="1"/>
  <c r="S2673" i="1"/>
  <c r="T2673" i="1" s="1"/>
  <c r="S2674" i="1"/>
  <c r="T2674" i="1" s="1"/>
  <c r="S2675" i="1"/>
  <c r="T2675" i="1" s="1"/>
  <c r="S2676" i="1"/>
  <c r="T2676" i="1" s="1"/>
  <c r="S2677" i="1"/>
  <c r="T2677" i="1" s="1"/>
  <c r="S2678" i="1"/>
  <c r="T2678" i="1" s="1"/>
  <c r="S2679" i="1"/>
  <c r="T2679" i="1" s="1"/>
  <c r="S2680" i="1"/>
  <c r="T2680" i="1" s="1"/>
  <c r="S2681" i="1"/>
  <c r="T2681" i="1" s="1"/>
  <c r="S2682" i="1"/>
  <c r="T2682" i="1" s="1"/>
  <c r="S2683" i="1"/>
  <c r="T2683" i="1" s="1"/>
  <c r="S2684" i="1"/>
  <c r="T2684" i="1" s="1"/>
  <c r="S2685" i="1"/>
  <c r="T2685" i="1" s="1"/>
  <c r="S2686" i="1"/>
  <c r="T2686" i="1" s="1"/>
  <c r="S2687" i="1"/>
  <c r="T2687" i="1" s="1"/>
  <c r="S2688" i="1"/>
  <c r="T2688" i="1" s="1"/>
  <c r="S2689" i="1"/>
  <c r="T2689" i="1" s="1"/>
  <c r="S2690" i="1"/>
  <c r="T2690" i="1" s="1"/>
  <c r="S2691" i="1"/>
  <c r="T2691" i="1" s="1"/>
  <c r="S2692" i="1"/>
  <c r="T2692" i="1" s="1"/>
  <c r="S2693" i="1"/>
  <c r="T2693" i="1" s="1"/>
  <c r="S2694" i="1"/>
  <c r="T2694" i="1" s="1"/>
  <c r="S2695" i="1"/>
  <c r="T2695" i="1" s="1"/>
  <c r="S2696" i="1"/>
  <c r="T2696" i="1" s="1"/>
  <c r="S2697" i="1"/>
  <c r="T2697" i="1" s="1"/>
  <c r="S2698" i="1"/>
  <c r="T2698" i="1" s="1"/>
  <c r="S2699" i="1"/>
  <c r="T2699" i="1" s="1"/>
  <c r="S2700" i="1"/>
  <c r="T2700" i="1" s="1"/>
  <c r="S2701" i="1"/>
  <c r="T2701" i="1" s="1"/>
  <c r="S2702" i="1"/>
  <c r="T2702" i="1" s="1"/>
  <c r="S2703" i="1"/>
  <c r="T2703" i="1" s="1"/>
  <c r="S2704" i="1"/>
  <c r="T2704" i="1" s="1"/>
  <c r="S2705" i="1"/>
  <c r="T2705" i="1" s="1"/>
  <c r="S2706" i="1"/>
  <c r="T2706" i="1" s="1"/>
  <c r="S2707" i="1"/>
  <c r="T2707" i="1" s="1"/>
  <c r="S2708" i="1"/>
  <c r="T2708" i="1" s="1"/>
  <c r="S2709" i="1"/>
  <c r="T2709" i="1" s="1"/>
  <c r="S2710" i="1"/>
  <c r="T2710" i="1" s="1"/>
  <c r="S2711" i="1"/>
  <c r="T2711" i="1" s="1"/>
  <c r="S2712" i="1"/>
  <c r="T2712" i="1" s="1"/>
  <c r="S2713" i="1"/>
  <c r="T2713" i="1" s="1"/>
  <c r="S2714" i="1"/>
  <c r="T2714" i="1" s="1"/>
  <c r="S2715" i="1"/>
  <c r="T2715" i="1" s="1"/>
  <c r="S2716" i="1"/>
  <c r="T2716" i="1" s="1"/>
  <c r="S2717" i="1"/>
  <c r="T2717" i="1" s="1"/>
  <c r="S2718" i="1"/>
  <c r="T2718" i="1" s="1"/>
  <c r="S2719" i="1"/>
  <c r="T2719" i="1" s="1"/>
  <c r="S2720" i="1"/>
  <c r="T2720" i="1" s="1"/>
  <c r="S2721" i="1"/>
  <c r="T2721" i="1" s="1"/>
  <c r="S2722" i="1"/>
  <c r="T2722" i="1" s="1"/>
  <c r="S2723" i="1"/>
  <c r="T2723" i="1" s="1"/>
  <c r="S2724" i="1"/>
  <c r="T2724" i="1" s="1"/>
  <c r="S2725" i="1"/>
  <c r="T2725" i="1" s="1"/>
  <c r="S2726" i="1"/>
  <c r="T2726" i="1" s="1"/>
  <c r="S2727" i="1"/>
  <c r="T2727" i="1" s="1"/>
  <c r="S2728" i="1"/>
  <c r="T2728" i="1" s="1"/>
  <c r="S2729" i="1"/>
  <c r="T2729" i="1" s="1"/>
  <c r="S2730" i="1"/>
  <c r="T2730" i="1" s="1"/>
  <c r="S2731" i="1"/>
  <c r="T2731" i="1" s="1"/>
  <c r="S2732" i="1"/>
  <c r="T2732" i="1" s="1"/>
  <c r="S2733" i="1"/>
  <c r="T2733" i="1" s="1"/>
  <c r="S2734" i="1"/>
  <c r="T2734" i="1" s="1"/>
  <c r="S2735" i="1"/>
  <c r="T2735" i="1" s="1"/>
  <c r="S2736" i="1"/>
  <c r="T2736" i="1" s="1"/>
  <c r="S2737" i="1"/>
  <c r="T2737" i="1" s="1"/>
  <c r="S2738" i="1"/>
  <c r="T2738" i="1" s="1"/>
  <c r="S2739" i="1"/>
  <c r="T2739" i="1" s="1"/>
  <c r="S2740" i="1"/>
  <c r="T2740" i="1" s="1"/>
  <c r="S2741" i="1"/>
  <c r="T2741" i="1" s="1"/>
  <c r="S2742" i="1"/>
  <c r="T2742" i="1" s="1"/>
  <c r="S2743" i="1"/>
  <c r="T2743" i="1" s="1"/>
  <c r="S2744" i="1"/>
  <c r="T2744" i="1" s="1"/>
  <c r="S2745" i="1"/>
  <c r="T2745" i="1" s="1"/>
  <c r="S2746" i="1"/>
  <c r="T2746" i="1" s="1"/>
  <c r="S2747" i="1"/>
  <c r="T2747" i="1" s="1"/>
  <c r="S2748" i="1"/>
  <c r="T2748" i="1" s="1"/>
  <c r="S2749" i="1"/>
  <c r="T2749" i="1" s="1"/>
  <c r="S2750" i="1"/>
  <c r="T2750" i="1" s="1"/>
  <c r="S2751" i="1"/>
  <c r="T2751" i="1" s="1"/>
  <c r="S2752" i="1"/>
  <c r="T2752" i="1" s="1"/>
  <c r="S2753" i="1"/>
  <c r="T2753" i="1" s="1"/>
  <c r="S2754" i="1"/>
  <c r="T2754" i="1" s="1"/>
  <c r="S2755" i="1"/>
  <c r="T2755" i="1" s="1"/>
  <c r="S2756" i="1"/>
  <c r="T2756" i="1" s="1"/>
  <c r="S2757" i="1"/>
  <c r="T2757" i="1" s="1"/>
  <c r="S2758" i="1"/>
  <c r="T2758" i="1" s="1"/>
  <c r="S2759" i="1"/>
  <c r="T2759" i="1" s="1"/>
  <c r="S2760" i="1"/>
  <c r="T2760" i="1" s="1"/>
  <c r="S2761" i="1"/>
  <c r="T2761" i="1" s="1"/>
  <c r="S2762" i="1"/>
  <c r="T2762" i="1" s="1"/>
  <c r="S2763" i="1"/>
  <c r="T2763" i="1" s="1"/>
  <c r="S2764" i="1"/>
  <c r="T2764" i="1" s="1"/>
  <c r="S2765" i="1"/>
  <c r="T2765" i="1" s="1"/>
  <c r="S2766" i="1"/>
  <c r="T2766" i="1" s="1"/>
  <c r="S2767" i="1"/>
  <c r="T2767" i="1" s="1"/>
  <c r="S2768" i="1"/>
  <c r="T2768" i="1" s="1"/>
  <c r="S2769" i="1"/>
  <c r="T2769" i="1" s="1"/>
  <c r="S2770" i="1"/>
  <c r="T2770" i="1" s="1"/>
  <c r="S2771" i="1"/>
  <c r="T2771" i="1" s="1"/>
  <c r="S2772" i="1"/>
  <c r="T2772" i="1" s="1"/>
  <c r="S2773" i="1"/>
  <c r="T2773" i="1" s="1"/>
  <c r="S2774" i="1"/>
  <c r="T2774" i="1" s="1"/>
  <c r="S2775" i="1"/>
  <c r="T2775" i="1" s="1"/>
  <c r="S2776" i="1"/>
  <c r="T2776" i="1" s="1"/>
  <c r="S2777" i="1"/>
  <c r="T2777" i="1" s="1"/>
  <c r="S2778" i="1"/>
  <c r="T2778" i="1" s="1"/>
  <c r="S2779" i="1"/>
  <c r="T2779" i="1" s="1"/>
  <c r="S2780" i="1"/>
  <c r="T2780" i="1" s="1"/>
  <c r="S2781" i="1"/>
  <c r="T2781" i="1" s="1"/>
  <c r="S2782" i="1"/>
  <c r="T2782" i="1" s="1"/>
  <c r="S2783" i="1"/>
  <c r="T2783" i="1" s="1"/>
  <c r="S2784" i="1"/>
  <c r="T2784" i="1" s="1"/>
  <c r="S2785" i="1"/>
  <c r="T2785" i="1" s="1"/>
  <c r="S2786" i="1"/>
  <c r="T2786" i="1" s="1"/>
  <c r="S2787" i="1"/>
  <c r="T2787" i="1" s="1"/>
  <c r="S2788" i="1"/>
  <c r="T2788" i="1" s="1"/>
  <c r="S2789" i="1"/>
  <c r="T2789" i="1" s="1"/>
  <c r="S2790" i="1"/>
  <c r="T2790" i="1" s="1"/>
  <c r="S2791" i="1"/>
  <c r="T2791" i="1" s="1"/>
  <c r="S2792" i="1"/>
  <c r="T2792" i="1" s="1"/>
  <c r="S2793" i="1"/>
  <c r="T2793" i="1" s="1"/>
  <c r="S2794" i="1"/>
  <c r="T2794" i="1" s="1"/>
  <c r="S2795" i="1"/>
  <c r="T2795" i="1" s="1"/>
  <c r="S2796" i="1"/>
  <c r="T2796" i="1" s="1"/>
  <c r="S2797" i="1"/>
  <c r="T2797" i="1" s="1"/>
  <c r="S2798" i="1"/>
  <c r="T2798" i="1" s="1"/>
  <c r="S2799" i="1"/>
  <c r="T2799" i="1" s="1"/>
  <c r="S2800" i="1"/>
  <c r="T2800" i="1" s="1"/>
  <c r="S2801" i="1"/>
  <c r="T2801" i="1" s="1"/>
  <c r="S2802" i="1"/>
  <c r="T2802" i="1" s="1"/>
  <c r="S2803" i="1"/>
  <c r="T2803" i="1" s="1"/>
  <c r="S2804" i="1"/>
  <c r="T2804" i="1" s="1"/>
  <c r="S2805" i="1"/>
  <c r="T2805" i="1" s="1"/>
  <c r="S2806" i="1"/>
  <c r="T2806" i="1" s="1"/>
  <c r="S2807" i="1"/>
  <c r="T2807" i="1" s="1"/>
  <c r="S2808" i="1"/>
  <c r="T2808" i="1" s="1"/>
  <c r="S2809" i="1"/>
  <c r="T2809" i="1" s="1"/>
  <c r="S2810" i="1"/>
  <c r="T2810" i="1" s="1"/>
  <c r="S2811" i="1"/>
  <c r="T2811" i="1" s="1"/>
  <c r="S2812" i="1"/>
  <c r="T2812" i="1" s="1"/>
  <c r="S2813" i="1"/>
  <c r="T2813" i="1" s="1"/>
  <c r="S2814" i="1"/>
  <c r="T2814" i="1" s="1"/>
  <c r="S2815" i="1"/>
  <c r="T2815" i="1" s="1"/>
  <c r="S2816" i="1"/>
  <c r="T2816" i="1" s="1"/>
  <c r="S2817" i="1"/>
  <c r="T2817" i="1" s="1"/>
  <c r="S2818" i="1"/>
  <c r="T2818" i="1" s="1"/>
  <c r="S2819" i="1"/>
  <c r="T2819" i="1" s="1"/>
  <c r="S2820" i="1"/>
  <c r="T2820" i="1" s="1"/>
  <c r="S2821" i="1"/>
  <c r="T2821" i="1" s="1"/>
  <c r="S2822" i="1"/>
  <c r="T2822" i="1" s="1"/>
  <c r="S2823" i="1"/>
  <c r="T2823" i="1" s="1"/>
  <c r="S2824" i="1"/>
  <c r="T2824" i="1" s="1"/>
  <c r="S2825" i="1"/>
  <c r="T2825" i="1" s="1"/>
  <c r="S2826" i="1"/>
  <c r="T2826" i="1" s="1"/>
  <c r="S2827" i="1"/>
  <c r="T2827" i="1" s="1"/>
  <c r="S2828" i="1"/>
  <c r="T2828" i="1" s="1"/>
  <c r="S2829" i="1"/>
  <c r="T2829" i="1" s="1"/>
  <c r="S2830" i="1"/>
  <c r="T2830" i="1" s="1"/>
  <c r="S2831" i="1"/>
  <c r="T2831" i="1" s="1"/>
  <c r="S2832" i="1"/>
  <c r="T2832" i="1" s="1"/>
  <c r="S2833" i="1"/>
  <c r="T2833" i="1" s="1"/>
  <c r="S2834" i="1"/>
  <c r="T2834" i="1" s="1"/>
  <c r="S2835" i="1"/>
  <c r="T2835" i="1" s="1"/>
  <c r="S2836" i="1"/>
  <c r="T2836" i="1" s="1"/>
  <c r="S2837" i="1"/>
  <c r="T2837" i="1" s="1"/>
  <c r="S2838" i="1"/>
  <c r="T2838" i="1" s="1"/>
  <c r="S2839" i="1"/>
  <c r="T2839" i="1" s="1"/>
  <c r="S2840" i="1"/>
  <c r="T2840" i="1" s="1"/>
  <c r="S2841" i="1"/>
  <c r="T2841" i="1" s="1"/>
  <c r="S2842" i="1"/>
  <c r="T2842" i="1" s="1"/>
  <c r="S2843" i="1"/>
  <c r="T2843" i="1" s="1"/>
  <c r="S2844" i="1"/>
  <c r="T2844" i="1" s="1"/>
  <c r="S2845" i="1"/>
  <c r="T2845" i="1" s="1"/>
  <c r="S2846" i="1"/>
  <c r="T2846" i="1" s="1"/>
  <c r="S2847" i="1"/>
  <c r="T2847" i="1" s="1"/>
  <c r="S2848" i="1"/>
  <c r="T2848" i="1" s="1"/>
  <c r="S2849" i="1"/>
  <c r="T2849" i="1" s="1"/>
  <c r="S2850" i="1"/>
  <c r="T2850" i="1" s="1"/>
  <c r="S2851" i="1"/>
  <c r="T2851" i="1" s="1"/>
  <c r="S2852" i="1"/>
  <c r="T2852" i="1" s="1"/>
  <c r="S2853" i="1"/>
  <c r="T2853" i="1" s="1"/>
  <c r="S2854" i="1"/>
  <c r="T2854" i="1" s="1"/>
  <c r="S2855" i="1"/>
  <c r="T2855" i="1" s="1"/>
  <c r="S2856" i="1"/>
  <c r="T2856" i="1" s="1"/>
  <c r="S2857" i="1"/>
  <c r="T2857" i="1" s="1"/>
  <c r="S2858" i="1"/>
  <c r="T2858" i="1" s="1"/>
  <c r="S2859" i="1"/>
  <c r="T2859" i="1" s="1"/>
  <c r="S2860" i="1"/>
  <c r="T2860" i="1" s="1"/>
  <c r="S2861" i="1"/>
  <c r="T2861" i="1" s="1"/>
  <c r="S2862" i="1"/>
  <c r="T2862" i="1" s="1"/>
  <c r="S2863" i="1"/>
  <c r="T2863" i="1" s="1"/>
  <c r="S2864" i="1"/>
  <c r="T2864" i="1" s="1"/>
  <c r="S2865" i="1"/>
  <c r="T2865" i="1" s="1"/>
  <c r="S2866" i="1"/>
  <c r="T2866" i="1" s="1"/>
  <c r="S2867" i="1"/>
  <c r="T2867" i="1" s="1"/>
  <c r="S2868" i="1"/>
  <c r="T2868" i="1" s="1"/>
  <c r="S2869" i="1"/>
  <c r="T2869" i="1" s="1"/>
  <c r="S2870" i="1"/>
  <c r="T2870" i="1" s="1"/>
  <c r="S2871" i="1"/>
  <c r="T2871" i="1" s="1"/>
  <c r="S2872" i="1"/>
  <c r="T2872" i="1" s="1"/>
  <c r="S2873" i="1"/>
  <c r="T2873" i="1" s="1"/>
  <c r="S2874" i="1"/>
  <c r="T2874" i="1" s="1"/>
  <c r="S2875" i="1"/>
  <c r="T2875" i="1" s="1"/>
  <c r="S2876" i="1"/>
  <c r="T2876" i="1" s="1"/>
  <c r="S2877" i="1"/>
  <c r="T2877" i="1" s="1"/>
  <c r="S2878" i="1"/>
  <c r="T2878" i="1" s="1"/>
  <c r="S2879" i="1"/>
  <c r="T2879" i="1" s="1"/>
  <c r="S2880" i="1"/>
  <c r="T2880" i="1" s="1"/>
  <c r="S2881" i="1"/>
  <c r="T2881" i="1" s="1"/>
  <c r="S2882" i="1"/>
  <c r="T2882" i="1" s="1"/>
  <c r="S2883" i="1"/>
  <c r="T2883" i="1" s="1"/>
  <c r="S2884" i="1"/>
  <c r="T2884" i="1" s="1"/>
  <c r="S2885" i="1"/>
  <c r="T2885" i="1" s="1"/>
  <c r="S2886" i="1"/>
  <c r="T2886" i="1" s="1"/>
  <c r="S2887" i="1"/>
  <c r="T2887" i="1" s="1"/>
  <c r="S2888" i="1"/>
  <c r="T2888" i="1" s="1"/>
  <c r="S2889" i="1"/>
  <c r="T2889" i="1" s="1"/>
  <c r="S2890" i="1"/>
  <c r="T2890" i="1" s="1"/>
  <c r="S2891" i="1"/>
  <c r="T2891" i="1" s="1"/>
  <c r="S2892" i="1"/>
  <c r="T2892" i="1" s="1"/>
  <c r="S2893" i="1"/>
  <c r="T2893" i="1" s="1"/>
  <c r="S2894" i="1"/>
  <c r="T2894" i="1" s="1"/>
  <c r="S2895" i="1"/>
  <c r="T2895" i="1" s="1"/>
  <c r="S2896" i="1"/>
  <c r="T2896" i="1" s="1"/>
  <c r="S2897" i="1"/>
  <c r="T2897" i="1" s="1"/>
  <c r="S2898" i="1"/>
  <c r="T2898" i="1" s="1"/>
  <c r="S2899" i="1"/>
  <c r="T2899" i="1" s="1"/>
  <c r="S2900" i="1"/>
  <c r="T2900" i="1" s="1"/>
  <c r="S2901" i="1"/>
  <c r="T2901" i="1" s="1"/>
  <c r="S2902" i="1"/>
  <c r="T2902" i="1" s="1"/>
  <c r="S2903" i="1"/>
  <c r="T2903" i="1" s="1"/>
  <c r="S2904" i="1"/>
  <c r="T2904" i="1" s="1"/>
  <c r="S2905" i="1"/>
  <c r="T2905" i="1" s="1"/>
  <c r="S2906" i="1"/>
  <c r="T2906" i="1" s="1"/>
  <c r="S2907" i="1"/>
  <c r="T2907" i="1" s="1"/>
  <c r="S2908" i="1"/>
  <c r="T2908" i="1" s="1"/>
  <c r="S2909" i="1"/>
  <c r="T2909" i="1" s="1"/>
  <c r="S2910" i="1"/>
  <c r="T2910" i="1" s="1"/>
  <c r="S2911" i="1"/>
  <c r="T2911" i="1" s="1"/>
  <c r="S2912" i="1"/>
  <c r="T2912" i="1" s="1"/>
  <c r="S2913" i="1"/>
  <c r="T2913" i="1" s="1"/>
  <c r="S2914" i="1"/>
  <c r="T2914" i="1" s="1"/>
  <c r="S2915" i="1"/>
  <c r="T2915" i="1" s="1"/>
  <c r="S2916" i="1"/>
  <c r="T2916" i="1" s="1"/>
  <c r="S2917" i="1"/>
  <c r="T2917" i="1" s="1"/>
  <c r="S2918" i="1"/>
  <c r="T2918" i="1" s="1"/>
  <c r="S2919" i="1"/>
  <c r="T2919" i="1" s="1"/>
  <c r="S2920" i="1"/>
  <c r="T2920" i="1" s="1"/>
  <c r="S2921" i="1"/>
  <c r="T2921" i="1" s="1"/>
  <c r="S2922" i="1"/>
  <c r="T2922" i="1" s="1"/>
  <c r="S2923" i="1"/>
  <c r="T2923" i="1" s="1"/>
  <c r="S2924" i="1"/>
  <c r="T2924" i="1" s="1"/>
  <c r="S2925" i="1"/>
  <c r="T2925" i="1" s="1"/>
  <c r="S2926" i="1"/>
  <c r="T2926" i="1" s="1"/>
  <c r="S2927" i="1"/>
  <c r="T2927" i="1" s="1"/>
  <c r="S2928" i="1"/>
  <c r="T2928" i="1" s="1"/>
  <c r="S2929" i="1"/>
  <c r="T2929" i="1" s="1"/>
  <c r="S2930" i="1"/>
  <c r="T2930" i="1" s="1"/>
  <c r="S2931" i="1"/>
  <c r="T2931" i="1" s="1"/>
  <c r="S2932" i="1"/>
  <c r="T2932" i="1" s="1"/>
  <c r="S2933" i="1"/>
  <c r="T2933" i="1" s="1"/>
  <c r="S2934" i="1"/>
  <c r="T2934" i="1" s="1"/>
  <c r="S2935" i="1"/>
  <c r="T2935" i="1" s="1"/>
  <c r="S2936" i="1"/>
  <c r="T2936" i="1" s="1"/>
  <c r="S2937" i="1"/>
  <c r="T2937" i="1" s="1"/>
  <c r="S2938" i="1"/>
  <c r="T2938" i="1" s="1"/>
  <c r="S2939" i="1"/>
  <c r="T2939" i="1" s="1"/>
  <c r="S2940" i="1"/>
  <c r="T2940" i="1" s="1"/>
  <c r="S2941" i="1"/>
  <c r="T2941" i="1" s="1"/>
  <c r="S2942" i="1"/>
  <c r="T2942" i="1" s="1"/>
  <c r="S2943" i="1"/>
  <c r="T2943" i="1" s="1"/>
  <c r="S2944" i="1"/>
  <c r="T2944" i="1" s="1"/>
  <c r="S2945" i="1"/>
  <c r="T2945" i="1" s="1"/>
  <c r="S2946" i="1"/>
  <c r="T2946" i="1" s="1"/>
  <c r="S2947" i="1"/>
  <c r="T2947" i="1" s="1"/>
  <c r="S2948" i="1"/>
  <c r="T2948" i="1" s="1"/>
  <c r="S2949" i="1"/>
  <c r="T2949" i="1" s="1"/>
  <c r="S2950" i="1"/>
  <c r="T2950" i="1" s="1"/>
  <c r="S2951" i="1"/>
  <c r="T2951" i="1" s="1"/>
  <c r="S2952" i="1"/>
  <c r="T2952" i="1" s="1"/>
  <c r="S2953" i="1"/>
  <c r="T2953" i="1" s="1"/>
  <c r="S2954" i="1"/>
  <c r="T2954" i="1" s="1"/>
  <c r="S2955" i="1"/>
  <c r="T2955" i="1" s="1"/>
  <c r="S2956" i="1"/>
  <c r="T2956" i="1" s="1"/>
  <c r="S2957" i="1"/>
  <c r="T2957" i="1" s="1"/>
  <c r="S2958" i="1"/>
  <c r="T2958" i="1" s="1"/>
  <c r="S2959" i="1"/>
  <c r="T2959" i="1" s="1"/>
  <c r="S2960" i="1"/>
  <c r="T2960" i="1" s="1"/>
  <c r="S2961" i="1"/>
  <c r="T2961" i="1" s="1"/>
  <c r="S2962" i="1"/>
  <c r="T2962" i="1" s="1"/>
  <c r="S2963" i="1"/>
  <c r="T2963" i="1" s="1"/>
  <c r="S2964" i="1"/>
  <c r="T2964" i="1" s="1"/>
  <c r="S2965" i="1"/>
  <c r="T2965" i="1" s="1"/>
  <c r="S2966" i="1"/>
  <c r="T2966" i="1" s="1"/>
  <c r="S2967" i="1"/>
  <c r="T2967" i="1" s="1"/>
  <c r="S2968" i="1"/>
  <c r="T2968" i="1" s="1"/>
  <c r="S2969" i="1"/>
  <c r="T2969" i="1" s="1"/>
  <c r="S2970" i="1"/>
  <c r="T2970" i="1" s="1"/>
  <c r="S2971" i="1"/>
  <c r="T2971" i="1" s="1"/>
  <c r="S2972" i="1"/>
  <c r="T2972" i="1" s="1"/>
  <c r="S2973" i="1"/>
  <c r="T2973" i="1" s="1"/>
  <c r="S2974" i="1"/>
  <c r="T2974" i="1" s="1"/>
  <c r="S2975" i="1"/>
  <c r="T2975" i="1" s="1"/>
  <c r="S2976" i="1"/>
  <c r="T2976" i="1" s="1"/>
  <c r="S2977" i="1"/>
  <c r="T2977" i="1" s="1"/>
  <c r="S2978" i="1"/>
  <c r="T2978" i="1" s="1"/>
  <c r="S2979" i="1"/>
  <c r="T2979" i="1" s="1"/>
  <c r="S2980" i="1"/>
  <c r="T2980" i="1" s="1"/>
  <c r="S2981" i="1"/>
  <c r="T2981" i="1" s="1"/>
  <c r="S2982" i="1"/>
  <c r="T2982" i="1" s="1"/>
  <c r="S2983" i="1"/>
  <c r="T2983" i="1" s="1"/>
  <c r="S2984" i="1"/>
  <c r="T2984" i="1" s="1"/>
  <c r="S2985" i="1"/>
  <c r="T2985" i="1" s="1"/>
  <c r="S2986" i="1"/>
  <c r="T2986" i="1" s="1"/>
  <c r="S2987" i="1"/>
  <c r="T2987" i="1" s="1"/>
  <c r="S2988" i="1"/>
  <c r="T2988" i="1" s="1"/>
  <c r="S2989" i="1"/>
  <c r="T2989" i="1" s="1"/>
  <c r="S2990" i="1"/>
  <c r="T2990" i="1" s="1"/>
  <c r="S2991" i="1"/>
  <c r="T2991" i="1" s="1"/>
  <c r="S2992" i="1"/>
  <c r="T2992" i="1" s="1"/>
  <c r="S2993" i="1"/>
  <c r="T2993" i="1" s="1"/>
  <c r="S2994" i="1"/>
  <c r="T2994" i="1" s="1"/>
  <c r="S2995" i="1"/>
  <c r="T2995" i="1" s="1"/>
  <c r="S2996" i="1"/>
  <c r="T2996" i="1" s="1"/>
  <c r="S2997" i="1"/>
  <c r="T2997" i="1" s="1"/>
  <c r="S2998" i="1"/>
  <c r="T2998" i="1" s="1"/>
  <c r="S2999" i="1"/>
  <c r="T2999" i="1" s="1"/>
  <c r="S3000" i="1"/>
  <c r="T3000" i="1" s="1"/>
  <c r="S3001" i="1"/>
  <c r="T3001" i="1" s="1"/>
  <c r="S3002" i="1"/>
  <c r="T3002" i="1" s="1"/>
  <c r="S3003" i="1"/>
  <c r="T3003" i="1" s="1"/>
  <c r="S3004" i="1"/>
  <c r="T3004" i="1" s="1"/>
  <c r="S3005" i="1"/>
  <c r="T3005" i="1" s="1"/>
  <c r="S3006" i="1"/>
  <c r="T3006" i="1" s="1"/>
  <c r="S3007" i="1"/>
  <c r="T3007" i="1" s="1"/>
  <c r="S3008" i="1"/>
  <c r="T3008" i="1" s="1"/>
  <c r="S3009" i="1"/>
  <c r="T3009" i="1" s="1"/>
  <c r="S3010" i="1"/>
  <c r="T3010" i="1" s="1"/>
  <c r="S3011" i="1"/>
  <c r="T3011" i="1" s="1"/>
  <c r="S3012" i="1"/>
  <c r="T3012" i="1" s="1"/>
  <c r="S3013" i="1"/>
  <c r="T3013" i="1" s="1"/>
  <c r="S3014" i="1"/>
  <c r="T3014" i="1" s="1"/>
  <c r="S3015" i="1"/>
  <c r="T3015" i="1" s="1"/>
  <c r="S3016" i="1"/>
  <c r="T3016" i="1" s="1"/>
  <c r="S3017" i="1"/>
  <c r="T3017" i="1" s="1"/>
  <c r="S3018" i="1"/>
  <c r="T3018" i="1" s="1"/>
  <c r="S3019" i="1"/>
  <c r="T3019" i="1" s="1"/>
  <c r="S3020" i="1"/>
  <c r="T3020" i="1" s="1"/>
  <c r="S3021" i="1"/>
  <c r="T3021" i="1" s="1"/>
  <c r="S3022" i="1"/>
  <c r="T3022" i="1" s="1"/>
  <c r="S3023" i="1"/>
  <c r="T3023" i="1" s="1"/>
  <c r="S3024" i="1"/>
  <c r="T3024" i="1" s="1"/>
  <c r="S3025" i="1"/>
  <c r="T3025" i="1" s="1"/>
  <c r="S3026" i="1"/>
  <c r="T3026" i="1" s="1"/>
  <c r="S3027" i="1"/>
  <c r="T3027" i="1" s="1"/>
  <c r="S3028" i="1"/>
  <c r="T3028" i="1" s="1"/>
  <c r="S3029" i="1"/>
  <c r="T3029" i="1" s="1"/>
  <c r="S3030" i="1"/>
  <c r="T3030" i="1" s="1"/>
  <c r="S3031" i="1"/>
  <c r="T3031" i="1" s="1"/>
  <c r="S3032" i="1"/>
  <c r="T3032" i="1" s="1"/>
  <c r="S3033" i="1"/>
  <c r="T3033" i="1" s="1"/>
  <c r="S3034" i="1"/>
  <c r="T3034" i="1" s="1"/>
  <c r="S3035" i="1"/>
  <c r="T3035" i="1" s="1"/>
  <c r="S3036" i="1"/>
  <c r="T3036" i="1" s="1"/>
  <c r="S3037" i="1"/>
  <c r="T3037" i="1" s="1"/>
  <c r="S3038" i="1"/>
  <c r="T3038" i="1" s="1"/>
  <c r="S3039" i="1"/>
  <c r="T3039" i="1" s="1"/>
  <c r="S3040" i="1"/>
  <c r="T3040" i="1" s="1"/>
  <c r="S3041" i="1"/>
  <c r="T3041" i="1" s="1"/>
  <c r="S3042" i="1"/>
  <c r="T3042" i="1" s="1"/>
  <c r="S3043" i="1"/>
  <c r="T3043" i="1" s="1"/>
  <c r="S3044" i="1"/>
  <c r="T3044" i="1" s="1"/>
  <c r="S3045" i="1"/>
  <c r="T3045" i="1" s="1"/>
  <c r="S3046" i="1"/>
  <c r="T3046" i="1" s="1"/>
  <c r="S3047" i="1"/>
  <c r="T3047" i="1" s="1"/>
  <c r="S3048" i="1"/>
  <c r="T3048" i="1" s="1"/>
  <c r="S3049" i="1"/>
  <c r="T3049" i="1" s="1"/>
  <c r="S3050" i="1"/>
  <c r="T3050" i="1" s="1"/>
  <c r="S3051" i="1"/>
  <c r="T3051" i="1" s="1"/>
  <c r="S3052" i="1"/>
  <c r="T3052" i="1" s="1"/>
  <c r="S3053" i="1"/>
  <c r="T3053" i="1" s="1"/>
  <c r="S3054" i="1"/>
  <c r="T3054" i="1" s="1"/>
  <c r="S3055" i="1"/>
  <c r="T3055" i="1" s="1"/>
  <c r="S3056" i="1"/>
  <c r="T3056" i="1" s="1"/>
  <c r="S3057" i="1"/>
  <c r="T3057" i="1" s="1"/>
  <c r="S3058" i="1"/>
  <c r="T3058" i="1" s="1"/>
  <c r="S3059" i="1"/>
  <c r="T3059" i="1" s="1"/>
  <c r="S3060" i="1"/>
  <c r="T3060" i="1" s="1"/>
  <c r="S3061" i="1"/>
  <c r="T3061" i="1" s="1"/>
  <c r="S3062" i="1"/>
  <c r="T3062" i="1" s="1"/>
  <c r="S3063" i="1"/>
  <c r="T3063" i="1" s="1"/>
  <c r="S3064" i="1"/>
  <c r="T3064" i="1" s="1"/>
  <c r="S3065" i="1"/>
  <c r="T3065" i="1" s="1"/>
  <c r="S3066" i="1"/>
  <c r="T3066" i="1" s="1"/>
  <c r="S3067" i="1"/>
  <c r="T3067" i="1" s="1"/>
  <c r="S3068" i="1"/>
  <c r="T3068" i="1" s="1"/>
  <c r="S3069" i="1"/>
  <c r="T3069" i="1" s="1"/>
  <c r="S3070" i="1"/>
  <c r="T3070" i="1" s="1"/>
  <c r="S3071" i="1"/>
  <c r="T3071" i="1" s="1"/>
  <c r="S3072" i="1"/>
  <c r="T3072" i="1" s="1"/>
  <c r="S3073" i="1"/>
  <c r="T3073" i="1" s="1"/>
  <c r="S3074" i="1"/>
  <c r="T3074" i="1" s="1"/>
  <c r="S3075" i="1"/>
  <c r="T3075" i="1" s="1"/>
  <c r="S3076" i="1"/>
  <c r="T3076" i="1" s="1"/>
  <c r="S3077" i="1"/>
  <c r="T3077" i="1" s="1"/>
  <c r="S3078" i="1"/>
  <c r="T3078" i="1" s="1"/>
  <c r="S3079" i="1"/>
  <c r="T3079" i="1" s="1"/>
  <c r="S3080" i="1"/>
  <c r="T3080" i="1" s="1"/>
  <c r="S3081" i="1"/>
  <c r="T3081" i="1" s="1"/>
  <c r="S3082" i="1"/>
  <c r="T3082" i="1" s="1"/>
  <c r="S3083" i="1"/>
  <c r="T3083" i="1" s="1"/>
  <c r="S3084" i="1"/>
  <c r="T3084" i="1" s="1"/>
  <c r="S3085" i="1"/>
  <c r="T3085" i="1" s="1"/>
  <c r="S3086" i="1"/>
  <c r="T3086" i="1" s="1"/>
  <c r="S3087" i="1"/>
  <c r="T3087" i="1" s="1"/>
  <c r="S3088" i="1"/>
  <c r="T3088" i="1" s="1"/>
  <c r="S3089" i="1"/>
  <c r="T3089" i="1" s="1"/>
  <c r="S3090" i="1"/>
  <c r="T3090" i="1" s="1"/>
  <c r="S3091" i="1"/>
  <c r="T3091" i="1" s="1"/>
  <c r="S3092" i="1"/>
  <c r="T3092" i="1" s="1"/>
  <c r="S3093" i="1"/>
  <c r="T3093" i="1" s="1"/>
  <c r="S3094" i="1"/>
  <c r="T3094" i="1" s="1"/>
  <c r="S3095" i="1"/>
  <c r="T3095" i="1" s="1"/>
  <c r="S3096" i="1"/>
  <c r="T3096" i="1" s="1"/>
  <c r="S3097" i="1"/>
  <c r="T3097" i="1" s="1"/>
  <c r="S3098" i="1"/>
  <c r="T3098" i="1" s="1"/>
  <c r="S3099" i="1"/>
  <c r="T3099" i="1" s="1"/>
  <c r="S3100" i="1"/>
  <c r="T3100" i="1" s="1"/>
  <c r="S3101" i="1"/>
  <c r="T3101" i="1" s="1"/>
  <c r="S3102" i="1"/>
  <c r="T3102" i="1" s="1"/>
  <c r="S3103" i="1"/>
  <c r="T3103" i="1" s="1"/>
  <c r="S3104" i="1"/>
  <c r="T3104" i="1" s="1"/>
  <c r="S3105" i="1"/>
  <c r="T3105" i="1" s="1"/>
  <c r="S3106" i="1"/>
  <c r="T3106" i="1" s="1"/>
  <c r="S3107" i="1"/>
  <c r="T3107" i="1" s="1"/>
  <c r="S3108" i="1"/>
  <c r="T3108" i="1" s="1"/>
  <c r="S3109" i="1"/>
  <c r="T3109" i="1" s="1"/>
  <c r="S3110" i="1"/>
  <c r="T3110" i="1" s="1"/>
  <c r="S3111" i="1"/>
  <c r="T3111" i="1" s="1"/>
  <c r="S3112" i="1"/>
  <c r="T3112" i="1" s="1"/>
  <c r="S2" i="1"/>
  <c r="T2" i="1" s="1"/>
  <c r="R3096" i="1"/>
  <c r="R3086" i="1"/>
  <c r="R3059" i="1"/>
  <c r="R3057" i="1"/>
  <c r="R3024" i="1"/>
  <c r="R2971" i="1"/>
  <c r="R2939" i="1"/>
  <c r="R2919" i="1"/>
  <c r="R2890" i="1"/>
  <c r="R2871" i="1"/>
  <c r="R2802" i="1"/>
  <c r="R2796" i="1"/>
  <c r="R2788" i="1"/>
  <c r="R2783" i="1"/>
  <c r="R2782" i="1"/>
  <c r="R2765" i="1"/>
  <c r="R2752" i="1"/>
  <c r="R2751" i="1"/>
  <c r="R2709" i="1"/>
  <c r="R2544" i="1"/>
  <c r="R2540" i="1"/>
  <c r="R2539" i="1"/>
  <c r="R2538" i="1"/>
  <c r="R2521" i="1"/>
  <c r="R2520" i="1"/>
  <c r="R2517" i="1"/>
  <c r="R2508" i="1"/>
  <c r="R2504" i="1"/>
  <c r="R2467" i="1"/>
  <c r="R3106" i="1"/>
  <c r="R3102" i="1"/>
  <c r="R3100" i="1"/>
  <c r="R3099" i="1"/>
  <c r="R3098" i="1"/>
  <c r="R3082" i="1"/>
  <c r="R3081" i="1"/>
  <c r="R3076" i="1"/>
  <c r="R3075" i="1"/>
  <c r="R3070" i="1"/>
  <c r="R3069" i="1"/>
  <c r="R3067" i="1"/>
  <c r="R3066" i="1"/>
  <c r="R3062" i="1"/>
  <c r="R3055" i="1"/>
  <c r="R3054" i="1"/>
  <c r="R3053" i="1"/>
  <c r="R3052" i="1"/>
  <c r="R3049" i="1"/>
  <c r="R3047" i="1"/>
  <c r="R3042" i="1"/>
  <c r="R3030" i="1"/>
  <c r="R3029" i="1"/>
  <c r="R3025" i="1"/>
  <c r="R3013" i="1"/>
  <c r="R3009" i="1"/>
  <c r="R3005" i="1"/>
  <c r="R2997" i="1"/>
  <c r="R2996" i="1"/>
  <c r="R2990" i="1"/>
  <c r="R2974" i="1"/>
  <c r="R2973" i="1"/>
  <c r="R2967" i="1"/>
  <c r="R2966" i="1"/>
  <c r="R2964" i="1"/>
  <c r="R2961" i="1"/>
  <c r="R2959" i="1"/>
  <c r="R2958" i="1"/>
  <c r="R2898" i="1"/>
  <c r="R2896" i="1"/>
  <c r="R2884" i="1"/>
  <c r="R2883" i="1"/>
  <c r="R2881" i="1"/>
  <c r="R2880" i="1"/>
  <c r="R2879" i="1"/>
  <c r="R2878" i="1"/>
  <c r="R2868" i="1"/>
  <c r="R2866" i="1"/>
  <c r="R2849" i="1"/>
  <c r="R2844" i="1"/>
  <c r="R2841" i="1"/>
  <c r="R2840" i="1"/>
  <c r="R2838" i="1"/>
  <c r="R2837" i="1"/>
  <c r="R2827" i="1"/>
  <c r="R2826" i="1"/>
  <c r="R2823" i="1"/>
  <c r="R2822" i="1"/>
  <c r="R2821" i="1"/>
  <c r="R2818" i="1"/>
  <c r="R2795" i="1"/>
  <c r="R2794" i="1"/>
  <c r="R2792" i="1"/>
  <c r="R2743" i="1"/>
  <c r="R2734" i="1"/>
  <c r="R2718" i="1"/>
  <c r="R2621" i="1"/>
  <c r="R2620" i="1"/>
  <c r="R2619" i="1"/>
  <c r="R2618" i="1"/>
  <c r="R2617" i="1"/>
  <c r="R2616" i="1"/>
  <c r="R2615" i="1"/>
  <c r="R2614" i="1"/>
  <c r="R2613" i="1"/>
  <c r="R2612" i="1"/>
  <c r="R2579" i="1"/>
  <c r="R2552" i="1"/>
  <c r="R2551" i="1"/>
  <c r="R2550" i="1"/>
  <c r="R2549" i="1"/>
  <c r="R2548" i="1"/>
  <c r="R2547" i="1"/>
  <c r="R2546" i="1"/>
  <c r="R2545" i="1"/>
  <c r="R2543" i="1"/>
  <c r="R2542" i="1"/>
  <c r="R2541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19" i="1"/>
  <c r="R2518" i="1"/>
  <c r="R2516" i="1"/>
  <c r="R2515" i="1"/>
  <c r="R2514" i="1"/>
  <c r="R2513" i="1"/>
  <c r="R2512" i="1"/>
  <c r="R2511" i="1"/>
  <c r="R2510" i="1"/>
  <c r="R2509" i="1"/>
  <c r="R2507" i="1"/>
  <c r="R2506" i="1"/>
  <c r="R2505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2" i="1"/>
  <c r="R2466" i="1"/>
  <c r="R2427" i="1"/>
  <c r="R2426" i="1"/>
  <c r="R2425" i="1"/>
  <c r="R2423" i="1"/>
  <c r="R2422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</calcChain>
</file>

<file path=xl/sharedStrings.xml><?xml version="1.0" encoding="utf-8"?>
<sst xmlns="http://schemas.openxmlformats.org/spreadsheetml/2006/main" count="22736" uniqueCount="10088">
  <si>
    <t>Product Hierarchy</t>
  </si>
  <si>
    <t>UPC</t>
  </si>
  <si>
    <t>Item</t>
  </si>
  <si>
    <t>Item Description</t>
  </si>
  <si>
    <t>Manufacturer Name</t>
  </si>
  <si>
    <t>Size (mL)</t>
  </si>
  <si>
    <t>Alcohol Content (%)</t>
  </si>
  <si>
    <t>Units/Case</t>
  </si>
  <si>
    <t>Agency</t>
  </si>
  <si>
    <t>Vntg</t>
  </si>
  <si>
    <t>Sweetness</t>
  </si>
  <si>
    <t>Sell Unit</t>
  </si>
  <si>
    <t>Wholesale Base Price</t>
  </si>
  <si>
    <t>GST</t>
  </si>
  <si>
    <t>PST</t>
  </si>
  <si>
    <t>Refund Dep</t>
  </si>
  <si>
    <t>Total Wholesale Price</t>
  </si>
  <si>
    <t>Spirits - Whisk(e)y - Canada - Deluxe</t>
  </si>
  <si>
    <t>082000742357</t>
  </si>
  <si>
    <t>5076</t>
  </si>
  <si>
    <t xml:space="preserve"> </t>
  </si>
  <si>
    <t>CROWN ROYAL RESERVE 12 YEAR OLD</t>
  </si>
  <si>
    <t>THE CROWN ROYAL DISTILLING COMPANY</t>
  </si>
  <si>
    <t>750</t>
  </si>
  <si>
    <t>3224</t>
  </si>
  <si>
    <t>069321003909</t>
  </si>
  <si>
    <t>8520</t>
  </si>
  <si>
    <t>FORTY CREEK DOUBLE BARREL</t>
  </si>
  <si>
    <t>FORTY CREEK DISTILLERY</t>
  </si>
  <si>
    <t>1041</t>
  </si>
  <si>
    <t>083664870448</t>
  </si>
  <si>
    <t>2415</t>
  </si>
  <si>
    <t>GIBSON'S FINEST VENERABLE 18 YEAR OLD</t>
  </si>
  <si>
    <t>SCHENLEY DISTILLERS INC</t>
  </si>
  <si>
    <t>3243</t>
  </si>
  <si>
    <t>048415000406</t>
  </si>
  <si>
    <t>4612</t>
  </si>
  <si>
    <t>J.P. WISER'S 18 YEAR OLD</t>
  </si>
  <si>
    <t>CORBY SPIRIT AND WINE LIMITED</t>
  </si>
  <si>
    <t>3237</t>
  </si>
  <si>
    <t>048415540346</t>
  </si>
  <si>
    <t>28346</t>
  </si>
  <si>
    <t>J.P. WISERS 15 YEAR OLD</t>
  </si>
  <si>
    <t>HIRAM WALKER &amp; SONS LTD</t>
  </si>
  <si>
    <t>0048415520041</t>
  </si>
  <si>
    <t>2987</t>
  </si>
  <si>
    <t>LOT 40 SINGLE COPPER POT STILL</t>
  </si>
  <si>
    <t>776555200027</t>
  </si>
  <si>
    <t>11196</t>
  </si>
  <si>
    <t>WHITE OWL WHISKY</t>
  </si>
  <si>
    <t>CENTURY DISTILLERS</t>
  </si>
  <si>
    <t>1021</t>
  </si>
  <si>
    <t>Spirits - Whisk(e)y - Canada - Premium</t>
  </si>
  <si>
    <t>779305900000</t>
  </si>
  <si>
    <t>29382</t>
  </si>
  <si>
    <t>BEARFACE TRIPLE CASK</t>
  </si>
  <si>
    <t>BEARFACE WHISKY</t>
  </si>
  <si>
    <t>1009</t>
  </si>
  <si>
    <t>080686817499</t>
  </si>
  <si>
    <t>16219</t>
  </si>
  <si>
    <t>CANADIAN CLUB SMALL BATCH CLASSIC 12</t>
  </si>
  <si>
    <t>CANADIAN CLUB WHISKY COMPANY</t>
  </si>
  <si>
    <t>3242</t>
  </si>
  <si>
    <t>080686817536</t>
  </si>
  <si>
    <t>16220</t>
  </si>
  <si>
    <t>1140</t>
  </si>
  <si>
    <t>0088004004880</t>
  </si>
  <si>
    <t>20065</t>
  </si>
  <si>
    <t>CARIBOU CROSSING</t>
  </si>
  <si>
    <t>SAZERAC COMPANY INC</t>
  </si>
  <si>
    <t>1535</t>
  </si>
  <si>
    <t>087000001992</t>
  </si>
  <si>
    <t>4032</t>
  </si>
  <si>
    <t>CROWN ROYAL</t>
  </si>
  <si>
    <t>50</t>
  </si>
  <si>
    <t>087000007604</t>
  </si>
  <si>
    <t>4033</t>
  </si>
  <si>
    <t>375</t>
  </si>
  <si>
    <t>087000007253</t>
  </si>
  <si>
    <t>4028</t>
  </si>
  <si>
    <t>087000010383</t>
  </si>
  <si>
    <t>4035</t>
  </si>
  <si>
    <t>087000700604</t>
  </si>
  <si>
    <t>4036</t>
  </si>
  <si>
    <t>1750</t>
  </si>
  <si>
    <t>087000151253</t>
  </si>
  <si>
    <t>4031</t>
  </si>
  <si>
    <t>3000</t>
  </si>
  <si>
    <t>082000754480</t>
  </si>
  <si>
    <t>12793</t>
  </si>
  <si>
    <t>CROWN ROYAL BLACK</t>
  </si>
  <si>
    <t>082000759072</t>
  </si>
  <si>
    <t>15666</t>
  </si>
  <si>
    <t>082000811060</t>
  </si>
  <si>
    <t>45909</t>
  </si>
  <si>
    <t>CROWN ROYAL CHOCOLATE</t>
  </si>
  <si>
    <t>DIAGEO CANADA INC.</t>
  </si>
  <si>
    <t>082000775874</t>
  </si>
  <si>
    <t>22969</t>
  </si>
  <si>
    <t>CROWN ROYAL NORTHERN HARVEST RYE</t>
  </si>
  <si>
    <t>082000007036</t>
  </si>
  <si>
    <t>43343</t>
  </si>
  <si>
    <t>CROWN ROYAL SINGLE MALT</t>
  </si>
  <si>
    <t>HIGHWOOD DISTILLERS</t>
  </si>
  <si>
    <t>069321004944</t>
  </si>
  <si>
    <t>46150</t>
  </si>
  <si>
    <t>FORTY CREEK CHRONOLOGY</t>
  </si>
  <si>
    <t>069321004210</t>
  </si>
  <si>
    <t>16414</t>
  </si>
  <si>
    <t>FORTY CREEK COPPER BOLD WHISKY</t>
  </si>
  <si>
    <t>069321004999</t>
  </si>
  <si>
    <t>46151</t>
  </si>
  <si>
    <t>FORTY CREEK NIAGARA TRIPLE RESERVE</t>
  </si>
  <si>
    <t>083664873586</t>
  </si>
  <si>
    <t>24690</t>
  </si>
  <si>
    <t>GIBSON'S FINEST BOLD 8 YEAR OLD</t>
  </si>
  <si>
    <t>083664870370</t>
  </si>
  <si>
    <t>2409</t>
  </si>
  <si>
    <t>GIBSON'S FINEST RARE 12 YEAR OLD</t>
  </si>
  <si>
    <t>083664870387</t>
  </si>
  <si>
    <t>2410</t>
  </si>
  <si>
    <t>083664870400</t>
  </si>
  <si>
    <t>2411</t>
  </si>
  <si>
    <t>083664870417</t>
  </si>
  <si>
    <t>2412</t>
  </si>
  <si>
    <t>083664870325</t>
  </si>
  <si>
    <t>2416</t>
  </si>
  <si>
    <t>GIBSON'S FINEST STERLING</t>
  </si>
  <si>
    <t>083664870349</t>
  </si>
  <si>
    <t>2417</t>
  </si>
  <si>
    <t>083664870356</t>
  </si>
  <si>
    <t>7004</t>
  </si>
  <si>
    <t>774827223583</t>
  </si>
  <si>
    <t>22276</t>
  </si>
  <si>
    <t>HIGHWOOD PURE CANADIAN RYE</t>
  </si>
  <si>
    <t>048415000017</t>
  </si>
  <si>
    <t>40066</t>
  </si>
  <si>
    <t>J.P. WISER'S 10YO CANADIAN WHISKY</t>
  </si>
  <si>
    <t>048415345255</t>
  </si>
  <si>
    <t>4598</t>
  </si>
  <si>
    <t>J.P. WISER'S DELUXE</t>
  </si>
  <si>
    <t>048415000307</t>
  </si>
  <si>
    <t>4599</t>
  </si>
  <si>
    <t>048415345224</t>
  </si>
  <si>
    <t>4600</t>
  </si>
  <si>
    <t>048415000109</t>
  </si>
  <si>
    <t>4601</t>
  </si>
  <si>
    <t>048415451369</t>
  </si>
  <si>
    <t>5213</t>
  </si>
  <si>
    <t>048415540605</t>
  </si>
  <si>
    <t>29693</t>
  </si>
  <si>
    <t>J.P. WISER'S OLD FASHIONED</t>
  </si>
  <si>
    <t>084104118915</t>
  </si>
  <si>
    <t>21657</t>
  </si>
  <si>
    <t>PENDLETON 1910 WHISKY - 12 YEAR OLD</t>
  </si>
  <si>
    <t>HOOD RIVER DISTILLERS INC</t>
  </si>
  <si>
    <t>128699</t>
  </si>
  <si>
    <t>084104115914</t>
  </si>
  <si>
    <t>17404</t>
  </si>
  <si>
    <t>PENDLETON ORIGINAL WHISKY</t>
  </si>
  <si>
    <t>811538019361</t>
  </si>
  <si>
    <t>41112</t>
  </si>
  <si>
    <t>048415520621</t>
  </si>
  <si>
    <t>25390</t>
  </si>
  <si>
    <t>PIKE CREEK DOUBLE BARRELED CDN WHISKY</t>
  </si>
  <si>
    <t>628098040007</t>
  </si>
  <si>
    <t>42114</t>
  </si>
  <si>
    <t>RED BANK PREMIUM BLENDED CDN WHI</t>
  </si>
  <si>
    <t>RED BANK WHISKY CO.</t>
  </si>
  <si>
    <t>3278</t>
  </si>
  <si>
    <t>080686828013</t>
  </si>
  <si>
    <t>39821</t>
  </si>
  <si>
    <t>REIFEL RYE</t>
  </si>
  <si>
    <t>ALBERTA DISTILLERS LTD</t>
  </si>
  <si>
    <t>628451493853</t>
  </si>
  <si>
    <t>37217</t>
  </si>
  <si>
    <t>RUPERTS EXCEPTIONAL CANADIAN WHISKY</t>
  </si>
  <si>
    <t>EAU CLAIRE DISTILLERY</t>
  </si>
  <si>
    <t>194112</t>
  </si>
  <si>
    <t>088004055158</t>
  </si>
  <si>
    <t>43353</t>
  </si>
  <si>
    <t>SEAGRAM'S VO SELECT</t>
  </si>
  <si>
    <t>SAZERAC OF CANADA INC.</t>
  </si>
  <si>
    <t>1537</t>
  </si>
  <si>
    <t>0627040040829</t>
  </si>
  <si>
    <t>37108</t>
  </si>
  <si>
    <t>SIGNAL HILL CANADIAN WHISKY</t>
  </si>
  <si>
    <t>SIGNAL HILL SPIRITS INC</t>
  </si>
  <si>
    <t>1382</t>
  </si>
  <si>
    <t>8548531000011</t>
  </si>
  <si>
    <t>34762</t>
  </si>
  <si>
    <t>SWEAR JAR 6 YEAR OLD CANADIAN WHISKY</t>
  </si>
  <si>
    <t>NIAGARA FALLS CRAFT DISTILLERS</t>
  </si>
  <si>
    <t>147521</t>
  </si>
  <si>
    <t>774827000856</t>
  </si>
  <si>
    <t>25587</t>
  </si>
  <si>
    <t>TRUE NORTH RYE WHISKY</t>
  </si>
  <si>
    <t>627167101175</t>
  </si>
  <si>
    <t>39733</t>
  </si>
  <si>
    <t>WAYNE GRETZKY DOUBLE OAKED WHISKY</t>
  </si>
  <si>
    <t>ANDREW PELLER LIMITED</t>
  </si>
  <si>
    <t>4095</t>
  </si>
  <si>
    <t>627167099960</t>
  </si>
  <si>
    <t>27356</t>
  </si>
  <si>
    <t>WAYNE GRETZKY RED CASK WHISKY</t>
  </si>
  <si>
    <t>Spirits - Whisk(e)y - Canada - Economy</t>
  </si>
  <si>
    <t>777680011960</t>
  </si>
  <si>
    <t>30361</t>
  </si>
  <si>
    <t>ALBERTA PREMIUM</t>
  </si>
  <si>
    <t>200</t>
  </si>
  <si>
    <t>777680001954</t>
  </si>
  <si>
    <t>28153</t>
  </si>
  <si>
    <t>777680001930</t>
  </si>
  <si>
    <t>1054</t>
  </si>
  <si>
    <t>777680001916</t>
  </si>
  <si>
    <t>1055</t>
  </si>
  <si>
    <t>777680001909</t>
  </si>
  <si>
    <t>1056</t>
  </si>
  <si>
    <t>777680011939</t>
  </si>
  <si>
    <t>29291</t>
  </si>
  <si>
    <t>ALBERTA PREMIUM PET</t>
  </si>
  <si>
    <t>777680001053</t>
  </si>
  <si>
    <t>1060</t>
  </si>
  <si>
    <t>ALBERTA SPRINGS 10 YEAR OLD RYE WHISKY</t>
  </si>
  <si>
    <t>082000752394</t>
  </si>
  <si>
    <t>4024</t>
  </si>
  <si>
    <t>CANADIAN  FIVE STAR</t>
  </si>
  <si>
    <t>CANADIAN FIVE STAR DISTILLING COMPANY</t>
  </si>
  <si>
    <t>087000150522</t>
  </si>
  <si>
    <t>4026</t>
  </si>
  <si>
    <t>080686816157</t>
  </si>
  <si>
    <t>4485</t>
  </si>
  <si>
    <t>CANADIAN CLUB</t>
  </si>
  <si>
    <t>080686821311</t>
  </si>
  <si>
    <t>4487</t>
  </si>
  <si>
    <t>080686816126</t>
  </si>
  <si>
    <t>4488</t>
  </si>
  <si>
    <t>080686823063</t>
  </si>
  <si>
    <t>21071</t>
  </si>
  <si>
    <t>CANADIAN CLUB CHAIRMAN'S SELECT 100% RYE</t>
  </si>
  <si>
    <t>087000001022</t>
  </si>
  <si>
    <t>4023</t>
  </si>
  <si>
    <t>CANADIAN FIVE STAR</t>
  </si>
  <si>
    <t>088004050245</t>
  </si>
  <si>
    <t>38064</t>
  </si>
  <si>
    <t>774827872095</t>
  </si>
  <si>
    <t>5319</t>
  </si>
  <si>
    <t>CENTENNIAL 10 YEAR OLD</t>
  </si>
  <si>
    <t>048415345118</t>
  </si>
  <si>
    <t>2110</t>
  </si>
  <si>
    <t>CORBY ROYAL RESERVE</t>
  </si>
  <si>
    <t>048415345101</t>
  </si>
  <si>
    <t>2111</t>
  </si>
  <si>
    <t>048415345088</t>
  </si>
  <si>
    <t>2112</t>
  </si>
  <si>
    <t>048415345071</t>
  </si>
  <si>
    <t>2113</t>
  </si>
  <si>
    <t>3265</t>
  </si>
  <si>
    <t>069321003879</t>
  </si>
  <si>
    <t>9114</t>
  </si>
  <si>
    <t>FORTY CREEK PREMIUM BARREL SELECT</t>
  </si>
  <si>
    <t>069321003022</t>
  </si>
  <si>
    <t>5475</t>
  </si>
  <si>
    <t>069321003763</t>
  </si>
  <si>
    <t>7117</t>
  </si>
  <si>
    <t>069321003695</t>
  </si>
  <si>
    <t>8526</t>
  </si>
  <si>
    <t>683899104020</t>
  </si>
  <si>
    <t>4677</t>
  </si>
  <si>
    <t>GOLDEN WEDDING</t>
  </si>
  <si>
    <t>SCHENLEY DISTILLERS  INC</t>
  </si>
  <si>
    <t>683899104044</t>
  </si>
  <si>
    <t>4678</t>
  </si>
  <si>
    <t>683899104075</t>
  </si>
  <si>
    <t>4680</t>
  </si>
  <si>
    <t>774827736359</t>
  </si>
  <si>
    <t>43637</t>
  </si>
  <si>
    <t>089540104003</t>
  </si>
  <si>
    <t>4506</t>
  </si>
  <si>
    <t>HIRAM WALKER SPECIAL OLD</t>
  </si>
  <si>
    <t>089540197098</t>
  </si>
  <si>
    <t>4507</t>
  </si>
  <si>
    <t>088004400491</t>
  </si>
  <si>
    <t>3103</t>
  </si>
  <si>
    <t>McGUINNESS SILK TASSEL</t>
  </si>
  <si>
    <t>088004400477</t>
  </si>
  <si>
    <t>3104</t>
  </si>
  <si>
    <t>088004400040</t>
  </si>
  <si>
    <t>3105</t>
  </si>
  <si>
    <t>048415173735</t>
  </si>
  <si>
    <t>3112</t>
  </si>
  <si>
    <t>MEAGHERS 1878 CANADIAN RYE WHISKY</t>
  </si>
  <si>
    <t>048415138772</t>
  </si>
  <si>
    <t>3113</t>
  </si>
  <si>
    <t>088004400057</t>
  </si>
  <si>
    <t>3114</t>
  </si>
  <si>
    <t>776555010800</t>
  </si>
  <si>
    <t>3733</t>
  </si>
  <si>
    <t>POTTER'S SPECIAL OLD</t>
  </si>
  <si>
    <t>087000007802</t>
  </si>
  <si>
    <t>4027</t>
  </si>
  <si>
    <t>SEAGRAM'S 83 CANADIAN WHISKY</t>
  </si>
  <si>
    <t>087000007376</t>
  </si>
  <si>
    <t>4048</t>
  </si>
  <si>
    <t>SEAGRAM'S V.O.</t>
  </si>
  <si>
    <t>DIAGEO  CANADA INC</t>
  </si>
  <si>
    <t>087000010345</t>
  </si>
  <si>
    <t>4050</t>
  </si>
  <si>
    <t>087000700758</t>
  </si>
  <si>
    <t>6502</t>
  </si>
  <si>
    <t>627040040836</t>
  </si>
  <si>
    <t>43833</t>
  </si>
  <si>
    <t>SIGNAL HILL FOUNDERS SELECT OVERPROOF</t>
  </si>
  <si>
    <t>627167099984</t>
  </si>
  <si>
    <t>28771</t>
  </si>
  <si>
    <t>777680002258</t>
  </si>
  <si>
    <t>30640</t>
  </si>
  <si>
    <t>WINDSOR CANADIAN WHISKY</t>
  </si>
  <si>
    <t>206239</t>
  </si>
  <si>
    <t>777680012233</t>
  </si>
  <si>
    <t>4586</t>
  </si>
  <si>
    <t>777680002203</t>
  </si>
  <si>
    <t>30642</t>
  </si>
  <si>
    <t>048415345316</t>
  </si>
  <si>
    <t>4606</t>
  </si>
  <si>
    <t>WISER'S SPECIAL BLEND</t>
  </si>
  <si>
    <t>048415382267</t>
  </si>
  <si>
    <t>4607</t>
  </si>
  <si>
    <t>048415345293</t>
  </si>
  <si>
    <t>4608</t>
  </si>
  <si>
    <t>048415345286</t>
  </si>
  <si>
    <t>4609</t>
  </si>
  <si>
    <t>048415540261</t>
  </si>
  <si>
    <t>26370</t>
  </si>
  <si>
    <t>WISER'S SPECIAL BLEND PET</t>
  </si>
  <si>
    <t>Spirits - Whisk(e)y - Canada - Flavoured - Economy</t>
  </si>
  <si>
    <t>84104116119</t>
  </si>
  <si>
    <t>27803</t>
  </si>
  <si>
    <t>PENDLETON MIDNIGHT</t>
  </si>
  <si>
    <t>Spirits - Whisk(e)y - India - Deluxe</t>
  </si>
  <si>
    <t>00892032201001</t>
  </si>
  <si>
    <t>42577</t>
  </si>
  <si>
    <t>INDRI SINGLE MALT INDIAN WHISKY</t>
  </si>
  <si>
    <t>PICCADILY AGRO INDUSTRIES LTD</t>
  </si>
  <si>
    <t>Spirits - Whisk(e)y - India - Premium</t>
  </si>
  <si>
    <t>8901522000092</t>
  </si>
  <si>
    <t>43338</t>
  </si>
  <si>
    <t>ROYAL STAG DELUXE WHISKY</t>
  </si>
  <si>
    <t>PERNOD RICARD INDIA PVT LTD</t>
  </si>
  <si>
    <t>Spirits - Whisk(e)y - Ireland - Deluxe</t>
  </si>
  <si>
    <t>5010103918367</t>
  </si>
  <si>
    <t>1522</t>
  </si>
  <si>
    <t>BUSHMILLS 10 YEAR OLD SINGLE MALT</t>
  </si>
  <si>
    <t>PROXIMO SPIRITS Kentucky</t>
  </si>
  <si>
    <t>811538016278</t>
  </si>
  <si>
    <t>1353</t>
  </si>
  <si>
    <t>BUSHMILLS BLACK BUSH</t>
  </si>
  <si>
    <t>799439682177</t>
  </si>
  <si>
    <t>25435</t>
  </si>
  <si>
    <t>GLENDALOUGH DOUBLE BARREL</t>
  </si>
  <si>
    <t>GLENDALOUGH IRISH WHISKEY</t>
  </si>
  <si>
    <t>5011007024000</t>
  </si>
  <si>
    <t>17328</t>
  </si>
  <si>
    <t>JAMESON BLACK BARREL</t>
  </si>
  <si>
    <t>IRISH DISTILLERS INTERNATIONAL</t>
  </si>
  <si>
    <t>080432109922</t>
  </si>
  <si>
    <t>23935</t>
  </si>
  <si>
    <t>JAMESON CASKMATES IRISH WHISKEY</t>
  </si>
  <si>
    <t>Spirits - Whisk(e)y - Ireland - Premium</t>
  </si>
  <si>
    <t>5010103918381</t>
  </si>
  <si>
    <t>1524</t>
  </si>
  <si>
    <t>BUSHMILLS ORIGINAL IRISH WHISKEY</t>
  </si>
  <si>
    <t>080432500149</t>
  </si>
  <si>
    <t>6445</t>
  </si>
  <si>
    <t>JAMESON IRISH WHISKEY</t>
  </si>
  <si>
    <t>080432500170</t>
  </si>
  <si>
    <t>2745</t>
  </si>
  <si>
    <t>5011007017552</t>
  </si>
  <si>
    <t>12335</t>
  </si>
  <si>
    <t>080432500187</t>
  </si>
  <si>
    <t>20448</t>
  </si>
  <si>
    <t>0080432586171</t>
  </si>
  <si>
    <t>6413</t>
  </si>
  <si>
    <t>REDBREAST 12 YEAR OLD</t>
  </si>
  <si>
    <t>050037596038</t>
  </si>
  <si>
    <t>40631</t>
  </si>
  <si>
    <t>THE BUSKER TRIPLE CASK</t>
  </si>
  <si>
    <t>ROYAL OAK DISTILLERY LIMITED</t>
  </si>
  <si>
    <t>5011026108026</t>
  </si>
  <si>
    <t>6274</t>
  </si>
  <si>
    <t>TULLAMORE DEW IRISH WHISKEY</t>
  </si>
  <si>
    <t>C &amp; C INTERNATIONAL</t>
  </si>
  <si>
    <t>5099811905739</t>
  </si>
  <si>
    <t>13555</t>
  </si>
  <si>
    <t>WRITERS TEARS POT STILL IRISH WHISKEY</t>
  </si>
  <si>
    <t>WALSH WHISKEY DISTILLERY</t>
  </si>
  <si>
    <t>700</t>
  </si>
  <si>
    <t>205873</t>
  </si>
  <si>
    <t>Spirits - Whisk(e)y - Japan - Premium</t>
  </si>
  <si>
    <t>080686934059</t>
  </si>
  <si>
    <t>23134</t>
  </si>
  <si>
    <t>HIBIKI JAPANESE HARMONY</t>
  </si>
  <si>
    <t>JIM BEAM BRANDS CO.</t>
  </si>
  <si>
    <t>0806869557010</t>
  </si>
  <si>
    <t>27371</t>
  </si>
  <si>
    <t>SUNTORY TOKI JAPANESE WHISKY</t>
  </si>
  <si>
    <t>Spirits - Whisk(e)y - UnitedKingdom - Malt - Deluxe</t>
  </si>
  <si>
    <t>5000299612521</t>
  </si>
  <si>
    <t>26044</t>
  </si>
  <si>
    <t>GLENLIVET FOUNDERS RESERVE SCOTCH WHISKY</t>
  </si>
  <si>
    <t>CHIVAS BROTHERS LIMITED</t>
  </si>
  <si>
    <t>Spirits - Whisk(e)y - UnitedStates - Deluxe</t>
  </si>
  <si>
    <t>096749000067</t>
  </si>
  <si>
    <t>15199</t>
  </si>
  <si>
    <t>ELIJAH CRAIG KENTUCKY SMALL BATCH</t>
  </si>
  <si>
    <t>HEAVEN HILL INC.</t>
  </si>
  <si>
    <t>082184038765</t>
  </si>
  <si>
    <t>2396</t>
  </si>
  <si>
    <t>GENTLEMAN JACK RARE</t>
  </si>
  <si>
    <t>BROWN-FORMAN BEVERAGES</t>
  </si>
  <si>
    <t>1230</t>
  </si>
  <si>
    <t>082184087008</t>
  </si>
  <si>
    <t>8865</t>
  </si>
  <si>
    <t>JACK DANIEL'S SINGLE BARREL</t>
  </si>
  <si>
    <t>085246500101</t>
  </si>
  <si>
    <t>13490</t>
  </si>
  <si>
    <t>MAKER'S MARK 46</t>
  </si>
  <si>
    <t>MAKER'S MARK INC</t>
  </si>
  <si>
    <t>811538011877</t>
  </si>
  <si>
    <t>21728</t>
  </si>
  <si>
    <t>TINCUP AMERICAN WHISKEY</t>
  </si>
  <si>
    <t>PROXIMO SPIRITS INC LLC</t>
  </si>
  <si>
    <t>081128001506</t>
  </si>
  <si>
    <t>6869</t>
  </si>
  <si>
    <t>WOODFORD RESERVE</t>
  </si>
  <si>
    <t>206252</t>
  </si>
  <si>
    <t>081128038960</t>
  </si>
  <si>
    <t>20826</t>
  </si>
  <si>
    <t>WOODFORD RESERVE DOUBLE OAKED</t>
  </si>
  <si>
    <t>Spirits - Whisk(e)y - UnitedStates - Premium</t>
  </si>
  <si>
    <t>080480989576</t>
  </si>
  <si>
    <t>45743</t>
  </si>
  <si>
    <t>ANGEL'S ENVY TRIPLE OAK</t>
  </si>
  <si>
    <t>LOUISVILLE DISTILLING COMPANY</t>
  </si>
  <si>
    <t>3233</t>
  </si>
  <si>
    <t>856442005000</t>
  </si>
  <si>
    <t>21916</t>
  </si>
  <si>
    <t>BIB &amp; TUCKER BOURBON</t>
  </si>
  <si>
    <t>DEUTSCH FAMILY WINE &amp; SPIRITS LTD</t>
  </si>
  <si>
    <t>3245</t>
  </si>
  <si>
    <t>082000003854</t>
  </si>
  <si>
    <t>30144</t>
  </si>
  <si>
    <t>DIAGEO CANADA  INC</t>
  </si>
  <si>
    <t>082184780961</t>
  </si>
  <si>
    <t>2719</t>
  </si>
  <si>
    <t>JACK DANIEL'S OLD NO.7</t>
  </si>
  <si>
    <t>082184080948</t>
  </si>
  <si>
    <t>2720</t>
  </si>
  <si>
    <t>082184080924</t>
  </si>
  <si>
    <t>2721</t>
  </si>
  <si>
    <t>082184080900</t>
  </si>
  <si>
    <t>2722</t>
  </si>
  <si>
    <t>082184080894</t>
  </si>
  <si>
    <t>6165</t>
  </si>
  <si>
    <t>082184045114</t>
  </si>
  <si>
    <t>7822</t>
  </si>
  <si>
    <t>JACK DANIEL'S OLD NO.7 BRAND</t>
  </si>
  <si>
    <t>082184001172</t>
  </si>
  <si>
    <t>22159</t>
  </si>
  <si>
    <t>JACK DANIEL'S TENNESSEE FIRE</t>
  </si>
  <si>
    <t>082184000335</t>
  </si>
  <si>
    <t>14506</t>
  </si>
  <si>
    <t>JACK DANIEL'S TENNESSEE HONEY</t>
  </si>
  <si>
    <t>080686001102</t>
  </si>
  <si>
    <t>35310</t>
  </si>
  <si>
    <t>JIM BEAM WHITE LABEL BOURBON</t>
  </si>
  <si>
    <t>039383007184</t>
  </si>
  <si>
    <t>22360</t>
  </si>
  <si>
    <t>MICHTER'S US*1 KENTUCKY STRAIGHT BOURBON</t>
  </si>
  <si>
    <t>MICHTER'S DISTILLERY</t>
  </si>
  <si>
    <t>031259000718</t>
  </si>
  <si>
    <t>36766</t>
  </si>
  <si>
    <t>REDEMPTION BOURBON</t>
  </si>
  <si>
    <t>088352130798</t>
  </si>
  <si>
    <t>40820</t>
  </si>
  <si>
    <t>YELLOWSTONE SELECT</t>
  </si>
  <si>
    <t>LUXCO INC</t>
  </si>
  <si>
    <t>776555200034</t>
  </si>
  <si>
    <t>15025</t>
  </si>
  <si>
    <t>WHITE OWL SPICED WHISKY</t>
  </si>
  <si>
    <t>080686818076</t>
  </si>
  <si>
    <t>16035</t>
  </si>
  <si>
    <t>CANADIAN CLUB DOCK NO 57 BLACKBERRY WHIS</t>
  </si>
  <si>
    <t>BEAM SUNTORY UK ltd</t>
  </si>
  <si>
    <t>082000771579</t>
  </si>
  <si>
    <t>21444</t>
  </si>
  <si>
    <t>CROWN ROYAL APPLE</t>
  </si>
  <si>
    <t>082000789567</t>
  </si>
  <si>
    <t>43344</t>
  </si>
  <si>
    <t>CROWN ROYAL BLACKBERRY</t>
  </si>
  <si>
    <t>082000789475</t>
  </si>
  <si>
    <t>30803</t>
  </si>
  <si>
    <t>CROWN ROYAL PEACH</t>
  </si>
  <si>
    <t>082000776550</t>
  </si>
  <si>
    <t>25152</t>
  </si>
  <si>
    <t>CROWN ROYAL VANILLA</t>
  </si>
  <si>
    <t>069321004340</t>
  </si>
  <si>
    <t>22909</t>
  </si>
  <si>
    <t>FORTY CREEK HONEY SPICED</t>
  </si>
  <si>
    <t>048415520645</t>
  </si>
  <si>
    <t>25154</t>
  </si>
  <si>
    <t>J.P WISER'S APPLE WHISKY</t>
  </si>
  <si>
    <t>048415520614</t>
  </si>
  <si>
    <t>25066</t>
  </si>
  <si>
    <t>J.P. WISER'S VANILLA WHISKY</t>
  </si>
  <si>
    <t>057496003770</t>
  </si>
  <si>
    <t>13845</t>
  </si>
  <si>
    <t>SPICEBOX SPICED WHISKY</t>
  </si>
  <si>
    <t>MAISON DES FUTAILLES</t>
  </si>
  <si>
    <t>627167100789</t>
  </si>
  <si>
    <t>35079</t>
  </si>
  <si>
    <t>WAYNE GRETZKY MAPLE CASK WHISKY</t>
  </si>
  <si>
    <t>627167101335</t>
  </si>
  <si>
    <t>45264</t>
  </si>
  <si>
    <t>WAYNE GRETZKY WHISKY SOUR</t>
  </si>
  <si>
    <t>087116009271</t>
  </si>
  <si>
    <t>43022</t>
  </si>
  <si>
    <t>REVEL STOKE SON OF A PEACH</t>
  </si>
  <si>
    <t>PHILLIPS DISTILLING COMPANY</t>
  </si>
  <si>
    <t>1338</t>
  </si>
  <si>
    <t>82184004371</t>
  </si>
  <si>
    <t>34753</t>
  </si>
  <si>
    <t>JACK DANIEL'S TENNESSEE APPLE</t>
  </si>
  <si>
    <t>087116003378</t>
  </si>
  <si>
    <t>33438</t>
  </si>
  <si>
    <t>REVEL STOKE PEANUT BUTTER WHISKY</t>
  </si>
  <si>
    <t>087116036123</t>
  </si>
  <si>
    <t>21005</t>
  </si>
  <si>
    <t>REVEL STOKE ROASTED PECAN WHISKEY</t>
  </si>
  <si>
    <t>087116000933</t>
  </si>
  <si>
    <t>25936</t>
  </si>
  <si>
    <t>REVEL STOKE ROOT OF EVIL</t>
  </si>
  <si>
    <t>860265002405</t>
  </si>
  <si>
    <t>37416</t>
  </si>
  <si>
    <t>SKREWBALL PEANUT BUTTER WHISKEY</t>
  </si>
  <si>
    <t>INFINIUM</t>
  </si>
  <si>
    <t>Spirits - Whisk(e)y - UnitedStates - Economy</t>
  </si>
  <si>
    <t>087116008397</t>
  </si>
  <si>
    <t>40884</t>
  </si>
  <si>
    <t>REVEL STOKE S'MOREGASM</t>
  </si>
  <si>
    <t>080686012405</t>
  </si>
  <si>
    <t>17995</t>
  </si>
  <si>
    <t>BASIL HAYDEN'S KENTUCKY BOURBON</t>
  </si>
  <si>
    <t>080244009236</t>
  </si>
  <si>
    <t>15109</t>
  </si>
  <si>
    <t>BUFFALO TRACE  BOURBON</t>
  </si>
  <si>
    <t>BUFFALO TRACE DIST</t>
  </si>
  <si>
    <t>082000744535</t>
  </si>
  <si>
    <t>7501</t>
  </si>
  <si>
    <t>BULLEIT BOURBON FRONTIER WHISKEY</t>
  </si>
  <si>
    <t>BULLEIT DISTILLING COMPANY</t>
  </si>
  <si>
    <t>080686016403</t>
  </si>
  <si>
    <t>2816</t>
  </si>
  <si>
    <t>KNOB CREEK BOURBON</t>
  </si>
  <si>
    <t>080686016182</t>
  </si>
  <si>
    <t>21080</t>
  </si>
  <si>
    <t>KNOB CREEK SMOKED MAPLE BOURBON</t>
  </si>
  <si>
    <t>080686024019</t>
  </si>
  <si>
    <t>31101</t>
  </si>
  <si>
    <t>LEGENT BOURBON</t>
  </si>
  <si>
    <t>825246185001</t>
  </si>
  <si>
    <t>27565</t>
  </si>
  <si>
    <t>MAKER'S MARK</t>
  </si>
  <si>
    <t>085246139431</t>
  </si>
  <si>
    <t>8471</t>
  </si>
  <si>
    <t>MAKER'S MARK KENTUCKY STRAIGHT BOURBON</t>
  </si>
  <si>
    <t>721059897501</t>
  </si>
  <si>
    <t>4561</t>
  </si>
  <si>
    <t>WILD TURKEY BOURBON 101</t>
  </si>
  <si>
    <t>CAMPARI AMERICA LLC</t>
  </si>
  <si>
    <t>721059002844</t>
  </si>
  <si>
    <t>29779</t>
  </si>
  <si>
    <t>WILD TURKEY LONGBRANCH</t>
  </si>
  <si>
    <t>080660001203</t>
  </si>
  <si>
    <t>23291</t>
  </si>
  <si>
    <t>1792 SMALL BATCH KENTUCKY BOURBON</t>
  </si>
  <si>
    <t>080480987787</t>
  </si>
  <si>
    <t>43319</t>
  </si>
  <si>
    <t>ANGEL'S ENVY BOURBON</t>
  </si>
  <si>
    <t>850047003003</t>
  </si>
  <si>
    <t>36897</t>
  </si>
  <si>
    <t>752830059290</t>
  </si>
  <si>
    <t>38271</t>
  </si>
  <si>
    <t>BLACKENED WHISKEY</t>
  </si>
  <si>
    <t>SWEET AMBER DISTILLING COMPANY</t>
  </si>
  <si>
    <t>205871</t>
  </si>
  <si>
    <t>816136027091</t>
  </si>
  <si>
    <t>39716</t>
  </si>
  <si>
    <t>BROTHER'S BOND STRAIGHT BOURBON</t>
  </si>
  <si>
    <t>BROTHER'S BOND DISTILLING COMPANY LLC</t>
  </si>
  <si>
    <t>87388</t>
  </si>
  <si>
    <t>87000004047</t>
  </si>
  <si>
    <t>36906</t>
  </si>
  <si>
    <t>040063400409</t>
  </si>
  <si>
    <t>18737</t>
  </si>
  <si>
    <t>FOUR ROSES 80 PROOF BOURBON</t>
  </si>
  <si>
    <t>FOUR ROSES DISTILLERY</t>
  </si>
  <si>
    <t>140473</t>
  </si>
  <si>
    <t>850003347653</t>
  </si>
  <si>
    <t>37586</t>
  </si>
  <si>
    <t>HOWLER HEAD KENTUCKY STRAIGHT BOURBON</t>
  </si>
  <si>
    <t>CATALYST SPIRITS</t>
  </si>
  <si>
    <t>080686003403</t>
  </si>
  <si>
    <t>6703</t>
  </si>
  <si>
    <t>JIM BEAM BLACK 7 YEAR OLD</t>
  </si>
  <si>
    <t>080686005018</t>
  </si>
  <si>
    <t>15358</t>
  </si>
  <si>
    <t>JIM BEAM DEVIL'S CUT BOURBON</t>
  </si>
  <si>
    <t>085246501115</t>
  </si>
  <si>
    <t>37094</t>
  </si>
  <si>
    <t>081128005085</t>
  </si>
  <si>
    <t>30713</t>
  </si>
  <si>
    <t>OLD FORESTER</t>
  </si>
  <si>
    <t>865674000165</t>
  </si>
  <si>
    <t>40214</t>
  </si>
  <si>
    <t>RABBIT HOLE CAVEHILL BOURBON WHISKEY</t>
  </si>
  <si>
    <t>PERNOD INTERNATIONAL DIVISION</t>
  </si>
  <si>
    <t>721059847506</t>
  </si>
  <si>
    <t>4563</t>
  </si>
  <si>
    <t>WILD TURKEY KENTUCKY STRAIGHT BOURBON</t>
  </si>
  <si>
    <t>096749021345</t>
  </si>
  <si>
    <t>21751</t>
  </si>
  <si>
    <t>EVAN WILLIAMS BLACK LABEL BOURBON</t>
  </si>
  <si>
    <t>080686001027</t>
  </si>
  <si>
    <t>12642</t>
  </si>
  <si>
    <t>JIM BEAM BLACK CHERRY</t>
  </si>
  <si>
    <t>080686001607</t>
  </si>
  <si>
    <t>28206</t>
  </si>
  <si>
    <t>080686001409</t>
  </si>
  <si>
    <t>2749</t>
  </si>
  <si>
    <t>080686002147</t>
  </si>
  <si>
    <t>2750</t>
  </si>
  <si>
    <t>Spirits - Whisk(e)y - UnitedStates - Flavoured - Premium</t>
  </si>
  <si>
    <t>080686006060</t>
  </si>
  <si>
    <t>23187</t>
  </si>
  <si>
    <t>JIM BEAM HONEY</t>
  </si>
  <si>
    <t>080432002117</t>
  </si>
  <si>
    <t>45741</t>
  </si>
  <si>
    <t>JAMESON TRIPLE TRIPLE</t>
  </si>
  <si>
    <t>811538019569</t>
  </si>
  <si>
    <t>31549</t>
  </si>
  <si>
    <t>PROPER NO. TWELVE IRISH WHISKEY</t>
  </si>
  <si>
    <t>THE OLD BUSHMILLS DISTLLERY</t>
  </si>
  <si>
    <t>811538019675</t>
  </si>
  <si>
    <t>39022</t>
  </si>
  <si>
    <t>088076183650</t>
  </si>
  <si>
    <t>37263</t>
  </si>
  <si>
    <t>ROE &amp; COE BLENDED IRISH WHISKEY</t>
  </si>
  <si>
    <t>813219020048</t>
  </si>
  <si>
    <t>32310</t>
  </si>
  <si>
    <t>TEELING SMALL BATCH IRISH WHISKEY</t>
  </si>
  <si>
    <t>TEELING WHISKEY COMPANY</t>
  </si>
  <si>
    <t>850047003065</t>
  </si>
  <si>
    <t>40206</t>
  </si>
  <si>
    <t>ANGEL'S ENVY RYE CASK</t>
  </si>
  <si>
    <t>Spirits - Whisk(e)y - UnitedKingdom - Premium</t>
  </si>
  <si>
    <t>622153629060</t>
  </si>
  <si>
    <t>34594</t>
  </si>
  <si>
    <t>JOHNNIE WALKER BLACK LABEL</t>
  </si>
  <si>
    <t>W H MALCOLMS</t>
  </si>
  <si>
    <t>088004060060</t>
  </si>
  <si>
    <t>43395</t>
  </si>
  <si>
    <t>TRAVELLER BLEND NO. 40</t>
  </si>
  <si>
    <t>Spirits - Scotch - UnitedKingdom - Malt - Deluxe</t>
  </si>
  <si>
    <t>5010496003657</t>
  </si>
  <si>
    <t>23062</t>
  </si>
  <si>
    <t>AUCHENTOSHAN AMERICAN OAK</t>
  </si>
  <si>
    <t>MORRISON BOWMORE DISTILLERS</t>
  </si>
  <si>
    <t>Spirits - Scotch - UnitedKingdom - Malt - Premium</t>
  </si>
  <si>
    <t>088076190603</t>
  </si>
  <si>
    <t>46738</t>
  </si>
  <si>
    <t>CLYNELISH 18 YEAR OLD SPECIAL RELEASE 25</t>
  </si>
  <si>
    <t>088076190665</t>
  </si>
  <si>
    <t>46742</t>
  </si>
  <si>
    <t>ROSEISLE 14 YEAR OLD SPECIAL RELEASE 25</t>
  </si>
  <si>
    <t>088076190627</t>
  </si>
  <si>
    <t>46743</t>
  </si>
  <si>
    <t>SINGLETON OF GLEN ORD 17 YEAR OLD</t>
  </si>
  <si>
    <t>5010852038699</t>
  </si>
  <si>
    <t>37685</t>
  </si>
  <si>
    <t>SMOKEHEAD ISLAY SINGLE MALT SCOTCH</t>
  </si>
  <si>
    <t>IAN MacLEOD &amp; CO LTD</t>
  </si>
  <si>
    <t>Spirits - Scotch - UnitedKingdom - Deluxe</t>
  </si>
  <si>
    <t>5000277003457</t>
  </si>
  <si>
    <t>12722</t>
  </si>
  <si>
    <t>ABERFELDY 12 YEAR OLD</t>
  </si>
  <si>
    <t>JOHN DEWAR &amp; SONS LTD</t>
  </si>
  <si>
    <t>5010509427067</t>
  </si>
  <si>
    <t>6179</t>
  </si>
  <si>
    <t>ANCNOC 12 YEAR OLD SCOTCH</t>
  </si>
  <si>
    <t>INVER HOUSE DISTILLERS LTD</t>
  </si>
  <si>
    <t>5010496001844</t>
  </si>
  <si>
    <t>7371</t>
  </si>
  <si>
    <t>AUCHENTOSHAN 12 YEAR OLD  LOWLAND</t>
  </si>
  <si>
    <t>5010327505138</t>
  </si>
  <si>
    <t>4328</t>
  </si>
  <si>
    <t>BALVENIE DOUBLEWOOD 12 YR-WM GRANT</t>
  </si>
  <si>
    <t>WILLIAM GRANT &amp; SONS LTD UK</t>
  </si>
  <si>
    <t>5010496001615</t>
  </si>
  <si>
    <t>1445</t>
  </si>
  <si>
    <t>BOWMORE 12 YEAR OLD ISLAY</t>
  </si>
  <si>
    <t>5010496020722</t>
  </si>
  <si>
    <t>7407</t>
  </si>
  <si>
    <t>BOWMORE 15 YEAR OLD ISLAY</t>
  </si>
  <si>
    <t>080432400395</t>
  </si>
  <si>
    <t>2045</t>
  </si>
  <si>
    <t>CHIVAS REGAL 12 YEAR OLD</t>
  </si>
  <si>
    <t>CHIVAS AND GLENLIVET GROUP</t>
  </si>
  <si>
    <t>080432402689</t>
  </si>
  <si>
    <t>2046</t>
  </si>
  <si>
    <t>622153610044</t>
  </si>
  <si>
    <t>2189</t>
  </si>
  <si>
    <t>DALWHINNIE 15YR HIGH</t>
  </si>
  <si>
    <t>JAMES BUCHANAN &amp; CO LTD</t>
  </si>
  <si>
    <t>5018066154617</t>
  </si>
  <si>
    <t>6786</t>
  </si>
  <si>
    <t>GLENFARCLAS 15 YEAR OLD</t>
  </si>
  <si>
    <t>GLENFARCLAS DISTILLERY</t>
  </si>
  <si>
    <t>3238</t>
  </si>
  <si>
    <t>5010327307244</t>
  </si>
  <si>
    <t>2450</t>
  </si>
  <si>
    <t>GLENFIDDICH 12 YEAR OLD</t>
  </si>
  <si>
    <t>5010327000176</t>
  </si>
  <si>
    <t>2451</t>
  </si>
  <si>
    <t>5010327322001</t>
  </si>
  <si>
    <t>12338</t>
  </si>
  <si>
    <t>5010327325125</t>
  </si>
  <si>
    <t>2459</t>
  </si>
  <si>
    <t>GLENFIDDICH SOLERA RESERVE</t>
  </si>
  <si>
    <t>5000299609354</t>
  </si>
  <si>
    <t>22239</t>
  </si>
  <si>
    <t>500299295267</t>
  </si>
  <si>
    <t>26045</t>
  </si>
  <si>
    <t>080432100783</t>
  </si>
  <si>
    <t>6007</t>
  </si>
  <si>
    <t>GLENLIVET FRENCH OAK RSV 15 YR</t>
  </si>
  <si>
    <t>5010314066703</t>
  </si>
  <si>
    <t>2641</t>
  </si>
  <si>
    <t>HIGHLAND PARK 12 YEAR OLD</t>
  </si>
  <si>
    <t>HIGHLAND DISTILLERS LTD</t>
  </si>
  <si>
    <t>622153629046</t>
  </si>
  <si>
    <t>2760</t>
  </si>
  <si>
    <t>JOHNNIE WALKER BLACK LABEL - 12 YO</t>
  </si>
  <si>
    <t>JOHN WALKER &amp; SONS LTD</t>
  </si>
  <si>
    <t>088076177666</t>
  </si>
  <si>
    <t>2761</t>
  </si>
  <si>
    <t>JOHNNIE WALKER BLUE LABEL</t>
  </si>
  <si>
    <t>088076162624</t>
  </si>
  <si>
    <t>21940</t>
  </si>
  <si>
    <t>JOHNNIE WALKER GREEN LABEL</t>
  </si>
  <si>
    <t>087647081425</t>
  </si>
  <si>
    <t>22339</t>
  </si>
  <si>
    <t>JURA ORIGIN 10 YEAR OLD</t>
  </si>
  <si>
    <t>WHYTE AND MACKAY LTD.</t>
  </si>
  <si>
    <t>622153617043</t>
  </si>
  <si>
    <t>2923</t>
  </si>
  <si>
    <t>LAGAVULIN 16 YEAR OLD</t>
  </si>
  <si>
    <t>WHITE HORSE DISTILLERS LTD</t>
  </si>
  <si>
    <t>5010019640253</t>
  </si>
  <si>
    <t>2949</t>
  </si>
  <si>
    <t>LAPHROAIG ISLAY 10 YEAR OLD</t>
  </si>
  <si>
    <t>LAPHROAIG DISTILLERY</t>
  </si>
  <si>
    <t>5010019636614</t>
  </si>
  <si>
    <t>6962</t>
  </si>
  <si>
    <t>LAPHROAIG ISLAY QUARTER CASK</t>
  </si>
  <si>
    <t>0080686813064</t>
  </si>
  <si>
    <t>26188</t>
  </si>
  <si>
    <t>LAPHROAIG SELECT</t>
  </si>
  <si>
    <t>622153618040</t>
  </si>
  <si>
    <t>3419</t>
  </si>
  <si>
    <t>OBAN 14 YEAR OLD</t>
  </si>
  <si>
    <t>UNITED DISTILLERS GROUP</t>
  </si>
  <si>
    <t>632070100092</t>
  </si>
  <si>
    <t>32365</t>
  </si>
  <si>
    <t>OLD PULTENEY 12 YEAR OLD</t>
  </si>
  <si>
    <t>088076179684</t>
  </si>
  <si>
    <t>22181</t>
  </si>
  <si>
    <t>THE SINGLETON OF DUFFTOWN 12 YEAR OLD</t>
  </si>
  <si>
    <t>DIAGEO SCOTLAND</t>
  </si>
  <si>
    <t>Spirits - Scotch - UnitedKingdom - Premium</t>
  </si>
  <si>
    <t>5010496002575</t>
  </si>
  <si>
    <t>45738</t>
  </si>
  <si>
    <t>BOWMORE SHERRY OAK 12 YEAR OLD</t>
  </si>
  <si>
    <t>5024546376684</t>
  </si>
  <si>
    <t>14905</t>
  </si>
  <si>
    <t>ISLAY MIST 8 YEAR OLD</t>
  </si>
  <si>
    <t>MACDUFF INTERNATIONAL</t>
  </si>
  <si>
    <t>622153631049</t>
  </si>
  <si>
    <t>2767</t>
  </si>
  <si>
    <t>JOHNNIE WALKER RED LABEL</t>
  </si>
  <si>
    <t>622153631063</t>
  </si>
  <si>
    <t>2769</t>
  </si>
  <si>
    <t>622153631070</t>
  </si>
  <si>
    <t>27786</t>
  </si>
  <si>
    <t>Spirits - Scotch - UnitedKingdom - Economy</t>
  </si>
  <si>
    <t>5010106112250</t>
  </si>
  <si>
    <t>1236</t>
  </si>
  <si>
    <t>BALLANTINE'S FINEST</t>
  </si>
  <si>
    <t>ALLIED DISTILLERS LIMITED</t>
  </si>
  <si>
    <t>5010106111451</t>
  </si>
  <si>
    <t>1237</t>
  </si>
  <si>
    <t>5010106111833</t>
  </si>
  <si>
    <t>1239</t>
  </si>
  <si>
    <t>5010509465229</t>
  </si>
  <si>
    <t>1835</t>
  </si>
  <si>
    <t>CATTO'S RARE OLD</t>
  </si>
  <si>
    <t>622153612048</t>
  </si>
  <si>
    <t>2206</t>
  </si>
  <si>
    <t>DEWAR'S WHITE LABEL</t>
  </si>
  <si>
    <t>622153612062</t>
  </si>
  <si>
    <t>2207</t>
  </si>
  <si>
    <t>5010327000060</t>
  </si>
  <si>
    <t>2515</t>
  </si>
  <si>
    <t>GRANT'S FAMILY RESERVE</t>
  </si>
  <si>
    <t>5010327000305</t>
  </si>
  <si>
    <t>2516</t>
  </si>
  <si>
    <t>5010103800303</t>
  </si>
  <si>
    <t>2714</t>
  </si>
  <si>
    <t>J &amp; B RARE</t>
  </si>
  <si>
    <t>5010103800440</t>
  </si>
  <si>
    <t>2716</t>
  </si>
  <si>
    <t>5011333150725</t>
  </si>
  <si>
    <t>11563</t>
  </si>
  <si>
    <t>AUCHENTOSHAN THREE WOOD</t>
  </si>
  <si>
    <t>062812345678</t>
  </si>
  <si>
    <t>22449</t>
  </si>
  <si>
    <t>GLENMORANGIE THE ORIGINAL</t>
  </si>
  <si>
    <t>GLENMORANGIE PLC</t>
  </si>
  <si>
    <t>5010314303297</t>
  </si>
  <si>
    <t>26178</t>
  </si>
  <si>
    <t>MACALLAN 12 YEAR OLD DOUBLE CASK</t>
  </si>
  <si>
    <t>THE EDRINGTON GROUP</t>
  </si>
  <si>
    <t>5010496000410</t>
  </si>
  <si>
    <t>24372</t>
  </si>
  <si>
    <t>MCCLELLAND HIGHLAND</t>
  </si>
  <si>
    <t>080432115763</t>
  </si>
  <si>
    <t>37236</t>
  </si>
  <si>
    <t>THE GLENLIVET CARIBBEAN RESERVE</t>
  </si>
  <si>
    <t>5029704217458</t>
  </si>
  <si>
    <t>14826</t>
  </si>
  <si>
    <t>DEANSTON VIRGIN OAK SCOTCH MALT</t>
  </si>
  <si>
    <t>CVH SPIRITS LTD</t>
  </si>
  <si>
    <t>5010327324142</t>
  </si>
  <si>
    <t>43602</t>
  </si>
  <si>
    <t>GLENFIDDICH 18 YEAR OLD</t>
  </si>
  <si>
    <t>5010494983906</t>
  </si>
  <si>
    <t>47486</t>
  </si>
  <si>
    <t>GLENMORANGIE NECTAR 16 YEAR OLD</t>
  </si>
  <si>
    <t>088076189539</t>
  </si>
  <si>
    <t>44578</t>
  </si>
  <si>
    <t>MORTLACH NAD</t>
  </si>
  <si>
    <t>080432400722</t>
  </si>
  <si>
    <t>44100</t>
  </si>
  <si>
    <t>THE GLENLIVET 12 YEAR OLD</t>
  </si>
  <si>
    <t>5010327324333</t>
  </si>
  <si>
    <t>32508</t>
  </si>
  <si>
    <t>GLENFIDDICH 14 YR BOURBON BARREL RESERVE</t>
  </si>
  <si>
    <t>5010327325613</t>
  </si>
  <si>
    <t>27063</t>
  </si>
  <si>
    <t>GLENFIDDICH PROJECT XX</t>
  </si>
  <si>
    <t>5000281045177</t>
  </si>
  <si>
    <t>25962</t>
  </si>
  <si>
    <t>LAGAVULIN 8 YEAR OLD</t>
  </si>
  <si>
    <t>622153624041</t>
  </si>
  <si>
    <t>4284</t>
  </si>
  <si>
    <t>TALISKER SKYE 10 YEAR OLD</t>
  </si>
  <si>
    <t>080432400630</t>
  </si>
  <si>
    <t>4343</t>
  </si>
  <si>
    <t>080432101377</t>
  </si>
  <si>
    <t>20627</t>
  </si>
  <si>
    <t>080686749028</t>
  </si>
  <si>
    <t>24115</t>
  </si>
  <si>
    <t>ARDMORE LEGACY</t>
  </si>
  <si>
    <t>ARDMORE DISTILLERY</t>
  </si>
  <si>
    <t>088076189416</t>
  </si>
  <si>
    <t>44576</t>
  </si>
  <si>
    <t>JOHNNIE WALKER BLUE LABEL ICE CHALET</t>
  </si>
  <si>
    <t>088076189911</t>
  </si>
  <si>
    <t>44575</t>
  </si>
  <si>
    <t>JOHNNIE WALKER BLUE LABEL LUNAR NEW YEAR</t>
  </si>
  <si>
    <t>5000267022819</t>
  </si>
  <si>
    <t>27785</t>
  </si>
  <si>
    <t>7640171032665</t>
  </si>
  <si>
    <t>37330</t>
  </si>
  <si>
    <t>5010327204451</t>
  </si>
  <si>
    <t>38674</t>
  </si>
  <si>
    <t>GRANT'S 12 YEAR OLD</t>
  </si>
  <si>
    <t>5010327154510</t>
  </si>
  <si>
    <t>35525</t>
  </si>
  <si>
    <t>GRANT'S 8 YEAR OLD SHERRY CASK</t>
  </si>
  <si>
    <t>5010327105215</t>
  </si>
  <si>
    <t>24037</t>
  </si>
  <si>
    <t>MONKEY SHOULDER</t>
  </si>
  <si>
    <t>5010314071509</t>
  </si>
  <si>
    <t>11926</t>
  </si>
  <si>
    <t>THE BLACK GROUSE SMOKY BLACK</t>
  </si>
  <si>
    <t>5010314750008</t>
  </si>
  <si>
    <t>4336</t>
  </si>
  <si>
    <t>THE FAMOUS GROUSE</t>
  </si>
  <si>
    <t>Spirits - Brandy - Canada - Premium</t>
  </si>
  <si>
    <t>048415387460</t>
  </si>
  <si>
    <t>2178</t>
  </si>
  <si>
    <t>D'EAUBONNE VSOP</t>
  </si>
  <si>
    <t>048415387453</t>
  </si>
  <si>
    <t>2179</t>
  </si>
  <si>
    <t>088004400316</t>
  </si>
  <si>
    <t>2180</t>
  </si>
  <si>
    <t>Spirits - Brandy - France - Deluxe</t>
  </si>
  <si>
    <t>088352118062</t>
  </si>
  <si>
    <t>16224</t>
  </si>
  <si>
    <t>ST. REMY XO - CLS REMY COINTREAU</t>
  </si>
  <si>
    <t>CLS REMY-COINTREAU</t>
  </si>
  <si>
    <t>Spirits - Brandy - France - Premium</t>
  </si>
  <si>
    <t>080480002930</t>
  </si>
  <si>
    <t>44700</t>
  </si>
  <si>
    <t>D'USSE VSOP</t>
  </si>
  <si>
    <t>BACARDI CANADA INC</t>
  </si>
  <si>
    <t>088352103297</t>
  </si>
  <si>
    <t>4230</t>
  </si>
  <si>
    <t>ST. REMY VSOP</t>
  </si>
  <si>
    <t>088352103280</t>
  </si>
  <si>
    <t>4231</t>
  </si>
  <si>
    <t>Spirits - Brandy - Germany - Premium</t>
  </si>
  <si>
    <t>4001731232995</t>
  </si>
  <si>
    <t>2252</t>
  </si>
  <si>
    <t>DUJARDIN V.S.O.P.</t>
  </si>
  <si>
    <t>RACKE GMBH + CO. KG</t>
  </si>
  <si>
    <t>Spirits - Brandy - Greece - Malt - Premium</t>
  </si>
  <si>
    <t>5202795130022</t>
  </si>
  <si>
    <t>44738</t>
  </si>
  <si>
    <t>METAXA 7 STAR</t>
  </si>
  <si>
    <t>Spirits - Brandy - Spain - Premium</t>
  </si>
  <si>
    <t>8410162100036</t>
  </si>
  <si>
    <t>2381</t>
  </si>
  <si>
    <t>FUNDADOR</t>
  </si>
  <si>
    <t>BODEGAS FUNDADOR S.L.</t>
  </si>
  <si>
    <t>Spirits - Brandy - Spain - Economy</t>
  </si>
  <si>
    <t>8410113000095</t>
  </si>
  <si>
    <t>7191</t>
  </si>
  <si>
    <t>TORRES 10 YEAR CLASSIC BRANDY</t>
  </si>
  <si>
    <t>MIGUEL TORRES SA</t>
  </si>
  <si>
    <t>Spirits - Cognac Armagnac - France - Deluxe</t>
  </si>
  <si>
    <t>3049197110236</t>
  </si>
  <si>
    <t>2147</t>
  </si>
  <si>
    <t>COURVOISIER V.S.</t>
  </si>
  <si>
    <t>COURVOISIER SA</t>
  </si>
  <si>
    <t>080480002923</t>
  </si>
  <si>
    <t>25242</t>
  </si>
  <si>
    <t>3245990250302</t>
  </si>
  <si>
    <t>2631</t>
  </si>
  <si>
    <t>HENNESSY V.S.</t>
  </si>
  <si>
    <t>JAMES HENNESSY &amp; CO</t>
  </si>
  <si>
    <t>3245990250203</t>
  </si>
  <si>
    <t>2632</t>
  </si>
  <si>
    <t>088110153052</t>
  </si>
  <si>
    <t>2633</t>
  </si>
  <si>
    <t>HENNESSY X.O.</t>
  </si>
  <si>
    <t>087236001162</t>
  </si>
  <si>
    <t>3797</t>
  </si>
  <si>
    <t>REMY MARTIN VSOP</t>
  </si>
  <si>
    <t>087236002336</t>
  </si>
  <si>
    <t>3801</t>
  </si>
  <si>
    <t>REMY MARTIN XO EXCEL</t>
  </si>
  <si>
    <t>Spirits - Gin - Canada - Deluxe</t>
  </si>
  <si>
    <t>628451773108</t>
  </si>
  <si>
    <t>27692</t>
  </si>
  <si>
    <t>EMPRESS 1908 INDIGO GIN</t>
  </si>
  <si>
    <t>VICTORIA DISTILLERS</t>
  </si>
  <si>
    <t>854745000708</t>
  </si>
  <si>
    <t>23328</t>
  </si>
  <si>
    <t>UNGAVA CANADIAN PREMIUM GIN</t>
  </si>
  <si>
    <t>DOMAINE PINNACLE INC.</t>
  </si>
  <si>
    <t>Spirits - Gin - Canada - Premium</t>
  </si>
  <si>
    <t>080480988494</t>
  </si>
  <si>
    <t>40431</t>
  </si>
  <si>
    <t>BOMBAY PRESSE</t>
  </si>
  <si>
    <t>G&amp;J GREENALL</t>
  </si>
  <si>
    <t>628451773214</t>
  </si>
  <si>
    <t>40699</t>
  </si>
  <si>
    <t>EMPRESS INDIGO 1908 GIN</t>
  </si>
  <si>
    <t>622153139064</t>
  </si>
  <si>
    <t>2483</t>
  </si>
  <si>
    <t>GORDON'S LONDON DRY GIN</t>
  </si>
  <si>
    <t>Spirits - Gin - Canada - Economy</t>
  </si>
  <si>
    <t>776103000543</t>
  </si>
  <si>
    <t>2426</t>
  </si>
  <si>
    <t>GILBEY'S LONDON DRY GIN</t>
  </si>
  <si>
    <t>DIAGEO CANADA INC</t>
  </si>
  <si>
    <t>776555250701</t>
  </si>
  <si>
    <t>28113</t>
  </si>
  <si>
    <t>POTTER'S LONDON DRY GIN</t>
  </si>
  <si>
    <t>Spirits - Gin - Ireland - Deluxe</t>
  </si>
  <si>
    <t>0506043413022</t>
  </si>
  <si>
    <t>30802</t>
  </si>
  <si>
    <t>DRUMSHANBO GUNPOWDER IRISH GIN</t>
  </si>
  <si>
    <t>THE SHED DISTILLERY OF PJ RIGNEY</t>
  </si>
  <si>
    <t>205949</t>
  </si>
  <si>
    <t>Spirits - Gin - Japan - Deluxe</t>
  </si>
  <si>
    <t>080686958031</t>
  </si>
  <si>
    <t>31103</t>
  </si>
  <si>
    <t>ROKU GIN</t>
  </si>
  <si>
    <t>SUNTORY INTERNATIONAL CORP.</t>
  </si>
  <si>
    <t>Spirits - Gin - Japan - Premium</t>
  </si>
  <si>
    <t>080686010111</t>
  </si>
  <si>
    <t>46278</t>
  </si>
  <si>
    <t>ROKU SAKURA BLOOM</t>
  </si>
  <si>
    <t>SUNTORY YAMAZAKI DISTILLERY</t>
  </si>
  <si>
    <t>Spirits - Gin - UnitedKingdom - Deluxe</t>
  </si>
  <si>
    <t>083664990436</t>
  </si>
  <si>
    <t>6230</t>
  </si>
  <si>
    <t>HENDRICK'S GIN</t>
  </si>
  <si>
    <t>088110158606</t>
  </si>
  <si>
    <t>4291</t>
  </si>
  <si>
    <t>TANQUERAY NO. 10</t>
  </si>
  <si>
    <t>Spirits - Gin - UnitedKingdom - Premium</t>
  </si>
  <si>
    <t>5000329002216</t>
  </si>
  <si>
    <t>1302</t>
  </si>
  <si>
    <t>BEEFEATER</t>
  </si>
  <si>
    <t>JAMES BURROUGH DISTILLERS PLC</t>
  </si>
  <si>
    <t>5000329002353</t>
  </si>
  <si>
    <t>1304</t>
  </si>
  <si>
    <t>080480986001</t>
  </si>
  <si>
    <t>36412</t>
  </si>
  <si>
    <t>BOMBAY BRAMBLE</t>
  </si>
  <si>
    <t>620213180902</t>
  </si>
  <si>
    <t>1418</t>
  </si>
  <si>
    <t>BOMBAY SAPPHIRE</t>
  </si>
  <si>
    <t>BOMBAY SPIRITS CO LTD</t>
  </si>
  <si>
    <t>620213190000</t>
  </si>
  <si>
    <t>1419</t>
  </si>
  <si>
    <t>620213190208</t>
  </si>
  <si>
    <t>1420</t>
  </si>
  <si>
    <t>620213190307</t>
  </si>
  <si>
    <t>5331</t>
  </si>
  <si>
    <t>811538016001</t>
  </si>
  <si>
    <t>22232</t>
  </si>
  <si>
    <t>BOODLES BRITISH GIN</t>
  </si>
  <si>
    <t>HG &amp; CO LTD - HAYMAN</t>
  </si>
  <si>
    <t>88076182714</t>
  </si>
  <si>
    <t>29001</t>
  </si>
  <si>
    <t>TANQUERAY FLOR DE SEVILLA</t>
  </si>
  <si>
    <t>622153625024</t>
  </si>
  <si>
    <t>4288</t>
  </si>
  <si>
    <t>TANQUERAY LONDON DRY GIN</t>
  </si>
  <si>
    <t>622153625048</t>
  </si>
  <si>
    <t>4289</t>
  </si>
  <si>
    <t>622153625062</t>
  </si>
  <si>
    <t>4290</t>
  </si>
  <si>
    <t>622153625079</t>
  </si>
  <si>
    <t>13216</t>
  </si>
  <si>
    <t>088076168640</t>
  </si>
  <si>
    <t>19434</t>
  </si>
  <si>
    <t>TANQUERAY RANGPUR</t>
  </si>
  <si>
    <t>5055807418416</t>
  </si>
  <si>
    <t>45568</t>
  </si>
  <si>
    <t>THE BOTANIST RESTED</t>
  </si>
  <si>
    <t>Spirits - Gin - UnitedStates - Deluxe</t>
  </si>
  <si>
    <t>0853507000024</t>
  </si>
  <si>
    <t>27724</t>
  </si>
  <si>
    <t>AVIATION GIN</t>
  </si>
  <si>
    <t>089217600111</t>
  </si>
  <si>
    <t>39554</t>
  </si>
  <si>
    <t>DIXON'S WICKED BLUEBERRY GIN</t>
  </si>
  <si>
    <t>DIXON'S DISTILLED SPIRITS</t>
  </si>
  <si>
    <t>206034</t>
  </si>
  <si>
    <t>089217600166</t>
  </si>
  <si>
    <t>41099</t>
  </si>
  <si>
    <t>DIXON'S WICKED RASPBERRY GIN</t>
  </si>
  <si>
    <t>628451773894</t>
  </si>
  <si>
    <t>43851</t>
  </si>
  <si>
    <t>EMPRESS 1908 CUCUMBER LEMON GIN</t>
  </si>
  <si>
    <t>628451773801</t>
  </si>
  <si>
    <t>41177</t>
  </si>
  <si>
    <t>EMPRESS 1908 ELDERFLOWER ROSE GIN</t>
  </si>
  <si>
    <t>082000790600</t>
  </si>
  <si>
    <t>30813</t>
  </si>
  <si>
    <t>GORDON'S PREMIUM PINK GIN</t>
  </si>
  <si>
    <t>Spirits - Gin - Ireland - Flavoured - Premium</t>
  </si>
  <si>
    <t>5391530350846</t>
  </si>
  <si>
    <t>45259</t>
  </si>
  <si>
    <t>DRUMSHANBO GUNPOWDER BRAZILIAN PINEAPPLE</t>
  </si>
  <si>
    <t>5000299618073</t>
  </si>
  <si>
    <t>31097</t>
  </si>
  <si>
    <t>BEEFEATER PINK</t>
  </si>
  <si>
    <t>080480989484</t>
  </si>
  <si>
    <t>43388</t>
  </si>
  <si>
    <t>BOMBAY SUNSET</t>
  </si>
  <si>
    <t>Spirits - Gin - UnitedKingdom - Flavoured - Premium</t>
  </si>
  <si>
    <t>5010327704210</t>
  </si>
  <si>
    <t>45261</t>
  </si>
  <si>
    <t>HENDRICK'S OASIUM</t>
  </si>
  <si>
    <t>5011166056393</t>
  </si>
  <si>
    <t>31561</t>
  </si>
  <si>
    <t>WHITLEY NEILL RHUBARB &amp; GINGER GIN</t>
  </si>
  <si>
    <t>HALEWOOD WINE &amp; SPIRITS INTERNATIONAL</t>
  </si>
  <si>
    <t>Spirits - Rum - Canada - Deluxe</t>
  </si>
  <si>
    <t>69321004449</t>
  </si>
  <si>
    <t>29450</t>
  </si>
  <si>
    <t>APPLETON ESTATE 15 YEAR OLD</t>
  </si>
  <si>
    <t>622153160075</t>
  </si>
  <si>
    <t>3877</t>
  </si>
  <si>
    <t>RON CARIOCA WHITE</t>
  </si>
  <si>
    <t>Spirits - Rum - Canada - Premium</t>
  </si>
  <si>
    <t>080480016210</t>
  </si>
  <si>
    <t>1199</t>
  </si>
  <si>
    <t>BACARDI SUPERIOR</t>
  </si>
  <si>
    <t>BACARDI CANADA  INC</t>
  </si>
  <si>
    <t>620213015600</t>
  </si>
  <si>
    <t>1201</t>
  </si>
  <si>
    <t>620213015297</t>
  </si>
  <si>
    <t>17248</t>
  </si>
  <si>
    <t>080480007577</t>
  </si>
  <si>
    <t>26946</t>
  </si>
  <si>
    <t>BACARDI SUPERIOR (IMPORT)</t>
  </si>
  <si>
    <t>BACARDI BOTTLING CORP</t>
  </si>
  <si>
    <t>087000007925</t>
  </si>
  <si>
    <t>1762</t>
  </si>
  <si>
    <t>CAPTAIN MORGAN DARK</t>
  </si>
  <si>
    <t>087000150324</t>
  </si>
  <si>
    <t>1763</t>
  </si>
  <si>
    <t>087000150331</t>
  </si>
  <si>
    <t>1764</t>
  </si>
  <si>
    <t>087000150348</t>
  </si>
  <si>
    <t>34032</t>
  </si>
  <si>
    <t>087000150393</t>
  </si>
  <si>
    <t>1765</t>
  </si>
  <si>
    <t>CAPTAIN MORGAN DELUXE DARK</t>
  </si>
  <si>
    <t>087000150263</t>
  </si>
  <si>
    <t>12949</t>
  </si>
  <si>
    <t>CAPTAIN MORGAN GOLD</t>
  </si>
  <si>
    <t>087000150270</t>
  </si>
  <si>
    <t>8985</t>
  </si>
  <si>
    <t>087000150287</t>
  </si>
  <si>
    <t>34593</t>
  </si>
  <si>
    <t>087000007895</t>
  </si>
  <si>
    <t>8480</t>
  </si>
  <si>
    <t>CAPTAIN MORGAN WHITE</t>
  </si>
  <si>
    <t>087000150010</t>
  </si>
  <si>
    <t>1779</t>
  </si>
  <si>
    <t>087000150300</t>
  </si>
  <si>
    <t>1780</t>
  </si>
  <si>
    <t>087000150317</t>
  </si>
  <si>
    <t>1781</t>
  </si>
  <si>
    <t>721094200052</t>
  </si>
  <si>
    <t>29967</t>
  </si>
  <si>
    <t>GOSLING'S BLACK SEAL RUM</t>
  </si>
  <si>
    <t>GOSLING-CASTLE PARTNERS INC</t>
  </si>
  <si>
    <t>048415000444</t>
  </si>
  <si>
    <t>44899</t>
  </si>
  <si>
    <t>LAMB'S BLACK SPICED RUM</t>
  </si>
  <si>
    <t>048415345439</t>
  </si>
  <si>
    <t>2927</t>
  </si>
  <si>
    <t>LAMB'S NAVY</t>
  </si>
  <si>
    <t>048415345422</t>
  </si>
  <si>
    <t>2928</t>
  </si>
  <si>
    <t>048415510806</t>
  </si>
  <si>
    <t>2930</t>
  </si>
  <si>
    <t>048415345361</t>
  </si>
  <si>
    <t>2931</t>
  </si>
  <si>
    <t>048415345491</t>
  </si>
  <si>
    <t>2934</t>
  </si>
  <si>
    <t>LAMB'S PALM BREEZE</t>
  </si>
  <si>
    <t>048415345484</t>
  </si>
  <si>
    <t>2935</t>
  </si>
  <si>
    <t>048415510813</t>
  </si>
  <si>
    <t>2937</t>
  </si>
  <si>
    <t>048415345453</t>
  </si>
  <si>
    <t>2938</t>
  </si>
  <si>
    <t>627040065044</t>
  </si>
  <si>
    <t>3399</t>
  </si>
  <si>
    <t>NEWFOUNDLAND SCREECH RUM</t>
  </si>
  <si>
    <t>NFLD &amp; LABRADOR LIQUOR CORP</t>
  </si>
  <si>
    <t>774827001129</t>
  </si>
  <si>
    <t>25598</t>
  </si>
  <si>
    <t>POTTER'S IMPORTED SPICED RUM</t>
  </si>
  <si>
    <t>Spirits - Rum - Canada - Economy</t>
  </si>
  <si>
    <t>048415540230</t>
  </si>
  <si>
    <t>27061</t>
  </si>
  <si>
    <t>LAMB'S CLASSIC WHITE</t>
  </si>
  <si>
    <t>048415510820</t>
  </si>
  <si>
    <t>2944</t>
  </si>
  <si>
    <t>048415345514</t>
  </si>
  <si>
    <t>2945</t>
  </si>
  <si>
    <t>Spirits - Rum - Barbados - Deluxe</t>
  </si>
  <si>
    <t>0813497006109</t>
  </si>
  <si>
    <t>25961</t>
  </si>
  <si>
    <t>BUMBU CRAFT RUM</t>
  </si>
  <si>
    <t>BUMBU RUM CO</t>
  </si>
  <si>
    <t>695521151135</t>
  </si>
  <si>
    <t>13788</t>
  </si>
  <si>
    <t>PLANTERAY 5 YEAR OLD BARBADOS AMBER RUM</t>
  </si>
  <si>
    <t>CHATEAU DE BONBONNET</t>
  </si>
  <si>
    <t>3295</t>
  </si>
  <si>
    <t>Spirits - Rum - Barbados - Premium</t>
  </si>
  <si>
    <t>813497006130</t>
  </si>
  <si>
    <t>40019</t>
  </si>
  <si>
    <t>9501007110408</t>
  </si>
  <si>
    <t>3348</t>
  </si>
  <si>
    <t>MOUNT GAY ECLIPSE</t>
  </si>
  <si>
    <t>MOUNT GAY DISTILLERIES LIMITED</t>
  </si>
  <si>
    <t>Spirits - Rum - Cuba - Deluxe</t>
  </si>
  <si>
    <t>8501110080446</t>
  </si>
  <si>
    <t>2610</t>
  </si>
  <si>
    <t>HAVANA CLUB 7 YEAR OLD</t>
  </si>
  <si>
    <t>HAVANA CLUB INTERNATIONAL</t>
  </si>
  <si>
    <t>Spirits - Rum - Cuba - Premium</t>
  </si>
  <si>
    <t>8501110080248</t>
  </si>
  <si>
    <t>17165</t>
  </si>
  <si>
    <t>HAVANA CLUB ANEJO 3 ANOS</t>
  </si>
  <si>
    <t>8501110080644</t>
  </si>
  <si>
    <t>2611</t>
  </si>
  <si>
    <t>HAVANA CLUB ANEJO RESERVA</t>
  </si>
  <si>
    <t>8501110086202</t>
  </si>
  <si>
    <t>47462</t>
  </si>
  <si>
    <t>HAVANA CLUB ESPECIAL</t>
  </si>
  <si>
    <t>Spirits - Rum - DominicanRepublic - Deluxe</t>
  </si>
  <si>
    <t>811538017039</t>
  </si>
  <si>
    <t>5276</t>
  </si>
  <si>
    <t>RON MATUSALEM GRAN RESERVA 15YO</t>
  </si>
  <si>
    <t>MATUSALEM &amp; CO.</t>
  </si>
  <si>
    <t>Spirits - Rum - DominicanRepublic - Premium</t>
  </si>
  <si>
    <t>7460855202197</t>
  </si>
  <si>
    <t>8156</t>
  </si>
  <si>
    <t>BRUGAL ANEJO RUM</t>
  </si>
  <si>
    <t>BRUGAL &amp; CO</t>
  </si>
  <si>
    <t>Spirits - Rum - Germany - Premium</t>
  </si>
  <si>
    <t>5010677018616</t>
  </si>
  <si>
    <t>1200</t>
  </si>
  <si>
    <t>Spirits - Rum - Guatemala - Deluxe</t>
  </si>
  <si>
    <t>699013000550</t>
  </si>
  <si>
    <t>12756</t>
  </si>
  <si>
    <t>RON ZACAPA CENTENARIO 23 YEAR OLD</t>
  </si>
  <si>
    <t>Spirits - Rum - Guyana - Deluxe</t>
  </si>
  <si>
    <t>5014396002222</t>
  </si>
  <si>
    <t>13510</t>
  </si>
  <si>
    <t>EL DORADO 12 YEAR OLD</t>
  </si>
  <si>
    <t>DEMERARA DISTILLERS LIMITED</t>
  </si>
  <si>
    <t>205851</t>
  </si>
  <si>
    <t>Spirits - Rum - Guyana - Premium</t>
  </si>
  <si>
    <t>814789007729</t>
  </si>
  <si>
    <t>2966</t>
  </si>
  <si>
    <t>LEMON HART</t>
  </si>
  <si>
    <t>4202</t>
  </si>
  <si>
    <t>814789007712</t>
  </si>
  <si>
    <t>2967</t>
  </si>
  <si>
    <t>814789007705</t>
  </si>
  <si>
    <t>2968</t>
  </si>
  <si>
    <t>Spirits - Rum - Jamaica - Deluxe</t>
  </si>
  <si>
    <t>636191054401</t>
  </si>
  <si>
    <t>1122</t>
  </si>
  <si>
    <t>APPLETON ESTATE 21 YEAR OLD</t>
  </si>
  <si>
    <t>J WRAY &amp; NEPHEW LTD</t>
  </si>
  <si>
    <t>636191218407</t>
  </si>
  <si>
    <t>43640</t>
  </si>
  <si>
    <t>APPLETON ESTATE 8YO DOUBLE CASK</t>
  </si>
  <si>
    <t>636191036407</t>
  </si>
  <si>
    <t>6041</t>
  </si>
  <si>
    <t>WRAY &amp; NEPHEW WHITE OVER PROOF RUM</t>
  </si>
  <si>
    <t>WRAY &amp; NEPHEW CANADA LIMITED</t>
  </si>
  <si>
    <t>Spirits - Rum - Jamaica - Premium</t>
  </si>
  <si>
    <t>00069321004562</t>
  </si>
  <si>
    <t>33458</t>
  </si>
  <si>
    <t>APPLETON ESTATE 12 YEAR OLD RARE CASKS</t>
  </si>
  <si>
    <t>069321004555</t>
  </si>
  <si>
    <t>33434</t>
  </si>
  <si>
    <t>APPLETON ESTATE 8 YEAR OLD RESERVE</t>
  </si>
  <si>
    <t>621705110377</t>
  </si>
  <si>
    <t>1123</t>
  </si>
  <si>
    <t>APPLETON ESTATE SIGNATURE BLEND</t>
  </si>
  <si>
    <t>621705110759</t>
  </si>
  <si>
    <t>1124</t>
  </si>
  <si>
    <t>621705111145</t>
  </si>
  <si>
    <t>1125</t>
  </si>
  <si>
    <t>621705111756</t>
  </si>
  <si>
    <t>1126</t>
  </si>
  <si>
    <t>5021692500949</t>
  </si>
  <si>
    <t>39920</t>
  </si>
  <si>
    <t>SMITH &amp; CROSS RUM</t>
  </si>
  <si>
    <t>Spirits - Rum - Nicaragua - Deluxe</t>
  </si>
  <si>
    <t>026964823967</t>
  </si>
  <si>
    <t>5982</t>
  </si>
  <si>
    <t>FLOR DE CANA CENTENARIO 12 YO</t>
  </si>
  <si>
    <t>COMPANIA LICORERA DE NICARAGUA SA</t>
  </si>
  <si>
    <t>026964500233</t>
  </si>
  <si>
    <t>6887</t>
  </si>
  <si>
    <t>FLOR DE CANA CENTENARIO 18 YEAR OLD</t>
  </si>
  <si>
    <t>026964852745</t>
  </si>
  <si>
    <t>6888</t>
  </si>
  <si>
    <t>FLOR DE CANA GRAND RESERVE 7 YEAR OLD</t>
  </si>
  <si>
    <t>Spirits - Rum - Nicaragua - Premium</t>
  </si>
  <si>
    <t>026964334227</t>
  </si>
  <si>
    <t>5981</t>
  </si>
  <si>
    <t>FLOR DE CANA BLACK LABEL 5 YR</t>
  </si>
  <si>
    <t>Spirits - Rum - Panama - Deluxe</t>
  </si>
  <si>
    <t>813497006147</t>
  </si>
  <si>
    <t>30950</t>
  </si>
  <si>
    <t>BUMBU XO</t>
  </si>
  <si>
    <t>Spirits - Rum - Panama - Premium</t>
  </si>
  <si>
    <t>8009366980515</t>
  </si>
  <si>
    <t>47460</t>
  </si>
  <si>
    <t>DEMON'S SHARE 3 YEAR OLD RUM</t>
  </si>
  <si>
    <t>BODEGAS DE AMERICA</t>
  </si>
  <si>
    <t>Spirits - Rum - PuertoRico - Deluxe</t>
  </si>
  <si>
    <t>082000741756</t>
  </si>
  <si>
    <t>6235</t>
  </si>
  <si>
    <t>CAPTAIN MORGAN PRIVATE STOCK RUM</t>
  </si>
  <si>
    <t>DIAGEO NORTH AMERICA</t>
  </si>
  <si>
    <t>Spirits - Rum - PuertoRico - Premium</t>
  </si>
  <si>
    <t>080480505400</t>
  </si>
  <si>
    <t>1160</t>
  </si>
  <si>
    <t>BACARDI 8</t>
  </si>
  <si>
    <t>7610113021187</t>
  </si>
  <si>
    <t>43387</t>
  </si>
  <si>
    <t>BACARDI CARIBBEAN SPICED RUM</t>
  </si>
  <si>
    <t>620213025609</t>
  </si>
  <si>
    <t>1184</t>
  </si>
  <si>
    <t>BACARDI GOLD</t>
  </si>
  <si>
    <t>Spirits - Rum - TrinidadandTobago - Deluxe</t>
  </si>
  <si>
    <t>818844024324</t>
  </si>
  <si>
    <t>41275</t>
  </si>
  <si>
    <t>THE KRAKEN GOLD SPICED RUM</t>
  </si>
  <si>
    <t>Spirits - Rum - UnitedKingdom - Premium</t>
  </si>
  <si>
    <t>848557001855</t>
  </si>
  <si>
    <t>41003</t>
  </si>
  <si>
    <t>DEAD MAN'S FINGERS PASSION FRUIT RUM</t>
  </si>
  <si>
    <t>Spirits - Rum - UnitedStates - Premium</t>
  </si>
  <si>
    <t>080480007614</t>
  </si>
  <si>
    <t>26979</t>
  </si>
  <si>
    <t>BACARDI BLACK (IMPORT)</t>
  </si>
  <si>
    <t>080480007621</t>
  </si>
  <si>
    <t>26990</t>
  </si>
  <si>
    <t>080480007584</t>
  </si>
  <si>
    <t>26992</t>
  </si>
  <si>
    <t>BACARDI GOLD (IMPORT)</t>
  </si>
  <si>
    <t>080480007591</t>
  </si>
  <si>
    <t>26993</t>
  </si>
  <si>
    <t>080480007607</t>
  </si>
  <si>
    <t>26995</t>
  </si>
  <si>
    <t>080480007553</t>
  </si>
  <si>
    <t>26977</t>
  </si>
  <si>
    <t>080480007560</t>
  </si>
  <si>
    <t>26971</t>
  </si>
  <si>
    <t>Spirits - Rum - VenezuelaBolivarianRepublic - Deluxe</t>
  </si>
  <si>
    <t>186028000083</t>
  </si>
  <si>
    <t>11807</t>
  </si>
  <si>
    <t>DIPLOMATICO MANTUANO</t>
  </si>
  <si>
    <t>DISTILERIAS UNIDAS S.A.</t>
  </si>
  <si>
    <t>7594003624903</t>
  </si>
  <si>
    <t>11809</t>
  </si>
  <si>
    <t>DIPLOMATICO RESERVA EXCLUSIVA</t>
  </si>
  <si>
    <t>Spirits - Rum - VirginIslandsUS - Deluxe</t>
  </si>
  <si>
    <t>080686967026</t>
  </si>
  <si>
    <t>9738</t>
  </si>
  <si>
    <t>CRUZAN SINGLE BARREL 12 YR OLD</t>
  </si>
  <si>
    <t>CRUZAN RUM DISTILLERY</t>
  </si>
  <si>
    <t>082000744689</t>
  </si>
  <si>
    <t>8482</t>
  </si>
  <si>
    <t>CAPTAIN MORGAN BOLD</t>
  </si>
  <si>
    <t>082000776635</t>
  </si>
  <si>
    <t>24491</t>
  </si>
  <si>
    <t>CAPTAIN MORGAN COCONUT FLAVOURED RUM</t>
  </si>
  <si>
    <t>087000003439</t>
  </si>
  <si>
    <t>30142</t>
  </si>
  <si>
    <t>CAPTAIN MORGAN ORIGINAL SPICED RUM</t>
  </si>
  <si>
    <t>082000776642</t>
  </si>
  <si>
    <t>24490</t>
  </si>
  <si>
    <t>CAPTAIN MORGAN PINEAPPLE FLAVOURED RUM</t>
  </si>
  <si>
    <t>082000794516</t>
  </si>
  <si>
    <t>34748</t>
  </si>
  <si>
    <t>CAPTAIN MORGAN SLICED APPLE</t>
  </si>
  <si>
    <t>087000008892</t>
  </si>
  <si>
    <t>7468</t>
  </si>
  <si>
    <t>CAPTAIN MORGAN SPICED</t>
  </si>
  <si>
    <t>087000003446</t>
  </si>
  <si>
    <t>1768</t>
  </si>
  <si>
    <t>087000151086</t>
  </si>
  <si>
    <t>1769</t>
  </si>
  <si>
    <t>087000151109</t>
  </si>
  <si>
    <t>1770</t>
  </si>
  <si>
    <t>087000151116</t>
  </si>
  <si>
    <t>5944</t>
  </si>
  <si>
    <t>082000003519</t>
  </si>
  <si>
    <t>17152</t>
  </si>
  <si>
    <t>CAPTAIN MORGAN SPICED PET</t>
  </si>
  <si>
    <t>082000784739</t>
  </si>
  <si>
    <t>30143</t>
  </si>
  <si>
    <t>082000759416</t>
  </si>
  <si>
    <t>11761</t>
  </si>
  <si>
    <t>CAPTAIN MORGAN WHITE SPICED RUM</t>
  </si>
  <si>
    <t>048415520508</t>
  </si>
  <si>
    <t>23990</t>
  </si>
  <si>
    <t>LAMB'S SPICED RUM</t>
  </si>
  <si>
    <t>048415520539</t>
  </si>
  <si>
    <t>23992</t>
  </si>
  <si>
    <t>628011395122</t>
  </si>
  <si>
    <t>44962</t>
  </si>
  <si>
    <t>MOONLIGHT BY MATT LANG SPICED RUM</t>
  </si>
  <si>
    <t>APLHA TANGO SPIRITS</t>
  </si>
  <si>
    <t>Spirits - Rum - Canada - Flavoured - Premium</t>
  </si>
  <si>
    <t>082000770602</t>
  </si>
  <si>
    <t>25202</t>
  </si>
  <si>
    <t>814789004438</t>
  </si>
  <si>
    <t>16655</t>
  </si>
  <si>
    <t>LEMON HART BLACKPOOL SPICED</t>
  </si>
  <si>
    <t>080480985257</t>
  </si>
  <si>
    <t>42104</t>
  </si>
  <si>
    <t>BACARDI SPICED RUM</t>
  </si>
  <si>
    <t>811538010580</t>
  </si>
  <si>
    <t>22938</t>
  </si>
  <si>
    <t>THE KRAKEN BLACK SPICED RUM</t>
  </si>
  <si>
    <t>811538013086</t>
  </si>
  <si>
    <t>17071</t>
  </si>
  <si>
    <t>811538013024</t>
  </si>
  <si>
    <t>10710</t>
  </si>
  <si>
    <t>811538013048</t>
  </si>
  <si>
    <t>16038</t>
  </si>
  <si>
    <t>811538013017</t>
  </si>
  <si>
    <t>27707</t>
  </si>
  <si>
    <t>Spirits - Rum - UnitedKingdom - Flavoured - Premium</t>
  </si>
  <si>
    <t>848557001206</t>
  </si>
  <si>
    <t>36646</t>
  </si>
  <si>
    <t>DEAD MAN'S FINGERS PINEAPPLE RUM</t>
  </si>
  <si>
    <t>Spirits - Rum - UnitedStates - Deluxe</t>
  </si>
  <si>
    <t>083664873319</t>
  </si>
  <si>
    <t>7598</t>
  </si>
  <si>
    <t>SAILOR JERRY SPICED NAVY RUM</t>
  </si>
  <si>
    <t>WILLIAM GRANT &amp; SONS USA</t>
  </si>
  <si>
    <t>083664873333</t>
  </si>
  <si>
    <t>12862</t>
  </si>
  <si>
    <t>083664873364</t>
  </si>
  <si>
    <t>33873</t>
  </si>
  <si>
    <t>SAILOR JERRY SPICED RUM</t>
  </si>
  <si>
    <t>080480984274</t>
  </si>
  <si>
    <t>36342</t>
  </si>
  <si>
    <t>BACARDI LIME</t>
  </si>
  <si>
    <t>080480980252</t>
  </si>
  <si>
    <t>1191</t>
  </si>
  <si>
    <t>BACARDI LIMON</t>
  </si>
  <si>
    <t>080480006761</t>
  </si>
  <si>
    <t>24871</t>
  </si>
  <si>
    <t>BACARDI RASPBERRY</t>
  </si>
  <si>
    <t>80480984922</t>
  </si>
  <si>
    <t>32061</t>
  </si>
  <si>
    <t>80480984939</t>
  </si>
  <si>
    <t>32062</t>
  </si>
  <si>
    <t>80480984915</t>
  </si>
  <si>
    <t>32063</t>
  </si>
  <si>
    <t>084279976907</t>
  </si>
  <si>
    <t>43645</t>
  </si>
  <si>
    <t>RONDIAZ GRAN RESERVA SPICED RUM</t>
  </si>
  <si>
    <t>1820 SPIRITS</t>
  </si>
  <si>
    <t>Spirits - Rum - UnitedStates - Flavoured - Premium</t>
  </si>
  <si>
    <t>080480400637</t>
  </si>
  <si>
    <t>5328</t>
  </si>
  <si>
    <t>BACARDI COCONUT RUM</t>
  </si>
  <si>
    <t>Spirits - Tequila - Mexico - Deluxe</t>
  </si>
  <si>
    <t>7500462214333</t>
  </si>
  <si>
    <t>33481</t>
  </si>
  <si>
    <t>ADICTIVO TEQUILA EXTRA ANEJO</t>
  </si>
  <si>
    <t>VITRO TEQUILERA SA DE CV</t>
  </si>
  <si>
    <t>720815910737</t>
  </si>
  <si>
    <t>27744</t>
  </si>
  <si>
    <t>CABO WABO BLANCO</t>
  </si>
  <si>
    <t>CAMPARI MEXICO SA DE CV</t>
  </si>
  <si>
    <t>720815910133</t>
  </si>
  <si>
    <t>8870</t>
  </si>
  <si>
    <t>CABO WABO REPOSADO</t>
  </si>
  <si>
    <t>652341401031</t>
  </si>
  <si>
    <t>21114</t>
  </si>
  <si>
    <t>CASAMIGOS BLANCO TEQUILA</t>
  </si>
  <si>
    <t>CASAMIGOS TEQUILA</t>
  </si>
  <si>
    <t>652341401024</t>
  </si>
  <si>
    <t>21113</t>
  </si>
  <si>
    <t>CASAMIGOS REPOSADO TEQUILA</t>
  </si>
  <si>
    <t>080480980689</t>
  </si>
  <si>
    <t>11907</t>
  </si>
  <si>
    <t>CAZADORES ANEJO</t>
  </si>
  <si>
    <t>FABRICA DE TEQUILAS FINOS SA DE CV</t>
  </si>
  <si>
    <t>674545000322</t>
  </si>
  <si>
    <t>11526</t>
  </si>
  <si>
    <t>DON JULIO 1942 TEQUILA</t>
  </si>
  <si>
    <t>TEQUILA DON JULIO, SA DE CV</t>
  </si>
  <si>
    <t>674545000827</t>
  </si>
  <si>
    <t>39555</t>
  </si>
  <si>
    <t>DON JULIO 70</t>
  </si>
  <si>
    <t>674545000001</t>
  </si>
  <si>
    <t>14190</t>
  </si>
  <si>
    <t>DON JULIO BLANCO</t>
  </si>
  <si>
    <t>674545000414</t>
  </si>
  <si>
    <t>7241</t>
  </si>
  <si>
    <t>DON JULIO REPOSADO TEQUILA</t>
  </si>
  <si>
    <t>080686835806</t>
  </si>
  <si>
    <t>28699</t>
  </si>
  <si>
    <t>HORNITOS CRISTALINO</t>
  </si>
  <si>
    <t>TEQUILA SAUZA S.A.</t>
  </si>
  <si>
    <t>721733000012</t>
  </si>
  <si>
    <t>7141</t>
  </si>
  <si>
    <t>PATRON ANEJO TEQUILA</t>
  </si>
  <si>
    <t>PATRON SPIRITS MEXICO SA DE CV</t>
  </si>
  <si>
    <t>721733000159</t>
  </si>
  <si>
    <t>8971</t>
  </si>
  <si>
    <t>PATRON REPOSADO</t>
  </si>
  <si>
    <t>721733000029</t>
  </si>
  <si>
    <t>7135</t>
  </si>
  <si>
    <t>PATRON SILVER TEQUILA</t>
  </si>
  <si>
    <t>Spirits - Tequila - Mexico - Premium</t>
  </si>
  <si>
    <t>811538010030</t>
  </si>
  <si>
    <t>26629</t>
  </si>
  <si>
    <t>1800 ANEJO TEQUILA</t>
  </si>
  <si>
    <t>CASA CUERVO S.A. de C.V</t>
  </si>
  <si>
    <t>811538010122</t>
  </si>
  <si>
    <t>46532</t>
  </si>
  <si>
    <t>1800 BLANCO TEQUILA</t>
  </si>
  <si>
    <t>811538010139</t>
  </si>
  <si>
    <t>15515</t>
  </si>
  <si>
    <t>811538016469</t>
  </si>
  <si>
    <t>41164</t>
  </si>
  <si>
    <t>1800 CRISTALINO TEQUILA</t>
  </si>
  <si>
    <t>811538010238</t>
  </si>
  <si>
    <t>14569</t>
  </si>
  <si>
    <t>1800 REPOSADO TEQUILA</t>
  </si>
  <si>
    <t>0811538013628</t>
  </si>
  <si>
    <t>33900</t>
  </si>
  <si>
    <t>400 CONEJOS MEZCAL</t>
  </si>
  <si>
    <t>7500462214302</t>
  </si>
  <si>
    <t>33204</t>
  </si>
  <si>
    <t>ADICTIVO ANEJO</t>
  </si>
  <si>
    <t>7500462214326</t>
  </si>
  <si>
    <t>34719</t>
  </si>
  <si>
    <t>ADICTIVO DOBLE REPOSADO</t>
  </si>
  <si>
    <t>652341401017</t>
  </si>
  <si>
    <t>24900</t>
  </si>
  <si>
    <t>CASAMIGOS ANEJO</t>
  </si>
  <si>
    <t>088076188839</t>
  </si>
  <si>
    <t>46533</t>
  </si>
  <si>
    <t>856724006329</t>
  </si>
  <si>
    <t>30796</t>
  </si>
  <si>
    <t>CASAMIGOS MEZCAL</t>
  </si>
  <si>
    <t>088076187313</t>
  </si>
  <si>
    <t>46534</t>
  </si>
  <si>
    <t>080480981082</t>
  </si>
  <si>
    <t>28344</t>
  </si>
  <si>
    <t>CAZADORES BLANCO</t>
  </si>
  <si>
    <t>TEQUILA CAZADORES DE ARANDAS</t>
  </si>
  <si>
    <t>080480980566</t>
  </si>
  <si>
    <t>9415</t>
  </si>
  <si>
    <t>CAZADORES REPOSADO</t>
  </si>
  <si>
    <t>83089004046</t>
  </si>
  <si>
    <t>46535</t>
  </si>
  <si>
    <t>CORAZON ANEJO TEQUILA</t>
  </si>
  <si>
    <t>674545000063</t>
  </si>
  <si>
    <t>21876</t>
  </si>
  <si>
    <t>DON JULIO ANEJO</t>
  </si>
  <si>
    <t>674545000599</t>
  </si>
  <si>
    <t>34342</t>
  </si>
  <si>
    <t>674545000605</t>
  </si>
  <si>
    <t>34343</t>
  </si>
  <si>
    <t>DON JULIO REPOSADO</t>
  </si>
  <si>
    <t>088076187955</t>
  </si>
  <si>
    <t>43391</t>
  </si>
  <si>
    <t>DON JULIO ROSADO</t>
  </si>
  <si>
    <t>744607068208</t>
  </si>
  <si>
    <t>13777</t>
  </si>
  <si>
    <t>EL JIMADOR BLANCO</t>
  </si>
  <si>
    <t>CASA HERRADURA</t>
  </si>
  <si>
    <t>744607069205</t>
  </si>
  <si>
    <t>6175</t>
  </si>
  <si>
    <t>EL JIMADOR REPOSADO TEQUILA</t>
  </si>
  <si>
    <t>7501398100318</t>
  </si>
  <si>
    <t>42124</t>
  </si>
  <si>
    <t>EL TEQUILENO BLANCO</t>
  </si>
  <si>
    <t>JORGE SALLES CUERVO y SUCESORES, SA de C</t>
  </si>
  <si>
    <t>7501398100325</t>
  </si>
  <si>
    <t>31029</t>
  </si>
  <si>
    <t>EL TEQUILENO PLATINUM</t>
  </si>
  <si>
    <t>7501398100332</t>
  </si>
  <si>
    <t>31028</t>
  </si>
  <si>
    <t>EL TEQUILENO REPOSADO GRAN RESE</t>
  </si>
  <si>
    <t>07503008885059</t>
  </si>
  <si>
    <t>24980</t>
  </si>
  <si>
    <t>ENMASCARADO 45 MEZCAL JOVEN</t>
  </si>
  <si>
    <t>MEZCALES MILAGRITO SA DE CV</t>
  </si>
  <si>
    <t>192206</t>
  </si>
  <si>
    <t>0721059707503</t>
  </si>
  <si>
    <t>25605</t>
  </si>
  <si>
    <t>ESPOLON BLANCO</t>
  </si>
  <si>
    <t>721059707510</t>
  </si>
  <si>
    <t>24228</t>
  </si>
  <si>
    <t>ESPOLON REPOSADO</t>
  </si>
  <si>
    <t>1000</t>
  </si>
  <si>
    <t>085000017326</t>
  </si>
  <si>
    <t>15119</t>
  </si>
  <si>
    <t>FAMILIA CAMARENA REPOSADO TEQUILA</t>
  </si>
  <si>
    <t>TEQUILA SUPREMO, S.A. DE C.V.</t>
  </si>
  <si>
    <t>206245</t>
  </si>
  <si>
    <t>080686835585</t>
  </si>
  <si>
    <t>20364</t>
  </si>
  <si>
    <t>HORNITOS BLACK BARREL TEQUILA - SAUZA</t>
  </si>
  <si>
    <t>080686835325</t>
  </si>
  <si>
    <t>27047</t>
  </si>
  <si>
    <t>HORNITOS PLATA</t>
  </si>
  <si>
    <t>080686835028</t>
  </si>
  <si>
    <t>3989</t>
  </si>
  <si>
    <t>HORNITOS REPOSADO - SAUZA</t>
  </si>
  <si>
    <t>811538016391</t>
  </si>
  <si>
    <t>30775</t>
  </si>
  <si>
    <t>JOSE CUERVO ESPECIAL GOLD</t>
  </si>
  <si>
    <t>811538010900</t>
  </si>
  <si>
    <t>2162</t>
  </si>
  <si>
    <t>811538010849</t>
  </si>
  <si>
    <t>2163</t>
  </si>
  <si>
    <t>811538010788</t>
  </si>
  <si>
    <t>2164</t>
  </si>
  <si>
    <t>811538010863</t>
  </si>
  <si>
    <t>9422</t>
  </si>
  <si>
    <t>JOSE CUERVO ESPECIAL SILVER</t>
  </si>
  <si>
    <t>811538011426</t>
  </si>
  <si>
    <t>23557</t>
  </si>
  <si>
    <t>JOSE CUERVO TRADICIONAL PLATA</t>
  </si>
  <si>
    <t>811538011372</t>
  </si>
  <si>
    <t>23380</t>
  </si>
  <si>
    <t>JOSE CUERVO TRADICIONAL REPOSADO</t>
  </si>
  <si>
    <t>721733006007</t>
  </si>
  <si>
    <t>42288</t>
  </si>
  <si>
    <t>PATRON EL CIELO</t>
  </si>
  <si>
    <t>721733000234</t>
  </si>
  <si>
    <t>24496</t>
  </si>
  <si>
    <t>721733000944</t>
  </si>
  <si>
    <t>42424</t>
  </si>
  <si>
    <t>850024564022</t>
  </si>
  <si>
    <t>44818</t>
  </si>
  <si>
    <t>TEREMANA TEQUILA ANEJO</t>
  </si>
  <si>
    <t>SIETE BUCKS SPIRITS LLC</t>
  </si>
  <si>
    <t>850015640001</t>
  </si>
  <si>
    <t>44701</t>
  </si>
  <si>
    <t>TEREMANA TEQUILA BLANCO</t>
  </si>
  <si>
    <t>850024564008</t>
  </si>
  <si>
    <t>35484</t>
  </si>
  <si>
    <t>850015640018</t>
  </si>
  <si>
    <t>44702</t>
  </si>
  <si>
    <t>TEREMANA TEQUILA REPOSADO</t>
  </si>
  <si>
    <t>850024564015</t>
  </si>
  <si>
    <t>35485</t>
  </si>
  <si>
    <t>080686836032</t>
  </si>
  <si>
    <t>33987</t>
  </si>
  <si>
    <t>TRES GENERACIONES REPOSADO</t>
  </si>
  <si>
    <t>Spirits - Tequila - Mexico - Economy</t>
  </si>
  <si>
    <t>086003272033</t>
  </si>
  <si>
    <t>45518</t>
  </si>
  <si>
    <t>MI CAMPO BLANCO TEQUILA</t>
  </si>
  <si>
    <t>CONSTELLATION WINES US</t>
  </si>
  <si>
    <t>206223</t>
  </si>
  <si>
    <t>086003272019</t>
  </si>
  <si>
    <t>43527</t>
  </si>
  <si>
    <t>MI CAMPO REPOSADO TEQUILA</t>
  </si>
  <si>
    <t>080432106846</t>
  </si>
  <si>
    <t>24879</t>
  </si>
  <si>
    <t>OLMECA ALTOS TEQUILA PLATA</t>
  </si>
  <si>
    <t>PERNOD RICARD MEXICO</t>
  </si>
  <si>
    <t>080432402153</t>
  </si>
  <si>
    <t>5832</t>
  </si>
  <si>
    <t>OLMECA GOLD TEQUILA</t>
  </si>
  <si>
    <t>080686831013</t>
  </si>
  <si>
    <t>3986</t>
  </si>
  <si>
    <t>SAUZA GOLD</t>
  </si>
  <si>
    <t>080686831037</t>
  </si>
  <si>
    <t>8533</t>
  </si>
  <si>
    <t>080686832607</t>
  </si>
  <si>
    <t>3996</t>
  </si>
  <si>
    <t>SAUZA SILVER</t>
  </si>
  <si>
    <t>080686832010</t>
  </si>
  <si>
    <t>3995</t>
  </si>
  <si>
    <t>080686832034</t>
  </si>
  <si>
    <t>3993</t>
  </si>
  <si>
    <t>Spirits - Tequila - UnitedStates - Premium</t>
  </si>
  <si>
    <t>080686835035</t>
  </si>
  <si>
    <t>28208</t>
  </si>
  <si>
    <t>HORNITOS REPOSADO</t>
  </si>
  <si>
    <t>811538010375</t>
  </si>
  <si>
    <t>18865</t>
  </si>
  <si>
    <t>1800 COCONUT TEQUILA</t>
  </si>
  <si>
    <t>818844028018</t>
  </si>
  <si>
    <t>45311</t>
  </si>
  <si>
    <t>JOSE CUERVO DEVIL'S RESERVE</t>
  </si>
  <si>
    <t>7501398100462</t>
  </si>
  <si>
    <t>31425</t>
  </si>
  <si>
    <t>EL TEQUILENO REPOSADO</t>
  </si>
  <si>
    <t>Spirits - Vodka - Canada - Deluxe</t>
  </si>
  <si>
    <t>627040411414</t>
  </si>
  <si>
    <t>7570</t>
  </si>
  <si>
    <t>CRYSTAL HEAD VODKA</t>
  </si>
  <si>
    <t>GLOBEFILL INC</t>
  </si>
  <si>
    <t>627843462378</t>
  </si>
  <si>
    <t>23200</t>
  </si>
  <si>
    <t>PROVINCIAL VODKA - KOSHER</t>
  </si>
  <si>
    <t>RADOUGA DISTILLERIES</t>
  </si>
  <si>
    <t>205892</t>
  </si>
  <si>
    <t>627843462309</t>
  </si>
  <si>
    <t>26372</t>
  </si>
  <si>
    <t>627843462392</t>
  </si>
  <si>
    <t>23477</t>
  </si>
  <si>
    <t>Spirits - Vodka - Canada - Premium</t>
  </si>
  <si>
    <t>776555200225</t>
  </si>
  <si>
    <t>23807</t>
  </si>
  <si>
    <t>FOOTHILLS PREMIUM VODKA</t>
  </si>
  <si>
    <t>CALDERA DISTILLING</t>
  </si>
  <si>
    <t>627098163341</t>
  </si>
  <si>
    <t>4697</t>
  </si>
  <si>
    <t>ICEBERG VODKA</t>
  </si>
  <si>
    <t>CANADIAN ICEBERG VODKA CORP</t>
  </si>
  <si>
    <t>3841</t>
  </si>
  <si>
    <t>627098163358</t>
  </si>
  <si>
    <t>6234</t>
  </si>
  <si>
    <t>048415000772</t>
  </si>
  <si>
    <t>48378</t>
  </si>
  <si>
    <t>POLAR ICE STRAWBERRY BLIZZARD</t>
  </si>
  <si>
    <t>627843462361</t>
  </si>
  <si>
    <t>22499</t>
  </si>
  <si>
    <t>088004071660</t>
  </si>
  <si>
    <t>46181</t>
  </si>
  <si>
    <t>RED TASSEL OVERPROOF</t>
  </si>
  <si>
    <t>082000806967</t>
  </si>
  <si>
    <t>43086</t>
  </si>
  <si>
    <t>SILENT SAM VODKA</t>
  </si>
  <si>
    <t>082000806943</t>
  </si>
  <si>
    <t>43087</t>
  </si>
  <si>
    <t>069321004531</t>
  </si>
  <si>
    <t>32996</t>
  </si>
  <si>
    <t>SKYY VODKA</t>
  </si>
  <si>
    <t>069321004548</t>
  </si>
  <si>
    <t>32997</t>
  </si>
  <si>
    <t>776103000222</t>
  </si>
  <si>
    <t>4179</t>
  </si>
  <si>
    <t>SMIRNOFF RED</t>
  </si>
  <si>
    <t>THE SMIRNOFF CO</t>
  </si>
  <si>
    <t>776103000239</t>
  </si>
  <si>
    <t>30145</t>
  </si>
  <si>
    <t>776103000246</t>
  </si>
  <si>
    <t>4180</t>
  </si>
  <si>
    <t>776103000260</t>
  </si>
  <si>
    <t>4181</t>
  </si>
  <si>
    <t>776103000277</t>
  </si>
  <si>
    <t>4182</t>
  </si>
  <si>
    <t>776103000284</t>
  </si>
  <si>
    <t>4183</t>
  </si>
  <si>
    <t>082000814870</t>
  </si>
  <si>
    <t>48665</t>
  </si>
  <si>
    <t>SMIRNOFF RED - FIFA EDITION</t>
  </si>
  <si>
    <t>082000795254</t>
  </si>
  <si>
    <t>33896</t>
  </si>
  <si>
    <t>SMIRNOFF RED PET</t>
  </si>
  <si>
    <t>082000743149</t>
  </si>
  <si>
    <t>15126</t>
  </si>
  <si>
    <t>627167101304</t>
  </si>
  <si>
    <t>46389</t>
  </si>
  <si>
    <t>WAYNE GRETZKY NO.99 ICE STORM</t>
  </si>
  <si>
    <t>Spirits - Vodka - Canada - Economy</t>
  </si>
  <si>
    <t>777680015166</t>
  </si>
  <si>
    <t>30626</t>
  </si>
  <si>
    <t>ALBERTA PURE VODKA</t>
  </si>
  <si>
    <t>777680005150</t>
  </si>
  <si>
    <t>1061</t>
  </si>
  <si>
    <t>080686820130</t>
  </si>
  <si>
    <t>35482</t>
  </si>
  <si>
    <t>777680015111</t>
  </si>
  <si>
    <t>1062</t>
  </si>
  <si>
    <t>777680005105</t>
  </si>
  <si>
    <t>1063</t>
  </si>
  <si>
    <t>777680015135</t>
  </si>
  <si>
    <t>1064</t>
  </si>
  <si>
    <t>ALBERTA PURE VODKA PET</t>
  </si>
  <si>
    <t>777680005235</t>
  </si>
  <si>
    <t>1243</t>
  </si>
  <si>
    <t>BANFF ICE VODKA</t>
  </si>
  <si>
    <t>777680005211</t>
  </si>
  <si>
    <t>1244</t>
  </si>
  <si>
    <t>777680005204</t>
  </si>
  <si>
    <t>1245</t>
  </si>
  <si>
    <t>627987872583</t>
  </si>
  <si>
    <t>46183</t>
  </si>
  <si>
    <t>BIGFOOT VODKA</t>
  </si>
  <si>
    <t>SO SO BEVERAGE CO (m)</t>
  </si>
  <si>
    <t>206286</t>
  </si>
  <si>
    <t>627987872590</t>
  </si>
  <si>
    <t>46184</t>
  </si>
  <si>
    <t>627987872606</t>
  </si>
  <si>
    <t>46185</t>
  </si>
  <si>
    <t>627987872613</t>
  </si>
  <si>
    <t>46186</t>
  </si>
  <si>
    <t>620213100474</t>
  </si>
  <si>
    <t>2300</t>
  </si>
  <si>
    <t>FBM RUSSIAN PRINCE</t>
  </si>
  <si>
    <t>620213100498</t>
  </si>
  <si>
    <t>2301</t>
  </si>
  <si>
    <t>620213100511</t>
  </si>
  <si>
    <t>2302</t>
  </si>
  <si>
    <t>620213100528</t>
  </si>
  <si>
    <t>2303</t>
  </si>
  <si>
    <t>774827223965</t>
  </si>
  <si>
    <t>6586</t>
  </si>
  <si>
    <t>HIGHWOOD PURE CANADIAN VODKA</t>
  </si>
  <si>
    <t>687475000164</t>
  </si>
  <si>
    <t>40695</t>
  </si>
  <si>
    <t>LAST CALL VODKA</t>
  </si>
  <si>
    <t>687475000171</t>
  </si>
  <si>
    <t>40696</t>
  </si>
  <si>
    <t>687475000348</t>
  </si>
  <si>
    <t>40697</t>
  </si>
  <si>
    <t>687475000188</t>
  </si>
  <si>
    <t>40698</t>
  </si>
  <si>
    <t>088004400453</t>
  </si>
  <si>
    <t>3090</t>
  </si>
  <si>
    <t>McGUINNESS RED TASSEL</t>
  </si>
  <si>
    <t>048415368940</t>
  </si>
  <si>
    <t>3091</t>
  </si>
  <si>
    <t>088004400439</t>
  </si>
  <si>
    <t>3092</t>
  </si>
  <si>
    <t>088004400033</t>
  </si>
  <si>
    <t>3093</t>
  </si>
  <si>
    <t>048415411301</t>
  </si>
  <si>
    <t>2343</t>
  </si>
  <si>
    <t>POLAR ICE VODKA</t>
  </si>
  <si>
    <t>048415345941</t>
  </si>
  <si>
    <t>2345</t>
  </si>
  <si>
    <t>048415345927</t>
  </si>
  <si>
    <t>2346</t>
  </si>
  <si>
    <t>048415411325</t>
  </si>
  <si>
    <t>2347</t>
  </si>
  <si>
    <t>048415502559</t>
  </si>
  <si>
    <t>31545</t>
  </si>
  <si>
    <t>POLAR ICE VODKA PET</t>
  </si>
  <si>
    <t>687475000140</t>
  </si>
  <si>
    <t>36077</t>
  </si>
  <si>
    <t>PROVINCIAL VODKA - KOSHER PET BOTTLE</t>
  </si>
  <si>
    <t>622153192021</t>
  </si>
  <si>
    <t>4155</t>
  </si>
  <si>
    <t>SILENT SAM</t>
  </si>
  <si>
    <t>082000806950</t>
  </si>
  <si>
    <t>43786</t>
  </si>
  <si>
    <t>082000806929</t>
  </si>
  <si>
    <t>43214</t>
  </si>
  <si>
    <t>TROIKA</t>
  </si>
  <si>
    <t>082000806936</t>
  </si>
  <si>
    <t>43897</t>
  </si>
  <si>
    <t>622153190072</t>
  </si>
  <si>
    <t>4406</t>
  </si>
  <si>
    <t>774827000825</t>
  </si>
  <si>
    <t>25588</t>
  </si>
  <si>
    <t>TRUE NORTH VODKA</t>
  </si>
  <si>
    <t>627167101229</t>
  </si>
  <si>
    <t>41135</t>
  </si>
  <si>
    <t>WAYNE GRETZKY VODKA</t>
  </si>
  <si>
    <t>Spirits - Vodka - Finland - Premium</t>
  </si>
  <si>
    <t>6412709021301</t>
  </si>
  <si>
    <t>2309</t>
  </si>
  <si>
    <t>FINLANDIA</t>
  </si>
  <si>
    <t>FINLANDIA VODKA WORLDWIDE</t>
  </si>
  <si>
    <t>6412709021141</t>
  </si>
  <si>
    <t>2310</t>
  </si>
  <si>
    <t>Spirits - Vodka - France - Deluxe</t>
  </si>
  <si>
    <t>088076179493</t>
  </si>
  <si>
    <t>22927</t>
  </si>
  <si>
    <t>CIROC</t>
  </si>
  <si>
    <t>PRINCES READY TO DRINK S.p.A.</t>
  </si>
  <si>
    <t>080480981266</t>
  </si>
  <si>
    <t>43932</t>
  </si>
  <si>
    <t>GREY GOOSE VODKA</t>
  </si>
  <si>
    <t>BACARDI MARTINI PRODUCTION</t>
  </si>
  <si>
    <t>080480280031</t>
  </si>
  <si>
    <t>7008</t>
  </si>
  <si>
    <t>SIDNEY FRANK IMPORTING CO</t>
  </si>
  <si>
    <t>5010677850209</t>
  </si>
  <si>
    <t>2576</t>
  </si>
  <si>
    <t>080480982294</t>
  </si>
  <si>
    <t>22469</t>
  </si>
  <si>
    <t>080480280000</t>
  </si>
  <si>
    <t>7009</t>
  </si>
  <si>
    <t>Spirits - Vodka - France - Premium</t>
  </si>
  <si>
    <t>080686929406</t>
  </si>
  <si>
    <t>6547</t>
  </si>
  <si>
    <t>PINNACLE VODKA</t>
  </si>
  <si>
    <t>080686929451</t>
  </si>
  <si>
    <t>6548</t>
  </si>
  <si>
    <t>Spirits - Vodka - Latvia - Premium</t>
  </si>
  <si>
    <t>4750021000072</t>
  </si>
  <si>
    <t>4249</t>
  </si>
  <si>
    <t>STOLI VODKA</t>
  </si>
  <si>
    <t>AS AMBER LATVIJAS BALZAMS</t>
  </si>
  <si>
    <t>4750021000096</t>
  </si>
  <si>
    <t>21069</t>
  </si>
  <si>
    <t>4750021000102</t>
  </si>
  <si>
    <t>27208</t>
  </si>
  <si>
    <t>Spirits - Vodka - Latvia - Economy</t>
  </si>
  <si>
    <t>4750021000966</t>
  </si>
  <si>
    <t>3343</t>
  </si>
  <si>
    <t>MOSKOVSKAYA VODKA</t>
  </si>
  <si>
    <t>Spirits - Vodka - Netherlands - Premium</t>
  </si>
  <si>
    <t>085156275014</t>
  </si>
  <si>
    <t>5573</t>
  </si>
  <si>
    <t>KETEL ONE VODKA</t>
  </si>
  <si>
    <t>NOLET DISTILERY</t>
  </si>
  <si>
    <t>085156211005</t>
  </si>
  <si>
    <t>18217</t>
  </si>
  <si>
    <t>Spirits - Vodka - Poland - Deluxe</t>
  </si>
  <si>
    <t>087116069688</t>
  </si>
  <si>
    <t>1310</t>
  </si>
  <si>
    <t>BELVEDERE VODKA</t>
  </si>
  <si>
    <t>POLMOS ZYRARDOW</t>
  </si>
  <si>
    <t>Spirits - Vodka - Poland - Premium</t>
  </si>
  <si>
    <t>5900191001334</t>
  </si>
  <si>
    <t>2993</t>
  </si>
  <si>
    <t>LUKSUSOWA POTATO VODKA</t>
  </si>
  <si>
    <t>WYBOROWA SA</t>
  </si>
  <si>
    <t>5900191008432</t>
  </si>
  <si>
    <t>22156</t>
  </si>
  <si>
    <t>5900685005237</t>
  </si>
  <si>
    <t>4626</t>
  </si>
  <si>
    <t>WYBOROWA VODKA</t>
  </si>
  <si>
    <t>dnu WYBOROWA DISTILLERY</t>
  </si>
  <si>
    <t>Spirits - Vodka - Sweden - Premium</t>
  </si>
  <si>
    <t>835229000209</t>
  </si>
  <si>
    <t>8623</t>
  </si>
  <si>
    <t>ABSOLUT BLUE VODKA</t>
  </si>
  <si>
    <t>THE ABSOLUT COMPANY AB</t>
  </si>
  <si>
    <t>835229000308</t>
  </si>
  <si>
    <t>1038</t>
  </si>
  <si>
    <t>835229000506</t>
  </si>
  <si>
    <t>5971</t>
  </si>
  <si>
    <t>835229000605</t>
  </si>
  <si>
    <t>8910</t>
  </si>
  <si>
    <t>7312040551941</t>
  </si>
  <si>
    <t>33687</t>
  </si>
  <si>
    <t>ABSOLUT RAINBOW</t>
  </si>
  <si>
    <t>Spirits - Vodka - Ukraine - Premium</t>
  </si>
  <si>
    <t>4820060252647</t>
  </si>
  <si>
    <t>11556</t>
  </si>
  <si>
    <t>KHORTYTSA PLATINUM</t>
  </si>
  <si>
    <t>KHORTYTSA DISTILLERY</t>
  </si>
  <si>
    <t>206316</t>
  </si>
  <si>
    <t>Spirits - Vodka - UnitedStates - Premium</t>
  </si>
  <si>
    <t>721059003759</t>
  </si>
  <si>
    <t>10226</t>
  </si>
  <si>
    <t>721059017503</t>
  </si>
  <si>
    <t>15534</t>
  </si>
  <si>
    <t>0619947000051</t>
  </si>
  <si>
    <t>27742</t>
  </si>
  <si>
    <t>TITO'S HANDMADE VODKA</t>
  </si>
  <si>
    <t>FIFTH GENERATION INC</t>
  </si>
  <si>
    <t>619947000020</t>
  </si>
  <si>
    <t>9249</t>
  </si>
  <si>
    <t>619947000129</t>
  </si>
  <si>
    <t>27428</t>
  </si>
  <si>
    <t>619947000037</t>
  </si>
  <si>
    <t>23293</t>
  </si>
  <si>
    <t>048415000338</t>
  </si>
  <si>
    <t>43899</t>
  </si>
  <si>
    <t>POLAR ICE ORANGE BLIZZARD</t>
  </si>
  <si>
    <t>048415000765</t>
  </si>
  <si>
    <t>48379</t>
  </si>
  <si>
    <t>082000803461</t>
  </si>
  <si>
    <t>41569</t>
  </si>
  <si>
    <t>SMIRNOFF BERRY BLAST VODKA</t>
  </si>
  <si>
    <t>082000767190</t>
  </si>
  <si>
    <t>19614</t>
  </si>
  <si>
    <t>SMIRNOFF BLUEBERRY VODKA</t>
  </si>
  <si>
    <t>082000803478</t>
  </si>
  <si>
    <t>41034</t>
  </si>
  <si>
    <t>SMIRNOFF CREAMSICLE BLAST</t>
  </si>
  <si>
    <t>082000767244</t>
  </si>
  <si>
    <t>19781</t>
  </si>
  <si>
    <t>SMIRNOFF LIME VODKA</t>
  </si>
  <si>
    <t>82000795858</t>
  </si>
  <si>
    <t>36757</t>
  </si>
  <si>
    <t>SMIRNOFF PEACH</t>
  </si>
  <si>
    <t>082000803447</t>
  </si>
  <si>
    <t>43787</t>
  </si>
  <si>
    <t>SMIRNOFF PEACH LEMONADE VODKA</t>
  </si>
  <si>
    <t>082000803430</t>
  </si>
  <si>
    <t>43827</t>
  </si>
  <si>
    <t>SMIRNOFF PINK LEMONADE VODKA</t>
  </si>
  <si>
    <t>082000800521</t>
  </si>
  <si>
    <t>40911</t>
  </si>
  <si>
    <t>SMIRNOFF RASPBERRY VODKA</t>
  </si>
  <si>
    <t>082000767282</t>
  </si>
  <si>
    <t>19784</t>
  </si>
  <si>
    <t>082000767312</t>
  </si>
  <si>
    <t>19787</t>
  </si>
  <si>
    <t>SMIRNOFF VANILLA VODKA</t>
  </si>
  <si>
    <t>Spirits - Vodka - Canada - Flavoured - Premium</t>
  </si>
  <si>
    <t>048415000123</t>
  </si>
  <si>
    <t>41107</t>
  </si>
  <si>
    <t>POLAR ICE BERRY BLIZZARD</t>
  </si>
  <si>
    <t>082000767251</t>
  </si>
  <si>
    <t>19782</t>
  </si>
  <si>
    <t>SMIRNOFF ORANGE TWIST</t>
  </si>
  <si>
    <t>82000780038</t>
  </si>
  <si>
    <t>25429</t>
  </si>
  <si>
    <t>CIROC APPLE</t>
  </si>
  <si>
    <t>088076189201</t>
  </si>
  <si>
    <t>43390</t>
  </si>
  <si>
    <t>CIROC LIMONATA</t>
  </si>
  <si>
    <t>088076178731</t>
  </si>
  <si>
    <t>17149</t>
  </si>
  <si>
    <t>CIROC PEACH</t>
  </si>
  <si>
    <t>088076180406</t>
  </si>
  <si>
    <t>24271</t>
  </si>
  <si>
    <t>CIROC PINEAPPLE</t>
  </si>
  <si>
    <t>088076178748</t>
  </si>
  <si>
    <t>19229</t>
  </si>
  <si>
    <t>CIROC RED BERRY</t>
  </si>
  <si>
    <t>080480283339</t>
  </si>
  <si>
    <t>7444</t>
  </si>
  <si>
    <t>GREY GOOSE LA POIRE</t>
  </si>
  <si>
    <t>080480282042</t>
  </si>
  <si>
    <t>10306</t>
  </si>
  <si>
    <t>GREY GOOSE LE CITRON</t>
  </si>
  <si>
    <t>080686926511</t>
  </si>
  <si>
    <t>12884</t>
  </si>
  <si>
    <t>PINNACLE WHIPPED VODKA</t>
  </si>
  <si>
    <t>Spirits - Vodka - France - Flavoured - Deluxe</t>
  </si>
  <si>
    <t>088076183735</t>
  </si>
  <si>
    <t>30740</t>
  </si>
  <si>
    <t>CIROC SUMMER WATERMELON</t>
  </si>
  <si>
    <t>5010677860307</t>
  </si>
  <si>
    <t>2575</t>
  </si>
  <si>
    <t>GREY GOOSE L'ORANGE VODKA</t>
  </si>
  <si>
    <t>Spirits - Vodka - Italy - Deluxe</t>
  </si>
  <si>
    <t>82000792857</t>
  </si>
  <si>
    <t>33483</t>
  </si>
  <si>
    <t>CIROC MANGO</t>
  </si>
  <si>
    <t>088076189065</t>
  </si>
  <si>
    <t>42101</t>
  </si>
  <si>
    <t>CIROC PASSION</t>
  </si>
  <si>
    <t>083664872718</t>
  </si>
  <si>
    <t>16648</t>
  </si>
  <si>
    <t>STOLI SALTED KARAMEL VODKA</t>
  </si>
  <si>
    <t>835229001305</t>
  </si>
  <si>
    <t>1037</t>
  </si>
  <si>
    <t>ABSOLUT CITRON</t>
  </si>
  <si>
    <t>7312040552160</t>
  </si>
  <si>
    <t>31080</t>
  </si>
  <si>
    <t>ABSOLUT GRAPEFRUIT</t>
  </si>
  <si>
    <t>7312040551675</t>
  </si>
  <si>
    <t>27152</t>
  </si>
  <si>
    <t>ABSOLUT LIME</t>
  </si>
  <si>
    <t>835229002302</t>
  </si>
  <si>
    <t>1040</t>
  </si>
  <si>
    <t>ABSOLUT MANDRIN</t>
  </si>
  <si>
    <t>835229001138</t>
  </si>
  <si>
    <t>6233</t>
  </si>
  <si>
    <t>ABSOLUT PEACH</t>
  </si>
  <si>
    <t>835229008304</t>
  </si>
  <si>
    <t>6209</t>
  </si>
  <si>
    <t>ABSOLUT RASPBERRI</t>
  </si>
  <si>
    <t>835229006300</t>
  </si>
  <si>
    <t>5972</t>
  </si>
  <si>
    <t>ABSOLUT VANILIA</t>
  </si>
  <si>
    <t>7312040552733</t>
  </si>
  <si>
    <t>36239</t>
  </si>
  <si>
    <t>ABSOLUT WATERMELON</t>
  </si>
  <si>
    <t>Spirits - Vodka - UnitedKingdom - Premium</t>
  </si>
  <si>
    <t>089708530422</t>
  </si>
  <si>
    <t>6825</t>
  </si>
  <si>
    <t>THREE OLIVES GRAPE VODKA</t>
  </si>
  <si>
    <t>85000106754</t>
  </si>
  <si>
    <t>43431</t>
  </si>
  <si>
    <t>NEW AMSTEDAM PINK WHITNEY VODKA</t>
  </si>
  <si>
    <t>E &amp; J GALLO WINERY</t>
  </si>
  <si>
    <t>500</t>
  </si>
  <si>
    <t>085000032541</t>
  </si>
  <si>
    <t>37715</t>
  </si>
  <si>
    <t>NEW AMSTERDAM PINK WHITNEY VODKA</t>
  </si>
  <si>
    <t>85000029626</t>
  </si>
  <si>
    <t>32530</t>
  </si>
  <si>
    <t>721059697507</t>
  </si>
  <si>
    <t>11522</t>
  </si>
  <si>
    <t>SKYY INFUSIONS PINEAPPLE</t>
  </si>
  <si>
    <t>Spirits - Vodka - UnitedStates - Flavoured - Premium</t>
  </si>
  <si>
    <t>085592138652</t>
  </si>
  <si>
    <t>21518</t>
  </si>
  <si>
    <t>360 BING CHERRY VODKA</t>
  </si>
  <si>
    <t>McCORMICK DISTILLING CO INC</t>
  </si>
  <si>
    <t>Spirits - Miscellaneous - KoreaRepublicof - Economy</t>
  </si>
  <si>
    <t>795652200327</t>
  </si>
  <si>
    <t>8162</t>
  </si>
  <si>
    <t>JINRO CHAMISUL CLASSIC SOJU</t>
  </si>
  <si>
    <t>JINRO LIMITED</t>
  </si>
  <si>
    <t>360</t>
  </si>
  <si>
    <t>138548</t>
  </si>
  <si>
    <t>Liqueurs - Butter</t>
  </si>
  <si>
    <t>088004400699</t>
  </si>
  <si>
    <t>21139</t>
  </si>
  <si>
    <t>DR. MCGILLICUDDY BUTTERSCOTCH</t>
  </si>
  <si>
    <t>087116010222</t>
  </si>
  <si>
    <t>3610</t>
  </si>
  <si>
    <t>PHILLIPS BUTTER RIPPLE SCHNAPPS</t>
  </si>
  <si>
    <t>087116010208</t>
  </si>
  <si>
    <t>3612</t>
  </si>
  <si>
    <t>Liqueurs - Chocolate</t>
  </si>
  <si>
    <t>850035474556</t>
  </si>
  <si>
    <t>43707</t>
  </si>
  <si>
    <t>BUZZBALLZ COCKTAIL CHOCOLATINI</t>
  </si>
  <si>
    <t>BUZZBALLZ</t>
  </si>
  <si>
    <t>048415448277</t>
  </si>
  <si>
    <t>15712</t>
  </si>
  <si>
    <t>McGUINNESS CREME DE CACAO WHITE</t>
  </si>
  <si>
    <t>CORBY DISTILLERIES LIMITED</t>
  </si>
  <si>
    <t>Liqueurs - Coconut</t>
  </si>
  <si>
    <t>089540449029</t>
  </si>
  <si>
    <t>2434</t>
  </si>
  <si>
    <t>MALIBU COCONUT RUM</t>
  </si>
  <si>
    <t>089540448985</t>
  </si>
  <si>
    <t>2436</t>
  </si>
  <si>
    <t>089540448954</t>
  </si>
  <si>
    <t>2432</t>
  </si>
  <si>
    <t>089540536132</t>
  </si>
  <si>
    <t>44153</t>
  </si>
  <si>
    <t>089540536156</t>
  </si>
  <si>
    <t>41276</t>
  </si>
  <si>
    <t>MALIBU PINEAPPLE RUM</t>
  </si>
  <si>
    <t>089540536620</t>
  </si>
  <si>
    <t>47272</t>
  </si>
  <si>
    <t>MALIBU PINK</t>
  </si>
  <si>
    <t>Liqueurs - Coffee</t>
  </si>
  <si>
    <t>089540536507</t>
  </si>
  <si>
    <t>45012</t>
  </si>
  <si>
    <t>ABSOLUT ESPRESSO MARTINI COCKTAIL</t>
  </si>
  <si>
    <t>089540454115</t>
  </si>
  <si>
    <t>2782</t>
  </si>
  <si>
    <t>KAHLUA COFFEE</t>
  </si>
  <si>
    <t>089540454061</t>
  </si>
  <si>
    <t>2783</t>
  </si>
  <si>
    <t>089540454085</t>
  </si>
  <si>
    <t>2785</t>
  </si>
  <si>
    <t>089540454283</t>
  </si>
  <si>
    <t>2786</t>
  </si>
  <si>
    <t>080686250401</t>
  </si>
  <si>
    <t>2802</t>
  </si>
  <si>
    <t>KAMORA  COFFEE</t>
  </si>
  <si>
    <t>080686250142</t>
  </si>
  <si>
    <t>2803</t>
  </si>
  <si>
    <t>082000808770</t>
  </si>
  <si>
    <t>45015</t>
  </si>
  <si>
    <t>KETEL ONE ESPRESSO MARTINI COCKTAIL</t>
  </si>
  <si>
    <t>855880008420</t>
  </si>
  <si>
    <t>39768</t>
  </si>
  <si>
    <t>ON THE ROCKS ESPRESSO MARTINI</t>
  </si>
  <si>
    <t>STRONG SPIRITS</t>
  </si>
  <si>
    <t>721733000036</t>
  </si>
  <si>
    <t>7142</t>
  </si>
  <si>
    <t>PATRON XO CAFE</t>
  </si>
  <si>
    <t>5011013500642</t>
  </si>
  <si>
    <t>4711</t>
  </si>
  <si>
    <t>SHERIDAN COFFEE LAYERED</t>
  </si>
  <si>
    <t>R &amp; A BAILEY &amp; CO LTD</t>
  </si>
  <si>
    <t>050037599176</t>
  </si>
  <si>
    <t>4365</t>
  </si>
  <si>
    <t>TIA MARIA</t>
  </si>
  <si>
    <t>ILLVA SARONNA SPA - tia maria only</t>
  </si>
  <si>
    <t>Liqueurs - Cream</t>
  </si>
  <si>
    <t>6001495062508</t>
  </si>
  <si>
    <t>1088</t>
  </si>
  <si>
    <t>AMARULA CREAM</t>
  </si>
  <si>
    <t>DISTELL (PTY) LTD</t>
  </si>
  <si>
    <t>9414453931018</t>
  </si>
  <si>
    <t>7213</t>
  </si>
  <si>
    <t>B52 TWISTED SHOTZ</t>
  </si>
  <si>
    <t>INDEPENDENT LIQUOR LTD</t>
  </si>
  <si>
    <t>120</t>
  </si>
  <si>
    <t>130768</t>
  </si>
  <si>
    <t>082000776284</t>
  </si>
  <si>
    <t>24055</t>
  </si>
  <si>
    <t>BAILEYS ALMANDE ALMOND</t>
  </si>
  <si>
    <t>5011013941094</t>
  </si>
  <si>
    <t>43884</t>
  </si>
  <si>
    <t>BAILEYS BIRTHDAY CAKE</t>
  </si>
  <si>
    <t>5011013941766</t>
  </si>
  <si>
    <t>45977</t>
  </si>
  <si>
    <t>BAILEYS CHOCOLATE</t>
  </si>
  <si>
    <t>5011013934409</t>
  </si>
  <si>
    <t>31816</t>
  </si>
  <si>
    <t>BAILEYS ESPRESSO CREME</t>
  </si>
  <si>
    <t>53997173</t>
  </si>
  <si>
    <t>1216</t>
  </si>
  <si>
    <t>BAILEYS IRISH CREAM</t>
  </si>
  <si>
    <t>5011013100194</t>
  </si>
  <si>
    <t>1220</t>
  </si>
  <si>
    <t>5011013100132</t>
  </si>
  <si>
    <t>1221</t>
  </si>
  <si>
    <t>5011013100095</t>
  </si>
  <si>
    <t>1223</t>
  </si>
  <si>
    <t>5011013100088</t>
  </si>
  <si>
    <t>5171</t>
  </si>
  <si>
    <t>5011013930197</t>
  </si>
  <si>
    <t>21626</t>
  </si>
  <si>
    <t>BAILEYS SALTED CARAMEL</t>
  </si>
  <si>
    <t>086024018627</t>
  </si>
  <si>
    <t>38293</t>
  </si>
  <si>
    <t>BAJA LUNA</t>
  </si>
  <si>
    <t>088004400255</t>
  </si>
  <si>
    <t>BAJA ROSA</t>
  </si>
  <si>
    <t>WHITE ROCK DISTILLERIES INC</t>
  </si>
  <si>
    <t>088004400248</t>
  </si>
  <si>
    <t>1231</t>
  </si>
  <si>
    <t>856881004404</t>
  </si>
  <si>
    <t>27386</t>
  </si>
  <si>
    <t>BLUE CHAIR BAY KEY LIME RUM CREAM</t>
  </si>
  <si>
    <t>FISHBOWL SPIRITS LLC</t>
  </si>
  <si>
    <t>774827180999</t>
  </si>
  <si>
    <t>22281</t>
  </si>
  <si>
    <t>BULLET ASSORTED SHOOTERS CASE</t>
  </si>
  <si>
    <t>28</t>
  </si>
  <si>
    <t>0813497006178</t>
  </si>
  <si>
    <t>38215</t>
  </si>
  <si>
    <t>BUMBU CREME</t>
  </si>
  <si>
    <t>SOVEREIGN BRANDS</t>
  </si>
  <si>
    <t>854745000661</t>
  </si>
  <si>
    <t>20803</t>
  </si>
  <si>
    <t>CABOT TRAIL MAPLE CREAM  LIQUEUR</t>
  </si>
  <si>
    <t>5011026105254</t>
  </si>
  <si>
    <t>26903</t>
  </si>
  <si>
    <t>CAROLANS IRISH CREAM</t>
  </si>
  <si>
    <t>FIRST IRELAND SPIRITS</t>
  </si>
  <si>
    <t>5011026105292</t>
  </si>
  <si>
    <t>1800</t>
  </si>
  <si>
    <t>5011026105278</t>
  </si>
  <si>
    <t>1801</t>
  </si>
  <si>
    <t>774827268041</t>
  </si>
  <si>
    <t>5440</t>
  </si>
  <si>
    <t>CEILI'S IRISH CREAM</t>
  </si>
  <si>
    <t>9414453002107</t>
  </si>
  <si>
    <t>10415</t>
  </si>
  <si>
    <t>CHOCOLATE CREAM TWISTED SHOTZ</t>
  </si>
  <si>
    <t>69321004876</t>
  </si>
  <si>
    <t>42190</t>
  </si>
  <si>
    <t>FORTY CREEK BUTTER TART CREAM</t>
  </si>
  <si>
    <t>069321004173</t>
  </si>
  <si>
    <t>16413</t>
  </si>
  <si>
    <t>FORTY CREEK CREAM LIQUEUR</t>
  </si>
  <si>
    <t>069321004302</t>
  </si>
  <si>
    <t>21012</t>
  </si>
  <si>
    <t>087116009233</t>
  </si>
  <si>
    <t>43432</t>
  </si>
  <si>
    <t>KAMORA DULCE DE LECHE</t>
  </si>
  <si>
    <t>5099561100132</t>
  </si>
  <si>
    <t>3416</t>
  </si>
  <si>
    <t>O'DARBY IRISH CREAM</t>
  </si>
  <si>
    <t>5099561100095</t>
  </si>
  <si>
    <t>3417</t>
  </si>
  <si>
    <t>048162003026</t>
  </si>
  <si>
    <t>18394</t>
  </si>
  <si>
    <t>PJ'S ORIGINAL CREAM</t>
  </si>
  <si>
    <t>085000035764</t>
  </si>
  <si>
    <t>43437</t>
  </si>
  <si>
    <t>RUMCHATA COCONUT CREAM LIQUEUR</t>
  </si>
  <si>
    <t>890355001025</t>
  </si>
  <si>
    <t>19606</t>
  </si>
  <si>
    <t>RUMCHATA CREAM LIQUOR</t>
  </si>
  <si>
    <t>AGAVE LOCO LLC</t>
  </si>
  <si>
    <t>890355001551</t>
  </si>
  <si>
    <t>36775</t>
  </si>
  <si>
    <t>RUMCHATA PEPPERMINT BARK</t>
  </si>
  <si>
    <t>0082844583437</t>
  </si>
  <si>
    <t>27944</t>
  </si>
  <si>
    <t>RYAN'S ORIGINAL CREAM LIQUEUR</t>
  </si>
  <si>
    <t>00086024017859</t>
  </si>
  <si>
    <t>34756</t>
  </si>
  <si>
    <t>733648946101</t>
  </si>
  <si>
    <t>5119</t>
  </si>
  <si>
    <t>SANGSTER'S RUM CREAM</t>
  </si>
  <si>
    <t>085592453724</t>
  </si>
  <si>
    <t>4729</t>
  </si>
  <si>
    <t>TEQUILA ROSE STRAWBERRY CREAM LIQUEUR</t>
  </si>
  <si>
    <t>627167101236</t>
  </si>
  <si>
    <t>42208</t>
  </si>
  <si>
    <t>WAYNE GRETZKY BUTTER PECAN CREAM</t>
  </si>
  <si>
    <t>627167100772</t>
  </si>
  <si>
    <t>34905</t>
  </si>
  <si>
    <t>WAYNE GRETZKY NO 99 CREAM WHISKY</t>
  </si>
  <si>
    <t>627167100062</t>
  </si>
  <si>
    <t>28748</t>
  </si>
  <si>
    <t>WAYNE GRETZKY NO. 99 CREAM WHISKY</t>
  </si>
  <si>
    <t>627167101083</t>
  </si>
  <si>
    <t>47278</t>
  </si>
  <si>
    <t>WAYNE GRETZKY SALTED CARAMEL CREAM</t>
  </si>
  <si>
    <t>627167100796</t>
  </si>
  <si>
    <t>34880</t>
  </si>
  <si>
    <t>627167101489</t>
  </si>
  <si>
    <t>44529</t>
  </si>
  <si>
    <t>WAYNE GRETZKY VANILLA BEAN CREAM</t>
  </si>
  <si>
    <t>Liqueurs - Fruit-Apple</t>
  </si>
  <si>
    <t>088004009731</t>
  </si>
  <si>
    <t>18032</t>
  </si>
  <si>
    <t>DR MCGILLICUDDY'S APPLE PIE</t>
  </si>
  <si>
    <t>088004080464</t>
  </si>
  <si>
    <t>48376</t>
  </si>
  <si>
    <t>FIREBALL BLAZIN' APPLE</t>
  </si>
  <si>
    <t>088004080495</t>
  </si>
  <si>
    <t>48377</t>
  </si>
  <si>
    <t>087116035065</t>
  </si>
  <si>
    <t>3625</t>
  </si>
  <si>
    <t>SOUR PUSS SOUR APPLE</t>
  </si>
  <si>
    <t>087116035041</t>
  </si>
  <si>
    <t>3627</t>
  </si>
  <si>
    <t>Liqueurs - Fruit-Apricot</t>
  </si>
  <si>
    <t>048415448239</t>
  </si>
  <si>
    <t>3077</t>
  </si>
  <si>
    <t>McGUINNESS APRICOT BRANDY</t>
  </si>
  <si>
    <t>3234</t>
  </si>
  <si>
    <t>Liqueurs - Fruit-Cherry</t>
  </si>
  <si>
    <t>082000808763</t>
  </si>
  <si>
    <t>45014</t>
  </si>
  <si>
    <t>CROWN ROYAL BLACK CHERRY WHISKY SOUR</t>
  </si>
  <si>
    <t>8000353000018</t>
  </si>
  <si>
    <t>40211</t>
  </si>
  <si>
    <t>LUXARDO MARASCHINO</t>
  </si>
  <si>
    <t>GIROLAMO LUXARDO SPA</t>
  </si>
  <si>
    <t>048415448437</t>
  </si>
  <si>
    <t>15710</t>
  </si>
  <si>
    <t>McGUINNESS CHERRY BRANDY</t>
  </si>
  <si>
    <t>048415448444</t>
  </si>
  <si>
    <t>3080</t>
  </si>
  <si>
    <t>McGUINNESS CHERRY WHISKY</t>
  </si>
  <si>
    <t>048415448451</t>
  </si>
  <si>
    <t>3081</t>
  </si>
  <si>
    <t>Liqueurs - Fruit-Orange</t>
  </si>
  <si>
    <t>080915078240</t>
  </si>
  <si>
    <t>1408</t>
  </si>
  <si>
    <t>BOLS BLUE CURACAO</t>
  </si>
  <si>
    <t>LUCAS BOLS BV</t>
  </si>
  <si>
    <t>080915078295</t>
  </si>
  <si>
    <t>5379</t>
  </si>
  <si>
    <t>BOLS TRIPLE SEC</t>
  </si>
  <si>
    <t>3035542002004</t>
  </si>
  <si>
    <t>19265</t>
  </si>
  <si>
    <t>COINTREAU</t>
  </si>
  <si>
    <t>3018300003284</t>
  </si>
  <si>
    <t>2497</t>
  </si>
  <si>
    <t>GRAND MARNIER CORDON ROUGE</t>
  </si>
  <si>
    <t>CAMPARI INTERNATIONAL FRANCE</t>
  </si>
  <si>
    <t>3018300000191</t>
  </si>
  <si>
    <t>2498</t>
  </si>
  <si>
    <t>3018300014488</t>
  </si>
  <si>
    <t>12721</t>
  </si>
  <si>
    <t>3018300020618</t>
  </si>
  <si>
    <t>30245</t>
  </si>
  <si>
    <t>GRAND MARNIER CUVEE LOUIS-ALEXANDRE</t>
  </si>
  <si>
    <t>MARNIER-LAPOSTOLLE</t>
  </si>
  <si>
    <t>048415346245</t>
  </si>
  <si>
    <t>3329</t>
  </si>
  <si>
    <t>MCGUINNESS ORANGE &amp; BRANDY</t>
  </si>
  <si>
    <t>048415540506</t>
  </si>
  <si>
    <t>29054</t>
  </si>
  <si>
    <t>McGUINNESS TRIPLE SEC</t>
  </si>
  <si>
    <t>048415163088</t>
  </si>
  <si>
    <t>3126</t>
  </si>
  <si>
    <t>MEAGHERS TRIPLE SEC</t>
  </si>
  <si>
    <t>Liqueurs - Fruit-Other</t>
  </si>
  <si>
    <t>084692212941</t>
  </si>
  <si>
    <t>6593</t>
  </si>
  <si>
    <t>ALIZE BLEU PASSION</t>
  </si>
  <si>
    <t>L &amp; LSA</t>
  </si>
  <si>
    <t>080915078264</t>
  </si>
  <si>
    <t>1410</t>
  </si>
  <si>
    <t>BOLS CREME DE BANANA</t>
  </si>
  <si>
    <t>080915078318</t>
  </si>
  <si>
    <t>1413</t>
  </si>
  <si>
    <t>BOLS MELON</t>
  </si>
  <si>
    <t>5995100203763</t>
  </si>
  <si>
    <t>2473</t>
  </si>
  <si>
    <t>GOLDEN PEAR</t>
  </si>
  <si>
    <t>ZWACK UNICUM CO</t>
  </si>
  <si>
    <t>736040011064</t>
  </si>
  <si>
    <t>5402</t>
  </si>
  <si>
    <t>HPNOTIQ</t>
  </si>
  <si>
    <t>084279979472</t>
  </si>
  <si>
    <t>44357</t>
  </si>
  <si>
    <t>IL TRAMONTO LIMONCELLO</t>
  </si>
  <si>
    <t>POLINI</t>
  </si>
  <si>
    <t>8000353006683</t>
  </si>
  <si>
    <t>3004</t>
  </si>
  <si>
    <t>LUXARDO  LIMONCELLO</t>
  </si>
  <si>
    <t>4901777035614</t>
  </si>
  <si>
    <t>3209</t>
  </si>
  <si>
    <t>MIDORI MELON</t>
  </si>
  <si>
    <t>080432000212</t>
  </si>
  <si>
    <t>40783</t>
  </si>
  <si>
    <t>OLMECA ALTOS MARGARITA CLASSIC LIME</t>
  </si>
  <si>
    <t>080686897132</t>
  </si>
  <si>
    <t>43416</t>
  </si>
  <si>
    <t>ON THE ROCKS JALAPENO PINEAPPLE MARG</t>
  </si>
  <si>
    <t>087116010246</t>
  </si>
  <si>
    <t>3607</t>
  </si>
  <si>
    <t>PHILLIPS BLACKBERRY BRANDY</t>
  </si>
  <si>
    <t>8004747634087</t>
  </si>
  <si>
    <t>14543</t>
  </si>
  <si>
    <t>ROSSI D'ASIAGO LIMONCELLO</t>
  </si>
  <si>
    <t>ANTICHE DISTILLERIE RIUNIUTE SRL</t>
  </si>
  <si>
    <t>087116024281</t>
  </si>
  <si>
    <t>31817</t>
  </si>
  <si>
    <t>SOUR PUSS BLUE TROPICAL</t>
  </si>
  <si>
    <t>087116024274</t>
  </si>
  <si>
    <t>27940</t>
  </si>
  <si>
    <t>087116009837</t>
  </si>
  <si>
    <t>43417</t>
  </si>
  <si>
    <t>SOUR PUSS GOLDEN</t>
  </si>
  <si>
    <t>Liqueurs - Fruit-Peach</t>
  </si>
  <si>
    <t>088004400651</t>
  </si>
  <si>
    <t>20977</t>
  </si>
  <si>
    <t>DR McGILLICUDDY'S PEACH SCHNAPPS</t>
  </si>
  <si>
    <t>088004400644</t>
  </si>
  <si>
    <t>2235</t>
  </si>
  <si>
    <t>088004400637</t>
  </si>
  <si>
    <t>39746</t>
  </si>
  <si>
    <t>048415448529</t>
  </si>
  <si>
    <t>16294</t>
  </si>
  <si>
    <t>MCGUINNESS PEACH SCHNAPPS</t>
  </si>
  <si>
    <t>Liqueurs - Fruit-Raspberry (Red &amp; Black)</t>
  </si>
  <si>
    <t>089540536453</t>
  </si>
  <si>
    <t>43041</t>
  </si>
  <si>
    <t>ABSOLUT RASPBERRY LEMONADE</t>
  </si>
  <si>
    <t>083300034531</t>
  </si>
  <si>
    <t>1857</t>
  </si>
  <si>
    <t>CHAMBORD ROYALE</t>
  </si>
  <si>
    <t>CHAMBORD ET CIE SARL</t>
  </si>
  <si>
    <t>774827001945</t>
  </si>
  <si>
    <t>47271</t>
  </si>
  <si>
    <t>GRAFFITI SOUR RASPBERRY</t>
  </si>
  <si>
    <t>087116008922</t>
  </si>
  <si>
    <t>44745</t>
  </si>
  <si>
    <t>PHILLIPS RASPBERRY RIPPLE</t>
  </si>
  <si>
    <t>087116035164</t>
  </si>
  <si>
    <t>3628</t>
  </si>
  <si>
    <t>SOUR PUSS RASPBERRY</t>
  </si>
  <si>
    <t>087116035461</t>
  </si>
  <si>
    <t>21004</t>
  </si>
  <si>
    <t>087116035140</t>
  </si>
  <si>
    <t>3629</t>
  </si>
  <si>
    <t>087116035126</t>
  </si>
  <si>
    <t>3631</t>
  </si>
  <si>
    <t>087116035003</t>
  </si>
  <si>
    <t>5197</t>
  </si>
  <si>
    <t>Liqueurs - Fruit-Strawberry</t>
  </si>
  <si>
    <t>850035474594</t>
  </si>
  <si>
    <t>43708</t>
  </si>
  <si>
    <t>BUZZBALLZ COCKTAIL STRAWBERRY 'RITA</t>
  </si>
  <si>
    <t>089540536446</t>
  </si>
  <si>
    <t>44560</t>
  </si>
  <si>
    <t>MALIBU STRAWBERRY RUM</t>
  </si>
  <si>
    <t>080432000533</t>
  </si>
  <si>
    <t>43039</t>
  </si>
  <si>
    <t>OLMECA ALTOS STRAWBERRY MARGARITA</t>
  </si>
  <si>
    <t>080686017004</t>
  </si>
  <si>
    <t>43394</t>
  </si>
  <si>
    <t>ON THE ROCKS THE STRAWBERRY DAIQUIRI</t>
  </si>
  <si>
    <t>Liqueurs - Herbs &amp; Spices</t>
  </si>
  <si>
    <t>010391100371</t>
  </si>
  <si>
    <t>2238</t>
  </si>
  <si>
    <t>DRAMBUIE</t>
  </si>
  <si>
    <t>010391100753</t>
  </si>
  <si>
    <t>2240</t>
  </si>
  <si>
    <t>087647136064</t>
  </si>
  <si>
    <t>20626</t>
  </si>
  <si>
    <t>GLAYVA</t>
  </si>
  <si>
    <t>8594001441723</t>
  </si>
  <si>
    <t>5860</t>
  </si>
  <si>
    <t>GREEN TREE ABSINTHE</t>
  </si>
  <si>
    <t>CREATIVE TRADE s.r.o.</t>
  </si>
  <si>
    <t>56086</t>
  </si>
  <si>
    <t>4067700012043</t>
  </si>
  <si>
    <t>5970</t>
  </si>
  <si>
    <t>JAGERMEISTER</t>
  </si>
  <si>
    <t>MAST-JAGERMEISTER SE</t>
  </si>
  <si>
    <t>4067700012081</t>
  </si>
  <si>
    <t>2744</t>
  </si>
  <si>
    <t>4067700012265</t>
  </si>
  <si>
    <t>7527</t>
  </si>
  <si>
    <t>622153621040</t>
  </si>
  <si>
    <t>3662</t>
  </si>
  <si>
    <t>PIMM'S NO. 1 CUP</t>
  </si>
  <si>
    <t>088544016787</t>
  </si>
  <si>
    <t>4224</t>
  </si>
  <si>
    <t>SOUTHERN COMFORT</t>
  </si>
  <si>
    <t>088544016770</t>
  </si>
  <si>
    <t>4225</t>
  </si>
  <si>
    <t>088544016756</t>
  </si>
  <si>
    <t>4226</t>
  </si>
  <si>
    <t>776103000215</t>
  </si>
  <si>
    <t>4631</t>
  </si>
  <si>
    <t>YUKON JACK</t>
  </si>
  <si>
    <t>Liqueurs - Licorice</t>
  </si>
  <si>
    <t>8716000966506</t>
  </si>
  <si>
    <t>2384</t>
  </si>
  <si>
    <t>GALLIANO</t>
  </si>
  <si>
    <t>8000353000360</t>
  </si>
  <si>
    <t>3543</t>
  </si>
  <si>
    <t>LUXARDO PASSIONE NERA BLACK SAMBUCA</t>
  </si>
  <si>
    <t>8000353000285</t>
  </si>
  <si>
    <t>3010</t>
  </si>
  <si>
    <t>LUXARDO SAMBUCA</t>
  </si>
  <si>
    <t>8000353000049</t>
  </si>
  <si>
    <t>3011</t>
  </si>
  <si>
    <t>8000353001411</t>
  </si>
  <si>
    <t>3012</t>
  </si>
  <si>
    <t>5201003110757</t>
  </si>
  <si>
    <t>3512</t>
  </si>
  <si>
    <t>OUZO 12</t>
  </si>
  <si>
    <t>CAMPARI EUROPE</t>
  </si>
  <si>
    <t>Liqueurs - Mint</t>
  </si>
  <si>
    <t>089540536460</t>
  </si>
  <si>
    <t>43042</t>
  </si>
  <si>
    <t>DNO ABSOLUT MOJITO COCKTAIL</t>
  </si>
  <si>
    <t>048415448482</t>
  </si>
  <si>
    <t>3085</t>
  </si>
  <si>
    <t>McGUINNESS CREME DE MENTHE GREEN</t>
  </si>
  <si>
    <t>048415448512</t>
  </si>
  <si>
    <t>16293</t>
  </si>
  <si>
    <t>MCGUINNESS PEPPERMINT SCHNAPPS</t>
  </si>
  <si>
    <t>Liqueurs - Nut</t>
  </si>
  <si>
    <t>8004160681309</t>
  </si>
  <si>
    <t>1154</t>
  </si>
  <si>
    <t>B &amp; F FRANGELICO</t>
  </si>
  <si>
    <t>DAVIDE CAMPARI MILANO</t>
  </si>
  <si>
    <t>050037014549</t>
  </si>
  <si>
    <t>2678</t>
  </si>
  <si>
    <t>DISARONNO ORIGINALE AMARETTO</t>
  </si>
  <si>
    <t>ILLVA SARONNO SPA</t>
  </si>
  <si>
    <t>050037014518</t>
  </si>
  <si>
    <t>2680</t>
  </si>
  <si>
    <t>050037014501</t>
  </si>
  <si>
    <t>2681</t>
  </si>
  <si>
    <t>050037151404</t>
  </si>
  <si>
    <t>7070</t>
  </si>
  <si>
    <t>8000353000292</t>
  </si>
  <si>
    <t>2995</t>
  </si>
  <si>
    <t>LUXARDO AMARETTO DI SASCHIRA</t>
  </si>
  <si>
    <t>048415346276</t>
  </si>
  <si>
    <t>3066</t>
  </si>
  <si>
    <t>McGUINNESS AMARETTO DELL'AMOROSA</t>
  </si>
  <si>
    <t>084279970936</t>
  </si>
  <si>
    <t>6372</t>
  </si>
  <si>
    <t>TRADER VIC'S MACADAMIA NUT LIQUEUR</t>
  </si>
  <si>
    <t>Liqueurs - Other</t>
  </si>
  <si>
    <t>080660620992</t>
  </si>
  <si>
    <t>36562</t>
  </si>
  <si>
    <t>99 BANANAS</t>
  </si>
  <si>
    <t>811538012072</t>
  </si>
  <si>
    <t>9251</t>
  </si>
  <si>
    <t>AGAVERO TEQUILA LIQUEUR</t>
  </si>
  <si>
    <t>887341340060</t>
  </si>
  <si>
    <t>38259</t>
  </si>
  <si>
    <t>APEROL APERITIVO</t>
  </si>
  <si>
    <t>086785900001</t>
  </si>
  <si>
    <t>13371</t>
  </si>
  <si>
    <t>082000808756</t>
  </si>
  <si>
    <t>45013</t>
  </si>
  <si>
    <t>BULLEIT OLD FASHIONED COCKTAIL</t>
  </si>
  <si>
    <t>850035474570</t>
  </si>
  <si>
    <t>43709</t>
  </si>
  <si>
    <t>BUZZBALLZ COCKTAIL TEQUILA 'RITA</t>
  </si>
  <si>
    <t>081375100670</t>
  </si>
  <si>
    <t>1689</t>
  </si>
  <si>
    <t>CAMPARI</t>
  </si>
  <si>
    <t>00088004009601</t>
  </si>
  <si>
    <t>30791</t>
  </si>
  <si>
    <t>DR MCGILLICUDDY'S INTENSE ROOT BEER</t>
  </si>
  <si>
    <t>00088004009557</t>
  </si>
  <si>
    <t>30790</t>
  </si>
  <si>
    <t>DR. MCGILLICUDDY'S WILD GRAPE</t>
  </si>
  <si>
    <t>88004034672</t>
  </si>
  <si>
    <t>33527</t>
  </si>
  <si>
    <t>FIREBALL CINNAMON WHISKY</t>
  </si>
  <si>
    <t>00088004400729</t>
  </si>
  <si>
    <t>24212</t>
  </si>
  <si>
    <t>088004400712</t>
  </si>
  <si>
    <t>14725</t>
  </si>
  <si>
    <t>088004144746</t>
  </si>
  <si>
    <t>7203</t>
  </si>
  <si>
    <t>88004400163</t>
  </si>
  <si>
    <t>22463</t>
  </si>
  <si>
    <t>88004401078</t>
  </si>
  <si>
    <t>27284</t>
  </si>
  <si>
    <t>88004034689</t>
  </si>
  <si>
    <t>36285</t>
  </si>
  <si>
    <t>FIREBALL CINNAMON WHISKY LIQUEUR</t>
  </si>
  <si>
    <t>300</t>
  </si>
  <si>
    <t>00088004036782</t>
  </si>
  <si>
    <t>36127</t>
  </si>
  <si>
    <t>GOLDSCHLAGER CINNAMON SCHNAPPS</t>
  </si>
  <si>
    <t>774827000771</t>
  </si>
  <si>
    <t>2642</t>
  </si>
  <si>
    <t>HIGHWOOD PARALYZER MIX</t>
  </si>
  <si>
    <t>774827000788</t>
  </si>
  <si>
    <t>2643</t>
  </si>
  <si>
    <t>088004400422</t>
  </si>
  <si>
    <t>18458</t>
  </si>
  <si>
    <t>ICEBOX BLACK RUSSIAN</t>
  </si>
  <si>
    <t>088004400309</t>
  </si>
  <si>
    <t>18594</t>
  </si>
  <si>
    <t>ICEBOX LONG ISLAND  ICED TEA</t>
  </si>
  <si>
    <t>088004400286</t>
  </si>
  <si>
    <t>18479</t>
  </si>
  <si>
    <t>029929115411</t>
  </si>
  <si>
    <t>15601</t>
  </si>
  <si>
    <t>LICOR 43</t>
  </si>
  <si>
    <t>DIEGO ZAMORA SA</t>
  </si>
  <si>
    <t>74883</t>
  </si>
  <si>
    <t>048415540124</t>
  </si>
  <si>
    <t>26904</t>
  </si>
  <si>
    <t>MCGUINNESS BLUE CURACAO</t>
  </si>
  <si>
    <t>9421027892453</t>
  </si>
  <si>
    <t>16535</t>
  </si>
  <si>
    <t>MIAMI VICE TWISTED SHOTZ</t>
  </si>
  <si>
    <t>855880008116</t>
  </si>
  <si>
    <t>33674</t>
  </si>
  <si>
    <t>ON THE ROCKS THE MARGARITA</t>
  </si>
  <si>
    <t>ON THE ROCKS PREMIUM COCKTAILS</t>
  </si>
  <si>
    <t>855880008024</t>
  </si>
  <si>
    <t>33676</t>
  </si>
  <si>
    <t>ON THE ROCKS THE OLD FASHIONED</t>
  </si>
  <si>
    <t>087116010161</t>
  </si>
  <si>
    <t>3613</t>
  </si>
  <si>
    <t>PHILLIPS HOT 100 CINNAMON</t>
  </si>
  <si>
    <t>087116010154</t>
  </si>
  <si>
    <t>3622</t>
  </si>
  <si>
    <t>PHILLIPS ROOT BEER SCHNAPPS</t>
  </si>
  <si>
    <t>087116010109</t>
  </si>
  <si>
    <t>6166</t>
  </si>
  <si>
    <t>776555550078</t>
  </si>
  <si>
    <t>3726</t>
  </si>
  <si>
    <t>POTTERS PARALYZER MIX</t>
  </si>
  <si>
    <t>POTTER'S DISTILLERS CORPORATION</t>
  </si>
  <si>
    <t>774827000535</t>
  </si>
  <si>
    <t>22282</t>
  </si>
  <si>
    <t>RAINBOW BULLET ASSORTED SHOOTERS</t>
  </si>
  <si>
    <t>9414453002138</t>
  </si>
  <si>
    <t>8774</t>
  </si>
  <si>
    <t>SEX ON THE BEACH TWISTED SHOTZ</t>
  </si>
  <si>
    <t>057496522486</t>
  </si>
  <si>
    <t>8736</t>
  </si>
  <si>
    <t>SORTILEGE ORIGINAL LIQUEUR</t>
  </si>
  <si>
    <t>087116009820</t>
  </si>
  <si>
    <t>44397</t>
  </si>
  <si>
    <t>SOUR PUSS TOP SECRET</t>
  </si>
  <si>
    <t>0080480006662</t>
  </si>
  <si>
    <t>35138</t>
  </si>
  <si>
    <t>ST GERMAIN ELDERFLOWER LIQUEUR</t>
  </si>
  <si>
    <t>898804001008</t>
  </si>
  <si>
    <t>14182</t>
  </si>
  <si>
    <t>SAP PLANT FR 18</t>
  </si>
  <si>
    <t>774827255430</t>
  </si>
  <si>
    <t>11693</t>
  </si>
  <si>
    <t>SWEET SIPPIN CANADIAN MAPLE WHISKY</t>
  </si>
  <si>
    <t>9421030103799</t>
  </si>
  <si>
    <t>33807</t>
  </si>
  <si>
    <t>TWISTED SHOTZ ISLAND THUNDER</t>
  </si>
  <si>
    <t>9421030103072</t>
  </si>
  <si>
    <t>31065</t>
  </si>
  <si>
    <t>TWISTED SHOTZ PUSSY CAT</t>
  </si>
  <si>
    <t>9421027896062</t>
  </si>
  <si>
    <t>24813</t>
  </si>
  <si>
    <t>TWISTED SHOTZ SHOT BOX</t>
  </si>
  <si>
    <t>Wines - Aperitif - France -  -  - Other</t>
  </si>
  <si>
    <t>3163933575001</t>
  </si>
  <si>
    <t>2249</t>
  </si>
  <si>
    <t>DUBONNET TONIC RED</t>
  </si>
  <si>
    <t>PERNOD RICARD SAS</t>
  </si>
  <si>
    <t>S</t>
  </si>
  <si>
    <t>Wines - Vermouth - Italy -  -  - Other</t>
  </si>
  <si>
    <t>8000020000020</t>
  </si>
  <si>
    <t>2053</t>
  </si>
  <si>
    <t>CINZANO ROSSO MELLOW</t>
  </si>
  <si>
    <t>FRANCESCO CINZANO &amp; COMPANY</t>
  </si>
  <si>
    <t>000570008109</t>
  </si>
  <si>
    <t>3046</t>
  </si>
  <si>
    <t>MARTINI &amp; ROSSI EXTRA DRY VERMOUTH</t>
  </si>
  <si>
    <t>MARTINI &amp; ROSSI</t>
  </si>
  <si>
    <t>D</t>
  </si>
  <si>
    <t>000570710071</t>
  </si>
  <si>
    <t>3047</t>
  </si>
  <si>
    <t>011034981029</t>
  </si>
  <si>
    <t>3048</t>
  </si>
  <si>
    <t>MARTINI &amp; ROSSI SWEET VERMOUTH</t>
  </si>
  <si>
    <t>011034981012</t>
  </si>
  <si>
    <t>3049</t>
  </si>
  <si>
    <t>Wines - Port - Canada - British Columbia -  - Other</t>
  </si>
  <si>
    <t>063657002438</t>
  </si>
  <si>
    <t>1462</t>
  </si>
  <si>
    <t>BRIGHT 74 PORT</t>
  </si>
  <si>
    <t>ARTERRA WINES CANADA INC</t>
  </si>
  <si>
    <t>1008</t>
  </si>
  <si>
    <t>Wines - Port - Portugal -  -  - White</t>
  </si>
  <si>
    <t>5013626111239</t>
  </si>
  <si>
    <t>4300</t>
  </si>
  <si>
    <t>TAYLOR FLADGATE FINE WHITE PORT</t>
  </si>
  <si>
    <t>TAYLOR FLADGATE &amp; YEATMAN-VIN</t>
  </si>
  <si>
    <t>MD</t>
  </si>
  <si>
    <t>Wines - Port - Portugal -  -  - Other</t>
  </si>
  <si>
    <t>5010867400245</t>
  </si>
  <si>
    <t>2487</t>
  </si>
  <si>
    <t>GRAHAM'S SIX GRAPES SPECIAL RESERVE PORT</t>
  </si>
  <si>
    <t>SYMINGTON FAMILY ESTATES, VINHOS, LDA</t>
  </si>
  <si>
    <t>MS</t>
  </si>
  <si>
    <t>5013626111284</t>
  </si>
  <si>
    <t>5640</t>
  </si>
  <si>
    <t>TAYLOR FLADGATE 10 YR OLD TAWNY PORT</t>
  </si>
  <si>
    <t>5013626111291</t>
  </si>
  <si>
    <t>4295</t>
  </si>
  <si>
    <t>TAYLOR FLADGATE 20 YR OLD TAWNY PORT</t>
  </si>
  <si>
    <t>5013626111260</t>
  </si>
  <si>
    <t>5639</t>
  </si>
  <si>
    <t>TAYLOR FLADGATE FIRST ESTATE</t>
  </si>
  <si>
    <t>5013626111277</t>
  </si>
  <si>
    <t>4301</t>
  </si>
  <si>
    <t>TAYLOR FLADGATE LATE BOTTLED VNTG PORT</t>
  </si>
  <si>
    <t>Wines - Port - South Africa -  -  - Red</t>
  </si>
  <si>
    <t>748294131108</t>
  </si>
  <si>
    <t>3524</t>
  </si>
  <si>
    <t>KWV PAARL RICH RUBY PORT</t>
  </si>
  <si>
    <t>K.W.V.</t>
  </si>
  <si>
    <t>Wines - Sherry - Canada -  -  - Other</t>
  </si>
  <si>
    <t>063657002315</t>
  </si>
  <si>
    <t>1463</t>
  </si>
  <si>
    <t>BRIGHT 74 SHERRY</t>
  </si>
  <si>
    <t>063657044582</t>
  </si>
  <si>
    <t>41274</t>
  </si>
  <si>
    <t>BRIGHTS BRANVIN SHERRY</t>
  </si>
  <si>
    <t>1500</t>
  </si>
  <si>
    <t>623625050252</t>
  </si>
  <si>
    <t>2984</t>
  </si>
  <si>
    <t>LONDON WESTMINSTER SHERRY</t>
  </si>
  <si>
    <t>LONDON WINERY LIMITED</t>
  </si>
  <si>
    <t>623625036577</t>
  </si>
  <si>
    <t>2985</t>
  </si>
  <si>
    <t>LONDON XXX SHERRY</t>
  </si>
  <si>
    <t>Wines - Sherry - Spain -  -  - Other</t>
  </si>
  <si>
    <t>5010277010164</t>
  </si>
  <si>
    <t>2604</t>
  </si>
  <si>
    <t>HARVEYS BRISTOL CREAM</t>
  </si>
  <si>
    <t>JOHN HARVEY &amp; SONS</t>
  </si>
  <si>
    <t>8410028010905</t>
  </si>
  <si>
    <t>4478</t>
  </si>
  <si>
    <t>WILLIAMS &amp; HUMBERT DRY SACK SHERRY</t>
  </si>
  <si>
    <t>WILLIAMS &amp; HUMBERT LTD</t>
  </si>
  <si>
    <t>Wines - Dessert - Italy - Sicily - DOC-Denominazione Di Origine Controllata - Other</t>
  </si>
  <si>
    <t>619532602028</t>
  </si>
  <si>
    <t>3038</t>
  </si>
  <si>
    <t>MARSALA SECCO SUP- FRATELLI FICI</t>
  </si>
  <si>
    <t>CANTINA FRATELLI FICI</t>
  </si>
  <si>
    <t>3246</t>
  </si>
  <si>
    <t>Wines - Kosher Sacremental - United States -  -  - Red</t>
  </si>
  <si>
    <t>085976033931</t>
  </si>
  <si>
    <t>3030</t>
  </si>
  <si>
    <t>MANISCHEWITZ CONCORD</t>
  </si>
  <si>
    <t>MANISCHEWITZ WINE COMPANY</t>
  </si>
  <si>
    <t>085904014407</t>
  </si>
  <si>
    <t>3303</t>
  </si>
  <si>
    <t>MOGEN DAVID CONCORD</t>
  </si>
  <si>
    <t>THE WINE GROUP LLC</t>
  </si>
  <si>
    <t>Wines - Other Fruit Wine - Canada -  -  - Red</t>
  </si>
  <si>
    <t>063657045695</t>
  </si>
  <si>
    <t>43237</t>
  </si>
  <si>
    <t>BODACIOUS SANGRIA</t>
  </si>
  <si>
    <t>VS</t>
  </si>
  <si>
    <t>779373544755</t>
  </si>
  <si>
    <t>35237</t>
  </si>
  <si>
    <t>COLIO GNO VERY BERRY BOMBA</t>
  </si>
  <si>
    <t>COLIO ESTATE VINEYARDS</t>
  </si>
  <si>
    <t>Wines - Other Fruit Wine - Canada -  -  - White</t>
  </si>
  <si>
    <t>063657045688</t>
  </si>
  <si>
    <t>43236</t>
  </si>
  <si>
    <t>BODACIOUS PEACH FIZZ</t>
  </si>
  <si>
    <t>Wines - Other Fruit Wine - Germany -  -  - Other</t>
  </si>
  <si>
    <t>4002391043006</t>
  </si>
  <si>
    <t>40982</t>
  </si>
  <si>
    <t>ROMEO PEACH BELLINI</t>
  </si>
  <si>
    <t>PETER HERRES WEIN WINES</t>
  </si>
  <si>
    <t>Wines - Other Fruit Wine - Italy -  -  - Red</t>
  </si>
  <si>
    <t>086785110790</t>
  </si>
  <si>
    <t>40980</t>
  </si>
  <si>
    <t>ROSCATO BLACK CHERRY</t>
  </si>
  <si>
    <t>CAVIT CANTINA VITICOLTORI S.C.A.R.L.</t>
  </si>
  <si>
    <t>Wines - Other Fruit Wine - Italy -  -  - White</t>
  </si>
  <si>
    <t>086785110745</t>
  </si>
  <si>
    <t>40981</t>
  </si>
  <si>
    <t>ROSCATO PEACH</t>
  </si>
  <si>
    <t>Wines - Other Fruit Wine - Japan -  -  - Other</t>
  </si>
  <si>
    <t>4902650260536</t>
  </si>
  <si>
    <t>2594</t>
  </si>
  <si>
    <t>HAKUTSURU SAKE</t>
  </si>
  <si>
    <t>HAKUTSURU SAKE BREWING CO LT</t>
  </si>
  <si>
    <t>720</t>
  </si>
  <si>
    <t>3308</t>
  </si>
  <si>
    <t>Wines - Other Fruit Wine - United States -  -  - Red</t>
  </si>
  <si>
    <t>085000031780</t>
  </si>
  <si>
    <t>43428</t>
  </si>
  <si>
    <t>BAREFOOT FRUITSCATO BLUEBERRY</t>
  </si>
  <si>
    <t>Wines - Other Fruit Wine - United States -  -  - White</t>
  </si>
  <si>
    <t>085000037607</t>
  </si>
  <si>
    <t>45266</t>
  </si>
  <si>
    <t>BAREFOOT FRUITSCATO PEAR</t>
  </si>
  <si>
    <t>Wines - Other Fruit Wine - United States -  -  - Other</t>
  </si>
  <si>
    <t>728817199600</t>
  </si>
  <si>
    <t>6053</t>
  </si>
  <si>
    <t>BLACK  &amp; GOLD SAKE</t>
  </si>
  <si>
    <t>GEKKEIKAN SAKE COMPANY LTD</t>
  </si>
  <si>
    <t>728817199716</t>
  </si>
  <si>
    <t>2394</t>
  </si>
  <si>
    <t>GEKKEIKAN SAKE</t>
  </si>
  <si>
    <t>GEKKEIKAN SAKE (USA)  INC</t>
  </si>
  <si>
    <t>Wines - Other Fruit Wine - United States - Ca-Other -  - White</t>
  </si>
  <si>
    <t>083120013655</t>
  </si>
  <si>
    <t>40814</t>
  </si>
  <si>
    <t>LEMONADE STAND LEMONADE MOSCATO</t>
  </si>
  <si>
    <t>Wines - Table - Canada -  -  - Rose Blush</t>
  </si>
  <si>
    <t>063657043646</t>
  </si>
  <si>
    <t>37293</t>
  </si>
  <si>
    <t>BASK CRISP ROSE</t>
  </si>
  <si>
    <t>VD</t>
  </si>
  <si>
    <t>048162018501</t>
  </si>
  <si>
    <t>39385</t>
  </si>
  <si>
    <t>HONEST LOT ROSE</t>
  </si>
  <si>
    <t>063657038963</t>
  </si>
  <si>
    <t>28358</t>
  </si>
  <si>
    <t>SAWMILL CREEK ROSE</t>
  </si>
  <si>
    <t>4000</t>
  </si>
  <si>
    <t>048162012387</t>
  </si>
  <si>
    <t>7349</t>
  </si>
  <si>
    <t>XOXO ROSE</t>
  </si>
  <si>
    <t>PELLER ESTATES WINERY</t>
  </si>
  <si>
    <t>Wines - Table - Canada -  -  - Red</t>
  </si>
  <si>
    <t>063657043981</t>
  </si>
  <si>
    <t>39464</t>
  </si>
  <si>
    <t>BASK CABERNET SAUVIGNON</t>
  </si>
  <si>
    <t>063657044865</t>
  </si>
  <si>
    <t>41039</t>
  </si>
  <si>
    <t>063657042045</t>
  </si>
  <si>
    <t>34623</t>
  </si>
  <si>
    <t>BASK PINOT NOIR</t>
  </si>
  <si>
    <t>063657043639</t>
  </si>
  <si>
    <t>37292</t>
  </si>
  <si>
    <t>048162018518</t>
  </si>
  <si>
    <t>39308</t>
  </si>
  <si>
    <t>BLACK CELLAR CABERNET SAUVIGNON</t>
  </si>
  <si>
    <t>048162018525</t>
  </si>
  <si>
    <t>39309</t>
  </si>
  <si>
    <t>BLACK CELLAR MALBEC MERLOT</t>
  </si>
  <si>
    <t>048162014886</t>
  </si>
  <si>
    <t>39310</t>
  </si>
  <si>
    <t>BLACK CELLAR SHIRAZ CABERNET</t>
  </si>
  <si>
    <t>063657038574</t>
  </si>
  <si>
    <t>29705</t>
  </si>
  <si>
    <t>BODACIOUS BOURBON AGED RED BLEND</t>
  </si>
  <si>
    <t>063657036006</t>
  </si>
  <si>
    <t>33540</t>
  </si>
  <si>
    <t>BODACIOUS CABERNET SAUVIGNON</t>
  </si>
  <si>
    <t>063657037362</t>
  </si>
  <si>
    <t>27612</t>
  </si>
  <si>
    <t>BODACIOUS DARK</t>
  </si>
  <si>
    <t>063657031797</t>
  </si>
  <si>
    <t>23963</t>
  </si>
  <si>
    <t>BODACIOUS SHIRAZ</t>
  </si>
  <si>
    <t>063657034743</t>
  </si>
  <si>
    <t>29366</t>
  </si>
  <si>
    <t>BODACIOUS SMOOTH RED</t>
  </si>
  <si>
    <t>048162016163</t>
  </si>
  <si>
    <t>31347</t>
  </si>
  <si>
    <t>COPPER MOON SMOOTH RED</t>
  </si>
  <si>
    <t>776545501301</t>
  </si>
  <si>
    <t>39482</t>
  </si>
  <si>
    <t>HERON BAY CABERNET SAUVIGNON</t>
  </si>
  <si>
    <t>MARK ANTHONY GROUP INC</t>
  </si>
  <si>
    <t>00048162018495</t>
  </si>
  <si>
    <t>38213</t>
  </si>
  <si>
    <t>HONEST LOT CABERNET SAUVIGNON</t>
  </si>
  <si>
    <t>048162021921</t>
  </si>
  <si>
    <t>46246</t>
  </si>
  <si>
    <t>063657040447</t>
  </si>
  <si>
    <t>32408</t>
  </si>
  <si>
    <t>JT PROPRIETOR'S SELECT CAB SAUV LIGHT</t>
  </si>
  <si>
    <t>063657033715</t>
  </si>
  <si>
    <t>23948</t>
  </si>
  <si>
    <t>JT PROPRIETORS SELECTION MALBEC</t>
  </si>
  <si>
    <t>057496010495</t>
  </si>
  <si>
    <t>41014</t>
  </si>
  <si>
    <t>KEEP CALM &amp; THRIVE CABERNET SAUV</t>
  </si>
  <si>
    <t>57496008850</t>
  </si>
  <si>
    <t>33640</t>
  </si>
  <si>
    <t>KEEP CALM &amp; THRIVE SHIRAZ</t>
  </si>
  <si>
    <t>STATION 22</t>
  </si>
  <si>
    <t>063657034040</t>
  </si>
  <si>
    <t>26441</t>
  </si>
  <si>
    <t>NAKED GRAPE SHIRAZ</t>
  </si>
  <si>
    <t>048162016941</t>
  </si>
  <si>
    <t>33563</t>
  </si>
  <si>
    <t>PELLER FAMILY VINEYARD LIGHT CAB SAUV</t>
  </si>
  <si>
    <t>048162019188</t>
  </si>
  <si>
    <t>39445</t>
  </si>
  <si>
    <t>PELLER FAMILY VINEYARD MALBEC</t>
  </si>
  <si>
    <t>048162013377</t>
  </si>
  <si>
    <t>15398</t>
  </si>
  <si>
    <t>PELLER FAMILY VINEYARDS CAB SAUV</t>
  </si>
  <si>
    <t>048162010598</t>
  </si>
  <si>
    <t>6448</t>
  </si>
  <si>
    <t>PELLER FAMILY VINEYARDS CABERNET MERLOT</t>
  </si>
  <si>
    <t>063657024126</t>
  </si>
  <si>
    <t>26450</t>
  </si>
  <si>
    <t>SAWMILL CREEK CABERNET SAUVIGNON</t>
  </si>
  <si>
    <t>SAWMILL CREEK WINERY</t>
  </si>
  <si>
    <t>Wines - Table - Canada -  -  - White</t>
  </si>
  <si>
    <t>063657045701</t>
  </si>
  <si>
    <t>46244</t>
  </si>
  <si>
    <t>BASK CHARDONNAY</t>
  </si>
  <si>
    <t>063657043998</t>
  </si>
  <si>
    <t>39155</t>
  </si>
  <si>
    <t>BASK PINOT GRIGIO</t>
  </si>
  <si>
    <t>063657044858</t>
  </si>
  <si>
    <t>41273</t>
  </si>
  <si>
    <t>063657043622</t>
  </si>
  <si>
    <t>37294</t>
  </si>
  <si>
    <t>BASK SAUVIGNON BLANC</t>
  </si>
  <si>
    <t>048162018532</t>
  </si>
  <si>
    <t>39311</t>
  </si>
  <si>
    <t>BLACK CELLAR PINOT GRIGIO</t>
  </si>
  <si>
    <t>063657038024</t>
  </si>
  <si>
    <t>29474</t>
  </si>
  <si>
    <t>BODACIOUS MOSCATO</t>
  </si>
  <si>
    <t>063657031780</t>
  </si>
  <si>
    <t>23951</t>
  </si>
  <si>
    <t>BODACIOUS PINOT GRIGIO</t>
  </si>
  <si>
    <t>63657039144</t>
  </si>
  <si>
    <t>29367</t>
  </si>
  <si>
    <t>063657036020</t>
  </si>
  <si>
    <t>29368</t>
  </si>
  <si>
    <t>BODACIOUS SMOOTH WHITE</t>
  </si>
  <si>
    <t>048162018716</t>
  </si>
  <si>
    <t>39443</t>
  </si>
  <si>
    <t>COPPER MOON CHARDONNAY</t>
  </si>
  <si>
    <t>00048162018365</t>
  </si>
  <si>
    <t>36540</t>
  </si>
  <si>
    <t>COPPER MOON CRISP AND BRIGHT</t>
  </si>
  <si>
    <t>00048162018372</t>
  </si>
  <si>
    <t>36541</t>
  </si>
  <si>
    <t>048162020450</t>
  </si>
  <si>
    <t>43995</t>
  </si>
  <si>
    <t>HONEST LOT PINOT GRIGIO</t>
  </si>
  <si>
    <t>00048162018488</t>
  </si>
  <si>
    <t>38214</t>
  </si>
  <si>
    <t>HONEST LOT SAUVIGNON BLANC</t>
  </si>
  <si>
    <t>063657040508</t>
  </si>
  <si>
    <t>32409</t>
  </si>
  <si>
    <t>JT PROPRIETORS SELECT PINOT GRIGIO LIGHT</t>
  </si>
  <si>
    <t>0057496009635</t>
  </si>
  <si>
    <t>34388</t>
  </si>
  <si>
    <t>KEEP CALM &amp; LAUGH PINOT GRIGIO</t>
  </si>
  <si>
    <t>063657034057</t>
  </si>
  <si>
    <t>26442</t>
  </si>
  <si>
    <t>NAKED GRAPE PINOT GRIGIO</t>
  </si>
  <si>
    <t>048162010604</t>
  </si>
  <si>
    <t>6447</t>
  </si>
  <si>
    <t>PELLER FAMILY VINEYARDS PINOT GRIGIO</t>
  </si>
  <si>
    <t>048162009332</t>
  </si>
  <si>
    <t>28769</t>
  </si>
  <si>
    <t>PELLER FAMILY VINEYARDS SAUVIGNON BLANC</t>
  </si>
  <si>
    <t>063657028926</t>
  </si>
  <si>
    <t>29518</t>
  </si>
  <si>
    <t>SAWMILL CREEK PINOT GRIGIO</t>
  </si>
  <si>
    <t>776545600684</t>
  </si>
  <si>
    <t>34396</t>
  </si>
  <si>
    <t>WEEKDAY WINE PINOT GRIGIO</t>
  </si>
  <si>
    <t>MARK ANTHONY BRANDS LTD.</t>
  </si>
  <si>
    <t>048162012196</t>
  </si>
  <si>
    <t>7210</t>
  </si>
  <si>
    <t>XOXO PINOT GRIGIO CHARDONNAY</t>
  </si>
  <si>
    <t>048162015708</t>
  </si>
  <si>
    <t>29712</t>
  </si>
  <si>
    <t>XOXO PINOT GRIGIO LIGHT</t>
  </si>
  <si>
    <t>Wines - Table - Canada -  - VQA - Rose Blush</t>
  </si>
  <si>
    <t>063657041536</t>
  </si>
  <si>
    <t>36648</t>
  </si>
  <si>
    <t>SAINTLY THE GOOD ROSE</t>
  </si>
  <si>
    <t>Wines - Table - Canada - British Columbia -  - Rose Blush</t>
  </si>
  <si>
    <t>063657042052</t>
  </si>
  <si>
    <t>34625</t>
  </si>
  <si>
    <t>063657034569</t>
  </si>
  <si>
    <t>22039</t>
  </si>
  <si>
    <t>BODACIOUS ROSE</t>
  </si>
  <si>
    <t>778829600465</t>
  </si>
  <si>
    <t>44453</t>
  </si>
  <si>
    <t>GRAY MONK ROSE LE</t>
  </si>
  <si>
    <t>Wines - Table - Canada - British Columbia -  - Red</t>
  </si>
  <si>
    <t>48162014855</t>
  </si>
  <si>
    <t>21992</t>
  </si>
  <si>
    <t>COPPER MOON CABERNET SAUVIGNON</t>
  </si>
  <si>
    <t>48162014848</t>
  </si>
  <si>
    <t>21993</t>
  </si>
  <si>
    <t>COPPER MOON MALBEC</t>
  </si>
  <si>
    <t>048162013940</t>
  </si>
  <si>
    <t>21994</t>
  </si>
  <si>
    <t>COPPER MOON MERLOT</t>
  </si>
  <si>
    <t>048162013711</t>
  </si>
  <si>
    <t>21995</t>
  </si>
  <si>
    <t>COPPER MOON SHIRAZ</t>
  </si>
  <si>
    <t>048162016170</t>
  </si>
  <si>
    <t>31393</t>
  </si>
  <si>
    <t>778829121144</t>
  </si>
  <si>
    <t>5396</t>
  </si>
  <si>
    <t>GRAY MONK LATITUDE 50 DOMESTIC RED</t>
  </si>
  <si>
    <t>GRAY-MONK CELLARS</t>
  </si>
  <si>
    <t>063657027967</t>
  </si>
  <si>
    <t>16232</t>
  </si>
  <si>
    <t>NAKED GRAPE MALBEC</t>
  </si>
  <si>
    <t>776545502995</t>
  </si>
  <si>
    <t>48083</t>
  </si>
  <si>
    <t>ROAD 13 HONEST JOHN'S CRAFTED IN BC RED</t>
  </si>
  <si>
    <t>MISSION HILL FAMILY ESTATE WINERY</t>
  </si>
  <si>
    <t>Wines - Table - Canada - British Columbia -  - White</t>
  </si>
  <si>
    <t>063657042038</t>
  </si>
  <si>
    <t>34624</t>
  </si>
  <si>
    <t>048162013933</t>
  </si>
  <si>
    <t>21996</t>
  </si>
  <si>
    <t>COPPER MOON PINOT GRIGIO</t>
  </si>
  <si>
    <t>048162013674</t>
  </si>
  <si>
    <t>21997</t>
  </si>
  <si>
    <t>COPPER MOON SAUVIGNON BLANC</t>
  </si>
  <si>
    <t>778829113200</t>
  </si>
  <si>
    <t>2530</t>
  </si>
  <si>
    <t>GRAY MONK PINOT GRIS</t>
  </si>
  <si>
    <t>063657034606</t>
  </si>
  <si>
    <t>22899</t>
  </si>
  <si>
    <t>JT PROPRIETORS' SELECTION RIES GEWURZ</t>
  </si>
  <si>
    <t>058976502240</t>
  </si>
  <si>
    <t>6578</t>
  </si>
  <si>
    <t>SANDHILL HIDDEN TERRACE PINOT GRIS</t>
  </si>
  <si>
    <t>SANDHILL ESTATE VINEYARD</t>
  </si>
  <si>
    <t>776545500243</t>
  </si>
  <si>
    <t>20108</t>
  </si>
  <si>
    <t>SCREW IT! PINOT GRIGIO</t>
  </si>
  <si>
    <t>ARTISAN WINE COMPANY</t>
  </si>
  <si>
    <t>776545500502</t>
  </si>
  <si>
    <t>21415</t>
  </si>
  <si>
    <t>778876128936</t>
  </si>
  <si>
    <t>4256</t>
  </si>
  <si>
    <t>SUMAC RIDGE PRIV RSV GWRTZ</t>
  </si>
  <si>
    <t>SUMAC RIDGE ESTATE WINES LTD</t>
  </si>
  <si>
    <t>Wines - Table - Canada - British Columbia - NON VQA - Rose Blush</t>
  </si>
  <si>
    <t>048162013346</t>
  </si>
  <si>
    <t>13507</t>
  </si>
  <si>
    <t>COPPER MOON ROSE</t>
  </si>
  <si>
    <t>048162010093</t>
  </si>
  <si>
    <t>6325</t>
  </si>
  <si>
    <t>PELLER FAMILY VINEYARDS ROSE</t>
  </si>
  <si>
    <t>048162010116</t>
  </si>
  <si>
    <t>6331</t>
  </si>
  <si>
    <t>Wines - Table - Canada - British Columbia - NON VQA - Red</t>
  </si>
  <si>
    <t>048162014022</t>
  </si>
  <si>
    <t>19741</t>
  </si>
  <si>
    <t>048162014039</t>
  </si>
  <si>
    <t>19742</t>
  </si>
  <si>
    <t>048162014015</t>
  </si>
  <si>
    <t>18902</t>
  </si>
  <si>
    <t>063657033791</t>
  </si>
  <si>
    <t>24929</t>
  </si>
  <si>
    <t>063657031773</t>
  </si>
  <si>
    <t>17291</t>
  </si>
  <si>
    <t>058976051106</t>
  </si>
  <si>
    <t>3889</t>
  </si>
  <si>
    <t>CALONA ROYAL RED</t>
  </si>
  <si>
    <t>058976053100</t>
  </si>
  <si>
    <t>3890</t>
  </si>
  <si>
    <t>2000</t>
  </si>
  <si>
    <t>058976055104</t>
  </si>
  <si>
    <t>3891</t>
  </si>
  <si>
    <t>058976055050</t>
  </si>
  <si>
    <t>4213</t>
  </si>
  <si>
    <t>CALONA SOMMET ROUGE</t>
  </si>
  <si>
    <t>048162012455</t>
  </si>
  <si>
    <t>7273</t>
  </si>
  <si>
    <t>048162012752</t>
  </si>
  <si>
    <t>9419</t>
  </si>
  <si>
    <t>048162013094</t>
  </si>
  <si>
    <t>11689</t>
  </si>
  <si>
    <t>048162012837</t>
  </si>
  <si>
    <t>7632</t>
  </si>
  <si>
    <t>048162012448</t>
  </si>
  <si>
    <t>7274</t>
  </si>
  <si>
    <t>063657014967</t>
  </si>
  <si>
    <t>6876</t>
  </si>
  <si>
    <t>JT MERLOT</t>
  </si>
  <si>
    <t>16000</t>
  </si>
  <si>
    <t>063657005347</t>
  </si>
  <si>
    <t>2733</t>
  </si>
  <si>
    <t>JT PROPRIETORS SELECTION CAB SAUV</t>
  </si>
  <si>
    <t>063657001813</t>
  </si>
  <si>
    <t>2734</t>
  </si>
  <si>
    <t>063657022207</t>
  </si>
  <si>
    <t>13421</t>
  </si>
  <si>
    <t>063657007112</t>
  </si>
  <si>
    <t>2735</t>
  </si>
  <si>
    <t>JT PROPRIETORS SELECTION MERLOT</t>
  </si>
  <si>
    <t>063657008201</t>
  </si>
  <si>
    <t>2736</t>
  </si>
  <si>
    <t>063657007525</t>
  </si>
  <si>
    <t>5615</t>
  </si>
  <si>
    <t>JT PROPRIETORS SELECTION SHIRAZ</t>
  </si>
  <si>
    <t>063657029855</t>
  </si>
  <si>
    <t>15131</t>
  </si>
  <si>
    <t>JT PROPRIETORS' SELECTION CAB SAUV</t>
  </si>
  <si>
    <t>063657029794</t>
  </si>
  <si>
    <t>15132</t>
  </si>
  <si>
    <t>JT PROPRIETORS' SELECTION MERLOT</t>
  </si>
  <si>
    <t>063657029770</t>
  </si>
  <si>
    <t>18037</t>
  </si>
  <si>
    <t>JT PROPRIETORS' SELECTION SHIRAZ</t>
  </si>
  <si>
    <t>063657001363</t>
  </si>
  <si>
    <t>2872</t>
  </si>
  <si>
    <t>L'AMBIANCE RED</t>
  </si>
  <si>
    <t>779646155909</t>
  </si>
  <si>
    <t>3285</t>
  </si>
  <si>
    <t>MISSION RIDGE CASK SELECT DRY RED</t>
  </si>
  <si>
    <t>063657014066</t>
  </si>
  <si>
    <t>6464</t>
  </si>
  <si>
    <t>NAKED GRAPE MERLOT</t>
  </si>
  <si>
    <t>063657014059</t>
  </si>
  <si>
    <t>6465</t>
  </si>
  <si>
    <t>048162013902</t>
  </si>
  <si>
    <t>18028</t>
  </si>
  <si>
    <t>PELLER FAMILY VINEYARDS CAB SAUVIGNON</t>
  </si>
  <si>
    <t>048162007093</t>
  </si>
  <si>
    <t>3586</t>
  </si>
  <si>
    <t>048162006263</t>
  </si>
  <si>
    <t>3587</t>
  </si>
  <si>
    <t>048162007116</t>
  </si>
  <si>
    <t>3588</t>
  </si>
  <si>
    <t>048162008878</t>
  </si>
  <si>
    <t>5445</t>
  </si>
  <si>
    <t>PELLER FAMILY VINEYARDS DRY RED</t>
  </si>
  <si>
    <t>048162007109</t>
  </si>
  <si>
    <t>3589</t>
  </si>
  <si>
    <t>PELLER FAMILY VINEYARDS MERLOT</t>
  </si>
  <si>
    <t>048162007123</t>
  </si>
  <si>
    <t>3591</t>
  </si>
  <si>
    <t>048162010123</t>
  </si>
  <si>
    <t>6356</t>
  </si>
  <si>
    <t>PELLER FAMILY VINEYARDS SHIRAZ</t>
  </si>
  <si>
    <t>048162010178</t>
  </si>
  <si>
    <t>6357</t>
  </si>
  <si>
    <t>048162010161</t>
  </si>
  <si>
    <t>6358</t>
  </si>
  <si>
    <t>048162003705</t>
  </si>
  <si>
    <t>6604</t>
  </si>
  <si>
    <t>PELLER PROP RSV RED</t>
  </si>
  <si>
    <t>063657000748</t>
  </si>
  <si>
    <t>4004</t>
  </si>
  <si>
    <t>SAWMILL CREEK CAB SAUV</t>
  </si>
  <si>
    <t>063657001080</t>
  </si>
  <si>
    <t>4008</t>
  </si>
  <si>
    <t>SAWMILL CREEK MERLOT</t>
  </si>
  <si>
    <t>063657018910</t>
  </si>
  <si>
    <t>12561</t>
  </si>
  <si>
    <t>063657035429</t>
  </si>
  <si>
    <t>24927</t>
  </si>
  <si>
    <t>TWIST OF FATE MALBEC MERLOT</t>
  </si>
  <si>
    <t>Wines - Table - Canada - British Columbia - NON VQA - White</t>
  </si>
  <si>
    <t>048162002425</t>
  </si>
  <si>
    <t>1109</t>
  </si>
  <si>
    <t>ANDRES HOCHTALER DRY</t>
  </si>
  <si>
    <t>048162000131</t>
  </si>
  <si>
    <t>1106</t>
  </si>
  <si>
    <t>ANDRES HOCHTALER WHITE</t>
  </si>
  <si>
    <t>048162003217</t>
  </si>
  <si>
    <t>1107</t>
  </si>
  <si>
    <t>048162014008</t>
  </si>
  <si>
    <t>18903</t>
  </si>
  <si>
    <t>063657031766</t>
  </si>
  <si>
    <t>17292</t>
  </si>
  <si>
    <t>058976053094</t>
  </si>
  <si>
    <t>3893</t>
  </si>
  <si>
    <t>CALONA ROYAL WHITE</t>
  </si>
  <si>
    <t>058976052011</t>
  </si>
  <si>
    <t>4018</t>
  </si>
  <si>
    <t>CALONA SCHLOSS LADERHEIM</t>
  </si>
  <si>
    <t>058976055012</t>
  </si>
  <si>
    <t>4019</t>
  </si>
  <si>
    <t>058976055043</t>
  </si>
  <si>
    <t>4212</t>
  </si>
  <si>
    <t>CALONA SOMMET BLANC</t>
  </si>
  <si>
    <t>048162012431</t>
  </si>
  <si>
    <t>7275</t>
  </si>
  <si>
    <t>048162012738</t>
  </si>
  <si>
    <t>7633</t>
  </si>
  <si>
    <t>048162012462</t>
  </si>
  <si>
    <t>7276</t>
  </si>
  <si>
    <t>063657005187</t>
  </si>
  <si>
    <t>2737</t>
  </si>
  <si>
    <t>JT PROPRIETORS SELECTION CHARDONNAY</t>
  </si>
  <si>
    <t>063657005262</t>
  </si>
  <si>
    <t>2738</t>
  </si>
  <si>
    <t>063657011836</t>
  </si>
  <si>
    <t>6150</t>
  </si>
  <si>
    <t>JT PROPRIETORS SELECTION PINOT GRIGIO</t>
  </si>
  <si>
    <t>063657004104</t>
  </si>
  <si>
    <t>2739</t>
  </si>
  <si>
    <t>JT PROPRIETORS SELECTION SAUV BLANC</t>
  </si>
  <si>
    <t>063657004289</t>
  </si>
  <si>
    <t>2740</t>
  </si>
  <si>
    <t>063657029862</t>
  </si>
  <si>
    <t>15133</t>
  </si>
  <si>
    <t>JT PROPRIETORS' SELECTION CHARDONNAY</t>
  </si>
  <si>
    <t>063657029787</t>
  </si>
  <si>
    <t>18036</t>
  </si>
  <si>
    <t>JT PROPRIETORS' SELECTION PINOT GRIGIO</t>
  </si>
  <si>
    <t>063657029626</t>
  </si>
  <si>
    <t>15134</t>
  </si>
  <si>
    <t>JT PROPRIETORS' SELECTION SAUV BLANC</t>
  </si>
  <si>
    <t>063657001394</t>
  </si>
  <si>
    <t>2869</t>
  </si>
  <si>
    <t>L'AMBIANCE WHITE</t>
  </si>
  <si>
    <t>3253</t>
  </si>
  <si>
    <t>779646155251</t>
  </si>
  <si>
    <t>3290</t>
  </si>
  <si>
    <t>MISSION RIDGE CASK SELECT DRY WHITE</t>
  </si>
  <si>
    <t>063657014035</t>
  </si>
  <si>
    <t>6462</t>
  </si>
  <si>
    <t>NAKED GRAPE CHARDONNAY</t>
  </si>
  <si>
    <t>063657017692</t>
  </si>
  <si>
    <t>7031</t>
  </si>
  <si>
    <t>063657014042</t>
  </si>
  <si>
    <t>6463</t>
  </si>
  <si>
    <t>NAKED GRAPE SAUVIGNON BLANC</t>
  </si>
  <si>
    <t>048162008519</t>
  </si>
  <si>
    <t>5441</t>
  </si>
  <si>
    <t>PELLER FAMILY VINEYARDS CHARDONNAY</t>
  </si>
  <si>
    <t>048162008526</t>
  </si>
  <si>
    <t>5442</t>
  </si>
  <si>
    <t>048162008533</t>
  </si>
  <si>
    <t>5443</t>
  </si>
  <si>
    <t>048162008854</t>
  </si>
  <si>
    <t>5444</t>
  </si>
  <si>
    <t>PELLER FAMILY VINEYARDS DRY WHITE</t>
  </si>
  <si>
    <t>048162010130</t>
  </si>
  <si>
    <t>6359</t>
  </si>
  <si>
    <t>048162010154</t>
  </si>
  <si>
    <t>6360</t>
  </si>
  <si>
    <t>048162010147</t>
  </si>
  <si>
    <t>6361</t>
  </si>
  <si>
    <t>048162009356</t>
  </si>
  <si>
    <t>5864</t>
  </si>
  <si>
    <t>048162003620</t>
  </si>
  <si>
    <t>6605</t>
  </si>
  <si>
    <t>PELLER PROP RSV WHITE</t>
  </si>
  <si>
    <t>063657000700</t>
  </si>
  <si>
    <t>4005</t>
  </si>
  <si>
    <t>SAWMILL CREEK CHARDONNAY</t>
  </si>
  <si>
    <t>063657018903</t>
  </si>
  <si>
    <t>12560</t>
  </si>
  <si>
    <t>063657014875</t>
  </si>
  <si>
    <t>18038</t>
  </si>
  <si>
    <t>063657000809</t>
  </si>
  <si>
    <t>4011</t>
  </si>
  <si>
    <t>SAWMILL CREEK SAUV BLANC</t>
  </si>
  <si>
    <t>063657035443</t>
  </si>
  <si>
    <t>24928</t>
  </si>
  <si>
    <t>TWIST OF FATE PINOT GRIGIO CHARDONNAY</t>
  </si>
  <si>
    <t>Wines - Table - Canada - British Columbia - VQA - Rose Blush</t>
  </si>
  <si>
    <t>626990125235</t>
  </si>
  <si>
    <t>17399</t>
  </si>
  <si>
    <t>DIRTY LAUNDRY HUSH ROSE VQA</t>
  </si>
  <si>
    <t>DIRTY LAUNDRY VINEYARD</t>
  </si>
  <si>
    <t>156843</t>
  </si>
  <si>
    <t>Wines - Table - Canada - British Columbia - VQA - Red</t>
  </si>
  <si>
    <t>776545500410</t>
  </si>
  <si>
    <t>18781</t>
  </si>
  <si>
    <t>DIABOLICA RED VQA</t>
  </si>
  <si>
    <t>778829131501</t>
  </si>
  <si>
    <t>17138</t>
  </si>
  <si>
    <t>GRAY MONK ODYSSEY RED MERITAGE VQA</t>
  </si>
  <si>
    <t>063657005613</t>
  </si>
  <si>
    <t>5417</t>
  </si>
  <si>
    <t>JT OK MRLT VQA</t>
  </si>
  <si>
    <t>063657005620</t>
  </si>
  <si>
    <t>5418</t>
  </si>
  <si>
    <t>JT RESERVE CABERNET SAUVIGNON VQA</t>
  </si>
  <si>
    <t>00626990127734</t>
  </si>
  <si>
    <t>40293</t>
  </si>
  <si>
    <t>MORAINE CLIFFHANGER RED VQA</t>
  </si>
  <si>
    <t>MORAINE ESTATE WINERY (c)</t>
  </si>
  <si>
    <t>812289000202</t>
  </si>
  <si>
    <t>6304</t>
  </si>
  <si>
    <t>MT. BOUCHERIE PINOT NOIR</t>
  </si>
  <si>
    <t>MT BOUCHERIE ESTATE WINERY</t>
  </si>
  <si>
    <t>206191</t>
  </si>
  <si>
    <t>871610001554</t>
  </si>
  <si>
    <t>6258</t>
  </si>
  <si>
    <t>OSOYOOS LAROSE LE GRAND VIN VQA</t>
  </si>
  <si>
    <t>OSOYOOS LAROSE</t>
  </si>
  <si>
    <t>152879</t>
  </si>
  <si>
    <t>626990062806</t>
  </si>
  <si>
    <t>18721</t>
  </si>
  <si>
    <t>ROAD 13 HONEST JOHN'S RED VQA</t>
  </si>
  <si>
    <t>ROAD 13 VINEYARDS</t>
  </si>
  <si>
    <t>058976013425</t>
  </si>
  <si>
    <t>7379</t>
  </si>
  <si>
    <t>SANDHILL CABERNET MERLOT VQA</t>
  </si>
  <si>
    <t>778876919114</t>
  </si>
  <si>
    <t>6155</t>
  </si>
  <si>
    <t>SUMAC RIDGE CAB MLT VQA</t>
  </si>
  <si>
    <t>624802971056</t>
  </si>
  <si>
    <t>5201</t>
  </si>
  <si>
    <t>TINHORN CREEK MERLOT VQA</t>
  </si>
  <si>
    <t>TINHORN CREEK VINEYARDS</t>
  </si>
  <si>
    <t>063657033821</t>
  </si>
  <si>
    <t>21404</t>
  </si>
  <si>
    <t>VINTAGE INK REBEL RED</t>
  </si>
  <si>
    <t>063657037607</t>
  </si>
  <si>
    <t>27288</t>
  </si>
  <si>
    <t>VINTAGE INK WHISKY BARREL AGED RED VQA</t>
  </si>
  <si>
    <t>627167099731</t>
  </si>
  <si>
    <t>20924</t>
  </si>
  <si>
    <t>WAYNE GRETZKY OKANAGAN THE GREAT RED VQA</t>
  </si>
  <si>
    <t>Wines - Table - Canada - British Columbia - VQA - White</t>
  </si>
  <si>
    <t>778829113095</t>
  </si>
  <si>
    <t>2526</t>
  </si>
  <si>
    <t>GRAY MONK GEWURZTRAMINER VQA</t>
  </si>
  <si>
    <t>776545995391</t>
  </si>
  <si>
    <t>3248</t>
  </si>
  <si>
    <t>MISSION HILL RESERVE CHARDONNAY VQA</t>
  </si>
  <si>
    <t>776545995209</t>
  </si>
  <si>
    <t>5844</t>
  </si>
  <si>
    <t>MISSION HILL RESERVE SAUV BLANC</t>
  </si>
  <si>
    <t>778856113013</t>
  </si>
  <si>
    <t>5948</t>
  </si>
  <si>
    <t>QUAILS' GATE CHRD  VQA</t>
  </si>
  <si>
    <t>QUAILS' GATE ESTATE WINERY</t>
  </si>
  <si>
    <t>144514</t>
  </si>
  <si>
    <t>058976500055</t>
  </si>
  <si>
    <t>7380</t>
  </si>
  <si>
    <t>SANDHILL CHARDONNAY</t>
  </si>
  <si>
    <t>Wines - Table - Canada - Ontario -  - Red</t>
  </si>
  <si>
    <t>777081428916</t>
  </si>
  <si>
    <t>37617</t>
  </si>
  <si>
    <t>PELEE ISLAND SEMI SWEET MERLOT</t>
  </si>
  <si>
    <t>PELEE ISLAND WINERY</t>
  </si>
  <si>
    <t>1044</t>
  </si>
  <si>
    <t>670459010044</t>
  </si>
  <si>
    <t>33869</t>
  </si>
  <si>
    <t>TAWSE CABERNET MERLOT</t>
  </si>
  <si>
    <t>TAWSE WINERY</t>
  </si>
  <si>
    <t>Wines - Table - Canada - Ontario -  - White</t>
  </si>
  <si>
    <t>670459010488</t>
  </si>
  <si>
    <t>33813</t>
  </si>
  <si>
    <t>TAWSE QUARRY ROAD RIESLING</t>
  </si>
  <si>
    <t>Wines - Table - Canada - Ontario - NON VQA - Rose Blush</t>
  </si>
  <si>
    <t>063657006979</t>
  </si>
  <si>
    <t>5735</t>
  </si>
  <si>
    <t>JT PROPRIETORS SELECTION ROSE</t>
  </si>
  <si>
    <t>Wines - Table - Canada - Ontario - NON VQA - Red</t>
  </si>
  <si>
    <t>777081712435</t>
  </si>
  <si>
    <t>3558</t>
  </si>
  <si>
    <t>PELEE ISLAND MERLOT SEMI-SWEET</t>
  </si>
  <si>
    <t>Wines - Table - Canada - Ontario - NON VQA - White</t>
  </si>
  <si>
    <t>777081714842</t>
  </si>
  <si>
    <t>3557</t>
  </si>
  <si>
    <t>PELEE ISLAND GEWURZTRAMINER</t>
  </si>
  <si>
    <t>Wines - Table - Canada - Ontario - VQA - Rose Blush</t>
  </si>
  <si>
    <t>874537003038</t>
  </si>
  <si>
    <t>11977</t>
  </si>
  <si>
    <t>FRESH ROSE VQA</t>
  </si>
  <si>
    <t>DIAMOND ESTATES WINES &amp; SPIRITS</t>
  </si>
  <si>
    <t>3230</t>
  </si>
  <si>
    <t>777081723967</t>
  </si>
  <si>
    <t>23966</t>
  </si>
  <si>
    <t>PELEE ISLAND PINK VQA</t>
  </si>
  <si>
    <t>Wines - Table - Canada - Ontario - VQA - Red</t>
  </si>
  <si>
    <t>627843062608</t>
  </si>
  <si>
    <t>32154</t>
  </si>
  <si>
    <t>D'ONT POKE THE BEAR RED VQA</t>
  </si>
  <si>
    <t>GENERATIONS WINE COMPANY LTD</t>
  </si>
  <si>
    <t>109930</t>
  </si>
  <si>
    <t>779376109012</t>
  </si>
  <si>
    <t>5910</t>
  </si>
  <si>
    <t>HENRY OF PELHAM BACO NOIR VQA</t>
  </si>
  <si>
    <t>HENRY OF PELHAM</t>
  </si>
  <si>
    <t>779376109388</t>
  </si>
  <si>
    <t>24934</t>
  </si>
  <si>
    <t>HENRY OF PELHAM OLD VINES BACO NOIR VQA</t>
  </si>
  <si>
    <t>63657033111</t>
  </si>
  <si>
    <t>31490</t>
  </si>
  <si>
    <t>OPEN NIAGARA SMOOTH RED VQA</t>
  </si>
  <si>
    <t>776545600950</t>
  </si>
  <si>
    <t>40152</t>
  </si>
  <si>
    <t>OUR STORY VQA CABERNET MERLOT</t>
  </si>
  <si>
    <t>777081725367</t>
  </si>
  <si>
    <t>23965</t>
  </si>
  <si>
    <t>PELEE ISLAND LIGHTHOUSE CAB FRANC VQA</t>
  </si>
  <si>
    <t>777081720706</t>
  </si>
  <si>
    <t>3559</t>
  </si>
  <si>
    <t>PELEE ISLAND PINOT NOIR VQA</t>
  </si>
  <si>
    <t>777081727309</t>
  </si>
  <si>
    <t>28359</t>
  </si>
  <si>
    <t>TAILWIND RESERVE VQA</t>
  </si>
  <si>
    <t>627167099069</t>
  </si>
  <si>
    <t>7373</t>
  </si>
  <si>
    <t>WAYNE GRETZKY CABERNET MERLOT VQA</t>
  </si>
  <si>
    <t>WAYNE GRETZKY ESTATES</t>
  </si>
  <si>
    <t>Wines - Table - Canada - Ontario - VQA - White</t>
  </si>
  <si>
    <t>874537145158</t>
  </si>
  <si>
    <t>29062</t>
  </si>
  <si>
    <t>FRESH MOSCATO VQA</t>
  </si>
  <si>
    <t>779376450619</t>
  </si>
  <si>
    <t>22898</t>
  </si>
  <si>
    <t>HENRY OF PELHAM PINOT GRIGIO VQA</t>
  </si>
  <si>
    <t>777081717935</t>
  </si>
  <si>
    <t>46250</t>
  </si>
  <si>
    <t>PELEE ISLAND LOLA PINOT GRIGIO</t>
  </si>
  <si>
    <t>777081710264</t>
  </si>
  <si>
    <t>18385</t>
  </si>
  <si>
    <t>PELEE ISLAND PINOT GRIGIO VQA</t>
  </si>
  <si>
    <t>777081716051</t>
  </si>
  <si>
    <t>26466</t>
  </si>
  <si>
    <t>PELEE LIGHTHOUSE SAUVIGNON BLANC VQA</t>
  </si>
  <si>
    <t>627167100185</t>
  </si>
  <si>
    <t>44179</t>
  </si>
  <si>
    <t>WAYNE GRETZKY PINOT GRIGIO VQA 750ml</t>
  </si>
  <si>
    <t>Wines - Table - Argentina -  -  - Red</t>
  </si>
  <si>
    <t>7791728002690</t>
  </si>
  <si>
    <t>37554</t>
  </si>
  <si>
    <t>ALAMBRADO MALBEC</t>
  </si>
  <si>
    <t>FAMILIA ZUCCARDI</t>
  </si>
  <si>
    <t>852832105527</t>
  </si>
  <si>
    <t>15672</t>
  </si>
  <si>
    <t>GRAFFIGNA CENTENARIO MALBEC</t>
  </si>
  <si>
    <t>GRAFFIGNA WINERY</t>
  </si>
  <si>
    <t>7790240072785</t>
  </si>
  <si>
    <t>42117</t>
  </si>
  <si>
    <t>TRAPICHE RESERVE CABERNET SAUVIGNON</t>
  </si>
  <si>
    <t>GRUPO PENAFLOR S.A.</t>
  </si>
  <si>
    <t>7798039598454</t>
  </si>
  <si>
    <t>46612</t>
  </si>
  <si>
    <t>TRIVENTO PRIVATE RESERVE MALBEC</t>
  </si>
  <si>
    <t>TRIVENTO BODEGAS Y VINEDOS</t>
  </si>
  <si>
    <t>205657</t>
  </si>
  <si>
    <t>Wines - Table - Argentina -  -  - White</t>
  </si>
  <si>
    <t>7791540054532</t>
  </si>
  <si>
    <t>46609</t>
  </si>
  <si>
    <t>ED EDMUNDO DOUBLE OAKED CHARDONNAY</t>
  </si>
  <si>
    <t>Wines - Table - Argentina - Cafayate Valley -  - Red</t>
  </si>
  <si>
    <t>7790189001129</t>
  </si>
  <si>
    <t>7480</t>
  </si>
  <si>
    <t>EL ESTECO DON DAVID RESERVE MALBEC</t>
  </si>
  <si>
    <t>7790189000177</t>
  </si>
  <si>
    <t>7481</t>
  </si>
  <si>
    <t>EL ESTECO DON DAVID RSV CAB SAUVIGNON</t>
  </si>
  <si>
    <t>7790189040142</t>
  </si>
  <si>
    <t>7296</t>
  </si>
  <si>
    <t>M TORINO CUMA ORGANIC MALBEC</t>
  </si>
  <si>
    <t>MICHEL TORINO ESTATE</t>
  </si>
  <si>
    <t>Wines - Table - Argentina - Cafayate Valley -  - White</t>
  </si>
  <si>
    <t>7790189040074</t>
  </si>
  <si>
    <t>7297</t>
  </si>
  <si>
    <t>M TORINO CUMA ORGANIC TORRONTES</t>
  </si>
  <si>
    <t>Wines - Table - Argentina - Mendoza -  - Rose Blush</t>
  </si>
  <si>
    <t>7790240017083</t>
  </si>
  <si>
    <t>36351</t>
  </si>
  <si>
    <t>TRAPICHE ALARIS ROSE</t>
  </si>
  <si>
    <t>BODEGAS TRAPICHE</t>
  </si>
  <si>
    <t>Wines - Table - Argentina - Mendoza -  - Red</t>
  </si>
  <si>
    <t>7790415130234</t>
  </si>
  <si>
    <t>28757</t>
  </si>
  <si>
    <t>1884 MALBEC</t>
  </si>
  <si>
    <t>ESCORIHUELA GASCON</t>
  </si>
  <si>
    <t>67254</t>
  </si>
  <si>
    <t>7794450008060</t>
  </si>
  <si>
    <t>16651</t>
  </si>
  <si>
    <t>ALAMOS CABERNET SAUVIGNON</t>
  </si>
  <si>
    <t>BODEGAS CATENA ZAPATA</t>
  </si>
  <si>
    <t>3254</t>
  </si>
  <si>
    <t>085000018194</t>
  </si>
  <si>
    <t>14500</t>
  </si>
  <si>
    <t>ALAMOS MALBEC</t>
  </si>
  <si>
    <t>BODEGAS ESMERALDA</t>
  </si>
  <si>
    <t>085000018200</t>
  </si>
  <si>
    <t>37797</t>
  </si>
  <si>
    <t>ALAMOS SELECCION MALBEC</t>
  </si>
  <si>
    <t>089046446003</t>
  </si>
  <si>
    <t>9090</t>
  </si>
  <si>
    <t>ALMA NEGRA "M" BLEND</t>
  </si>
  <si>
    <t>ALMA NEGRA</t>
  </si>
  <si>
    <t>55942</t>
  </si>
  <si>
    <t>7794450008053</t>
  </si>
  <si>
    <t>8458</t>
  </si>
  <si>
    <t>CATENA MALBEC</t>
  </si>
  <si>
    <t>7790415129047</t>
  </si>
  <si>
    <t>28835</t>
  </si>
  <si>
    <t>CIRCUS MALBEC</t>
  </si>
  <si>
    <t>3250</t>
  </si>
  <si>
    <t>836950000056</t>
  </si>
  <si>
    <t>14515</t>
  </si>
  <si>
    <t>DONA PAULA ESTATE MALBEC</t>
  </si>
  <si>
    <t>VINA DONA PAULA</t>
  </si>
  <si>
    <t>7790703167195</t>
  </si>
  <si>
    <t>5183</t>
  </si>
  <si>
    <t>FINCA LOS PRIMOS MALBEC</t>
  </si>
  <si>
    <t>CASA BIANCHI FAMILIA DE VINOS</t>
  </si>
  <si>
    <t>7791728001723</t>
  </si>
  <si>
    <t>25137</t>
  </si>
  <si>
    <t>FUZION ALTA RESERVE MALBEC</t>
  </si>
  <si>
    <t>715126555012</t>
  </si>
  <si>
    <t>12644</t>
  </si>
  <si>
    <t>KAIKEN SELECCION ESPECIAL MALBEC</t>
  </si>
  <si>
    <t>KAIKEN S.A.</t>
  </si>
  <si>
    <t>7790762050117</t>
  </si>
  <si>
    <t>10518</t>
  </si>
  <si>
    <t>LA MASCOTA CABERNET SAUVIGNON</t>
  </si>
  <si>
    <t>896599002033</t>
  </si>
  <si>
    <t>10895</t>
  </si>
  <si>
    <t>LAYER CAKE MALBEC</t>
  </si>
  <si>
    <t>LAYER CAKE WINES</t>
  </si>
  <si>
    <t>7791203001675</t>
  </si>
  <si>
    <t>27338</t>
  </si>
  <si>
    <t>LUIGI BOSCA FINCA OLD VINES MALBEC</t>
  </si>
  <si>
    <t>LUIGI BOSCA (LEONCIO ARIZU)</t>
  </si>
  <si>
    <t>7791203001231</t>
  </si>
  <si>
    <t>9497</t>
  </si>
  <si>
    <t>LUIGI BOSCA MALBEC</t>
  </si>
  <si>
    <t>718742000010</t>
  </si>
  <si>
    <t>16634</t>
  </si>
  <si>
    <t>PASCUAL TOSO CABERNET SAUVIGNON</t>
  </si>
  <si>
    <t>PASCUAL TOSO</t>
  </si>
  <si>
    <t>00718742003219</t>
  </si>
  <si>
    <t>27340</t>
  </si>
  <si>
    <t>PASCUAL TOSO DON APARO MALBEC</t>
  </si>
  <si>
    <t>7791728005127</t>
  </si>
  <si>
    <t>17243</t>
  </si>
  <si>
    <t>SANTA JULIA CABERNET SAUVIGNON</t>
  </si>
  <si>
    <t>7791728000566</t>
  </si>
  <si>
    <t>22531</t>
  </si>
  <si>
    <t>SANTA JULIA RESERVE MALBEC</t>
  </si>
  <si>
    <t>7790240072150</t>
  </si>
  <si>
    <t>39853</t>
  </si>
  <si>
    <t>TRAPICHE ALARIS CABERNET SAUVIGNON</t>
  </si>
  <si>
    <t>7790240017045</t>
  </si>
  <si>
    <t>3026</t>
  </si>
  <si>
    <t>TRAPICHE ALARIS MALBEC</t>
  </si>
  <si>
    <t>7790240090154</t>
  </si>
  <si>
    <t>14476</t>
  </si>
  <si>
    <t>TRAPICHE BROQUEL MALBEC</t>
  </si>
  <si>
    <t>7790240072808</t>
  </si>
  <si>
    <t>11893</t>
  </si>
  <si>
    <t>TRAPICHE MALBEC RESERVE</t>
  </si>
  <si>
    <t>7790240094442</t>
  </si>
  <si>
    <t>21256</t>
  </si>
  <si>
    <t>TRAPICHE PURE MALBEC</t>
  </si>
  <si>
    <t>7790240092233</t>
  </si>
  <si>
    <t>17254</t>
  </si>
  <si>
    <t>TRAPICHE RESERVE MALBEC</t>
  </si>
  <si>
    <t>7791540053887</t>
  </si>
  <si>
    <t>37465</t>
  </si>
  <si>
    <t>TRAPICHE TESORO MALBEC</t>
  </si>
  <si>
    <t>7798039590625</t>
  </si>
  <si>
    <t>5081</t>
  </si>
  <si>
    <t>TRIVENTO GOLD RESERVE MALBEC</t>
  </si>
  <si>
    <t>TRIVENTO-VINA PATAGONIA</t>
  </si>
  <si>
    <t>7798039590342</t>
  </si>
  <si>
    <t>14608</t>
  </si>
  <si>
    <t>TRIVENTO RESERVE MALBEC</t>
  </si>
  <si>
    <t>7798039590151</t>
  </si>
  <si>
    <t>8439</t>
  </si>
  <si>
    <t>TRIVENTO TRIBU MALBEC</t>
  </si>
  <si>
    <t>048162018334</t>
  </si>
  <si>
    <t>44965</t>
  </si>
  <si>
    <t>VIVO RESERVA MALBEC</t>
  </si>
  <si>
    <t>Wines - Table - Argentina - Mendoza -  - White</t>
  </si>
  <si>
    <t>7794450008077</t>
  </si>
  <si>
    <t>8432</t>
  </si>
  <si>
    <t>ALAMOS CHARDONNAY</t>
  </si>
  <si>
    <t>7790240091175</t>
  </si>
  <si>
    <t>22212</t>
  </si>
  <si>
    <t>TRAPICHE ALARIS PINOT GRIGIO</t>
  </si>
  <si>
    <t>7790240092325</t>
  </si>
  <si>
    <t>24233</t>
  </si>
  <si>
    <t>TRAPICHE RESERVE PINOT GRIGIO</t>
  </si>
  <si>
    <t>7798039599192</t>
  </si>
  <si>
    <t>40898</t>
  </si>
  <si>
    <t>TRIVENTO RESERVE WHITE MALBEC</t>
  </si>
  <si>
    <t>048162018341</t>
  </si>
  <si>
    <t>44966</t>
  </si>
  <si>
    <t>VIVO RESERVA PINOT GRIGIO</t>
  </si>
  <si>
    <t>Wines - Table - Argentina - Other -  - Red</t>
  </si>
  <si>
    <t>894509008526</t>
  </si>
  <si>
    <t>12824</t>
  </si>
  <si>
    <t>THE SHOW MALBEC</t>
  </si>
  <si>
    <t>BODEGA No B-72379</t>
  </si>
  <si>
    <t>Wines - Table - Argentina - San Juan -  - Red</t>
  </si>
  <si>
    <t>7791540127168</t>
  </si>
  <si>
    <t>7493</t>
  </si>
  <si>
    <t>FINCA LAS MORAS MALBEC</t>
  </si>
  <si>
    <t>FINCA LAS MORAS</t>
  </si>
  <si>
    <t>Wines - Table - Argentina - San Juan -  - White</t>
  </si>
  <si>
    <t>7791540091193</t>
  </si>
  <si>
    <t>7496</t>
  </si>
  <si>
    <t>FINCA LAS MORAS PINOT GRIGIO</t>
  </si>
  <si>
    <t>852832105565</t>
  </si>
  <si>
    <t>10912</t>
  </si>
  <si>
    <t>GRAFFIGNA CENTENARIO PINOT GRIGIO</t>
  </si>
  <si>
    <t>Wines - Table - Argentina - Uco Valley -  - Red</t>
  </si>
  <si>
    <t>7791728001099</t>
  </si>
  <si>
    <t>13504</t>
  </si>
  <si>
    <t>ZUCCARDI Q MALBEC</t>
  </si>
  <si>
    <t>Wines - Table - Argentina - Uco Valley -  - White</t>
  </si>
  <si>
    <t>7798074860226</t>
  </si>
  <si>
    <t>23349</t>
  </si>
  <si>
    <t>BODEGAS SALENTEIN PORTILLO SAUV BLANC</t>
  </si>
  <si>
    <t>BODEGAS SALENTEIN</t>
  </si>
  <si>
    <t>Wines - Table - Australia -  -  - Rose Blush</t>
  </si>
  <si>
    <t>9311043096594</t>
  </si>
  <si>
    <t>17371</t>
  </si>
  <si>
    <t>BANROCK STATION PINK MOSCATO</t>
  </si>
  <si>
    <t>ACCOLADE WINES AUSTRALIA</t>
  </si>
  <si>
    <t>9300727031389</t>
  </si>
  <si>
    <t>36028</t>
  </si>
  <si>
    <t>JACOB'S CREEK DOTS MOSCATO LIGHTER ROSE</t>
  </si>
  <si>
    <t>VINARCHY AUSTRALIA</t>
  </si>
  <si>
    <t>9300727014573</t>
  </si>
  <si>
    <t>23808</t>
  </si>
  <si>
    <t>JACOB'S CREEK MOSCATO ROSE</t>
  </si>
  <si>
    <t>9300727028891</t>
  </si>
  <si>
    <t>33395</t>
  </si>
  <si>
    <t>Wines - Table - Australia -  -  - Red</t>
  </si>
  <si>
    <t>9311220004534</t>
  </si>
  <si>
    <t>24070</t>
  </si>
  <si>
    <t>19 CRIMES CABERNET SAUVIGNON</t>
  </si>
  <si>
    <t>TREASURY WINE ESTATES</t>
  </si>
  <si>
    <t>012354004979</t>
  </si>
  <si>
    <t>35599</t>
  </si>
  <si>
    <t>19 CRIMES PINOT NOIR</t>
  </si>
  <si>
    <t>9311043016783</t>
  </si>
  <si>
    <t>4124</t>
  </si>
  <si>
    <t>BANROCK STATION SHIRAZ</t>
  </si>
  <si>
    <t>9328478002021</t>
  </si>
  <si>
    <t>42905</t>
  </si>
  <si>
    <t>BLACK ANGUS CABERNET SAUVIGNON</t>
  </si>
  <si>
    <t>ABERDEEN WINE COMPANY</t>
  </si>
  <si>
    <t>3293</t>
  </si>
  <si>
    <t>9300727020789</t>
  </si>
  <si>
    <t>43072</t>
  </si>
  <si>
    <t>JACOB'S CREEK DOUBLE BARREL CAB SAUV</t>
  </si>
  <si>
    <t>9300727018311</t>
  </si>
  <si>
    <t>24140</t>
  </si>
  <si>
    <t>JACOB'S CREEK DOUBLE BARREL SHIRAZ</t>
  </si>
  <si>
    <t>9300727035875</t>
  </si>
  <si>
    <t>38636</t>
  </si>
  <si>
    <t>JACOB'S CREEK GRENACHE SHIRAZ</t>
  </si>
  <si>
    <t>9311910105862</t>
  </si>
  <si>
    <t>27021</t>
  </si>
  <si>
    <t>PETER LEHMANN THE BAROSSAN SHIRAZ</t>
  </si>
  <si>
    <t>PETER LEHMANN WINES</t>
  </si>
  <si>
    <t>9315785008105</t>
  </si>
  <si>
    <t>5623</t>
  </si>
  <si>
    <t>PIRRAMIMMA WHITE LABEL PETIT VERDOT</t>
  </si>
  <si>
    <t>PIRRAMIMMA</t>
  </si>
  <si>
    <t>857846000332</t>
  </si>
  <si>
    <t>34292</t>
  </si>
  <si>
    <t>RED KNOT CABERNET SAUVIGNON</t>
  </si>
  <si>
    <t>SHINGLEBACK WINE PTY LTD</t>
  </si>
  <si>
    <t>9311789000015</t>
  </si>
  <si>
    <t>18810</t>
  </si>
  <si>
    <t>RINGBOLT CABERNET SAUVIGNON</t>
  </si>
  <si>
    <t>NEGOCIANTS INTERNATIONAL PTY LTD</t>
  </si>
  <si>
    <t>0057496005569</t>
  </si>
  <si>
    <t>29041</t>
  </si>
  <si>
    <t>SMOKY BAY CABERNET SAUVIGNON</t>
  </si>
  <si>
    <t>057496007792</t>
  </si>
  <si>
    <t>47965</t>
  </si>
  <si>
    <t>SMOKY BAY OPULENCE DECADENT CABERNET</t>
  </si>
  <si>
    <t>872174000069</t>
  </si>
  <si>
    <t>28515</t>
  </si>
  <si>
    <t>THE BLACK CHOOK SHIRAZ VIOGNIER</t>
  </si>
  <si>
    <t>PENNY HILL</t>
  </si>
  <si>
    <t>9344154013730</t>
  </si>
  <si>
    <t>37220</t>
  </si>
  <si>
    <t>TREAD SOFTLY PINOT NOIR</t>
  </si>
  <si>
    <t>FOURTH WAVE WINE PARTNERS</t>
  </si>
  <si>
    <t>9311659000626</t>
  </si>
  <si>
    <t>8604</t>
  </si>
  <si>
    <t>WAKEFIELD ESTATE CABERNET SAUVIGNON</t>
  </si>
  <si>
    <t>WAKEFIELD WINES PTY LTD</t>
  </si>
  <si>
    <t>Wines - Table - Australia -  -  - White</t>
  </si>
  <si>
    <t>9311043005398</t>
  </si>
  <si>
    <t>1913</t>
  </si>
  <si>
    <t>BANROCK STATION UNWOODED CHARDONNAY</t>
  </si>
  <si>
    <t>9300727031372</t>
  </si>
  <si>
    <t>36029</t>
  </si>
  <si>
    <t>JACOB'S CREEK MOSCATO LIGHT</t>
  </si>
  <si>
    <t>048162021853</t>
  </si>
  <si>
    <t>47944</t>
  </si>
  <si>
    <t>REWILD PINOT GRIGIO</t>
  </si>
  <si>
    <t>057496007808</t>
  </si>
  <si>
    <t>47966</t>
  </si>
  <si>
    <t>SMOKY BAY OPULENCE BUTTERY CHARDONNAY</t>
  </si>
  <si>
    <t>9344154011026</t>
  </si>
  <si>
    <t>28325</t>
  </si>
  <si>
    <t>TAKE IT TO THE GRAVE PINOT GRIGIO</t>
  </si>
  <si>
    <t>056049135432</t>
  </si>
  <si>
    <t>29039</t>
  </si>
  <si>
    <t>WALLAROO TRAIL CHARDONNAY</t>
  </si>
  <si>
    <t>098137000154</t>
  </si>
  <si>
    <t>7108</t>
  </si>
  <si>
    <t>WOLF BLASS RED LABEL UNWOODED CHARDONNAY</t>
  </si>
  <si>
    <t>9322214014934</t>
  </si>
  <si>
    <t>35819</t>
  </si>
  <si>
    <t>YELLOW TAIL PURE BRIGHT CHARDONNAY</t>
  </si>
  <si>
    <t>CASELLA WINE PTY LTD</t>
  </si>
  <si>
    <t>Wines - Table - Australia -  - Other - White</t>
  </si>
  <si>
    <t>9300727017950</t>
  </si>
  <si>
    <t>25045</t>
  </si>
  <si>
    <t>JACOB'S CREEK MOSCATO</t>
  </si>
  <si>
    <t>Wines - Table - Australia - Barossa Valley -  - Red</t>
  </si>
  <si>
    <t>9311347003113</t>
  </si>
  <si>
    <t>23982</t>
  </si>
  <si>
    <t>BAROSSA VALLEY ESTATES CAB SAUVIGNON</t>
  </si>
  <si>
    <t>BAROSSA VALLEY ESTATE</t>
  </si>
  <si>
    <t>74894</t>
  </si>
  <si>
    <t>9311347003106</t>
  </si>
  <si>
    <t>23986</t>
  </si>
  <si>
    <t>BAROSSA VALLEY ESTATES SHIRAZ</t>
  </si>
  <si>
    <t>9344154010777</t>
  </si>
  <si>
    <t>28326</t>
  </si>
  <si>
    <t>TAKE IT TO THE GRAVE SHIRAZ</t>
  </si>
  <si>
    <t>Wines - Table - Australia - Barossa Valley -  - White</t>
  </si>
  <si>
    <t>9311789475974</t>
  </si>
  <si>
    <t>5434</t>
  </si>
  <si>
    <t>YALUMBA Y SERIES VIOGNIER</t>
  </si>
  <si>
    <t>YALUMBA WINE COMPANY</t>
  </si>
  <si>
    <t>Wines - Table - Australia - Coonawarra -  - Red</t>
  </si>
  <si>
    <t>9337739000171</t>
  </si>
  <si>
    <t>13353</t>
  </si>
  <si>
    <t>JOHNNY Q CABERNET SAUVIGNON</t>
  </si>
  <si>
    <t>QUARISA WINES</t>
  </si>
  <si>
    <t>Wines - Table - Australia - New South Wales -  - Red</t>
  </si>
  <si>
    <t>012354089990</t>
  </si>
  <si>
    <t>3156</t>
  </si>
  <si>
    <t>LINDEMANS BIN 40 MERLOT</t>
  </si>
  <si>
    <t>LINDEMANS AUSTRALIA</t>
  </si>
  <si>
    <t>012354087705</t>
  </si>
  <si>
    <t>1553</t>
  </si>
  <si>
    <t>LINDEMANS BIN 45 CABERNET SAUVIGNON</t>
  </si>
  <si>
    <t>012354087651</t>
  </si>
  <si>
    <t>4127</t>
  </si>
  <si>
    <t>LINDEMANS BIN 50 SHIRAZ</t>
  </si>
  <si>
    <t>00012354105621</t>
  </si>
  <si>
    <t>1840</t>
  </si>
  <si>
    <t>LINDEMANS CAWARRA SHIRAZ CABERNET</t>
  </si>
  <si>
    <t>012354071445</t>
  </si>
  <si>
    <t>2851</t>
  </si>
  <si>
    <t>PENFOLDS KOONUNGA SHIRAZ CABERNET</t>
  </si>
  <si>
    <t>PENFOLDS WINERY</t>
  </si>
  <si>
    <t>012894855215</t>
  </si>
  <si>
    <t>4123</t>
  </si>
  <si>
    <t>ROSEMOUNT DIAMOND LABEL SHIRAZ</t>
  </si>
  <si>
    <t>ROSEMOUNT ESTATE WINERY</t>
  </si>
  <si>
    <t>080432126073</t>
  </si>
  <si>
    <t>1552</t>
  </si>
  <si>
    <t>WYNDHAM BIN 444 HUNTER VALLEY CAB SAUV</t>
  </si>
  <si>
    <t>080432127070</t>
  </si>
  <si>
    <t>4128</t>
  </si>
  <si>
    <t>WYNDHAM BIN 555 HUNTER VALLEY SHIRAZ</t>
  </si>
  <si>
    <t>Wines - Table - Australia - New South Wales -  - White</t>
  </si>
  <si>
    <t>012354081840</t>
  </si>
  <si>
    <t>1881</t>
  </si>
  <si>
    <t>LINDEMANS BIN 65 CHARDONNAY</t>
  </si>
  <si>
    <t>012354081826</t>
  </si>
  <si>
    <t>3964</t>
  </si>
  <si>
    <t>LINDEMANS BIN 95 SAUVIGNON BLANC</t>
  </si>
  <si>
    <t>Wines - Table - Australia - South Australia -  - Red</t>
  </si>
  <si>
    <t>012354001688</t>
  </si>
  <si>
    <t>27207</t>
  </si>
  <si>
    <t>19 CRIMES THE BANISHED RED BLEND</t>
  </si>
  <si>
    <t>9344154011699</t>
  </si>
  <si>
    <t>32807</t>
  </si>
  <si>
    <t>FARM HAND ORGANIC CABERNET SAUVIGNON</t>
  </si>
  <si>
    <t>9315743500177</t>
  </si>
  <si>
    <t>1368</t>
  </si>
  <si>
    <t>HERITAGE ROAD BLOODSTONE SHIRAZ GRENACHE</t>
  </si>
  <si>
    <t>HERITAGE ROAD WINERY</t>
  </si>
  <si>
    <t>9300727488114</t>
  </si>
  <si>
    <t>5354</t>
  </si>
  <si>
    <t>JACOB'S CREEK SHIRAZ</t>
  </si>
  <si>
    <t>9300727453129</t>
  </si>
  <si>
    <t>2743</t>
  </si>
  <si>
    <t>JACOB'S CREEK SHIRAZ CABERNET</t>
  </si>
  <si>
    <t>9337739000270</t>
  </si>
  <si>
    <t>34909</t>
  </si>
  <si>
    <t>JOHNNY Q SHIRAZ VIOGNIER</t>
  </si>
  <si>
    <t>667800020753</t>
  </si>
  <si>
    <t>6365</t>
  </si>
  <si>
    <t>LANGMEIL SHIRAZ</t>
  </si>
  <si>
    <t>LANGMEIL WINERY</t>
  </si>
  <si>
    <t>9311910102069</t>
  </si>
  <si>
    <t>6240</t>
  </si>
  <si>
    <t>PETER LEHMANN CLANCY'S SHIRAZ CAB MERLOT</t>
  </si>
  <si>
    <t>9336717000516</t>
  </si>
  <si>
    <t>14270</t>
  </si>
  <si>
    <t>PUNCH IN THE FACE SHIRAZ</t>
  </si>
  <si>
    <t>PHILLIPS AUSTRALIA PTY</t>
  </si>
  <si>
    <t>134353</t>
  </si>
  <si>
    <t>9312088000652</t>
  </si>
  <si>
    <t>3781</t>
  </si>
  <si>
    <t>WOLF BLASS RED LABEL SHIRAZ CAB SAUV</t>
  </si>
  <si>
    <t>098137335355</t>
  </si>
  <si>
    <t>4629</t>
  </si>
  <si>
    <t>WOLF BLASS YELLOW LABEL CAB SAUVIGNON</t>
  </si>
  <si>
    <t>098137668682</t>
  </si>
  <si>
    <t>1391</t>
  </si>
  <si>
    <t>WOLF BLASS YELLOW LABEL MERLOT</t>
  </si>
  <si>
    <t>098137446464</t>
  </si>
  <si>
    <t>2569</t>
  </si>
  <si>
    <t>WOLF BLASS YELLOW LABEL SHIRAZ</t>
  </si>
  <si>
    <t>839743000042</t>
  </si>
  <si>
    <t>6055</t>
  </si>
  <si>
    <t>YELLOW TAIL CABERNET SAUVIGNON</t>
  </si>
  <si>
    <t>Wines - Table - Australia - South Australia -  - White</t>
  </si>
  <si>
    <t>9300727406316</t>
  </si>
  <si>
    <t>2742</t>
  </si>
  <si>
    <t>JACOB'S CREEK CHARDONNAY</t>
  </si>
  <si>
    <t>012894150013</t>
  </si>
  <si>
    <t>4390</t>
  </si>
  <si>
    <t>ROSEMOUNT BLENDS TRAMINER RIESLING</t>
  </si>
  <si>
    <t>09344154013778</t>
  </si>
  <si>
    <t>33276</t>
  </si>
  <si>
    <t>TREAD SOFTLY PINOT GRIGIO</t>
  </si>
  <si>
    <t>098137557573</t>
  </si>
  <si>
    <t>1909</t>
  </si>
  <si>
    <t>WOLF BLASS YELLOW LABEL CHARDONNAY</t>
  </si>
  <si>
    <t>9312088002830</t>
  </si>
  <si>
    <t>16838</t>
  </si>
  <si>
    <t>WOLF BLASS YELLOW LABEL PINOT GRIGIO</t>
  </si>
  <si>
    <t>Wines - Table - Australia - Southeast Australia -  - Rose Blush</t>
  </si>
  <si>
    <t>9344154010753</t>
  </si>
  <si>
    <t>43354</t>
  </si>
  <si>
    <t>TAKE IT TO THE GRAVE ROSE</t>
  </si>
  <si>
    <t>Wines - Table - Australia - Southeast Australia -  - Red</t>
  </si>
  <si>
    <t>871971000029</t>
  </si>
  <si>
    <t>6381</t>
  </si>
  <si>
    <t>ANGUS THE BULL CABERNET SAUVIGNON</t>
  </si>
  <si>
    <t>9328478005008</t>
  </si>
  <si>
    <t>17875</t>
  </si>
  <si>
    <t>ANGUS THE BULL WEE ANGUS MERLOT</t>
  </si>
  <si>
    <t>628657769455</t>
  </si>
  <si>
    <t>14977</t>
  </si>
  <si>
    <t>BERTON METAL LABEL BLACK SHIRAZ</t>
  </si>
  <si>
    <t>BERTON VINEYARDS</t>
  </si>
  <si>
    <t>9311043007750</t>
  </si>
  <si>
    <t>6861</t>
  </si>
  <si>
    <t>HARDYS STAMP SHIRAZ CABERNET</t>
  </si>
  <si>
    <t>89419465006</t>
  </si>
  <si>
    <t>35977</t>
  </si>
  <si>
    <t>KINGS OF PROHIBITION SHIRAZ</t>
  </si>
  <si>
    <t>CALABRIA FAMILY WINES</t>
  </si>
  <si>
    <t>764253505452</t>
  </si>
  <si>
    <t>12538</t>
  </si>
  <si>
    <t>MCGUIGAN BLACK LABEL RED</t>
  </si>
  <si>
    <t>McGUIGAN WINES</t>
  </si>
  <si>
    <t>57496007556</t>
  </si>
  <si>
    <t>35644</t>
  </si>
  <si>
    <t>839743000806</t>
  </si>
  <si>
    <t>15971</t>
  </si>
  <si>
    <t>YELLOW TAIL JAMMY RED ROO</t>
  </si>
  <si>
    <t>839743000035</t>
  </si>
  <si>
    <t>6693</t>
  </si>
  <si>
    <t>YELLOW TAIL MERLOT</t>
  </si>
  <si>
    <t>839743000011</t>
  </si>
  <si>
    <t>6054</t>
  </si>
  <si>
    <t>YELLOW TAIL SHIRAZ</t>
  </si>
  <si>
    <t>839743000271</t>
  </si>
  <si>
    <t>6694</t>
  </si>
  <si>
    <t>9322214015351</t>
  </si>
  <si>
    <t>38767</t>
  </si>
  <si>
    <t>YELLOW TAIL WHISKEY BARREL AGED CAB SAUV</t>
  </si>
  <si>
    <t>Wines - Table - Australia - Southeast Australia -  - White</t>
  </si>
  <si>
    <t>9311043006791</t>
  </si>
  <si>
    <t>3837</t>
  </si>
  <si>
    <t>HARDYS STAMP RIESLING GEWURZTRAMINER</t>
  </si>
  <si>
    <t>9311043734984</t>
  </si>
  <si>
    <t>24897</t>
  </si>
  <si>
    <t>9300727013187</t>
  </si>
  <si>
    <t>15367</t>
  </si>
  <si>
    <t>9300727008602</t>
  </si>
  <si>
    <t>8455</t>
  </si>
  <si>
    <t>JACOB'S CREEK PINOT GRIGIO</t>
  </si>
  <si>
    <t>012354087828</t>
  </si>
  <si>
    <t>6323</t>
  </si>
  <si>
    <t>LINDEMANS BIN 85 PINOT GRIGIO</t>
  </si>
  <si>
    <t>012354000148</t>
  </si>
  <si>
    <t>14733</t>
  </si>
  <si>
    <t>LINDEMANS BIN 90 MOSCATO</t>
  </si>
  <si>
    <t>764253950993</t>
  </si>
  <si>
    <t>14716</t>
  </si>
  <si>
    <t>MCGUIGAN BLACK LABEL MOSCATO</t>
  </si>
  <si>
    <t>57496007785</t>
  </si>
  <si>
    <t>24899</t>
  </si>
  <si>
    <t>SMOKY BAY PINOT GRIGIO</t>
  </si>
  <si>
    <t>764253952324</t>
  </si>
  <si>
    <t>28259</t>
  </si>
  <si>
    <t>TEMPUS TWO PINOT GRIGIO</t>
  </si>
  <si>
    <t>AUSTRALIAN VINTAGE LTD</t>
  </si>
  <si>
    <t>839743000028</t>
  </si>
  <si>
    <t>5935</t>
  </si>
  <si>
    <t>YELLOW TAIL CHARDONNAY</t>
  </si>
  <si>
    <t>839743000325</t>
  </si>
  <si>
    <t>7595</t>
  </si>
  <si>
    <t>YELLOW TAIL PINOT GRIGIO</t>
  </si>
  <si>
    <t>Wines - Table - Australia - Victoria -  - Red</t>
  </si>
  <si>
    <t>9311220002929</t>
  </si>
  <si>
    <t>16843</t>
  </si>
  <si>
    <t>19 CRIMES SHIRAZ DURIF</t>
  </si>
  <si>
    <t>9311220003490</t>
  </si>
  <si>
    <t>18402</t>
  </si>
  <si>
    <t>19 CRIMES SHIRAZ GRENACHE MATARO</t>
  </si>
  <si>
    <t>9311218003341</t>
  </si>
  <si>
    <t>23914</t>
  </si>
  <si>
    <t>GENTLEMAN'S COLLECTION CAB SAUVIGNON</t>
  </si>
  <si>
    <t>WOLF BLASS WINERY</t>
  </si>
  <si>
    <t>Wines - Table - Chile -  -  - Rose Blush</t>
  </si>
  <si>
    <t>7804320268170</t>
  </si>
  <si>
    <t>35874</t>
  </si>
  <si>
    <t>ADOBE RESERVA ORGANIC ROSE</t>
  </si>
  <si>
    <t>VINEDOS EMILIANA S.A.</t>
  </si>
  <si>
    <t>7804320758763</t>
  </si>
  <si>
    <t>46705</t>
  </si>
  <si>
    <t>DIABLO LUMINOUS ROSE</t>
  </si>
  <si>
    <t>CONCHA Y TORO SA</t>
  </si>
  <si>
    <t>Wines - Table - Chile -  -  - Red</t>
  </si>
  <si>
    <t>7804320150611</t>
  </si>
  <si>
    <t>21921</t>
  </si>
  <si>
    <t>ADOBE RESERVA ORGANIC CAB SAUVIGNON</t>
  </si>
  <si>
    <t>7804350701593</t>
  </si>
  <si>
    <t>6960</t>
  </si>
  <si>
    <t>ANTARES CABERNET SAUVIGNON</t>
  </si>
  <si>
    <t>VINA SANTA CAROLINA SA</t>
  </si>
  <si>
    <t>400003583096</t>
  </si>
  <si>
    <t>3809</t>
  </si>
  <si>
    <t>CARMEN GRAN RESERVA CABERNET SAUVIGNON</t>
  </si>
  <si>
    <t>VINA CARMEN SA</t>
  </si>
  <si>
    <t>677758901240</t>
  </si>
  <si>
    <t>6380</t>
  </si>
  <si>
    <t>CARMEN GRAN RESERVA CARMENERE</t>
  </si>
  <si>
    <t>7804320081496</t>
  </si>
  <si>
    <t>19514</t>
  </si>
  <si>
    <t>COYAM ORGANIC RED BLEND</t>
  </si>
  <si>
    <t>07804350003819</t>
  </si>
  <si>
    <t>24324</t>
  </si>
  <si>
    <t>OCHAGAVIA ESPUELA</t>
  </si>
  <si>
    <t>048162016064</t>
  </si>
  <si>
    <t>38388</t>
  </si>
  <si>
    <t>VIVO RESERVA CABERNET SAUVIGNON</t>
  </si>
  <si>
    <t>048162015463</t>
  </si>
  <si>
    <t>37563</t>
  </si>
  <si>
    <t>Wines - Table - Chile -  -  - White</t>
  </si>
  <si>
    <t>7804320306322</t>
  </si>
  <si>
    <t>19510</t>
  </si>
  <si>
    <t>ADOBE RESVERA ORGANIC SAUVIGNON BLANC</t>
  </si>
  <si>
    <t>7804350701616</t>
  </si>
  <si>
    <t>6957</t>
  </si>
  <si>
    <t>ANTARES SAUVIGNON BLANC</t>
  </si>
  <si>
    <t>7804350596366</t>
  </si>
  <si>
    <t>30948</t>
  </si>
  <si>
    <t>SANTA CAROLINA RESERVA SAUVIGNON BLANC</t>
  </si>
  <si>
    <t>7808725402252</t>
  </si>
  <si>
    <t>28857</t>
  </si>
  <si>
    <t>VINA VENTISQUERO ROOT:1 SAUVIGNON BLANC</t>
  </si>
  <si>
    <t>VIÑA VENTISQUERO LTDA</t>
  </si>
  <si>
    <t>048162016071</t>
  </si>
  <si>
    <t>38381</t>
  </si>
  <si>
    <t>VIVO RESERVA SAUVIGNON BLANC</t>
  </si>
  <si>
    <t>048162015456</t>
  </si>
  <si>
    <t>37818</t>
  </si>
  <si>
    <t>Wines - Table - Chile - Aconcagua Valley -  - Red</t>
  </si>
  <si>
    <t>608057106036</t>
  </si>
  <si>
    <t>7807</t>
  </si>
  <si>
    <t>ERRAZURIZ ESTATE CARMENERE</t>
  </si>
  <si>
    <t>VINA ERRAZURIZ- CHADWICK</t>
  </si>
  <si>
    <t>089046900994</t>
  </si>
  <si>
    <t>7095</t>
  </si>
  <si>
    <t>ERRAZURIZ ESTATE MERLOT</t>
  </si>
  <si>
    <t>089046777336</t>
  </si>
  <si>
    <t>6982</t>
  </si>
  <si>
    <t>ERRAZURIZ MAX RESERVA CABERNET SAUVIGNON</t>
  </si>
  <si>
    <t>608057106302</t>
  </si>
  <si>
    <t>11690</t>
  </si>
  <si>
    <t>ERRAZURIZ MAX RESERVA CARMENERE</t>
  </si>
  <si>
    <t>Wines - Table - Chile - Aconcagua Valley -  - White</t>
  </si>
  <si>
    <t>7804300156640</t>
  </si>
  <si>
    <t>44315</t>
  </si>
  <si>
    <t>TIERRA RICA SAUVIGNON BLANC</t>
  </si>
  <si>
    <t>VINA SAN PEDRO TARAPACA SA</t>
  </si>
  <si>
    <t>Wines - Table - Chile - Aconcagua Valley - DOC-Denominacao De Origem Controlada - White</t>
  </si>
  <si>
    <t>608057106296</t>
  </si>
  <si>
    <t>16629</t>
  </si>
  <si>
    <t>ERRAZURIZ MAX SAUVIGNON BLANC</t>
  </si>
  <si>
    <t>Wines - Table - Chile - Bio-Bio Valley -  - Rose Blush</t>
  </si>
  <si>
    <t>7804320131634</t>
  </si>
  <si>
    <t>24112</t>
  </si>
  <si>
    <t>CONO SUR BICICLETA PINOT NOIR ROSE</t>
  </si>
  <si>
    <t>VINA CONO SUR/TOCORNAL</t>
  </si>
  <si>
    <t>7804320758985</t>
  </si>
  <si>
    <t>43885</t>
  </si>
  <si>
    <t>CONO SUR ORGANIC ROSE</t>
  </si>
  <si>
    <t>Wines - Table - Chile - Ca-Central Valley -  - Red</t>
  </si>
  <si>
    <t>0686586001428</t>
  </si>
  <si>
    <t>37214</t>
  </si>
  <si>
    <t>CIGAR BOX PINOT NOIR</t>
  </si>
  <si>
    <t>Wines - Table - Chile - Casablanca Valley -  - Red</t>
  </si>
  <si>
    <t>7804320227382</t>
  </si>
  <si>
    <t>33368</t>
  </si>
  <si>
    <t>CONO SUR ORGANIC PINOT NOIR</t>
  </si>
  <si>
    <t>Wines - Table - Chile - Casablanca Valley -  - White</t>
  </si>
  <si>
    <t>089046777329</t>
  </si>
  <si>
    <t>4710</t>
  </si>
  <si>
    <t>ERRAZURIZ ESTATE SAUVIGNON BLANC</t>
  </si>
  <si>
    <t>850038330002</t>
  </si>
  <si>
    <t>42198</t>
  </si>
  <si>
    <t>JABBER SAUVIGNON BLANC</t>
  </si>
  <si>
    <t>JABBER WINES</t>
  </si>
  <si>
    <t>58104</t>
  </si>
  <si>
    <t>089419007091</t>
  </si>
  <si>
    <t>1029</t>
  </si>
  <si>
    <t>SANTA RITA 120 SAUVIGNON BLANC</t>
  </si>
  <si>
    <t>VINA SANTA RITA</t>
  </si>
  <si>
    <t>Wines - Table - Chile - Central Valley -  - Red</t>
  </si>
  <si>
    <t>7804320303178</t>
  </si>
  <si>
    <t>1816</t>
  </si>
  <si>
    <t>CASILLERO DEL DIABLO CABERNET SAUVIGNON</t>
  </si>
  <si>
    <t>7804300010638</t>
  </si>
  <si>
    <t>2389</t>
  </si>
  <si>
    <t>GATO NEGRO CABERNET SAUVIGNON</t>
  </si>
  <si>
    <t>7804300120726</t>
  </si>
  <si>
    <t>17253</t>
  </si>
  <si>
    <t>07804350006766</t>
  </si>
  <si>
    <t>28377</t>
  </si>
  <si>
    <t>SANTA CAROLINA CABERNET SAUVIGNON</t>
  </si>
  <si>
    <t>Wines - Table - Chile - Central Valley -  - White</t>
  </si>
  <si>
    <t>7804320242699</t>
  </si>
  <si>
    <t>28379</t>
  </si>
  <si>
    <t>CONO SUR ORGANIC CHARDONNAY</t>
  </si>
  <si>
    <t>7804320348063</t>
  </si>
  <si>
    <t>11886</t>
  </si>
  <si>
    <t>CONO SUR ORGANIC SAUVIGNON BLANC</t>
  </si>
  <si>
    <t>7804300120641</t>
  </si>
  <si>
    <t>19367</t>
  </si>
  <si>
    <t>GATO NEGRO CHARDONNAY</t>
  </si>
  <si>
    <t>07804350006704</t>
  </si>
  <si>
    <t>28378</t>
  </si>
  <si>
    <t>SANTA CAROLINA SAUVIGNON BLANC</t>
  </si>
  <si>
    <t>Wines - Table - Chile - Colchagua Valley -  - Red</t>
  </si>
  <si>
    <t>7804320127538</t>
  </si>
  <si>
    <t>6760</t>
  </si>
  <si>
    <t>CONO SUR ORGANIC CABERNET CARMENERE</t>
  </si>
  <si>
    <t>7804350596359</t>
  </si>
  <si>
    <t>5590</t>
  </si>
  <si>
    <t>SANTA CAROLINA RESERVA CAB SAUVIGNON</t>
  </si>
  <si>
    <t>7808725402245</t>
  </si>
  <si>
    <t>19442</t>
  </si>
  <si>
    <t>VINA VENTISQUERO ROOT:1 CAB SAUVIGNON</t>
  </si>
  <si>
    <t>Wines - Table - Chile - Colchagua Valley -  - White</t>
  </si>
  <si>
    <t>7804320405407</t>
  </si>
  <si>
    <t>6762</t>
  </si>
  <si>
    <t>CONO SUR BICICLETA VIOGNIER</t>
  </si>
  <si>
    <t>Wines - Table - Chile - Maipo Valley -  - Red</t>
  </si>
  <si>
    <t>7804300123345</t>
  </si>
  <si>
    <t>39852</t>
  </si>
  <si>
    <t>1865 SELECTED CABERNET SAUVIGNON</t>
  </si>
  <si>
    <t>089046777312</t>
  </si>
  <si>
    <t>7096</t>
  </si>
  <si>
    <t>ERRAZURIZ ESTATE CABERNET SAUVIGNON</t>
  </si>
  <si>
    <t>7804320559001</t>
  </si>
  <si>
    <t>1627</t>
  </si>
  <si>
    <t>FRONTERA CABERNET SAUVIGNON</t>
  </si>
  <si>
    <t>7804320043197</t>
  </si>
  <si>
    <t>1628</t>
  </si>
  <si>
    <t>7804320061238</t>
  </si>
  <si>
    <t>6545</t>
  </si>
  <si>
    <t>0858130000014</t>
  </si>
  <si>
    <t>29162</t>
  </si>
  <si>
    <t>PEREZ CRUZ RESERVA CAB SAUVIGNON</t>
  </si>
  <si>
    <t>VINA PEREZ CRUZ</t>
  </si>
  <si>
    <t>Wines - Table - Chile - Maipo Valley -  - White</t>
  </si>
  <si>
    <t>7804320301174</t>
  </si>
  <si>
    <t>5595</t>
  </si>
  <si>
    <t>CASILLERO DEL DIABLO SAUVIGNON BLANC</t>
  </si>
  <si>
    <t>7804320043265</t>
  </si>
  <si>
    <t>3981</t>
  </si>
  <si>
    <t>FRONTERA SAUVIGNON BLANC</t>
  </si>
  <si>
    <t>7804320339023</t>
  </si>
  <si>
    <t>17249</t>
  </si>
  <si>
    <t>Wines - Table - Chile - Patagonia -  - Red</t>
  </si>
  <si>
    <t>7804300156633</t>
  </si>
  <si>
    <t>44314</t>
  </si>
  <si>
    <t>TIERRA RICA CABERNET SAUVIGNON</t>
  </si>
  <si>
    <t>Wines - Table - Chile - Rapel Valley -  - Red</t>
  </si>
  <si>
    <t>7804320087016</t>
  </si>
  <si>
    <t>6330</t>
  </si>
  <si>
    <t>CASILLERO DEL DIABLO CARMENERE</t>
  </si>
  <si>
    <t>7804320561431</t>
  </si>
  <si>
    <t>22544</t>
  </si>
  <si>
    <t>CASILLERO DEL DIABLO DEVIL'S RED BLEND</t>
  </si>
  <si>
    <t>7804320510187</t>
  </si>
  <si>
    <t>6701</t>
  </si>
  <si>
    <t>CASILLERO DEL DIABLO MALBEC</t>
  </si>
  <si>
    <t>7804320753454</t>
  </si>
  <si>
    <t>3673</t>
  </si>
  <si>
    <t>CONO SUR BICICLETA PINOT NOIR</t>
  </si>
  <si>
    <t>089419007114</t>
  </si>
  <si>
    <t>1026</t>
  </si>
  <si>
    <t>SANTA RITA 120 CABERNET SAUVIGNON</t>
  </si>
  <si>
    <t>Wines - Table - France -  -  - Rose Blush</t>
  </si>
  <si>
    <t>3700067803282</t>
  </si>
  <si>
    <t>38795</t>
  </si>
  <si>
    <t>FAT BASTARD ROSE</t>
  </si>
  <si>
    <t>GMDF (Gabriel Meffre)</t>
  </si>
  <si>
    <t>631470006355</t>
  </si>
  <si>
    <t>31742</t>
  </si>
  <si>
    <t>LA VIEILLE FERME ROSE</t>
  </si>
  <si>
    <t>PERRIN ET FILS</t>
  </si>
  <si>
    <t>3430560001693</t>
  </si>
  <si>
    <t>43220</t>
  </si>
  <si>
    <t>LE PETIT CHAT MALIN ROSE</t>
  </si>
  <si>
    <t>BOUTINOT LIMITED</t>
  </si>
  <si>
    <t>03495864011212</t>
  </si>
  <si>
    <t>22226</t>
  </si>
  <si>
    <t>LES FLEURS DU MAL CEVENNES ROSE</t>
  </si>
  <si>
    <t>DOMAINE DE GOURNIER</t>
  </si>
  <si>
    <t>631470008342</t>
  </si>
  <si>
    <t>38686</t>
  </si>
  <si>
    <t>STUDIO ROSE BY MIRAVAL</t>
  </si>
  <si>
    <t>084279002156</t>
  </si>
  <si>
    <t>33053</t>
  </si>
  <si>
    <t>YES WAY ROSE</t>
  </si>
  <si>
    <t>PRESTIGE BEVERAGE GROUP</t>
  </si>
  <si>
    <t>131637</t>
  </si>
  <si>
    <t>Wines - Table - France -  -  - Red</t>
  </si>
  <si>
    <t>048162020641</t>
  </si>
  <si>
    <t>46364</t>
  </si>
  <si>
    <t>AVENUE SYRAH GRENACHE</t>
  </si>
  <si>
    <t>3700067803145</t>
  </si>
  <si>
    <t>37426</t>
  </si>
  <si>
    <t>FAT BASTARD CABERNET SAUVIGNON</t>
  </si>
  <si>
    <t>0631470006348</t>
  </si>
  <si>
    <t>36354</t>
  </si>
  <si>
    <t>LA VIEILLE FERME ROUGE</t>
  </si>
  <si>
    <t>Wines - Table - France -  -  - White</t>
  </si>
  <si>
    <t>048162020634</t>
  </si>
  <si>
    <t>42959</t>
  </si>
  <si>
    <t>AVENUE SAUVIGNON BLANC</t>
  </si>
  <si>
    <t>3700067800045</t>
  </si>
  <si>
    <t>24576</t>
  </si>
  <si>
    <t>FAT BASTARD CHARDONNAY</t>
  </si>
  <si>
    <t>631470008069</t>
  </si>
  <si>
    <t>36383</t>
  </si>
  <si>
    <t>LA VIEILLE FERME WHITE</t>
  </si>
  <si>
    <t>063657001479</t>
  </si>
  <si>
    <t>2962</t>
  </si>
  <si>
    <t>LE VILLAGEOIS WHITE</t>
  </si>
  <si>
    <t>8717545260081</t>
  </si>
  <si>
    <t>27176</t>
  </si>
  <si>
    <t>LES FLEURS DU MAL COTES DE GASCOGNE</t>
  </si>
  <si>
    <t>DOMAINE DE MENARD</t>
  </si>
  <si>
    <t>0635335961957</t>
  </si>
  <si>
    <t>23614</t>
  </si>
  <si>
    <t>LES FUMEES BLANCHES SAUVIGNON BLANC</t>
  </si>
  <si>
    <t>FRANCOIS LURTON  SA</t>
  </si>
  <si>
    <t>Wines - Table - France -  - AOP - Red</t>
  </si>
  <si>
    <t>3391181111430</t>
  </si>
  <si>
    <t>25044</t>
  </si>
  <si>
    <t>M. CHAPOUTIER BELLERUCHE ROUGE</t>
  </si>
  <si>
    <t>M CHAPOUTIER SA</t>
  </si>
  <si>
    <t>Wines - Table - France -  - DOC-Denominacao De Origem Controlada - Red</t>
  </si>
  <si>
    <t>3514123133240</t>
  </si>
  <si>
    <t>46367</t>
  </si>
  <si>
    <t>GERARD BERTRAND COTE DES ROSES LIGHT RED</t>
  </si>
  <si>
    <t>GERARD BERTRAND</t>
  </si>
  <si>
    <t>Wines - Table - France -  - DOCG - Red</t>
  </si>
  <si>
    <t>3142806848343</t>
  </si>
  <si>
    <t>46737</t>
  </si>
  <si>
    <t>L'ORATOIRE DES PAPES RED</t>
  </si>
  <si>
    <t>ADVINI</t>
  </si>
  <si>
    <t>Wines - Table - France -  - 42 - Rose Blush</t>
  </si>
  <si>
    <t>3179075025878</t>
  </si>
  <si>
    <t>48381</t>
  </si>
  <si>
    <t>CELLIER DES DAUPHINS VAL SOLEU ROSE</t>
  </si>
  <si>
    <t>CELLIER DES DAUPHINS</t>
  </si>
  <si>
    <t>3760143148461</t>
  </si>
  <si>
    <t>41002</t>
  </si>
  <si>
    <t>LE BIJOU DE SOPHIE VALROSE ROSE</t>
  </si>
  <si>
    <t>CRUSH WINES</t>
  </si>
  <si>
    <t>Wines - Table - France -  - 42 - Red</t>
  </si>
  <si>
    <t>3760040421377</t>
  </si>
  <si>
    <t>12389</t>
  </si>
  <si>
    <t>ARROGANT FROG CABERNET MERLOT RIBBET RED</t>
  </si>
  <si>
    <t>DOMAINE PAUL MAS</t>
  </si>
  <si>
    <t>Wines - Table - France -  - 42 - White</t>
  </si>
  <si>
    <t>3351650024357</t>
  </si>
  <si>
    <t>31674</t>
  </si>
  <si>
    <t>DUBOEUF FLOWER CHARDONNAY IGP</t>
  </si>
  <si>
    <t>LES VINS DE GEORGES DUBOEUF</t>
  </si>
  <si>
    <t>Wines - Table - France - Beaujolais - AC - Red</t>
  </si>
  <si>
    <t>3340180000764</t>
  </si>
  <si>
    <t>1272</t>
  </si>
  <si>
    <t>BOUCHARD AINE BEAUJOLAIS</t>
  </si>
  <si>
    <t>BOUCHARD AINE &amp; FILS</t>
  </si>
  <si>
    <t>Wines - Table - France - Bordeaux -  - Red</t>
  </si>
  <si>
    <t>3452130021870</t>
  </si>
  <si>
    <t>1968</t>
  </si>
  <si>
    <t>CHATEAU LE COLOMBIER COURTEILLAC</t>
  </si>
  <si>
    <t>CRUSE ET DOMAINES DE FRANCE</t>
  </si>
  <si>
    <t>Wines - Table - France - Bordeaux - AOC - Red</t>
  </si>
  <si>
    <t>3287140001884</t>
  </si>
  <si>
    <t>46366</t>
  </si>
  <si>
    <t>CHATEAU REDON BORDEAUX</t>
  </si>
  <si>
    <t>LES CELLIERS DE BORDEAUX BENAUGES</t>
  </si>
  <si>
    <t>Wines - Table - France - Bordeaux - AC - Red</t>
  </si>
  <si>
    <t>3258691490687</t>
  </si>
  <si>
    <t>4691</t>
  </si>
  <si>
    <t>CHATEAU PEY LA TOUR</t>
  </si>
  <si>
    <t>DOURTHE FRERES</t>
  </si>
  <si>
    <t>3305160001247</t>
  </si>
  <si>
    <t>17626</t>
  </si>
  <si>
    <t>CHATEAU TIMBERLAY BORDEAUX SUPERIOR</t>
  </si>
  <si>
    <t>LES GRANDS CHAIS DE FRANCE</t>
  </si>
  <si>
    <t>083960144014</t>
  </si>
  <si>
    <t>3355</t>
  </si>
  <si>
    <t>ROTHSCHILD MOUTON CADET RED</t>
  </si>
  <si>
    <t>BARON PHILIPPE ROTHSCHILD SA</t>
  </si>
  <si>
    <t>Wines - Table - France - Burgundy -  - Red</t>
  </si>
  <si>
    <t>3566921002976</t>
  </si>
  <si>
    <t>19487</t>
  </si>
  <si>
    <t>LOUIS LATOUR BOURGOGNE PINOT NOIR</t>
  </si>
  <si>
    <t>MAISON LOUIS LATOUR</t>
  </si>
  <si>
    <t>Wines - Table - France - Burgundy - AOC - White</t>
  </si>
  <si>
    <t>3566921001177</t>
  </si>
  <si>
    <t>1890</t>
  </si>
  <si>
    <t>LOUIS LATOUR CHARDONNAY</t>
  </si>
  <si>
    <t>Wines - Table - France - Languedoc-Rousillon -  - Rose Blush</t>
  </si>
  <si>
    <t>3514120107107</t>
  </si>
  <si>
    <t>24445</t>
  </si>
  <si>
    <t>GERARD BERTRAND COTE DES ROSES ROSE</t>
  </si>
  <si>
    <t>Wines - Table - France - Languedoc-Rousillon -  - Red</t>
  </si>
  <si>
    <t>3514123115567</t>
  </si>
  <si>
    <t>33848</t>
  </si>
  <si>
    <t>GERARD BERTRAND COTES D ROSES PINOT NOIR</t>
  </si>
  <si>
    <t>3525490015992</t>
  </si>
  <si>
    <t>22554</t>
  </si>
  <si>
    <t>LES JAMELLES MERLOT</t>
  </si>
  <si>
    <t>BADET CLEMENT &amp; CIE</t>
  </si>
  <si>
    <t>Wines - Table - France - Languedoc-Rousillon -  - White</t>
  </si>
  <si>
    <t>3514123112436</t>
  </si>
  <si>
    <t>33849</t>
  </si>
  <si>
    <t>GERARD BERTRAND COTES DES ROSES CHARD</t>
  </si>
  <si>
    <t>3186128027260</t>
  </si>
  <si>
    <t>44274</t>
  </si>
  <si>
    <t>LYV SAUVIGNON BLANC</t>
  </si>
  <si>
    <t>Wines - Table - France - Languedoc-Rousillon - VDP - Red</t>
  </si>
  <si>
    <t>3700067802346</t>
  </si>
  <si>
    <t>6385</t>
  </si>
  <si>
    <t>FAT BASTARD MERLOT</t>
  </si>
  <si>
    <t>083960150169</t>
  </si>
  <si>
    <t>6286</t>
  </si>
  <si>
    <t>ROTHSCHILD PINOT NOIR</t>
  </si>
  <si>
    <t>Wines - Table - France - Languedoc-Rousillon - 42 - Rose Blush</t>
  </si>
  <si>
    <t>3186128027239</t>
  </si>
  <si>
    <t>40815</t>
  </si>
  <si>
    <t>LYV ROSE IGP</t>
  </si>
  <si>
    <t>Wines - Table - France - Languedoc-Rousillon - 42 - Red</t>
  </si>
  <si>
    <t>5060110820634</t>
  </si>
  <si>
    <t>28767</t>
  </si>
  <si>
    <t>FELICETTE CATS IN SPACE GRENACHE ROUGE</t>
  </si>
  <si>
    <t>ALLIANCE WINE</t>
  </si>
  <si>
    <t>Wines - Table - France - Provence -  - Rose Blush</t>
  </si>
  <si>
    <t>3760167974114</t>
  </si>
  <si>
    <t>26865</t>
  </si>
  <si>
    <t>WHISPERING ANGEL ROSE</t>
  </si>
  <si>
    <t>CAVES d'ESCLANS</t>
  </si>
  <si>
    <t>Wines - Table - France - Rhone -  - Rose Blush</t>
  </si>
  <si>
    <t>631470000124</t>
  </si>
  <si>
    <t>4699</t>
  </si>
  <si>
    <t>LA VIEILLE FERME COTES DU VENTOUX ROSE</t>
  </si>
  <si>
    <t>604174000547</t>
  </si>
  <si>
    <t>25146</t>
  </si>
  <si>
    <t>LOUIS BERNARD COTES DU RHONE ROSE</t>
  </si>
  <si>
    <t>LOUIS BERNARD</t>
  </si>
  <si>
    <t>3391180003187</t>
  </si>
  <si>
    <t>32091</t>
  </si>
  <si>
    <t>M. CHAPOUTIER BELLERUCHE ROSE</t>
  </si>
  <si>
    <t>Wines - Table - France - Rhone -  - Red</t>
  </si>
  <si>
    <t>3217661015978</t>
  </si>
  <si>
    <t>22551</t>
  </si>
  <si>
    <t>BROTTE COTES DU RHONE LA FIOLE</t>
  </si>
  <si>
    <t>MAISON BROTTE SA</t>
  </si>
  <si>
    <t>Wines - Table - France - Rhone - AOC - Red</t>
  </si>
  <si>
    <t>3552510012006</t>
  </si>
  <si>
    <t>2016</t>
  </si>
  <si>
    <t>CHATEAUNEUF DU PAPE DE LA GARDINE ROUGE</t>
  </si>
  <si>
    <t>BRUNEL PERE ET FILS SARL</t>
  </si>
  <si>
    <t>631470000131</t>
  </si>
  <si>
    <t>6973</t>
  </si>
  <si>
    <t>COTES DU RHONE RESERVE - PERRIN</t>
  </si>
  <si>
    <t>631470000018</t>
  </si>
  <si>
    <t>2887</t>
  </si>
  <si>
    <t>LA VIEILLE FERME COTES DU VENTOUX RED</t>
  </si>
  <si>
    <t>Wines - Table - France - Rhone - AOC - White</t>
  </si>
  <si>
    <t>631470000049</t>
  </si>
  <si>
    <t>2886</t>
  </si>
  <si>
    <t>LA VIEILLE FERME COTES DU LUBERON WHITE</t>
  </si>
  <si>
    <t>3236</t>
  </si>
  <si>
    <t>Wines - Table - France - Rhone - AC - Red</t>
  </si>
  <si>
    <t>3217661012519</t>
  </si>
  <si>
    <t>12053</t>
  </si>
  <si>
    <t>CHATEAUNEUF DU PAPE LA FIOLE DU PAPE</t>
  </si>
  <si>
    <t>Wines - Table - Germany -  -  - Rose Blush</t>
  </si>
  <si>
    <t>4003301008573</t>
  </si>
  <si>
    <t>32763</t>
  </si>
  <si>
    <t>BREE PINOT NOIR ROSE</t>
  </si>
  <si>
    <t>PETER MERTES</t>
  </si>
  <si>
    <t>Wines - Table - Germany -  -  - White</t>
  </si>
  <si>
    <t>707596390385</t>
  </si>
  <si>
    <t>37047</t>
  </si>
  <si>
    <t>BLUE NUN RIESLING</t>
  </si>
  <si>
    <t>Zimmermann Graeff &amp; Müller Gmbh</t>
  </si>
  <si>
    <t>088474007954</t>
  </si>
  <si>
    <t>15743</t>
  </si>
  <si>
    <t>RELAX PINOT GRIGIO</t>
  </si>
  <si>
    <t>SCHMITT SOHNE GMBH</t>
  </si>
  <si>
    <t>Wines - Table - Germany - Mosel-Saar-Ruwer -  - White</t>
  </si>
  <si>
    <t>810404020135</t>
  </si>
  <si>
    <t>23781</t>
  </si>
  <si>
    <t>DR LOOSEN DRY RIESLING</t>
  </si>
  <si>
    <t>GEBR. LOOSEN GMBH</t>
  </si>
  <si>
    <t>183103000181</t>
  </si>
  <si>
    <t>7176</t>
  </si>
  <si>
    <t>VILLA WOLF RIESLING</t>
  </si>
  <si>
    <t>VILLA WOLF GMBH</t>
  </si>
  <si>
    <t>Wines - Table - Germany - Mosel-Saar-Ruwer - Qualitaetswein - White</t>
  </si>
  <si>
    <t>4006975004001</t>
  </si>
  <si>
    <t>6911</t>
  </si>
  <si>
    <t>AVANTEGARDE RIESLING MOSEL HOCHGEWACH</t>
  </si>
  <si>
    <t>MOSELLAND EG WINZERGENOSSENSCHAFT</t>
  </si>
  <si>
    <t>3279</t>
  </si>
  <si>
    <t>183103000013</t>
  </si>
  <si>
    <t>5786</t>
  </si>
  <si>
    <t>DR LOOSEN RIESLING</t>
  </si>
  <si>
    <t>Wines - Table - Germany - Mosel-Saar-Ruwer - QbA-bestimmter Anbaugebiet - White</t>
  </si>
  <si>
    <t>088474022407</t>
  </si>
  <si>
    <t>8598</t>
  </si>
  <si>
    <t>RELAX RIESLING QBA</t>
  </si>
  <si>
    <t>Wines - Table - Germany - Pfalz -  - White</t>
  </si>
  <si>
    <t>084279979816</t>
  </si>
  <si>
    <t>12853</t>
  </si>
  <si>
    <t>BREE RIESLING</t>
  </si>
  <si>
    <t>Wines - Table - Germany - Rheinhessen -  - Red</t>
  </si>
  <si>
    <t>4008005149591</t>
  </si>
  <si>
    <t>8765</t>
  </si>
  <si>
    <t>DR ZENZEN VINO NOIRE</t>
  </si>
  <si>
    <t>EINIG-ZENZEN WEINKELLEREI</t>
  </si>
  <si>
    <t>3314</t>
  </si>
  <si>
    <t>Wines - Table - Germany - Rheinhessen -  - White</t>
  </si>
  <si>
    <t>4003310651104</t>
  </si>
  <si>
    <t>3641</t>
  </si>
  <si>
    <t>DEINHARD PIESPORTER RIESLING</t>
  </si>
  <si>
    <t>DEINHARD &amp; CO</t>
  </si>
  <si>
    <t>084279978727</t>
  </si>
  <si>
    <t>46390</t>
  </si>
  <si>
    <t>STARLING CASTLE GEWURZTRAMINER</t>
  </si>
  <si>
    <t>084279973944</t>
  </si>
  <si>
    <t>9239</t>
  </si>
  <si>
    <t>STARLING CASTLE RIESLING</t>
  </si>
  <si>
    <t>Wines - Table - Germany - Rheinhessen - QMP-Kabinett - White</t>
  </si>
  <si>
    <t>4008005149041</t>
  </si>
  <si>
    <t>2391</t>
  </si>
  <si>
    <t>DR ZENZEN RHEINHESSEN KABINETT</t>
  </si>
  <si>
    <t>4002301437758</t>
  </si>
  <si>
    <t>3402</t>
  </si>
  <si>
    <t>ST URSULA GOLDENER OKTOBER NIERSTEINER</t>
  </si>
  <si>
    <t>WEINKELLEREI HECHTSHEIM GMBH</t>
  </si>
  <si>
    <t>Wines - Table - Germany - Rheinhessen - Qualitaetswein - White</t>
  </si>
  <si>
    <t>707596001038</t>
  </si>
  <si>
    <t>1392</t>
  </si>
  <si>
    <t>BLUE NUN</t>
  </si>
  <si>
    <t>Wines - Table - Germany - Rheinhessen - Tafelwien - White</t>
  </si>
  <si>
    <t>785859701024</t>
  </si>
  <si>
    <t>1359</t>
  </si>
  <si>
    <t>BLACK TOWER WHITE</t>
  </si>
  <si>
    <t>REH-KENDERMANN GMBH</t>
  </si>
  <si>
    <t>785859690823</t>
  </si>
  <si>
    <t>4331</t>
  </si>
  <si>
    <t>THE BEND IN RIVER WHITE</t>
  </si>
  <si>
    <t>Wines - Table - Germany - Rheinhessen - QbA-bestimmter Anbaugebiet - Red</t>
  </si>
  <si>
    <t>088474022209</t>
  </si>
  <si>
    <t>13899</t>
  </si>
  <si>
    <t>RELAX RED BLEND QBA</t>
  </si>
  <si>
    <t>Wines - Table - Italy -  -  - Red</t>
  </si>
  <si>
    <t>8007890004813</t>
  </si>
  <si>
    <t>15291</t>
  </si>
  <si>
    <t>CAVIT ROSCATO ROSSO FRIZZANTE</t>
  </si>
  <si>
    <t>8006031092320</t>
  </si>
  <si>
    <t>38885</t>
  </si>
  <si>
    <t>LAVIS CABERNET SAUVIGNON</t>
  </si>
  <si>
    <t>Cantine la Vis  e Val di Cembra sca</t>
  </si>
  <si>
    <t>8002062012825</t>
  </si>
  <si>
    <t>24982</t>
  </si>
  <si>
    <t>MASI MODELLO MERLOT</t>
  </si>
  <si>
    <t>MASI AGRICOLA SPA</t>
  </si>
  <si>
    <t>8033765189125</t>
  </si>
  <si>
    <t>29245</t>
  </si>
  <si>
    <t>VINO ROSSO VARIETALE ASIO OTUS</t>
  </si>
  <si>
    <t>MGM MONDO DEL VINO SRL</t>
  </si>
  <si>
    <t>Wines - Table - Italy -  -  - White</t>
  </si>
  <si>
    <t>048162019973</t>
  </si>
  <si>
    <t>41945</t>
  </si>
  <si>
    <t>AMA BENE PINOT GRIGIO</t>
  </si>
  <si>
    <t>086785582887</t>
  </si>
  <si>
    <t>44414</t>
  </si>
  <si>
    <t>CAVIT CLOUD 9 PINOT GRIGIO</t>
  </si>
  <si>
    <t>632987111112</t>
  </si>
  <si>
    <t>6772</t>
  </si>
  <si>
    <t>SANTA MARGHERITA VALDADIGE PINOT GRIGIO</t>
  </si>
  <si>
    <t>SANTA MARGHERITA SPA</t>
  </si>
  <si>
    <t>Wines - Table - Italy -  - DOC-Denominacao De Origem Controlada - Red</t>
  </si>
  <si>
    <t>8032825450229</t>
  </si>
  <si>
    <t>46370</t>
  </si>
  <si>
    <t>MONTEZOVO VALPOLICELLA RIPASSO DOC</t>
  </si>
  <si>
    <t>COTTINI SPA</t>
  </si>
  <si>
    <t>Wines - Table - Italy -  - DOC-Denominacao De Origem Controlada - White</t>
  </si>
  <si>
    <t>8007890008651</t>
  </si>
  <si>
    <t>46365</t>
  </si>
  <si>
    <t>CAVIT PINOT GRIGIO</t>
  </si>
  <si>
    <t>816253012505</t>
  </si>
  <si>
    <t>37098</t>
  </si>
  <si>
    <t>FREIXENET PINOT GRIGIO DOC</t>
  </si>
  <si>
    <t>FREIXENET SA</t>
  </si>
  <si>
    <t>Wines - Table - Italy -  - IGT - Rose Blush</t>
  </si>
  <si>
    <t>8007890006435</t>
  </si>
  <si>
    <t>27521</t>
  </si>
  <si>
    <t>CAVIT ROSCATO ROSE IGT</t>
  </si>
  <si>
    <t>Wines - Table - Italy -  - IGT - Red</t>
  </si>
  <si>
    <t>653149111269</t>
  </si>
  <si>
    <t>5644</t>
  </si>
  <si>
    <t>FARNESE FANTINI SANGIOVESE</t>
  </si>
  <si>
    <t>FANTINI GROUP VINI S.R.L.</t>
  </si>
  <si>
    <t>Wines - Table - Italy -  - IGT - White</t>
  </si>
  <si>
    <t>8008960246010</t>
  </si>
  <si>
    <t>3671</t>
  </si>
  <si>
    <t>BOLLA DELLE VENEZIE PINOT GRIGIO IGT</t>
  </si>
  <si>
    <t>GRUPPO ITALIANO VINI S.P.A.</t>
  </si>
  <si>
    <t>8000160635700</t>
  </si>
  <si>
    <t>37081</t>
  </si>
  <si>
    <t>FOLONARI PINOT GRIGIO IGT</t>
  </si>
  <si>
    <t>08028938090452</t>
  </si>
  <si>
    <t>29053</t>
  </si>
  <si>
    <t>ZACCAGNINI TRALCETTO PINOT GRI IGT</t>
  </si>
  <si>
    <t>AZ AG CICCIO ZACCAGNINI</t>
  </si>
  <si>
    <t>Wines - Table - Italy - Abruzzo - DOC-Denominacao De Origem Controlada - Red</t>
  </si>
  <si>
    <t>8017193004007</t>
  </si>
  <si>
    <t>39702</t>
  </si>
  <si>
    <t>BOSCO MONTEPULCIANO D'ABRUZZO DOC</t>
  </si>
  <si>
    <t>BOSCO NESTORE &amp; C. SRL</t>
  </si>
  <si>
    <t>205936</t>
  </si>
  <si>
    <t>Wines - Table - Italy - Delle Venezie -  - White</t>
  </si>
  <si>
    <t>089819116621</t>
  </si>
  <si>
    <t>7133</t>
  </si>
  <si>
    <t>CAVALIERE D'ORO PINOT GRIGIO</t>
  </si>
  <si>
    <t>CASTELLO DI GABBIANO</t>
  </si>
  <si>
    <t>Wines - Table - Italy - Emilia-Romagna -  - Red</t>
  </si>
  <si>
    <t>818276000644</t>
  </si>
  <si>
    <t>32105</t>
  </si>
  <si>
    <t>UMBERTO CESARI SANGIOVESE RISERVA</t>
  </si>
  <si>
    <t>UMBERTO CESARI SRL</t>
  </si>
  <si>
    <t>Wines - Table - Italy - Emilia-Romagna - DOC-Denominacao De Origem Controlada - Red</t>
  </si>
  <si>
    <t>080516135144</t>
  </si>
  <si>
    <t>3846</t>
  </si>
  <si>
    <t>RIUNITE LAMBRUSCO</t>
  </si>
  <si>
    <t>CANTINE COOP RIUNITE SRL</t>
  </si>
  <si>
    <t>080516135120</t>
  </si>
  <si>
    <t>3847</t>
  </si>
  <si>
    <t>Wines - Table - Italy - Emilia-Romagna - DOC-Denominacao De Origem Controlada - White</t>
  </si>
  <si>
    <t>080516135243</t>
  </si>
  <si>
    <t>3844</t>
  </si>
  <si>
    <t>RIUNITE BIANCO FRIZZANTE</t>
  </si>
  <si>
    <t>CASA VINICOLA BOTTER CARLO CS</t>
  </si>
  <si>
    <t>Wines - Table - Italy - Friuli-Venezia Giulia - DOC-Denominacao De Origem Controlada - White</t>
  </si>
  <si>
    <t>79998700300</t>
  </si>
  <si>
    <t>40186</t>
  </si>
  <si>
    <t>BENVOLIO PINOT GRIGIO</t>
  </si>
  <si>
    <t>JACKSON WINE ESTATES INTERNATIONAL</t>
  </si>
  <si>
    <t>Wines - Table - Italy - Friuli-Venezia Giulia - IGT - White</t>
  </si>
  <si>
    <t>8001660197156</t>
  </si>
  <si>
    <t>5367</t>
  </si>
  <si>
    <t>RUFFINO PINOT GRIGIO LUMINA VENEZIA</t>
  </si>
  <si>
    <t>RUFFINO SRL</t>
  </si>
  <si>
    <t>Wines - Table - Italy - Piedmont -  - Red</t>
  </si>
  <si>
    <t>8030423000754</t>
  </si>
  <si>
    <t>7472</t>
  </si>
  <si>
    <t>MONTALTO NERO D'AVOLA CAB SAUVIGNON</t>
  </si>
  <si>
    <t>Wines - Table - Italy - Piedmont - DOCG - Red</t>
  </si>
  <si>
    <t>8000174200024</t>
  </si>
  <si>
    <t>1252</t>
  </si>
  <si>
    <t>FONTANAFREDDA BAROLO</t>
  </si>
  <si>
    <t>FONTANAFREDDA SRL</t>
  </si>
  <si>
    <t>Wines - Table - Italy - Piedmont - DOCG - White</t>
  </si>
  <si>
    <t>084279977638</t>
  </si>
  <si>
    <t>25179</t>
  </si>
  <si>
    <t>RISATA MOSCATO D'ASTI DOCG</t>
  </si>
  <si>
    <t>PRESTIGE WINE GROUP</t>
  </si>
  <si>
    <t>Wines - Table - Italy - Puglia -  - Red</t>
  </si>
  <si>
    <t>8019873924100</t>
  </si>
  <si>
    <t>12595</t>
  </si>
  <si>
    <t>FARNESE FANTINI PRIMITIVO</t>
  </si>
  <si>
    <t>Wines - Table - Italy - Puglia - IGT - Red</t>
  </si>
  <si>
    <t>8007880354706</t>
  </si>
  <si>
    <t>40903</t>
  </si>
  <si>
    <t>PASQUA MUCCHIETTO PRIMITIVO IGT</t>
  </si>
  <si>
    <t>PASQUA VIGNETI E CANTINE SPA</t>
  </si>
  <si>
    <t>Wines - Table - Italy - Sicily -  - White</t>
  </si>
  <si>
    <t>8030423001959</t>
  </si>
  <si>
    <t>7479</t>
  </si>
  <si>
    <t>MONTALTO PINOT GRIGIO</t>
  </si>
  <si>
    <t>Wines - Table - Italy - Sicily - IGT - White</t>
  </si>
  <si>
    <t>7340048603201</t>
  </si>
  <si>
    <t>29168</t>
  </si>
  <si>
    <t>CRUDO CATARRATTO ZIBIBBO ORGANIC</t>
  </si>
  <si>
    <t>MARE MAGNUM</t>
  </si>
  <si>
    <t>Wines - Table - Italy - Trentino-Alto Adige - IGT - White</t>
  </si>
  <si>
    <t>098709436206</t>
  </si>
  <si>
    <t>7954</t>
  </si>
  <si>
    <t>KRIS PINOT GRIGIO DELLE VENEZIE IGT</t>
  </si>
  <si>
    <t>FRANZ HAAS SRL</t>
  </si>
  <si>
    <t>Wines - Table - Italy - Tuscany -  - Red</t>
  </si>
  <si>
    <t>8003015700363</t>
  </si>
  <si>
    <t>44969</t>
  </si>
  <si>
    <t>CARPINETO CHIANTI CLASSICO</t>
  </si>
  <si>
    <t>CASA VINICOLA CARPINETO</t>
  </si>
  <si>
    <t>089819502417</t>
  </si>
  <si>
    <t>22733</t>
  </si>
  <si>
    <t>CAVALIERE D'ORO CHIANTI CLASSICO</t>
  </si>
  <si>
    <t>089819503223</t>
  </si>
  <si>
    <t>10005</t>
  </si>
  <si>
    <t>CAVALIERE D'ORO CHIANTI RESERVA</t>
  </si>
  <si>
    <t>Wines - Table - Italy - Tuscany - DOC-Denominacao De Origem Controlada - Red</t>
  </si>
  <si>
    <t>8007425000181</t>
  </si>
  <si>
    <t>1831</t>
  </si>
  <si>
    <t>FRESCOBALDI CASTELLO DI NIPOZZANO</t>
  </si>
  <si>
    <t>119</t>
  </si>
  <si>
    <t>Wines - Table - Italy - Tuscany - DOCG - Red</t>
  </si>
  <si>
    <t>089819501458</t>
  </si>
  <si>
    <t>7134</t>
  </si>
  <si>
    <t>CAVALIERE D'ORO CHIANTI</t>
  </si>
  <si>
    <t>816253012499</t>
  </si>
  <si>
    <t>37097</t>
  </si>
  <si>
    <t>FREIXENET CHIANTI DOCG</t>
  </si>
  <si>
    <t>8001935001362</t>
  </si>
  <si>
    <t>6986</t>
  </si>
  <si>
    <t>PEPPOLI CHIANTI CLASSICO DOCG</t>
  </si>
  <si>
    <t>MARCHESI ANTINORI SPA</t>
  </si>
  <si>
    <t>8001660109753</t>
  </si>
  <si>
    <t>3843</t>
  </si>
  <si>
    <t>RUFFINO CHIANTI CLASSICO RISERVA DUCALE</t>
  </si>
  <si>
    <t>8001660101757</t>
  </si>
  <si>
    <t>2028</t>
  </si>
  <si>
    <t>RUFFINO CHIANTI RED</t>
  </si>
  <si>
    <t>8001935002789</t>
  </si>
  <si>
    <t>13495</t>
  </si>
  <si>
    <t>SANTA CRISTINA CHIANTI SUPERIORE DOCG</t>
  </si>
  <si>
    <t>8001231019009</t>
  </si>
  <si>
    <t>19365</t>
  </si>
  <si>
    <t>SANTA MARGHERITA CHIANTI CLASSICO DOCG</t>
  </si>
  <si>
    <t>Wines - Table - Italy - Tuscany - IGT - Red</t>
  </si>
  <si>
    <t>8003015700530</t>
  </si>
  <si>
    <t>9291</t>
  </si>
  <si>
    <t>CARPINETO DOGAJOLO ROSSO IGT</t>
  </si>
  <si>
    <t>8001935361404</t>
  </si>
  <si>
    <t>3928</t>
  </si>
  <si>
    <t>SANTA CRISTINA SANGIOVESE</t>
  </si>
  <si>
    <t>Wines - Table - Italy - Tuscany - IGT - White</t>
  </si>
  <si>
    <t>8001935002574</t>
  </si>
  <si>
    <t>13496</t>
  </si>
  <si>
    <t>SANTA CRISTINA PINOT GRIGIO IGT</t>
  </si>
  <si>
    <t>Wines - Table - Italy - Umbria - DOC-Denominacao De Origem Controlada - White</t>
  </si>
  <si>
    <t>8001935333203</t>
  </si>
  <si>
    <t>3508</t>
  </si>
  <si>
    <t>ANTINORI ORVIETO CLASSICO ABBOCCATO</t>
  </si>
  <si>
    <t>8001660126750</t>
  </si>
  <si>
    <t>3506</t>
  </si>
  <si>
    <t>RUFFINO ORVIETO CLASSICO</t>
  </si>
  <si>
    <t>Wines - Table - Italy - Veneto -  - Rose Blush</t>
  </si>
  <si>
    <t>8007615002483</t>
  </si>
  <si>
    <t>45270</t>
  </si>
  <si>
    <t>VILLA TERESA ORGANIC ROSE</t>
  </si>
  <si>
    <t>VINI TONON S.R.L.</t>
  </si>
  <si>
    <t>Wines - Table - Italy - Veneto -  - Red</t>
  </si>
  <si>
    <t>8002062000051</t>
  </si>
  <si>
    <t>12726</t>
  </si>
  <si>
    <t>MASI COSTASERA AMARONE VALPOLICELLA</t>
  </si>
  <si>
    <t>8003930000333</t>
  </si>
  <si>
    <t>37096</t>
  </si>
  <si>
    <t>SANTA MARGHERITA CABERNET SAUVIGNON</t>
  </si>
  <si>
    <t>Wines - Table - Italy - Veneto -  - White</t>
  </si>
  <si>
    <t>807890005605</t>
  </si>
  <si>
    <t>24577</t>
  </si>
  <si>
    <t>CAVIT ROSCATO BIANCO FRIZZANTE</t>
  </si>
  <si>
    <t>8003625071822</t>
  </si>
  <si>
    <t>23899</t>
  </si>
  <si>
    <t>LADY LOLA PINOT GRIGIO MOSCATO</t>
  </si>
  <si>
    <t>ENOITALIA SPA</t>
  </si>
  <si>
    <t>8008863021868</t>
  </si>
  <si>
    <t>12568</t>
  </si>
  <si>
    <t>OGIO PINOT GRIGIO</t>
  </si>
  <si>
    <t>8007880542509</t>
  </si>
  <si>
    <t>15292</t>
  </si>
  <si>
    <t>PASQUA PINOT GRIGIO</t>
  </si>
  <si>
    <t>Wines - Table - Italy - Veneto - DOC-Denominacao De Origem Controlada - Rose Blush</t>
  </si>
  <si>
    <t>8008863061864</t>
  </si>
  <si>
    <t>40691</t>
  </si>
  <si>
    <t>BRILLA PROSECCO ROSE DOC</t>
  </si>
  <si>
    <t>Wines - Table - Italy - Veneto - DOC-Denominacao De Origem Controlada - Red</t>
  </si>
  <si>
    <t>8008960146068</t>
  </si>
  <si>
    <t>1086</t>
  </si>
  <si>
    <t>BOLLA AMARONE DELLA VALPOLICELLA</t>
  </si>
  <si>
    <t>8008960136120</t>
  </si>
  <si>
    <t>4433</t>
  </si>
  <si>
    <t>BOLLA CLASSICO VALPOLICELLA</t>
  </si>
  <si>
    <t>8008960684478</t>
  </si>
  <si>
    <t>13914</t>
  </si>
  <si>
    <t>BOLLA CLASSICO VALPOLICELLA RIPASSO</t>
  </si>
  <si>
    <t>8000160632402</t>
  </si>
  <si>
    <t>4431</t>
  </si>
  <si>
    <t>FOLONARI VALPOLICELLA</t>
  </si>
  <si>
    <t>8000160630668</t>
  </si>
  <si>
    <t>37080</t>
  </si>
  <si>
    <t>FOLONARI VALPOLICELLA DOC</t>
  </si>
  <si>
    <t>8000160631955</t>
  </si>
  <si>
    <t>7354</t>
  </si>
  <si>
    <t>FOLONARI VALPOLICELLA RIPASSO</t>
  </si>
  <si>
    <t>Wines - Table - Italy - Veneto - DOC-Denominacao De Origem Controlada - White</t>
  </si>
  <si>
    <t>8000160632693</t>
  </si>
  <si>
    <t>3670</t>
  </si>
  <si>
    <t>FOLONARI PINOT GRIGIO DELLE VENEZIE DOC</t>
  </si>
  <si>
    <t>Wines - Table - Italy - Veneto - DOC-Denominazione Di Origine Controllata - Red</t>
  </si>
  <si>
    <t>8002062000037</t>
  </si>
  <si>
    <t>6422</t>
  </si>
  <si>
    <t>MASI BONACOSTA VALPOLICELLA</t>
  </si>
  <si>
    <t>Wines - Table - Italy - Veneto - IGT - Red</t>
  </si>
  <si>
    <t>8008863046632</t>
  </si>
  <si>
    <t>40136</t>
  </si>
  <si>
    <t>GRAN PASSIONE ROSSO IGT</t>
  </si>
  <si>
    <t>8002062000068</t>
  </si>
  <si>
    <t>1690</t>
  </si>
  <si>
    <t>MASI CAMPOFIORIN</t>
  </si>
  <si>
    <t>086785213125</t>
  </si>
  <si>
    <t>41178</t>
  </si>
  <si>
    <t>ROSCATO GOLD SWEET RED</t>
  </si>
  <si>
    <t>8007615000373</t>
  </si>
  <si>
    <t>4722</t>
  </si>
  <si>
    <t>VILLA TERESA ORGANIC MERLOT</t>
  </si>
  <si>
    <t>Wines - Table - Italy - Veneto - IGT - White</t>
  </si>
  <si>
    <t>8007890229247</t>
  </si>
  <si>
    <t>10887</t>
  </si>
  <si>
    <t>CAVIT PINOT GIRGIO VALDADIGE</t>
  </si>
  <si>
    <t>8002062001652</t>
  </si>
  <si>
    <t>6442</t>
  </si>
  <si>
    <t>MASI MASIANCO</t>
  </si>
  <si>
    <t>8002062008132</t>
  </si>
  <si>
    <t>MASI MODELLO PINOT GRIGIO</t>
  </si>
  <si>
    <t>8007615000366</t>
  </si>
  <si>
    <t>4723</t>
  </si>
  <si>
    <t>VILLA TERESA ORGANIC PINOT GRIGIO</t>
  </si>
  <si>
    <t>Wines - Table - New Zealand - Hawkes Bay -  - Red</t>
  </si>
  <si>
    <t>9415549814635</t>
  </si>
  <si>
    <t>6374</t>
  </si>
  <si>
    <t>OYSTER BAY MERLOT</t>
  </si>
  <si>
    <t>OYSTER BAY WINES</t>
  </si>
  <si>
    <t>Wines - Table - New Zealand - Hawkes Bay -  - White</t>
  </si>
  <si>
    <t>9414603201169</t>
  </si>
  <si>
    <t>47436</t>
  </si>
  <si>
    <t>BABICH HAWKE'S BAY CHARDONNAY</t>
  </si>
  <si>
    <t>BABICH WINES LIMITED</t>
  </si>
  <si>
    <t>9415305120994</t>
  </si>
  <si>
    <t>16841</t>
  </si>
  <si>
    <t>MATUA HAWKES BAY SAUVIGNON BLANC</t>
  </si>
  <si>
    <t>9415549816622</t>
  </si>
  <si>
    <t>17876</t>
  </si>
  <si>
    <t>OYSTER BAY PINOT GRIGIO</t>
  </si>
  <si>
    <t>Wines - Table - New Zealand - Marlborough -  - Rose Blush</t>
  </si>
  <si>
    <t>9419227005186</t>
  </si>
  <si>
    <t>23900</t>
  </si>
  <si>
    <t>KIM CRAWFORD ROSE</t>
  </si>
  <si>
    <t>Constellation Brands New Zealand Ltd</t>
  </si>
  <si>
    <t>9415549805602</t>
  </si>
  <si>
    <t>31106</t>
  </si>
  <si>
    <t>OYSTER BAY ROSE</t>
  </si>
  <si>
    <t>9414505941231</t>
  </si>
  <si>
    <t>33708</t>
  </si>
  <si>
    <t>STONELEIGH LIGHTER ROSE</t>
  </si>
  <si>
    <t>Wines - Table - New Zealand - Marlborough -  - Red</t>
  </si>
  <si>
    <t>689352009680</t>
  </si>
  <si>
    <t>12831</t>
  </si>
  <si>
    <t>KIM  CRAWFORD PINOT NOIR</t>
  </si>
  <si>
    <t>9415549809679</t>
  </si>
  <si>
    <t>10420</t>
  </si>
  <si>
    <t>OYSTER BAY PINOT NOIR</t>
  </si>
  <si>
    <t>Wines - Table - New Zealand - Marlborough -  - White</t>
  </si>
  <si>
    <t>9414603500101</t>
  </si>
  <si>
    <t>22138</t>
  </si>
  <si>
    <t>BABICH BLACK LABEL SAUVIGNON BLANC</t>
  </si>
  <si>
    <t>9414603201107</t>
  </si>
  <si>
    <t>7076</t>
  </si>
  <si>
    <t>BABICH MARLBOROUGH SAUVIGNON BLANC</t>
  </si>
  <si>
    <t>811728030015</t>
  </si>
  <si>
    <t>40660</t>
  </si>
  <si>
    <t>DUCK HUNTER SAUVIGNON BLANC</t>
  </si>
  <si>
    <t>DUCK HUNTER WINES LTD</t>
  </si>
  <si>
    <t>9419227005148</t>
  </si>
  <si>
    <t>20040</t>
  </si>
  <si>
    <t>KIM CRAWFORD  CHARDONNAY</t>
  </si>
  <si>
    <t>KIM CRAWFORD WINES</t>
  </si>
  <si>
    <t>9419227009160</t>
  </si>
  <si>
    <t>36120</t>
  </si>
  <si>
    <t>KIM CRAWFORD ILLUMINATE SAUVIGNON BLANC</t>
  </si>
  <si>
    <t>9419227005162</t>
  </si>
  <si>
    <t>6763</t>
  </si>
  <si>
    <t>KIM CRAWFORD PINOT GRIGIO</t>
  </si>
  <si>
    <t>9419227006275</t>
  </si>
  <si>
    <t>5962</t>
  </si>
  <si>
    <t>KIM CRAWFORD SAUVIGNON BLANC</t>
  </si>
  <si>
    <t>9414416102837</t>
  </si>
  <si>
    <t>47939</t>
  </si>
  <si>
    <t>LEFT FIELD PINOT GRIS</t>
  </si>
  <si>
    <t>VILLA MARIA ESTATE</t>
  </si>
  <si>
    <t>9414416104220</t>
  </si>
  <si>
    <t>29690</t>
  </si>
  <si>
    <t>LEFT FIELD SAUVIGNON BLANC</t>
  </si>
  <si>
    <t>853076003051</t>
  </si>
  <si>
    <t>48171</t>
  </si>
  <si>
    <t>MARISCO THE NED PINOT GRIS</t>
  </si>
  <si>
    <t>9421018070013</t>
  </si>
  <si>
    <t>22016</t>
  </si>
  <si>
    <t>MUD HOUSE SAUVIGNON BLANC</t>
  </si>
  <si>
    <t>VINARCHY NZ LTD</t>
  </si>
  <si>
    <t>9415549801604</t>
  </si>
  <si>
    <t>7337</t>
  </si>
  <si>
    <t>OYSTER BAY CHARDONNAY</t>
  </si>
  <si>
    <t>9415549802601</t>
  </si>
  <si>
    <t>6373</t>
  </si>
  <si>
    <t>OYSTER BAY SAUVIGNON BLANC</t>
  </si>
  <si>
    <t>9418076002469</t>
  </si>
  <si>
    <t>42899</t>
  </si>
  <si>
    <t>SAINT CLAIR SAUVIGNON BLANC</t>
  </si>
  <si>
    <t>SAINT CLAIR ESTATE WINERY</t>
  </si>
  <si>
    <t>9419453008012</t>
  </si>
  <si>
    <t>8282</t>
  </si>
  <si>
    <t>SEVEN TERRACES SAUVIGNON BLANC</t>
  </si>
  <si>
    <t>ROSSENDALE</t>
  </si>
  <si>
    <t>51396</t>
  </si>
  <si>
    <t>9421008350033</t>
  </si>
  <si>
    <t>38561</t>
  </si>
  <si>
    <t>SPY VALLEY MARLBOROUGH SAUVIGNON BLANC</t>
  </si>
  <si>
    <t>SPY VALLEY WINES</t>
  </si>
  <si>
    <t>085000016602</t>
  </si>
  <si>
    <t>8498</t>
  </si>
  <si>
    <t>STARBOROUGH SAUVIGNON BLANC</t>
  </si>
  <si>
    <t>STARBOROUGH WINERY</t>
  </si>
  <si>
    <t>9414505941224</t>
  </si>
  <si>
    <t>33709</t>
  </si>
  <si>
    <t>STONELEIGH LIGHTER SAUVIGNON BLANC</t>
  </si>
  <si>
    <t>9414505957010</t>
  </si>
  <si>
    <t>5175</t>
  </si>
  <si>
    <t>STONELEIGH SAUVIGNON BLANC</t>
  </si>
  <si>
    <t>STONELEIGH VINEYARDS</t>
  </si>
  <si>
    <t>628176952079</t>
  </si>
  <si>
    <t>37068</t>
  </si>
  <si>
    <t>SUNDAY SAIL MARLBOROUGH SAUV BLANC</t>
  </si>
  <si>
    <t>THE BARREL HUNTER CORPORATION</t>
  </si>
  <si>
    <t>206210</t>
  </si>
  <si>
    <t>9421901182038</t>
  </si>
  <si>
    <t>14529</t>
  </si>
  <si>
    <t>THE NED SAUVIGNON BLANC</t>
  </si>
  <si>
    <t>MARISCO VINEYARDS LIMITED</t>
  </si>
  <si>
    <t>9414416305528</t>
  </si>
  <si>
    <t>7097</t>
  </si>
  <si>
    <t>VILLA MARIA PRIVATE BIN SAUVIGNON BLANC</t>
  </si>
  <si>
    <t>9418579070057</t>
  </si>
  <si>
    <t>45805</t>
  </si>
  <si>
    <t>WHITEHAVEN MARLBOROUGH PINOT GRIS</t>
  </si>
  <si>
    <t>9418579070019</t>
  </si>
  <si>
    <t>15329</t>
  </si>
  <si>
    <t>WHITEHAVEN SAUVIGNON BLANC</t>
  </si>
  <si>
    <t>WHITEHAVEN WINERY</t>
  </si>
  <si>
    <t>Wines - Table - Portugal -  -  - Red</t>
  </si>
  <si>
    <t>SOGRAPE VINHOS DE PORTUGAL</t>
  </si>
  <si>
    <t>739949026320</t>
  </si>
  <si>
    <t>30585</t>
  </si>
  <si>
    <t>SILK &amp; SPICE RED BLEND</t>
  </si>
  <si>
    <t>5601012008579</t>
  </si>
  <si>
    <t>44163</t>
  </si>
  <si>
    <t>SILK &amp; SPICE ROAD INTENSE RED BLEND</t>
  </si>
  <si>
    <t>Wines - Table - Portugal -  -  - White</t>
  </si>
  <si>
    <t>5601096208308</t>
  </si>
  <si>
    <t>25364</t>
  </si>
  <si>
    <t>AVELEDA CASAL GARCIA VINHO VERDE</t>
  </si>
  <si>
    <t>AVELEDA SA</t>
  </si>
  <si>
    <t>5601096213333</t>
  </si>
  <si>
    <t>1815</t>
  </si>
  <si>
    <t>AVELEDA FONTE VINHO VERDE</t>
  </si>
  <si>
    <t>5601012008562</t>
  </si>
  <si>
    <t>40346</t>
  </si>
  <si>
    <t>SILK &amp; SPICE WHITE BLEND</t>
  </si>
  <si>
    <t>Wines - Table - Portugal -  - DOC-Denominacao De Origem Controlada - Red</t>
  </si>
  <si>
    <t>764793351304</t>
  </si>
  <si>
    <t>24354</t>
  </si>
  <si>
    <t>CASAL GARCIA RED DOC</t>
  </si>
  <si>
    <t>5601157210714</t>
  </si>
  <si>
    <t>42715</t>
  </si>
  <si>
    <t>CATEDRAL DOC DAO RESERVA RED</t>
  </si>
  <si>
    <t>ENOPORT WINES</t>
  </si>
  <si>
    <t>Wines - Table - Portugal -  - DOC-Denominacao De Origem Controlada - White</t>
  </si>
  <si>
    <t>5601012045505</t>
  </si>
  <si>
    <t>6415</t>
  </si>
  <si>
    <t>GAZELA VINHO VERDE</t>
  </si>
  <si>
    <t>Wines - Table - Portugal -  - VDM - Rose Blush</t>
  </si>
  <si>
    <t>5601012011500</t>
  </si>
  <si>
    <t>3053</t>
  </si>
  <si>
    <t>MATEUS ROSE-SOGRAPE</t>
  </si>
  <si>
    <t>Wines - Table - Portugal -  - DOCa/DOQ - White</t>
  </si>
  <si>
    <t>5601012011920</t>
  </si>
  <si>
    <t>47358</t>
  </si>
  <si>
    <t>PAPA FIGOS BRANCO</t>
  </si>
  <si>
    <t>Wines - Table - South Africa -  -  - Red</t>
  </si>
  <si>
    <t>755738000975</t>
  </si>
  <si>
    <t>18157</t>
  </si>
  <si>
    <t>JAM JAR SWEET SHIRAZ</t>
  </si>
  <si>
    <t>CAPE CLASSICS</t>
  </si>
  <si>
    <t>746925000564</t>
  </si>
  <si>
    <t>10875</t>
  </si>
  <si>
    <t>THE WOLFTRAP RED</t>
  </si>
  <si>
    <t>BOEKENHOUTSKLOOF WINERY</t>
  </si>
  <si>
    <t>6001108001085</t>
  </si>
  <si>
    <t>5421</t>
  </si>
  <si>
    <t>TWO OCEANS SHIRAZ</t>
  </si>
  <si>
    <t>TWO OCEANS WINERY</t>
  </si>
  <si>
    <t>Wines - Table - South Africa -  -  - White</t>
  </si>
  <si>
    <t>6001506900355</t>
  </si>
  <si>
    <t>17621</t>
  </si>
  <si>
    <t>THE BEACHHOUSE WHITE</t>
  </si>
  <si>
    <t>DGB BELLINGHAM INTERNATIONAL</t>
  </si>
  <si>
    <t>6001108059352</t>
  </si>
  <si>
    <t>23712</t>
  </si>
  <si>
    <t>TWO OCEANS MOSCATO</t>
  </si>
  <si>
    <t>6001108002433</t>
  </si>
  <si>
    <t>26805</t>
  </si>
  <si>
    <t>TWO OCEANS SAUVIGNON BLANC</t>
  </si>
  <si>
    <t>Wines - Table - South Africa - Paarl -  - Red</t>
  </si>
  <si>
    <t>6002291000435</t>
  </si>
  <si>
    <t>5853</t>
  </si>
  <si>
    <t>GOATS DO ROAM RED</t>
  </si>
  <si>
    <t>FAIRVIEW WINES</t>
  </si>
  <si>
    <t>748294044149</t>
  </si>
  <si>
    <t>3525</t>
  </si>
  <si>
    <t>KWV PAARL ROODEBERG</t>
  </si>
  <si>
    <t>6001452301862</t>
  </si>
  <si>
    <t>NEDERBURG THE WINEMASTERS CAB SAUVIGNON</t>
  </si>
  <si>
    <t>STELLENBOSCH FARMERS WINERY</t>
  </si>
  <si>
    <t>Wines - Table - South Africa - Stellenbosch -  - Red</t>
  </si>
  <si>
    <t>6009880016211</t>
  </si>
  <si>
    <t>44711</t>
  </si>
  <si>
    <t>CAPE FYNBOS WILD BOUQUET SHIRAZ</t>
  </si>
  <si>
    <t>THE GRAPE GRINDER PTY LTD</t>
  </si>
  <si>
    <t>6001108069764</t>
  </si>
  <si>
    <t>20810</t>
  </si>
  <si>
    <t>INCEPTION DEEP LAYERED RED</t>
  </si>
  <si>
    <t>DISTELL WINES &amp; SPIRITS (CANADA) INC</t>
  </si>
  <si>
    <t>6001497600579</t>
  </si>
  <si>
    <t>1629</t>
  </si>
  <si>
    <t>TWO OCEANS CABERNET SAUVIGNON MERLOT</t>
  </si>
  <si>
    <t>Wines - Table - South Africa - Stellenbosch -  - White</t>
  </si>
  <si>
    <t>6001108045102</t>
  </si>
  <si>
    <t>15658</t>
  </si>
  <si>
    <t>TWO OCEANS PINOT GRIGIO</t>
  </si>
  <si>
    <t>6001497600616</t>
  </si>
  <si>
    <t>3972</t>
  </si>
  <si>
    <t>Wines - Table - South Africa - Swartland Tulbagh -  - White</t>
  </si>
  <si>
    <t>6009880016716</t>
  </si>
  <si>
    <t>47353</t>
  </si>
  <si>
    <t>CAPE FYNBOS CHENIN BLANC</t>
  </si>
  <si>
    <t>00626990086017</t>
  </si>
  <si>
    <t>27805</t>
  </si>
  <si>
    <t>WILD OLIVE OLD VINE CHENIN BLANC</t>
  </si>
  <si>
    <t>Wines - Table - Spain -  -  - Rose Blush</t>
  </si>
  <si>
    <t>010986010405</t>
  </si>
  <si>
    <t>38804</t>
  </si>
  <si>
    <t>CAMPO VIEJO CRISP ROSE</t>
  </si>
  <si>
    <t>VINARCHY SPAIN S A U</t>
  </si>
  <si>
    <t>8410036808501</t>
  </si>
  <si>
    <t>45268</t>
  </si>
  <si>
    <t>FREIXENET STILL SPANISH STILL ROSADO</t>
  </si>
  <si>
    <t>088474008050</t>
  </si>
  <si>
    <t>26597</t>
  </si>
  <si>
    <t>RELAX PINK ROSE</t>
  </si>
  <si>
    <t>Wines - Table - Spain -  -  - Red</t>
  </si>
  <si>
    <t>8421950959668</t>
  </si>
  <si>
    <t>42896</t>
  </si>
  <si>
    <t>BODEGAS MANZANOS EL TOREAU TEMPRANILLO</t>
  </si>
  <si>
    <t>BODEGAS MANZANOS</t>
  </si>
  <si>
    <t>3378630306227</t>
  </si>
  <si>
    <t>23456</t>
  </si>
  <si>
    <t>CASTILLO DE MONSERAN GARNACHA</t>
  </si>
  <si>
    <t>R-WINES</t>
  </si>
  <si>
    <t>817036011791</t>
  </si>
  <si>
    <t>39874</t>
  </si>
  <si>
    <t>EL TOCADOR TEMPRANILLO</t>
  </si>
  <si>
    <t>HAMMEKEN CELLARS</t>
  </si>
  <si>
    <t>8410702046992</t>
  </si>
  <si>
    <t>38379</t>
  </si>
  <si>
    <t>MUCHO MAS RED</t>
  </si>
  <si>
    <t>FELIX SOLIS SA</t>
  </si>
  <si>
    <t>0057496008096</t>
  </si>
  <si>
    <t>24343</t>
  </si>
  <si>
    <t>TORO LOCO TEMPRANILLO</t>
  </si>
  <si>
    <t>Wines - Table - Spain -  - DO - White</t>
  </si>
  <si>
    <t>8437006260459</t>
  </si>
  <si>
    <t>42777</t>
  </si>
  <si>
    <t>ADARAS LLUVIA DO ALMANSA</t>
  </si>
  <si>
    <t>BODEGAS Y VINEDOS VENTA LA VEGA</t>
  </si>
  <si>
    <t>Wines - Table - Spain - Almansa -  - Red</t>
  </si>
  <si>
    <t>8414837341144</t>
  </si>
  <si>
    <t>39319</t>
  </si>
  <si>
    <t>EL ABUELO ORGANIC TEMPRANILLO MONASTRELL</t>
  </si>
  <si>
    <t>BODEGAS PIQUERAS, S.A..</t>
  </si>
  <si>
    <t>Wines - Table - Spain - Almansa -  - White</t>
  </si>
  <si>
    <t>8414837341212</t>
  </si>
  <si>
    <t>39320</t>
  </si>
  <si>
    <t>EL ABUELO ORGANIC VERDEJO SAUV BLANC</t>
  </si>
  <si>
    <t>Wines - Table - Spain - Almansa - DO - Red</t>
  </si>
  <si>
    <t>8414837010118</t>
  </si>
  <si>
    <t>1833</t>
  </si>
  <si>
    <t>CASTILLO DE ALMANSA RESERVA</t>
  </si>
  <si>
    <t>Wines - Table - Spain - Castilla -  - Red</t>
  </si>
  <si>
    <t>8436615100484</t>
  </si>
  <si>
    <t>47355</t>
  </si>
  <si>
    <t>EL TOCADOR CABERNET SAUVIGNON OLD VINES</t>
  </si>
  <si>
    <t>Wines - Table - Spain - Jumilla - AOP - Red</t>
  </si>
  <si>
    <t>8437013527422</t>
  </si>
  <si>
    <t>31125</t>
  </si>
  <si>
    <t>TIME WAITS FOR NO ONE TWO SKULLS</t>
  </si>
  <si>
    <t>FINCA BACARA SL</t>
  </si>
  <si>
    <t>Wines - Table - Spain - Navarra -  - Red</t>
  </si>
  <si>
    <t>8421950966390</t>
  </si>
  <si>
    <t>47354</t>
  </si>
  <si>
    <t>CASTILLO DE ENERIZ NAVARRA GARNACHA</t>
  </si>
  <si>
    <t>Wines - Table - Spain - Ribera Del Duero - DOC-Denominacao De Origem Controlada - Red</t>
  </si>
  <si>
    <t>8410113003508</t>
  </si>
  <si>
    <t>10160</t>
  </si>
  <si>
    <t>TORRES CELESTE DO RIBERA DEL DUERO</t>
  </si>
  <si>
    <t>VINICOLA MIGUEL TORRES LTDA</t>
  </si>
  <si>
    <t>Wines - Table - Spain - Rioja -  - Red</t>
  </si>
  <si>
    <t>022851202013</t>
  </si>
  <si>
    <t>4459</t>
  </si>
  <si>
    <t>MONTECILLO CRIANZA</t>
  </si>
  <si>
    <t>BODEGAS MONTECILLO</t>
  </si>
  <si>
    <t>022851208015</t>
  </si>
  <si>
    <t>7623</t>
  </si>
  <si>
    <t>MONTECILLO RESERVA</t>
  </si>
  <si>
    <t>Wines - Table - Spain - Rioja - DOC-Denominacao De Origem Controlada - Red</t>
  </si>
  <si>
    <t>5060108907132</t>
  </si>
  <si>
    <t>40659</t>
  </si>
  <si>
    <t>ANCIANO NO. 10 RIOJA GRAN RESERVA DOC</t>
  </si>
  <si>
    <t>GUY ANDERSON WINES LTD</t>
  </si>
  <si>
    <t>5060108907125</t>
  </si>
  <si>
    <t>40307</t>
  </si>
  <si>
    <t>ANCIANO NO. 7 RIOJA RESERVA DOC</t>
  </si>
  <si>
    <t>8410302107697</t>
  </si>
  <si>
    <t>25919</t>
  </si>
  <si>
    <t>CAMPO VIEJO RESERVA DOC</t>
  </si>
  <si>
    <t>080175750092</t>
  </si>
  <si>
    <t>29315</t>
  </si>
  <si>
    <t>LA MALDITA GARNACHA</t>
  </si>
  <si>
    <t>VIVANCO</t>
  </si>
  <si>
    <t>Wines - Table - Spain - Rioja - DOCA - Red</t>
  </si>
  <si>
    <t>8410023000390</t>
  </si>
  <si>
    <t>12632</t>
  </si>
  <si>
    <t>BERONIA RESERVA</t>
  </si>
  <si>
    <t>GONZALEZ BYASS SA</t>
  </si>
  <si>
    <t>8410302121006</t>
  </si>
  <si>
    <t>17245</t>
  </si>
  <si>
    <t>CAMPO VIEJO TEMPRANILLO</t>
  </si>
  <si>
    <t>Wines - Table - Spain - Valencia -  - Red</t>
  </si>
  <si>
    <t>8436539760047</t>
  </si>
  <si>
    <t>23675</t>
  </si>
  <si>
    <t>RADIO BOKA TEMPRANILLO</t>
  </si>
  <si>
    <t>8436539761235</t>
  </si>
  <si>
    <t>19481</t>
  </si>
  <si>
    <t>Wines - Table - United States -  -  - Rose Blush</t>
  </si>
  <si>
    <t>669576020562</t>
  </si>
  <si>
    <t>31482</t>
  </si>
  <si>
    <t>DECOY CALIFORNIA ROSE</t>
  </si>
  <si>
    <t>DUCKHORN VINYARDS</t>
  </si>
  <si>
    <t>Wines - Table - United States -  -  - Red</t>
  </si>
  <si>
    <t>1220000071087</t>
  </si>
  <si>
    <t>41001</t>
  </si>
  <si>
    <t>1924 BOURBON BARREL CABERNET SAUVIGNON</t>
  </si>
  <si>
    <t>DELICATO VINEYARDS DBA BLACK STALLION WI</t>
  </si>
  <si>
    <t>0085000030967</t>
  </si>
  <si>
    <t>33205</t>
  </si>
  <si>
    <t>APOTHIC CABERNET SAUVIGNON</t>
  </si>
  <si>
    <t>APOTHIC RED WINERY</t>
  </si>
  <si>
    <t>085000032145</t>
  </si>
  <si>
    <t>38418</t>
  </si>
  <si>
    <t>APOTHIC MERLOT</t>
  </si>
  <si>
    <t>Wines - Table - United States -  -  - White</t>
  </si>
  <si>
    <t>818051021956</t>
  </si>
  <si>
    <t>37633</t>
  </si>
  <si>
    <t>BREAD &amp; BUTTER SAUVIGNON BLANC</t>
  </si>
  <si>
    <t>WINERY EXCHANGE BRANDS</t>
  </si>
  <si>
    <t>081584013105</t>
  </si>
  <si>
    <t>1920</t>
  </si>
  <si>
    <t>KENDALL JACKSON VINTNER'S RESERVE CHARD</t>
  </si>
  <si>
    <t>KENDALL-JACKSON INTERNATIONAL</t>
  </si>
  <si>
    <t>Wines - Table - United States - Ca-Central Coast -  - Red</t>
  </si>
  <si>
    <t>081308001258</t>
  </si>
  <si>
    <t>14176</t>
  </si>
  <si>
    <t>CUPCAKE RED VELVET</t>
  </si>
  <si>
    <t>657891700207</t>
  </si>
  <si>
    <t>6275</t>
  </si>
  <si>
    <t>LIBERTY SCHOOL CABERNET SAUVIGNON</t>
  </si>
  <si>
    <t>TREANA WINERY DBA HOPE FAMILY WINES</t>
  </si>
  <si>
    <t>085000012277</t>
  </si>
  <si>
    <t>7105</t>
  </si>
  <si>
    <t>MIRASSOU CALIFORNIA PINOT NOIR</t>
  </si>
  <si>
    <t>MIRASSOU VINEYARDS</t>
  </si>
  <si>
    <t>5010103913188</t>
  </si>
  <si>
    <t>5603</t>
  </si>
  <si>
    <t>STERLING VINTNER'S COLLECTION CAB SAUV</t>
  </si>
  <si>
    <t>STERLING VINEYARDS</t>
  </si>
  <si>
    <t>088692864025</t>
  </si>
  <si>
    <t>16541</t>
  </si>
  <si>
    <t>STERLING VINTNER'S COLLECTION PINOT NOIR</t>
  </si>
  <si>
    <t>086003061910</t>
  </si>
  <si>
    <t>2061</t>
  </si>
  <si>
    <t>VINT CABERNET  SAUVIGNON</t>
  </si>
  <si>
    <t>WOODBRIDGE WINERY</t>
  </si>
  <si>
    <t>Wines - Table - United States - Ca-Central Coast -  - White</t>
  </si>
  <si>
    <t>999908592077</t>
  </si>
  <si>
    <t>14177</t>
  </si>
  <si>
    <t>CUPCAKE CHARDONNAY</t>
  </si>
  <si>
    <t>089121068823</t>
  </si>
  <si>
    <t>3854</t>
  </si>
  <si>
    <t>J LOHR RIVERSTONE ESTATE CHARDONNAY</t>
  </si>
  <si>
    <t>J. LOHR WINERY</t>
  </si>
  <si>
    <t>5010103913225</t>
  </si>
  <si>
    <t>5601</t>
  </si>
  <si>
    <t>STERLING VINTNER'S COLLECTION CHARDONNAY</t>
  </si>
  <si>
    <t>Wines - Table - United States - Ca-Central Valley -  - Rose Blush</t>
  </si>
  <si>
    <t>085000004852</t>
  </si>
  <si>
    <t>1646</t>
  </si>
  <si>
    <t>CARLO ROSSI CALIFORNIA BLUSH</t>
  </si>
  <si>
    <t>CARLO ROSSI VINEYARDS</t>
  </si>
  <si>
    <t>085000007839</t>
  </si>
  <si>
    <t>4550</t>
  </si>
  <si>
    <t>E&amp;J GALLO RESERVE WHITE ZINFANDEL</t>
  </si>
  <si>
    <t>085000007846</t>
  </si>
  <si>
    <t>4551</t>
  </si>
  <si>
    <t>083120193616</t>
  </si>
  <si>
    <t>4590</t>
  </si>
  <si>
    <t>FRANZIA WINETAP BLUSH</t>
  </si>
  <si>
    <t>FRANZIA</t>
  </si>
  <si>
    <t>Wines - Table - United States - Ca-Central Valley -  - Red</t>
  </si>
  <si>
    <t>085000006986</t>
  </si>
  <si>
    <t>1660</t>
  </si>
  <si>
    <t>CARLO ROSSI CALIFORNIA RED</t>
  </si>
  <si>
    <t>085000006993</t>
  </si>
  <si>
    <t>1661</t>
  </si>
  <si>
    <t>0085000007136</t>
  </si>
  <si>
    <t>6878</t>
  </si>
  <si>
    <t>CARLO ROSSI SANGRIA</t>
  </si>
  <si>
    <t>085000005002</t>
  </si>
  <si>
    <t>1581</t>
  </si>
  <si>
    <t>E&amp;J GALLO FAMILY VINEYARDS CAB SAUVIGNON</t>
  </si>
  <si>
    <t>085000009840</t>
  </si>
  <si>
    <t>3143</t>
  </si>
  <si>
    <t>E&amp;J GALLO MERLOT</t>
  </si>
  <si>
    <t>Wines - Table - United States - Ca-Central Valley -  - White</t>
  </si>
  <si>
    <t>085000007044</t>
  </si>
  <si>
    <t>1665</t>
  </si>
  <si>
    <t>CARLO ROSSI CALIFORNIA WHITE</t>
  </si>
  <si>
    <t>085000007051</t>
  </si>
  <si>
    <t>1666</t>
  </si>
  <si>
    <t>085000007013</t>
  </si>
  <si>
    <t>3818</t>
  </si>
  <si>
    <t>CARLO ROSSI FRUITY WHITE</t>
  </si>
  <si>
    <t>085000005866</t>
  </si>
  <si>
    <t>3957</t>
  </si>
  <si>
    <t>E&amp;J GALLO SAUVIGNON BLANC</t>
  </si>
  <si>
    <t>083120192718</t>
  </si>
  <si>
    <t>1667</t>
  </si>
  <si>
    <t>FRANZIA CALIFORNIA WHITE</t>
  </si>
  <si>
    <t>Wines - Table - United States - Ca-Mendocino &amp; Lake County -  - Red</t>
  </si>
  <si>
    <t>082896780402</t>
  </si>
  <si>
    <t>1555</t>
  </si>
  <si>
    <t>BONTERRA ORGANIC CABERNET SAUVIGNON</t>
  </si>
  <si>
    <t>FETZER VINEYARDS</t>
  </si>
  <si>
    <t>Wines - Table - United States - Ca-Mendocino &amp; Lake County -  - White</t>
  </si>
  <si>
    <t>082896700257</t>
  </si>
  <si>
    <t>2405</t>
  </si>
  <si>
    <t>FETZER GEWURZTRAMINER</t>
  </si>
  <si>
    <t>Wines - Table - United States - Ca-Monterey County -  - Red</t>
  </si>
  <si>
    <t>739958014509</t>
  </si>
  <si>
    <t>6642</t>
  </si>
  <si>
    <t>DIAMOND COLLECTION SILVER LBL PINOT NOIR</t>
  </si>
  <si>
    <t>FRANCIS FORD COPPOLA WINERY</t>
  </si>
  <si>
    <t>082242294935</t>
  </si>
  <si>
    <t>6339</t>
  </si>
  <si>
    <t>GNARLY HEAD OLD VINE ZINFANDEL</t>
  </si>
  <si>
    <t>Wines - Table - United States - Ca-Napa Valley -  - Rose Blush</t>
  </si>
  <si>
    <t>00089819006526</t>
  </si>
  <si>
    <t>4553</t>
  </si>
  <si>
    <t>BERINGER MAIN &amp; VINE WHITE ZINFANDEL</t>
  </si>
  <si>
    <t>Wines - Table - United States - Ca-Napa Valley -  - Red</t>
  </si>
  <si>
    <t>089819721634</t>
  </si>
  <si>
    <t>29043</t>
  </si>
  <si>
    <t>BERINGER BROTHERS RED BLEND</t>
  </si>
  <si>
    <t>BERINGER VINEYARDS</t>
  </si>
  <si>
    <t>089819001705</t>
  </si>
  <si>
    <t>1561</t>
  </si>
  <si>
    <t>BERINGER FOUNDERS' ESTATE CAB SAUVIGNON</t>
  </si>
  <si>
    <t>089819068227</t>
  </si>
  <si>
    <t>8109</t>
  </si>
  <si>
    <t>BERINGER MAIN &amp; VINE CABERNET SAUVIGNON</t>
  </si>
  <si>
    <t>017224712107</t>
  </si>
  <si>
    <t>5501</t>
  </si>
  <si>
    <t>CAYMUS NAPA VALLEY CABERNET SAUV</t>
  </si>
  <si>
    <t>WAGNER FAMILY OF WINE</t>
  </si>
  <si>
    <t>206226</t>
  </si>
  <si>
    <t>739958974001</t>
  </si>
  <si>
    <t>6641</t>
  </si>
  <si>
    <t>DIAMOND COLLECTION BLACK LABEL CLARET</t>
  </si>
  <si>
    <t>083120013129</t>
  </si>
  <si>
    <t>43322</t>
  </si>
  <si>
    <t>FRANZIA CABERNET SAUVIGNON</t>
  </si>
  <si>
    <t>086788888023</t>
  </si>
  <si>
    <t>16235</t>
  </si>
  <si>
    <t>HAHN PINOT NOIR</t>
  </si>
  <si>
    <t>HAHN FAMILY WINES</t>
  </si>
  <si>
    <t>188985000137</t>
  </si>
  <si>
    <t>14744</t>
  </si>
  <si>
    <t>JOEL GOTT 815 CABERNET SAUVIGNON</t>
  </si>
  <si>
    <t>TRINCHERO FAMILY ESTATES</t>
  </si>
  <si>
    <t>010465208903</t>
  </si>
  <si>
    <t>6363</t>
  </si>
  <si>
    <t>JOSEPH PHELPS CABERNET SAUVIGNON</t>
  </si>
  <si>
    <t>JOSEPH PHELPS VINEYARDS</t>
  </si>
  <si>
    <t>099988071294</t>
  </si>
  <si>
    <t>21314</t>
  </si>
  <si>
    <t>MENAGE A TROIS MIDNIGHT</t>
  </si>
  <si>
    <t>099988071096</t>
  </si>
  <si>
    <t>7100</t>
  </si>
  <si>
    <t>MENAGE A TROIS RED BLEND</t>
  </si>
  <si>
    <t>99988071362</t>
  </si>
  <si>
    <t>24586</t>
  </si>
  <si>
    <t>MENAGE A TROIS SILK</t>
  </si>
  <si>
    <t>753604062188</t>
  </si>
  <si>
    <t>37549</t>
  </si>
  <si>
    <t>OPUS ONE 2018</t>
  </si>
  <si>
    <t>OPUS ONE</t>
  </si>
  <si>
    <t>206302</t>
  </si>
  <si>
    <t>753604062195</t>
  </si>
  <si>
    <t>39844</t>
  </si>
  <si>
    <t>OPUS ONE 2019</t>
  </si>
  <si>
    <t>089819045853</t>
  </si>
  <si>
    <t>11929</t>
  </si>
  <si>
    <t>STAGS' LEAP PETITE SYRAH</t>
  </si>
  <si>
    <t>STAGS' LEAP WINERY</t>
  </si>
  <si>
    <t>082100738519</t>
  </si>
  <si>
    <t>22725</t>
  </si>
  <si>
    <t>THE DREAMING TREE CABERNET SAUVIGNON</t>
  </si>
  <si>
    <t>859369001537</t>
  </si>
  <si>
    <t>11269</t>
  </si>
  <si>
    <t>THE PRISONER RED BLEND</t>
  </si>
  <si>
    <t>ROBERT MONDAVI WINERY</t>
  </si>
  <si>
    <t>086003000094</t>
  </si>
  <si>
    <t>4617</t>
  </si>
  <si>
    <t>WOODBRIDGE CABERNET SAUVIGNON</t>
  </si>
  <si>
    <t>086003000490</t>
  </si>
  <si>
    <t>4619</t>
  </si>
  <si>
    <t>WOODBRIDGE MERLOT</t>
  </si>
  <si>
    <t>Wines - Table - United States - Ca-Napa Valley -  - White</t>
  </si>
  <si>
    <t>012354008113</t>
  </si>
  <si>
    <t>41691</t>
  </si>
  <si>
    <t>19 CRIMES CALI BLANC</t>
  </si>
  <si>
    <t>Treasury Wine Estates Americas Company</t>
  </si>
  <si>
    <t>089819001712</t>
  </si>
  <si>
    <t>10598</t>
  </si>
  <si>
    <t>BERINGER MAIN &amp; VINE CHARDONNAY</t>
  </si>
  <si>
    <t>089819760091</t>
  </si>
  <si>
    <t>7109</t>
  </si>
  <si>
    <t>BERINGER MAIN &amp; VINE PINOT GRIGIO</t>
  </si>
  <si>
    <t>017224850106</t>
  </si>
  <si>
    <t>2086</t>
  </si>
  <si>
    <t>CAYMUS CONUNDRUM WHITE</t>
  </si>
  <si>
    <t>086003001640</t>
  </si>
  <si>
    <t>10201</t>
  </si>
  <si>
    <t>WOODBRIDGE PINOT GRIGIO</t>
  </si>
  <si>
    <t>086003861862</t>
  </si>
  <si>
    <t>4620</t>
  </si>
  <si>
    <t>WOODBRIDGE SAUVIGNON BLANC</t>
  </si>
  <si>
    <t>Wines - Table - United States - Ca-North Coast -  - Red</t>
  </si>
  <si>
    <t>089819711192</t>
  </si>
  <si>
    <t>31677</t>
  </si>
  <si>
    <t>ST HUBERTS THE STAG NORTH COAST CAB SAUV</t>
  </si>
  <si>
    <t>Wines - Table - United States - Ca-Other -  - Rose Blush</t>
  </si>
  <si>
    <t>012354005006</t>
  </si>
  <si>
    <t>36021</t>
  </si>
  <si>
    <t>19 CRIMES CALI ROSE</t>
  </si>
  <si>
    <t>085000020456</t>
  </si>
  <si>
    <t>18456</t>
  </si>
  <si>
    <t>BAREFOOT CELLARS PINK MOSCATO</t>
  </si>
  <si>
    <t>BAREFOOT CELLARS WINERY</t>
  </si>
  <si>
    <t>018341751062</t>
  </si>
  <si>
    <t>9752</t>
  </si>
  <si>
    <t>BAREFOOT CELLARS WHITE ZINFANDEL</t>
  </si>
  <si>
    <t>818051021611</t>
  </si>
  <si>
    <t>32121</t>
  </si>
  <si>
    <t>BREAD &amp; BUTTER ROSE</t>
  </si>
  <si>
    <t>082242014373</t>
  </si>
  <si>
    <t>33677</t>
  </si>
  <si>
    <t>DELICATO BOTA BOX ROSE</t>
  </si>
  <si>
    <t>031259001043</t>
  </si>
  <si>
    <t>35446</t>
  </si>
  <si>
    <t>JOSH CELLARS ROSE</t>
  </si>
  <si>
    <t>Ray's Station Winery was Grove St Winery</t>
  </si>
  <si>
    <t>0085000029084</t>
  </si>
  <si>
    <t>31676</t>
  </si>
  <si>
    <t>LONGSHOT ROSE</t>
  </si>
  <si>
    <t>083120014973</t>
  </si>
  <si>
    <t>45267</t>
  </si>
  <si>
    <t>THE DREAMING TREE ROSE</t>
  </si>
  <si>
    <t>063657044674</t>
  </si>
  <si>
    <t>41345</t>
  </si>
  <si>
    <t>TOM GORE ROSE</t>
  </si>
  <si>
    <t>Wines - Table - United States - Ca-Other -  - Red</t>
  </si>
  <si>
    <t>012354004290</t>
  </si>
  <si>
    <t>34437</t>
  </si>
  <si>
    <t>19 CRIMES CALI RED</t>
  </si>
  <si>
    <t>652935100012</t>
  </si>
  <si>
    <t>6583</t>
  </si>
  <si>
    <t>7 DEADLY ZINS</t>
  </si>
  <si>
    <t>0085000021545</t>
  </si>
  <si>
    <t>23793</t>
  </si>
  <si>
    <t>APOTHIC CRUSH</t>
  </si>
  <si>
    <t>085000022863</t>
  </si>
  <si>
    <t>20915</t>
  </si>
  <si>
    <t>APOTHIC DARK</t>
  </si>
  <si>
    <t>085000017746</t>
  </si>
  <si>
    <t>12591</t>
  </si>
  <si>
    <t>APOTHIC RED</t>
  </si>
  <si>
    <t>85000090922</t>
  </si>
  <si>
    <t>29042</t>
  </si>
  <si>
    <t>018341751017</t>
  </si>
  <si>
    <t>6663</t>
  </si>
  <si>
    <t>BAREFOOT CELLARS CABERNET SAUVIGNON</t>
  </si>
  <si>
    <t>018341751109</t>
  </si>
  <si>
    <t>6660</t>
  </si>
  <si>
    <t>BAREFOOT CELLARS MERLOT</t>
  </si>
  <si>
    <t>085000019894</t>
  </si>
  <si>
    <t>24409</t>
  </si>
  <si>
    <t>BAREFOOT CELLARS RED MOSCATO</t>
  </si>
  <si>
    <t>018341751130</t>
  </si>
  <si>
    <t>6665</t>
  </si>
  <si>
    <t>BAREFOOT CELLARS SHIRAZ</t>
  </si>
  <si>
    <t>089819001972</t>
  </si>
  <si>
    <t>3678</t>
  </si>
  <si>
    <t>BERINGER FOUNDERS' ESTATE PINOT NOIR</t>
  </si>
  <si>
    <t>089819003471</t>
  </si>
  <si>
    <t>7143</t>
  </si>
  <si>
    <t>BERINGER KNIGHTS VALLEY CAB SAUVIGNON</t>
  </si>
  <si>
    <t>082242010450</t>
  </si>
  <si>
    <t>14720</t>
  </si>
  <si>
    <t>BOTA BOX CABERNET SAUVIGNON</t>
  </si>
  <si>
    <t>818051020744</t>
  </si>
  <si>
    <t>32119</t>
  </si>
  <si>
    <t>BREAD &amp; BUTTER CABERNET SAUVIGNON</t>
  </si>
  <si>
    <t>818051022311</t>
  </si>
  <si>
    <t>41705</t>
  </si>
  <si>
    <t>BREAD &amp; BUTTER MERLOT</t>
  </si>
  <si>
    <t>850832004277</t>
  </si>
  <si>
    <t>32021</t>
  </si>
  <si>
    <t>BREAD &amp; BUTTER PINOT NOIR</t>
  </si>
  <si>
    <t>085000020425</t>
  </si>
  <si>
    <t>20034</t>
  </si>
  <si>
    <t>CARNIVOR CABERNET SAUVIGNON</t>
  </si>
  <si>
    <t>017224760108</t>
  </si>
  <si>
    <t>21141</t>
  </si>
  <si>
    <t>CAYMUS CONUNDRUM RED</t>
  </si>
  <si>
    <t>082242017558</t>
  </si>
  <si>
    <t>16630</t>
  </si>
  <si>
    <t>DELICATO BOTA BOX MERLOT</t>
  </si>
  <si>
    <t>669576019269</t>
  </si>
  <si>
    <t>10667</t>
  </si>
  <si>
    <t>DUCKHORN DECOY CABERNET SAUVIGNON</t>
  </si>
  <si>
    <t>857744001318</t>
  </si>
  <si>
    <t>23999</t>
  </si>
  <si>
    <t>JOSH CELLARS CABERNET SAUVIGNON</t>
  </si>
  <si>
    <t>857744011157</t>
  </si>
  <si>
    <t>34075</t>
  </si>
  <si>
    <t>JOSH CELLARS MERLOT</t>
  </si>
  <si>
    <t>729188943007</t>
  </si>
  <si>
    <t>23862</t>
  </si>
  <si>
    <t>LAKE SONOMA CABERNET SAUVIGNON</t>
  </si>
  <si>
    <t>WEST COAST WINE PARTNERS</t>
  </si>
  <si>
    <t>896599002088</t>
  </si>
  <si>
    <t>14457</t>
  </si>
  <si>
    <t>LAYER CAKE CABERNET SAUVIGNON</t>
  </si>
  <si>
    <t>0085000020302</t>
  </si>
  <si>
    <t>28525</t>
  </si>
  <si>
    <t>LONGSHOT CABERNET SAUVIGNON</t>
  </si>
  <si>
    <t>812949024913</t>
  </si>
  <si>
    <t>34014</t>
  </si>
  <si>
    <t>LOST POET RED BLEND</t>
  </si>
  <si>
    <t>WINC WINE COMPANY</t>
  </si>
  <si>
    <t>859551001383</t>
  </si>
  <si>
    <t>26256</t>
  </si>
  <si>
    <t>MATCHBOOK CABERNET SAUVIGNON</t>
  </si>
  <si>
    <t>MATCHBOOK WINE CO</t>
  </si>
  <si>
    <t>670580004172</t>
  </si>
  <si>
    <t>9405</t>
  </si>
  <si>
    <t>MCMANIS CABERNET SAUVIGNON</t>
  </si>
  <si>
    <t>McMANIS FAMILY VINEYARDS</t>
  </si>
  <si>
    <t>086003251359</t>
  </si>
  <si>
    <t>43997</t>
  </si>
  <si>
    <t>MEIOMI BRIGHT PINOT NOIR</t>
  </si>
  <si>
    <t>086003251274</t>
  </si>
  <si>
    <t>37104</t>
  </si>
  <si>
    <t>MEIOMI CABERNET SAUVIGNON</t>
  </si>
  <si>
    <t>083722870045</t>
  </si>
  <si>
    <t>9477</t>
  </si>
  <si>
    <t>MURPHY GOODE CABERNET SAUVIGNON</t>
  </si>
  <si>
    <t>MURPHY GOODE WINERY</t>
  </si>
  <si>
    <t>082242280433</t>
  </si>
  <si>
    <t>13498</t>
  </si>
  <si>
    <t>NOBLE VINES 337 CABERNET SAUVIGNON</t>
  </si>
  <si>
    <t>0085000023105</t>
  </si>
  <si>
    <t>26838</t>
  </si>
  <si>
    <t>PROPHECY PINOT NOIR</t>
  </si>
  <si>
    <t>715826102967</t>
  </si>
  <si>
    <t>9915</t>
  </si>
  <si>
    <t>RAVENSWOOD LODI OLD VINES ZINFANDEL</t>
  </si>
  <si>
    <t>RAVENSWOOD WINERY</t>
  </si>
  <si>
    <t>086003000421</t>
  </si>
  <si>
    <t>14305</t>
  </si>
  <si>
    <t>ROBERT MONDAVI PRIVATE SELECTION MERLOT</t>
  </si>
  <si>
    <t>0710909760102</t>
  </si>
  <si>
    <t>34257</t>
  </si>
  <si>
    <t>SEA SUN PINOT NOIR</t>
  </si>
  <si>
    <t>081308003535</t>
  </si>
  <si>
    <t>35212</t>
  </si>
  <si>
    <t>SLOW PRESS CABERNET SAUVIGNON</t>
  </si>
  <si>
    <t>017444000701</t>
  </si>
  <si>
    <t>16328</t>
  </si>
  <si>
    <t>SMOKING LOON CABERNET SAUVIGNON</t>
  </si>
  <si>
    <t>DON  &amp; SONS</t>
  </si>
  <si>
    <t>017444000862</t>
  </si>
  <si>
    <t>23907</t>
  </si>
  <si>
    <t>SMOKING LOON OLD VINE ZINFANDEL</t>
  </si>
  <si>
    <t>089636460006</t>
  </si>
  <si>
    <t>1620</t>
  </si>
  <si>
    <t>SOUTHERN HILLS CABERNET SAUVIGNON</t>
  </si>
  <si>
    <t>WENTE VINEYARDS</t>
  </si>
  <si>
    <t>083120003595</t>
  </si>
  <si>
    <t>27551</t>
  </si>
  <si>
    <t>STAVE &amp; STEEL CABERNET SAUVIGNON</t>
  </si>
  <si>
    <t>628176930077</t>
  </si>
  <si>
    <t>43327</t>
  </si>
  <si>
    <t>STEL + MAR LODI CABERNET SAUVIGNON</t>
  </si>
  <si>
    <t>SHEEP BLACK WINE USA</t>
  </si>
  <si>
    <t>082100738533</t>
  </si>
  <si>
    <t>15975</t>
  </si>
  <si>
    <t>THE DREAMING TREE CRUSH</t>
  </si>
  <si>
    <t>894509060005</t>
  </si>
  <si>
    <t>7101</t>
  </si>
  <si>
    <t>THE SHOW CABERNET SAUVIGNON</t>
  </si>
  <si>
    <t>1220000070394</t>
  </si>
  <si>
    <t>37425</t>
  </si>
  <si>
    <t>THREE FINGERED JACK CAB SAUVIGNON</t>
  </si>
  <si>
    <t>894509008809</t>
  </si>
  <si>
    <t>25533</t>
  </si>
  <si>
    <t>THREE THIEVES CABERNET SAUVIGNON</t>
  </si>
  <si>
    <t>86003248007</t>
  </si>
  <si>
    <t>24094</t>
  </si>
  <si>
    <t>TOM GORE CABERNET SAUVIGNON</t>
  </si>
  <si>
    <t>063657044667</t>
  </si>
  <si>
    <t>41797</t>
  </si>
  <si>
    <t>TOM GORE FARMERS BLEND</t>
  </si>
  <si>
    <t>063657045084</t>
  </si>
  <si>
    <t>43326</t>
  </si>
  <si>
    <t>TOM GORE PINOT NOIR</t>
  </si>
  <si>
    <t>056049133032</t>
  </si>
  <si>
    <t>23822</t>
  </si>
  <si>
    <t>080720963038</t>
  </si>
  <si>
    <t>22476</t>
  </si>
  <si>
    <t>WOODWORK CABERNET SAUVIGNON</t>
  </si>
  <si>
    <t>DIAGEO CHATEAU &amp; ESTATE WINES</t>
  </si>
  <si>
    <t>Wines - Table - United States - Ca-Other -  - White</t>
  </si>
  <si>
    <t>085000035405</t>
  </si>
  <si>
    <t>41377</t>
  </si>
  <si>
    <t>APOTHIC CHARDONNAY</t>
  </si>
  <si>
    <t>085000019733</t>
  </si>
  <si>
    <t>16244</t>
  </si>
  <si>
    <t>APOTHIC WHITE</t>
  </si>
  <si>
    <t>085000016688</t>
  </si>
  <si>
    <t>8488</t>
  </si>
  <si>
    <t>BAREFOOT CELLARS MOSCATO</t>
  </si>
  <si>
    <t>085000014448</t>
  </si>
  <si>
    <t>6664</t>
  </si>
  <si>
    <t>BAREFOOT CELLARS PINOT GRIGIO</t>
  </si>
  <si>
    <t>085000015810</t>
  </si>
  <si>
    <t>15550</t>
  </si>
  <si>
    <t>BAREFOOT CELLARS RIESLING</t>
  </si>
  <si>
    <t>850832004260</t>
  </si>
  <si>
    <t>30848</t>
  </si>
  <si>
    <t>BREAD &amp; BUTTER CHARDONNAY</t>
  </si>
  <si>
    <t>818051023448</t>
  </si>
  <si>
    <t>43321</t>
  </si>
  <si>
    <t>BREAD &amp; BUTTER SLICED CHARDONNAY</t>
  </si>
  <si>
    <t>082242013253</t>
  </si>
  <si>
    <t>14719</t>
  </si>
  <si>
    <t>DELICATO BOTA BOX PINOT GRIGIO</t>
  </si>
  <si>
    <t>188985000038</t>
  </si>
  <si>
    <t>12774</t>
  </si>
  <si>
    <t>JOEL GOTT UNOAKED CHARDONNAY</t>
  </si>
  <si>
    <t>857744001325</t>
  </si>
  <si>
    <t>28663</t>
  </si>
  <si>
    <t>JOSH CELLARS CHARDONNAY</t>
  </si>
  <si>
    <t>031259001456</t>
  </si>
  <si>
    <t>35443</t>
  </si>
  <si>
    <t>JOSH CELLARS PINOT GRIGIO</t>
  </si>
  <si>
    <t>0085000027424</t>
  </si>
  <si>
    <t>28526</t>
  </si>
  <si>
    <t>LONGSHOT PINOT GRIGIO</t>
  </si>
  <si>
    <t>855165005779</t>
  </si>
  <si>
    <t>23413</t>
  </si>
  <si>
    <t>MEIOMI CHARDONNAY</t>
  </si>
  <si>
    <t>017444000787</t>
  </si>
  <si>
    <t>32042</t>
  </si>
  <si>
    <t>SMOKING LOON PINOT GRIGIO</t>
  </si>
  <si>
    <t>894509008748</t>
  </si>
  <si>
    <t>34020</t>
  </si>
  <si>
    <t>THREE THIEVES PINOT GRIGIO</t>
  </si>
  <si>
    <t>086003248038</t>
  </si>
  <si>
    <t>29425</t>
  </si>
  <si>
    <t>TOM GORE SAUVIGNON BLANC</t>
  </si>
  <si>
    <t>Wines - Table - United States - Ca-Paso Robels -  - Red</t>
  </si>
  <si>
    <t>089121288122</t>
  </si>
  <si>
    <t>1550</t>
  </si>
  <si>
    <t>J LOHR PASO ROBLES SEVEN OAKS CAB SAUV</t>
  </si>
  <si>
    <t>Wines - Table - United States - Ca-Sonoma County -  - Red</t>
  </si>
  <si>
    <t>188985000120</t>
  </si>
  <si>
    <t>12350</t>
  </si>
  <si>
    <t>JOEL GOTT ZINFANDEL</t>
  </si>
  <si>
    <t>085000011638</t>
  </si>
  <si>
    <t>13430</t>
  </si>
  <si>
    <t>LOUIS M MARTINI SONOMA CAB SAUV</t>
  </si>
  <si>
    <t>LOUIS M MARTINI WINERY</t>
  </si>
  <si>
    <t>855165005076</t>
  </si>
  <si>
    <t>8703</t>
  </si>
  <si>
    <t>MEIOMI PINOT NOIR</t>
  </si>
  <si>
    <t>715826101908</t>
  </si>
  <si>
    <t>4649</t>
  </si>
  <si>
    <t>RAVENSWOOD VINTNERS BLEND ZINFANDEL</t>
  </si>
  <si>
    <t>087512929685</t>
  </si>
  <si>
    <t>24706</t>
  </si>
  <si>
    <t>RODNEY STRONG ALEXANDER CAB SAUV</t>
  </si>
  <si>
    <t>RODNEY STRONG VINEYARDS</t>
  </si>
  <si>
    <t>087512927957</t>
  </si>
  <si>
    <t>10944</t>
  </si>
  <si>
    <t>RODNEY STRONG RUSSIAN RIVER PINOT NOIR</t>
  </si>
  <si>
    <t>087512912359</t>
  </si>
  <si>
    <t>6424</t>
  </si>
  <si>
    <t>RODNEY STRONG VINEYARDS CAB SAUVIGNON</t>
  </si>
  <si>
    <t>088534001380</t>
  </si>
  <si>
    <t>6008</t>
  </si>
  <si>
    <t>ST FRANCIS SONOMA CABERNET SAUVIGNON</t>
  </si>
  <si>
    <t>ST FRANCIS WINERY &amp; Vineyard, LP</t>
  </si>
  <si>
    <t>Wines - Table - United States - Ca-Sonoma County -  - White</t>
  </si>
  <si>
    <t>049331002222</t>
  </si>
  <si>
    <t>8702</t>
  </si>
  <si>
    <t>LA CREMA SONOMA COAST CHARDONNAY</t>
  </si>
  <si>
    <t>LA CREMA WINERY</t>
  </si>
  <si>
    <t>Wines - Table - United States - Ca-Southern California -  - Red</t>
  </si>
  <si>
    <t>017224710202</t>
  </si>
  <si>
    <t>31414</t>
  </si>
  <si>
    <t>BONANZA CABERNET SAUVIGNON</t>
  </si>
  <si>
    <t>031259004327</t>
  </si>
  <si>
    <t>37455</t>
  </si>
  <si>
    <t>JOSH CELLARS CAB-SAUV RES BOURBON AGE</t>
  </si>
  <si>
    <t>086003278028</t>
  </si>
  <si>
    <t>36791</t>
  </si>
  <si>
    <t>UNSHACKLED CABERNET SAUVINGON</t>
  </si>
  <si>
    <t>Wines - Table - United States - Washington State -  - Red</t>
  </si>
  <si>
    <t>184745000195</t>
  </si>
  <si>
    <t>9698</t>
  </si>
  <si>
    <t>CHARLES SMITH THE VELVET DEVIL MERLOT</t>
  </si>
  <si>
    <t>ACKLEY BRANDS LTD</t>
  </si>
  <si>
    <t>088586601835</t>
  </si>
  <si>
    <t>6296</t>
  </si>
  <si>
    <t>CHATEAU STE MICHELLE COLUMBIA VALLEY CAB</t>
  </si>
  <si>
    <t>STE MICHELLE WINE ESTATES</t>
  </si>
  <si>
    <t>00088586003448</t>
  </si>
  <si>
    <t>13574</t>
  </si>
  <si>
    <t>COLUMBIA CREST H3 CABERNET SAUVIGNON</t>
  </si>
  <si>
    <t>COLUMBIA CREST WINERY</t>
  </si>
  <si>
    <t>669576030042</t>
  </si>
  <si>
    <t>34826</t>
  </si>
  <si>
    <t>GREENWING COLUMBIA VALLEY CAB SAUV</t>
  </si>
  <si>
    <t>WILD CAPE LIQUEURS</t>
  </si>
  <si>
    <t>776545501387</t>
  </si>
  <si>
    <t>40644</t>
  </si>
  <si>
    <t>LOST PEAK CABERNET SAUVIGNON</t>
  </si>
  <si>
    <t>88586009310</t>
  </si>
  <si>
    <t>30497</t>
  </si>
  <si>
    <t>MERF CABERNET SAUVIGNON</t>
  </si>
  <si>
    <t>184745003004</t>
  </si>
  <si>
    <t>41476</t>
  </si>
  <si>
    <t>WINES OF SUBSTANCE CABERNET SAUVIGNON</t>
  </si>
  <si>
    <t>O'NEILL VINTNERS &amp; DISTILLERS</t>
  </si>
  <si>
    <t>Wines - Table - United States - Washington State -  - White</t>
  </si>
  <si>
    <t>088586603846</t>
  </si>
  <si>
    <t>19146</t>
  </si>
  <si>
    <t>CHATEAU STE MICHELLE CHARDONNAY</t>
  </si>
  <si>
    <t>088586621840</t>
  </si>
  <si>
    <t>9671</t>
  </si>
  <si>
    <t>CHATEAU STE MICHELLE COLUMBIA RIESLING</t>
  </si>
  <si>
    <t>Wines - Sparkling - Canada - British Columbia -  - White</t>
  </si>
  <si>
    <t>063657001141</t>
  </si>
  <si>
    <t>1483</t>
  </si>
  <si>
    <t>BRIGHTS SPUMANTE BAMBINO</t>
  </si>
  <si>
    <t>Wines - Sparkling - Canada - Ontario -  - Red</t>
  </si>
  <si>
    <t>048162000049</t>
  </si>
  <si>
    <t>1093</t>
  </si>
  <si>
    <t>ANDRES BABY DUCK</t>
  </si>
  <si>
    <t>048162000971</t>
  </si>
  <si>
    <t>1094</t>
  </si>
  <si>
    <t>Wines - Sparkling - Canada - Ontario -  - White</t>
  </si>
  <si>
    <t>048162001046</t>
  </si>
  <si>
    <t>1091</t>
  </si>
  <si>
    <t>ANDRES BABY CANADIAN SPARKLING WINE</t>
  </si>
  <si>
    <t>048162001053</t>
  </si>
  <si>
    <t>1092</t>
  </si>
  <si>
    <t>058976070015</t>
  </si>
  <si>
    <t>7157</t>
  </si>
  <si>
    <t>PELLER LA SCALA SPUMANTE</t>
  </si>
  <si>
    <t>058976072019</t>
  </si>
  <si>
    <t>7158</t>
  </si>
  <si>
    <t>048162019614</t>
  </si>
  <si>
    <t>43754</t>
  </si>
  <si>
    <t>PELLER VINEYARDS SPARKLING PINOT GRIGIO</t>
  </si>
  <si>
    <t>Wines - Sparkling - Canada - Ontario - VQA - Rose Blush</t>
  </si>
  <si>
    <t>777081729358</t>
  </si>
  <si>
    <t>46041</t>
  </si>
  <si>
    <t>PELEE ISLAND LOLA LIGHT ROSE VQA</t>
  </si>
  <si>
    <t>777081228745</t>
  </si>
  <si>
    <t>37000</t>
  </si>
  <si>
    <t>PELEE ISLAND LOLA ROSE VQA</t>
  </si>
  <si>
    <t>250</t>
  </si>
  <si>
    <t>777081726746</t>
  </si>
  <si>
    <t>26467</t>
  </si>
  <si>
    <t>Wines - Sparkling - Canada - Ontario - VQA - White</t>
  </si>
  <si>
    <t>727530561350</t>
  </si>
  <si>
    <t>29560</t>
  </si>
  <si>
    <t>MAGNOTTA STARLIGHT SPARKLING VQA</t>
  </si>
  <si>
    <t>MAGNOTTA WINERY.</t>
  </si>
  <si>
    <t>670459010334</t>
  </si>
  <si>
    <t>46044</t>
  </si>
  <si>
    <t>TAWSE SPARK! RIESLING</t>
  </si>
  <si>
    <t>Wines - Sparkling - Australia -  -  - Rose Blush</t>
  </si>
  <si>
    <t>9300272014313</t>
  </si>
  <si>
    <t>29553</t>
  </si>
  <si>
    <t>JACOB'S CREEK SPARKLING MOSCATO ROSE</t>
  </si>
  <si>
    <t>9311471889737</t>
  </si>
  <si>
    <t>16513</t>
  </si>
  <si>
    <t>PASSION POP PINK</t>
  </si>
  <si>
    <t>Wines - Sparkling - Australia -  -  - White</t>
  </si>
  <si>
    <t>9300727839244</t>
  </si>
  <si>
    <t>6197</t>
  </si>
  <si>
    <t>JACOB'S CREEK SPARKLING CHARD PINOT NOIR</t>
  </si>
  <si>
    <t>839743000462</t>
  </si>
  <si>
    <t>7087</t>
  </si>
  <si>
    <t>YELLOW TAIL BUBBLES</t>
  </si>
  <si>
    <t>Wines - Sparkling - France - Champagne -  - Rose Blush</t>
  </si>
  <si>
    <t>3049614003417</t>
  </si>
  <si>
    <t>16512</t>
  </si>
  <si>
    <t>VEUVE CLICQUOT ROSE</t>
  </si>
  <si>
    <t>MHCS</t>
  </si>
  <si>
    <t>Wines - Sparkling - France - Champagne -  - White</t>
  </si>
  <si>
    <t>633438103816</t>
  </si>
  <si>
    <t>3356</t>
  </si>
  <si>
    <t>GH MUMM GRAND CORDON</t>
  </si>
  <si>
    <t>GH MUMM &amp; CO LTD</t>
  </si>
  <si>
    <t>3185370528303</t>
  </si>
  <si>
    <t>3298</t>
  </si>
  <si>
    <t>MOET &amp; CHANDON BRUT IMPERIAL</t>
  </si>
  <si>
    <t>3185370524695</t>
  </si>
  <si>
    <t>3302</t>
  </si>
  <si>
    <t>MOET &amp; CHANDON DOM PERIGNON</t>
  </si>
  <si>
    <t>3185370000397</t>
  </si>
  <si>
    <t>20585</t>
  </si>
  <si>
    <t>MOET &amp; CHANDON NECTAR IMPERIAL BRUT</t>
  </si>
  <si>
    <t>3018333004104</t>
  </si>
  <si>
    <t>3698</t>
  </si>
  <si>
    <t>PIPER  HEIDSIECK BRUT</t>
  </si>
  <si>
    <t>PIPER &amp; CHARLES HEIDSIECK</t>
  </si>
  <si>
    <t>3049610004104</t>
  </si>
  <si>
    <t>4442</t>
  </si>
  <si>
    <t>VEUVE CLICQUOT YELLOW LABEL BRUT</t>
  </si>
  <si>
    <t>Wines - Sparkling - France - Champagne - AOP - White</t>
  </si>
  <si>
    <t>3282946006835</t>
  </si>
  <si>
    <t>40229</t>
  </si>
  <si>
    <t>NICOLAS FEUILLATTE RESERVE EXC BRUT</t>
  </si>
  <si>
    <t>NICOLAS FEUILLATTE</t>
  </si>
  <si>
    <t>Wines - Sparkling - Germany -  -  - Rose Blush</t>
  </si>
  <si>
    <t>4003310012028</t>
  </si>
  <si>
    <t>12789</t>
  </si>
  <si>
    <t>HENKELL TROCKEN BRUT ROSE</t>
  </si>
  <si>
    <t>Henkell &amp; Co. Sektkellerei KG</t>
  </si>
  <si>
    <t>4003310012387</t>
  </si>
  <si>
    <t>14913</t>
  </si>
  <si>
    <t>HENKELL TROCKEN BRUT ROSE PICCOLO</t>
  </si>
  <si>
    <t>600</t>
  </si>
  <si>
    <t>Wines - Sparkling - Germany -  -  - White</t>
  </si>
  <si>
    <t>4022025372036</t>
  </si>
  <si>
    <t>23671</t>
  </si>
  <si>
    <t>BLUE NUN 24 K GOLD EDITION</t>
  </si>
  <si>
    <t>4003310011625</t>
  </si>
  <si>
    <t>2628</t>
  </si>
  <si>
    <t>HENKELL TROCKEN DRY SEC</t>
  </si>
  <si>
    <t>4003310011908</t>
  </si>
  <si>
    <t>7082</t>
  </si>
  <si>
    <t>4003310011700</t>
  </si>
  <si>
    <t>2627</t>
  </si>
  <si>
    <t>HENKELL TROCKEN DRY SEC PICCOLO</t>
  </si>
  <si>
    <t>Wines - Sparkling - Italy -  -  - Rose Blush</t>
  </si>
  <si>
    <t>8410036807634</t>
  </si>
  <si>
    <t>39009</t>
  </si>
  <si>
    <t>FREIXENET ITALIAN ROSE</t>
  </si>
  <si>
    <t>8410036806934</t>
  </si>
  <si>
    <t>30932</t>
  </si>
  <si>
    <t>7630040400732</t>
  </si>
  <si>
    <t>30895</t>
  </si>
  <si>
    <t>MARTINI ROSE</t>
  </si>
  <si>
    <t>816253012406</t>
  </si>
  <si>
    <t>35959</t>
  </si>
  <si>
    <t>MIONETTO PRESTIGE PROSECCO ROSE DOC</t>
  </si>
  <si>
    <t>MIONETTO SPUMANTI SRL SPA</t>
  </si>
  <si>
    <t>Wines - Sparkling - Italy -  -  - White</t>
  </si>
  <si>
    <t>8053904770052</t>
  </si>
  <si>
    <t>30641</t>
  </si>
  <si>
    <t>FIOL PROSECCO</t>
  </si>
  <si>
    <t>3GP S.R.L.</t>
  </si>
  <si>
    <t>0085000022436</t>
  </si>
  <si>
    <t>25288</t>
  </si>
  <si>
    <t>LA MARCA PROSECCO</t>
  </si>
  <si>
    <t>187</t>
  </si>
  <si>
    <t>085000017739</t>
  </si>
  <si>
    <t>12572</t>
  </si>
  <si>
    <t>LA MARCA</t>
  </si>
  <si>
    <t>000570965815</t>
  </si>
  <si>
    <t>3042</t>
  </si>
  <si>
    <t>MARTINI &amp; ROSSI ASTI DOCG</t>
  </si>
  <si>
    <t>000570962050</t>
  </si>
  <si>
    <t>3043</t>
  </si>
  <si>
    <t>011034981043</t>
  </si>
  <si>
    <t>17172</t>
  </si>
  <si>
    <t>MARTINI &amp; ROSSI PROSECCO</t>
  </si>
  <si>
    <t>Wines - Sparkling - Italy -  - DOC-Denominacao De Origem Controlada - White</t>
  </si>
  <si>
    <t>8000020005285</t>
  </si>
  <si>
    <t>10186</t>
  </si>
  <si>
    <t>CINZANO PROSECCO DOC</t>
  </si>
  <si>
    <t>8410036807658</t>
  </si>
  <si>
    <t>39010</t>
  </si>
  <si>
    <t>FREIXENET PROSECCO EXTRA DRY DOC</t>
  </si>
  <si>
    <t>08034097960833</t>
  </si>
  <si>
    <t>28876</t>
  </si>
  <si>
    <t>GIGGLEWATER PROSECCO DOC</t>
  </si>
  <si>
    <t>CA'DI RAJO</t>
  </si>
  <si>
    <t>031259003726</t>
  </si>
  <si>
    <t>38159</t>
  </si>
  <si>
    <t>JOSH CELLARS PROSECCO D.O.C.</t>
  </si>
  <si>
    <t>CANTINE SACCHETTO SRL</t>
  </si>
  <si>
    <t>8001660253487</t>
  </si>
  <si>
    <t>41552</t>
  </si>
  <si>
    <t>KIM CRAWFORD PROSECCO DOC</t>
  </si>
  <si>
    <t>8001660198351</t>
  </si>
  <si>
    <t>21403</t>
  </si>
  <si>
    <t>RUFFINO PROSECCO</t>
  </si>
  <si>
    <t>8002235004091</t>
  </si>
  <si>
    <t>19320</t>
  </si>
  <si>
    <t>ZONIN PROSECCO 1821 DOC</t>
  </si>
  <si>
    <t>CASA VINICOLA ZONIN SPA</t>
  </si>
  <si>
    <t>Wines - Sparkling - Italy -  - DOCG - White</t>
  </si>
  <si>
    <t>8003930001101</t>
  </si>
  <si>
    <t>12730</t>
  </si>
  <si>
    <t>SANTA MARGHERITA PROSECCO SUPERIOR</t>
  </si>
  <si>
    <t>Wines - Sparkling - Italy - Puglia - IGT - White</t>
  </si>
  <si>
    <t>8002550506812</t>
  </si>
  <si>
    <t>36795</t>
  </si>
  <si>
    <t>RIUNITE BUTTERFLY SPARKLING MOSCATO IGT</t>
  </si>
  <si>
    <t>Wines - Sparkling - Italy - Veneto -  - Rose Blush</t>
  </si>
  <si>
    <t>5060753220112</t>
  </si>
  <si>
    <t>37665</t>
  </si>
  <si>
    <t>GIGGLEWATER PROSECCO ROSE</t>
  </si>
  <si>
    <t>085000032442</t>
  </si>
  <si>
    <t>36790</t>
  </si>
  <si>
    <t>LA MARCA ROSE PROSECCO</t>
  </si>
  <si>
    <t>Wines - Sparkling - Italy - Veneto -  - White</t>
  </si>
  <si>
    <t>818051022335</t>
  </si>
  <si>
    <t>43753</t>
  </si>
  <si>
    <t>BREAD &amp; BUTTER PROSECCO</t>
  </si>
  <si>
    <t>086785212111</t>
  </si>
  <si>
    <t>24374</t>
  </si>
  <si>
    <t>CAVIT LUNETTA PROSECCO</t>
  </si>
  <si>
    <t>0085000031094</t>
  </si>
  <si>
    <t>36481</t>
  </si>
  <si>
    <t>085000022849</t>
  </si>
  <si>
    <t>46033</t>
  </si>
  <si>
    <t>LA MARCA PROSECCO DOC</t>
  </si>
  <si>
    <t>8007615000076</t>
  </si>
  <si>
    <t>28151</t>
  </si>
  <si>
    <t>VILLA TERESA ORGANIC ROSE FRIZZANTE</t>
  </si>
  <si>
    <t>Wines - Sparkling - Italy - Veneto - DOC-Denominacao De Origem Controlada - White</t>
  </si>
  <si>
    <t>8008863057416</t>
  </si>
  <si>
    <t>40087</t>
  </si>
  <si>
    <t>BRILLA PROSECCO DOC</t>
  </si>
  <si>
    <t>8410036806422</t>
  </si>
  <si>
    <t>27840</t>
  </si>
  <si>
    <t>FREIXENET PROSECCO DOC EXTRA DRY</t>
  </si>
  <si>
    <t>727760501638</t>
  </si>
  <si>
    <t>22176</t>
  </si>
  <si>
    <t>MIONETTO PRESTIGE PROSECCO TREVISO DOC</t>
  </si>
  <si>
    <t>Wines - Sparkling - Italy - Veneto - Other - White</t>
  </si>
  <si>
    <t>8007615000694</t>
  </si>
  <si>
    <t>7730</t>
  </si>
  <si>
    <t>VILLA TERESA ORGANIC PROSECCO</t>
  </si>
  <si>
    <t>Wines - Sparkling - New Zealand - Hawkes Bay -  - White</t>
  </si>
  <si>
    <t>9415549811610</t>
  </si>
  <si>
    <t>14912</t>
  </si>
  <si>
    <t>OYSTER BAY SPARKLING CUVEE BRUT</t>
  </si>
  <si>
    <t>Wines - Sparkling - Spain - Cava -  - White</t>
  </si>
  <si>
    <t>088601003507</t>
  </si>
  <si>
    <t>34204</t>
  </si>
  <si>
    <t>FREIXENET CORDON NEGRO</t>
  </si>
  <si>
    <t>Wines - Sparkling - Spain - Cava - DO - White</t>
  </si>
  <si>
    <t>8437012435285</t>
  </si>
  <si>
    <t>26477</t>
  </si>
  <si>
    <t>VILLA CONCHI CAVA BRUT SELECCION DO</t>
  </si>
  <si>
    <t>ARAEX RIOJA ALAVERSA S.L.</t>
  </si>
  <si>
    <t>Wines - Sparkling - Spain - Penedes -  - White</t>
  </si>
  <si>
    <t>033293005018</t>
  </si>
  <si>
    <t>2352</t>
  </si>
  <si>
    <t>FREIXENET CARTA NEVADA EXTRA DRY</t>
  </si>
  <si>
    <t>088601003002</t>
  </si>
  <si>
    <t>2354</t>
  </si>
  <si>
    <t>FREIXENET CORDON NEGRO BRUT</t>
  </si>
  <si>
    <t>088601003606</t>
  </si>
  <si>
    <t>2355</t>
  </si>
  <si>
    <t>Wines - Sparkling - Spain - Rioja -  - White</t>
  </si>
  <si>
    <t>8410441732002</t>
  </si>
  <si>
    <t>44743</t>
  </si>
  <si>
    <t>FAUSTINO CAVA</t>
  </si>
  <si>
    <t>GRUPO FAUSTINO</t>
  </si>
  <si>
    <t>Wines - Sparkling - United States -  -  - White</t>
  </si>
  <si>
    <t>852832000150</t>
  </si>
  <si>
    <t>3359</t>
  </si>
  <si>
    <t>MUMM PRESTIGE CUVEE</t>
  </si>
  <si>
    <t>MUMM CUVEE NAPA ESTATES LLC</t>
  </si>
  <si>
    <t>Wines - Sparkling - United States - Ca-Other -  - White</t>
  </si>
  <si>
    <t>012354007666</t>
  </si>
  <si>
    <t>39741</t>
  </si>
  <si>
    <t>19 CRIMES CALI GOLD</t>
  </si>
  <si>
    <t>Wines - Flavoured Wine - Canada - Ontario -  - Rose Blush</t>
  </si>
  <si>
    <t>779373544670</t>
  </si>
  <si>
    <t>32848</t>
  </si>
  <si>
    <t>COLIO GIRLS' NIGHT OUT PEACH RASP RUMBA</t>
  </si>
  <si>
    <t>Wines - Flavoured Wine - Canada - Ontario -  - Red</t>
  </si>
  <si>
    <t>779373544905</t>
  </si>
  <si>
    <t>22420</t>
  </si>
  <si>
    <t>GIRLS' NIGHT OUT SANGRIA</t>
  </si>
  <si>
    <t>Wines - Flavoured Wine - Canada - Ontario -  - White</t>
  </si>
  <si>
    <t>779373554976</t>
  </si>
  <si>
    <t>28055</t>
  </si>
  <si>
    <t>GIRLS NIGHT OUT WHITE SANGRIA</t>
  </si>
  <si>
    <t>Wines - Flavoured Wine - Canada - Ontario - NON VQA - White</t>
  </si>
  <si>
    <t>779373544106</t>
  </si>
  <si>
    <t>13227</t>
  </si>
  <si>
    <t>GIRLS NIGHT OUT PINEAPPLE MANGO TANGO</t>
  </si>
  <si>
    <t>779373544304</t>
  </si>
  <si>
    <t>13229</t>
  </si>
  <si>
    <t>GIRLS NIGHT OUT STRAWBERRY SAMBA</t>
  </si>
  <si>
    <t>Wines - Flavoured Wine - Australia - Southeast Australia -  - Red</t>
  </si>
  <si>
    <t>839743000868</t>
  </si>
  <si>
    <t>22448</t>
  </si>
  <si>
    <t>YELLOW TAIL RED SANGRIA</t>
  </si>
  <si>
    <t>Wines - Flavoured Wine - United States -  -  - Rose Blush</t>
  </si>
  <si>
    <t>085000029008</t>
  </si>
  <si>
    <t>37822</t>
  </si>
  <si>
    <t>BAREFOOT FRUITSCATO PEACH</t>
  </si>
  <si>
    <t>085000029015</t>
  </si>
  <si>
    <t>37823</t>
  </si>
  <si>
    <t>BAREFOOT FRUITSCATO STRAWBERRY</t>
  </si>
  <si>
    <t>085000005613</t>
  </si>
  <si>
    <t>1432</t>
  </si>
  <si>
    <t>BOONE'S SNOW CREEK BERRY</t>
  </si>
  <si>
    <t>BOONE'S FARMS</t>
  </si>
  <si>
    <t>Wines - Flavoured Wine - United States -  -  - Red</t>
  </si>
  <si>
    <t>082100179237</t>
  </si>
  <si>
    <t>1133</t>
  </si>
  <si>
    <t>ARBOR MIST BLACKBERRY MERLOT</t>
  </si>
  <si>
    <t>ARBOR MIST WINERY - CANANDAIGUA</t>
  </si>
  <si>
    <t>082100179244</t>
  </si>
  <si>
    <t>1134</t>
  </si>
  <si>
    <t>Wines - Flavoured Wine - United States -  -  - White</t>
  </si>
  <si>
    <t>082100179022</t>
  </si>
  <si>
    <t>1136</t>
  </si>
  <si>
    <t>ARBOR MIST EXOTIC FRUIT WH ZIN</t>
  </si>
  <si>
    <t>082100179060</t>
  </si>
  <si>
    <t>1137</t>
  </si>
  <si>
    <t>082100179039</t>
  </si>
  <si>
    <t>1141</t>
  </si>
  <si>
    <t>ARBOR MIST STRAWBERRY WH ZIN</t>
  </si>
  <si>
    <t>082100179077</t>
  </si>
  <si>
    <t>1142</t>
  </si>
  <si>
    <t>ARBOR MIST STRAWBERRY WHITE ZINFANDEL</t>
  </si>
  <si>
    <t>Wines - Flavoured Wine - United States - Ca-Other -  - Red</t>
  </si>
  <si>
    <t>0085000025055</t>
  </si>
  <si>
    <t>27041</t>
  </si>
  <si>
    <t>BAREFOOT CELLARS SANGRIA</t>
  </si>
  <si>
    <t>SLGA Distributed Beer</t>
  </si>
  <si>
    <t>055666101196</t>
  </si>
  <si>
    <t>48371</t>
  </si>
  <si>
    <t>2 CROWS SMALL VICTORIES</t>
  </si>
  <si>
    <t>2 CROWS BREWING (m)</t>
  </si>
  <si>
    <t>473</t>
  </si>
  <si>
    <t>169068</t>
  </si>
  <si>
    <t>879914000457</t>
  </si>
  <si>
    <t>47429</t>
  </si>
  <si>
    <t>ANNEX BAND WAGON LAGER</t>
  </si>
  <si>
    <t>ANNEX ALE PROJECT (m)</t>
  </si>
  <si>
    <t>4260</t>
  </si>
  <si>
    <t>8855366005600</t>
  </si>
  <si>
    <t>1144</t>
  </si>
  <si>
    <t>ASAHI SUPER DRY</t>
  </si>
  <si>
    <t>ASAHI BREWERIES LTD</t>
  </si>
  <si>
    <t>1980</t>
  </si>
  <si>
    <t>206048</t>
  </si>
  <si>
    <t>051497365110</t>
  </si>
  <si>
    <t>42894</t>
  </si>
  <si>
    <t>BLACK BRIDGE BROWN ALE</t>
  </si>
  <si>
    <t>BLACK BRIDGE BREWERY (M)</t>
  </si>
  <si>
    <t>1892</t>
  </si>
  <si>
    <t>202875</t>
  </si>
  <si>
    <t>051497406974</t>
  </si>
  <si>
    <t>41818</t>
  </si>
  <si>
    <t>BLACK BRIDGE CLEVER AS THE DEVIL</t>
  </si>
  <si>
    <t>051497454357</t>
  </si>
  <si>
    <t>46161</t>
  </si>
  <si>
    <t>BLACK BRIDGE COMMON CALIFORNIA AMBER</t>
  </si>
  <si>
    <t>040232187308</t>
  </si>
  <si>
    <t>28170</t>
  </si>
  <si>
    <t>BLACK BRIDGE DOUBLE IPA</t>
  </si>
  <si>
    <t>040232641800</t>
  </si>
  <si>
    <t>27593</t>
  </si>
  <si>
    <t>BLACK BRIDGE IPA!</t>
  </si>
  <si>
    <t>051497241704</t>
  </si>
  <si>
    <t>36270</t>
  </si>
  <si>
    <t>BLACK BRIDGE IPA! 12 PACK BOX</t>
  </si>
  <si>
    <t>5676</t>
  </si>
  <si>
    <t>040232641817</t>
  </si>
  <si>
    <t>27594</t>
  </si>
  <si>
    <t>BLACK BRIDGE MILK STOUT</t>
  </si>
  <si>
    <t>040232269042</t>
  </si>
  <si>
    <t>29144</t>
  </si>
  <si>
    <t>BLACK BRIDGE NEW ENGLAND IPA</t>
  </si>
  <si>
    <t>051497143671</t>
  </si>
  <si>
    <t>34919</t>
  </si>
  <si>
    <t>BLACK BRIDGE RYE ALE</t>
  </si>
  <si>
    <t>040232671814</t>
  </si>
  <si>
    <t>27596</t>
  </si>
  <si>
    <t>BLACK BRIDGE TASTERS FLIGHT</t>
  </si>
  <si>
    <t>3784</t>
  </si>
  <si>
    <t>040232641831</t>
  </si>
  <si>
    <t>27033</t>
  </si>
  <si>
    <t>BLACK BRIDGE WHEAT BURST</t>
  </si>
  <si>
    <t>628250519112</t>
  </si>
  <si>
    <t>48372</t>
  </si>
  <si>
    <t>BLOOD BROTHERS BLOOD LIGHT</t>
  </si>
  <si>
    <t>BLOOD BROTHERS BREWING (m)</t>
  </si>
  <si>
    <t>205911</t>
  </si>
  <si>
    <t>628504626030</t>
  </si>
  <si>
    <t>34904</t>
  </si>
  <si>
    <t>BRONC BEER</t>
  </si>
  <si>
    <t>LAST SPIKE BREWING (m)</t>
  </si>
  <si>
    <t>5325</t>
  </si>
  <si>
    <t>675325931522</t>
  </si>
  <si>
    <t>44097</t>
  </si>
  <si>
    <t>CARLSBERG PILSNER</t>
  </si>
  <si>
    <t>CARLSBERG CANADA WATERLOO BREWING LTD</t>
  </si>
  <si>
    <t>3274</t>
  </si>
  <si>
    <t>675325762324</t>
  </si>
  <si>
    <t>44098</t>
  </si>
  <si>
    <t>661706503495</t>
  </si>
  <si>
    <t>48578</t>
  </si>
  <si>
    <t>CATEGORY 12 BREWING EVENT HORIZON</t>
  </si>
  <si>
    <t>CATEGORY 12 BREWING (m)</t>
  </si>
  <si>
    <t>776029705584</t>
  </si>
  <si>
    <t>36272</t>
  </si>
  <si>
    <t>CRACKED CANOE - MOOSEHEAD</t>
  </si>
  <si>
    <t>MOOSEHEAD BREWERIES LIMITED</t>
  </si>
  <si>
    <t>815833002400</t>
  </si>
  <si>
    <t>7661</t>
  </si>
  <si>
    <t>CZECHVAR PREMIUM LAGER</t>
  </si>
  <si>
    <t>BUDEJOVICKY BUDVAR</t>
  </si>
  <si>
    <t>815833006101</t>
  </si>
  <si>
    <t>44044</t>
  </si>
  <si>
    <t>4001982097763</t>
  </si>
  <si>
    <t>2182</t>
  </si>
  <si>
    <t>DAB ORIGINAL (GERMANY)</t>
  </si>
  <si>
    <t>DORTMUNDER ACTIEN-BRAUEREI</t>
  </si>
  <si>
    <t>128137</t>
  </si>
  <si>
    <t>628634369081</t>
  </si>
  <si>
    <t>38281</t>
  </si>
  <si>
    <t>DAS HEFE HEFEWEIZEN</t>
  </si>
  <si>
    <t>SCREAMING RETRIEVER</t>
  </si>
  <si>
    <t>206124</t>
  </si>
  <si>
    <t>050648263831</t>
  </si>
  <si>
    <t>26723</t>
  </si>
  <si>
    <t>DAURA DAMM</t>
  </si>
  <si>
    <t>SA DAMM</t>
  </si>
  <si>
    <t>628201427398</t>
  </si>
  <si>
    <t>29861</t>
  </si>
  <si>
    <t>DRIFTWOOD BREWING FAT TUG IPA</t>
  </si>
  <si>
    <t>DRIFTWOOD BREWING COMPANY (R)</t>
  </si>
  <si>
    <t>170994</t>
  </si>
  <si>
    <t>5411681014005</t>
  </si>
  <si>
    <t>7682</t>
  </si>
  <si>
    <t>DUVEL</t>
  </si>
  <si>
    <t>DUVEL MOORTGAT</t>
  </si>
  <si>
    <t>330</t>
  </si>
  <si>
    <t>3276</t>
  </si>
  <si>
    <t>4002103312062</t>
  </si>
  <si>
    <t>36273</t>
  </si>
  <si>
    <t>ERDINGER WEISSBIER</t>
  </si>
  <si>
    <t>ERDINGER WEISSBRAU</t>
  </si>
  <si>
    <t>124693</t>
  </si>
  <si>
    <t>4002103000013</t>
  </si>
  <si>
    <t>7473</t>
  </si>
  <si>
    <t>ERDINGER WEISSBIER (GERMANY)</t>
  </si>
  <si>
    <t>4002103000037</t>
  </si>
  <si>
    <t>7669</t>
  </si>
  <si>
    <t>ERDINGER WEISSBIER DUNKEL</t>
  </si>
  <si>
    <t>8410793286123</t>
  </si>
  <si>
    <t>7503</t>
  </si>
  <si>
    <t>ESTRELLA DAMM (SPAIN)</t>
  </si>
  <si>
    <t>696852094320</t>
  </si>
  <si>
    <t>47431</t>
  </si>
  <si>
    <t>EVERYTHING IS COMING UP MILLHOUSE</t>
  </si>
  <si>
    <t>1037112 BC LTD dba BACKCOUNTRY BREW (m)</t>
  </si>
  <si>
    <t>626990220282</t>
  </si>
  <si>
    <t>26422</t>
  </si>
  <si>
    <t>FERNIE BREWING HOP TRICK MIXER SIXER</t>
  </si>
  <si>
    <t>FERNIE BREWING COMPANY (R)</t>
  </si>
  <si>
    <t>2130</t>
  </si>
  <si>
    <t>138569</t>
  </si>
  <si>
    <t>626990119470</t>
  </si>
  <si>
    <t>18689</t>
  </si>
  <si>
    <t>FERNIE CRAFT COLLECTION</t>
  </si>
  <si>
    <t>626990303398</t>
  </si>
  <si>
    <t>29023</t>
  </si>
  <si>
    <t>FERNIE HIT THE DECK HAZY IPA</t>
  </si>
  <si>
    <t>8151840100862</t>
  </si>
  <si>
    <t>20926</t>
  </si>
  <si>
    <t>FRULI STRAWBERRY  BEER (BELGIUM)</t>
  </si>
  <si>
    <t>BROUWERIJ L. HUYGHE NV (m)</t>
  </si>
  <si>
    <t>1320</t>
  </si>
  <si>
    <t>628942079115</t>
  </si>
  <si>
    <t>44641</t>
  </si>
  <si>
    <t>GREY FOX BUCKWILD STOUT GLUTEN FREE</t>
  </si>
  <si>
    <t>GREY FOX BREWING INC (m)</t>
  </si>
  <si>
    <t>206260</t>
  </si>
  <si>
    <t>083741330018</t>
  </si>
  <si>
    <t>7375</t>
  </si>
  <si>
    <t>GROLSCH LAGER</t>
  </si>
  <si>
    <t>GROLSCH INTERNATIONAL</t>
  </si>
  <si>
    <t>083741473104</t>
  </si>
  <si>
    <t>41052</t>
  </si>
  <si>
    <t>GROLSCH PREMIUM PILSNER</t>
  </si>
  <si>
    <t>083741473159</t>
  </si>
  <si>
    <t>43941</t>
  </si>
  <si>
    <t>ANGOVE'S PTY LTD</t>
  </si>
  <si>
    <t>2838</t>
  </si>
  <si>
    <t>628176455136</t>
  </si>
  <si>
    <t>47206</t>
  </si>
  <si>
    <t>HIGH KEY FRESHMAN NEIPA</t>
  </si>
  <si>
    <t>HIGH KEY BREWING CO (m)</t>
  </si>
  <si>
    <t>205946</t>
  </si>
  <si>
    <t>5060190563551</t>
  </si>
  <si>
    <t>28177</t>
  </si>
  <si>
    <t>INNIS &amp; GUNN CARIBBEAN RUM CASK</t>
  </si>
  <si>
    <t>THE INNIS &amp; GUNN BREWING COMPANY LTD (m)</t>
  </si>
  <si>
    <t>5060190566132</t>
  </si>
  <si>
    <t>46247</t>
  </si>
  <si>
    <t>INNIS &amp; GUNN CHERRYWOOD</t>
  </si>
  <si>
    <t>5060190560918</t>
  </si>
  <si>
    <t>20658</t>
  </si>
  <si>
    <t>INNIS &amp; GUNN ORIGINAL</t>
  </si>
  <si>
    <t>5060190560864</t>
  </si>
  <si>
    <t>25819</t>
  </si>
  <si>
    <t>INNIS &amp; GUNN THE ORIGINAL</t>
  </si>
  <si>
    <t>8594404001449</t>
  </si>
  <si>
    <t>8636</t>
  </si>
  <si>
    <t>KOZEL BEER</t>
  </si>
  <si>
    <t>PLZENSKY PRAZDDROJ</t>
  </si>
  <si>
    <t>675325932727</t>
  </si>
  <si>
    <t>44099</t>
  </si>
  <si>
    <t>KRONENBOURG 1664 BLANC</t>
  </si>
  <si>
    <t>128241</t>
  </si>
  <si>
    <t>675325112358</t>
  </si>
  <si>
    <t>44096</t>
  </si>
  <si>
    <t>3960</t>
  </si>
  <si>
    <t>3080216029986</t>
  </si>
  <si>
    <t>14609</t>
  </si>
  <si>
    <t>BRASSERIES KRONENBOURG</t>
  </si>
  <si>
    <t>30000</t>
  </si>
  <si>
    <t>675325823230</t>
  </si>
  <si>
    <t>43543</t>
  </si>
  <si>
    <t>KRONENBOURG 1664 CELEBRATION PACK</t>
  </si>
  <si>
    <t>5410769100081</t>
  </si>
  <si>
    <t>9026</t>
  </si>
  <si>
    <t>LA CHOUFFE GOLDEN ALE</t>
  </si>
  <si>
    <t>620707106852</t>
  </si>
  <si>
    <t>24842</t>
  </si>
  <si>
    <t>LANDSHARK PREMIUM LAGER</t>
  </si>
  <si>
    <t>620707215851</t>
  </si>
  <si>
    <t>36276</t>
  </si>
  <si>
    <t>464154600958</t>
  </si>
  <si>
    <t>12913</t>
  </si>
  <si>
    <t>LIEFMANS FRUIT KEG</t>
  </si>
  <si>
    <t>20000</t>
  </si>
  <si>
    <t>5411686700361</t>
  </si>
  <si>
    <t>14545</t>
  </si>
  <si>
    <t>LIEFMANS FRUITESSE</t>
  </si>
  <si>
    <t>BROUWERIF LIEFMANS</t>
  </si>
  <si>
    <t>0628451356028</t>
  </si>
  <si>
    <t>40340</t>
  </si>
  <si>
    <t>METAS KINETIC LAGER</t>
  </si>
  <si>
    <t>META BREWING CORP</t>
  </si>
  <si>
    <t>206155</t>
  </si>
  <si>
    <t>776029706789</t>
  </si>
  <si>
    <t>41048</t>
  </si>
  <si>
    <t>MOOSEHEAD CHELADA</t>
  </si>
  <si>
    <t>999929700282</t>
  </si>
  <si>
    <t>7324</t>
  </si>
  <si>
    <t>MOOSEHEAD LAGER</t>
  </si>
  <si>
    <t>4092</t>
  </si>
  <si>
    <t>776029701876</t>
  </si>
  <si>
    <t>7209</t>
  </si>
  <si>
    <t>776029702651</t>
  </si>
  <si>
    <t>31197</t>
  </si>
  <si>
    <t>628657723860</t>
  </si>
  <si>
    <t>7963</t>
  </si>
  <si>
    <t>50000</t>
  </si>
  <si>
    <t>776029703191</t>
  </si>
  <si>
    <t>28690</t>
  </si>
  <si>
    <t>MOOSEHEAD RADLER</t>
  </si>
  <si>
    <t>99999703344</t>
  </si>
  <si>
    <t>26508</t>
  </si>
  <si>
    <t>628451925101</t>
  </si>
  <si>
    <t>47432</t>
  </si>
  <si>
    <t>NINE LOCKS VANILLA PORTER</t>
  </si>
  <si>
    <t>NINE LOCKS BREWING (m)</t>
  </si>
  <si>
    <t>8008440522016</t>
  </si>
  <si>
    <t>7688</t>
  </si>
  <si>
    <t>PERONI NASTRO AZZURRO  (ITALY)</t>
  </si>
  <si>
    <t>BIRRA PERONI</t>
  </si>
  <si>
    <t>818278004237</t>
  </si>
  <si>
    <t>38891</t>
  </si>
  <si>
    <t>PHILLIPS DINOSOUR JURASSIC PACK MIX</t>
  </si>
  <si>
    <t>PHILLIPS BREWING COMPANY (m)</t>
  </si>
  <si>
    <t>128221</t>
  </si>
  <si>
    <t>8594404000015</t>
  </si>
  <si>
    <t>7376</t>
  </si>
  <si>
    <t>PILSNER URQUELL (CZECH REPUBLIC)</t>
  </si>
  <si>
    <t>870098000615</t>
  </si>
  <si>
    <t>39284</t>
  </si>
  <si>
    <t>PUMP HOUSE BREWERY VARIETY PACK</t>
  </si>
  <si>
    <t>PUMPHOUSE BREWERY (m)</t>
  </si>
  <si>
    <t>4014388000213</t>
  </si>
  <si>
    <t>6180</t>
  </si>
  <si>
    <t>RADEBERGER PILSNER</t>
  </si>
  <si>
    <t>RADEBERGER GRUPPE KG</t>
  </si>
  <si>
    <t>698614021278</t>
  </si>
  <si>
    <t>6717</t>
  </si>
  <si>
    <t>RED STRIPE</t>
  </si>
  <si>
    <t>HEINEKEN BROUWERIJEN</t>
  </si>
  <si>
    <t>990309400192</t>
  </si>
  <si>
    <t>48367</t>
  </si>
  <si>
    <t>REFINED FOOL BEHIND HARDWARE STORE</t>
  </si>
  <si>
    <t>REFINED FOOL BREWING COMPANY INC (m)</t>
  </si>
  <si>
    <t>269900918826</t>
  </si>
  <si>
    <t>15186</t>
  </si>
  <si>
    <t>ROYAL JAMAICAN GINGER BEER</t>
  </si>
  <si>
    <t>RJ RUMS AND SPIRITS LTD</t>
  </si>
  <si>
    <t>3320</t>
  </si>
  <si>
    <t>628634369104</t>
  </si>
  <si>
    <t>38283</t>
  </si>
  <si>
    <t>SILKY SIDE-STEP STOUT</t>
  </si>
  <si>
    <t>626990289258</t>
  </si>
  <si>
    <t>28623</t>
  </si>
  <si>
    <t>SNEAKY WEASEL CRAFT LAGER</t>
  </si>
  <si>
    <t>NORTHAM BREWERY</t>
  </si>
  <si>
    <t>137744</t>
  </si>
  <si>
    <t>626990411482</t>
  </si>
  <si>
    <t>34426</t>
  </si>
  <si>
    <t>628173970182</t>
  </si>
  <si>
    <t>45644</t>
  </si>
  <si>
    <t>SNEAKY WEASEL CRAFT LAGER KING CAN</t>
  </si>
  <si>
    <t>710</t>
  </si>
  <si>
    <t>9003401753064</t>
  </si>
  <si>
    <t>28751</t>
  </si>
  <si>
    <t>STIEGL GRAPEFRUIT RADLER</t>
  </si>
  <si>
    <t>STIEGL BRAUEREI</t>
  </si>
  <si>
    <t>90034558</t>
  </si>
  <si>
    <t>8631</t>
  </si>
  <si>
    <t>STIEGL LAGER (AUSTRIA)</t>
  </si>
  <si>
    <t>9003402655084</t>
  </si>
  <si>
    <t>36282</t>
  </si>
  <si>
    <t>STIEGL RASPBERRY RADLER HIMBEERE</t>
  </si>
  <si>
    <t>9003402754077</t>
  </si>
  <si>
    <t>28752</t>
  </si>
  <si>
    <t>STIEGL ZITRONE RADLER</t>
  </si>
  <si>
    <t>990006800714</t>
  </si>
  <si>
    <t>48373</t>
  </si>
  <si>
    <t>TAYLIGHT WINTER FRESH MINT OREO STOUT</t>
  </si>
  <si>
    <t>TAYLIGHT BREWING</t>
  </si>
  <si>
    <t>206317</t>
  </si>
  <si>
    <t>6901035601030</t>
  </si>
  <si>
    <t>6628</t>
  </si>
  <si>
    <t>TSINGTAO (CHINA)</t>
  </si>
  <si>
    <t>QINGHUA INTERNATIONAL TRADE</t>
  </si>
  <si>
    <t>3327</t>
  </si>
  <si>
    <t>874217002337</t>
  </si>
  <si>
    <t>45586</t>
  </si>
  <si>
    <t>VILLAGE BREWERY CALGARY BEER</t>
  </si>
  <si>
    <t>VILLAGE BREWERY LIMITED PARTNERSHIP (m)</t>
  </si>
  <si>
    <t>205885</t>
  </si>
  <si>
    <t>626990411499</t>
  </si>
  <si>
    <t>36283</t>
  </si>
  <si>
    <t>WHISTLER FORAGER GLUTEN FREE LAGER</t>
  </si>
  <si>
    <t>626990367055</t>
  </si>
  <si>
    <t>33765</t>
  </si>
  <si>
    <t>WILY WOLVERINE STRONG LAGER</t>
  </si>
  <si>
    <t>5901559949503</t>
  </si>
  <si>
    <t>34431</t>
  </si>
  <si>
    <t>ZYWIEC</t>
  </si>
  <si>
    <t>Allied Products</t>
  </si>
  <si>
    <t>628600000502</t>
  </si>
  <si>
    <t>502</t>
  </si>
  <si>
    <t>DOUBLE BOTTLE BAGS (500 Bags)</t>
  </si>
  <si>
    <t>SUNDRY MANUFACTURER</t>
  </si>
  <si>
    <t>1</t>
  </si>
  <si>
    <t>628600000501</t>
  </si>
  <si>
    <t>501</t>
  </si>
  <si>
    <t>SINGLE BOTTLE BAGS (1000 Bags)</t>
  </si>
  <si>
    <t>Privately Distributed Beer</t>
  </si>
  <si>
    <t>062067121029</t>
  </si>
  <si>
    <t>1071</t>
  </si>
  <si>
    <t>12B ALEXANDER KEITH'S INDIA PALE ALE-LAB</t>
  </si>
  <si>
    <t>LABATT BREWERIES OF CANADA</t>
  </si>
  <si>
    <t>1575</t>
  </si>
  <si>
    <t>056327011137</t>
  </si>
  <si>
    <t>24747</t>
  </si>
  <si>
    <t>12B BELGIAN MOON WHITE MOLSON</t>
  </si>
  <si>
    <t>MOLSON COORS CANADA</t>
  </si>
  <si>
    <t>056327042551</t>
  </si>
  <si>
    <t>1399</t>
  </si>
  <si>
    <t>12B BOHEMIAN - MOLSON</t>
  </si>
  <si>
    <t>062067515026</t>
  </si>
  <si>
    <t>24940</t>
  </si>
  <si>
    <t>12B BUD LIGHT LIME LABATT</t>
  </si>
  <si>
    <t>056327014602</t>
  </si>
  <si>
    <t>32942</t>
  </si>
  <si>
    <t>12B COORS ORIGINAL - MOLSON</t>
  </si>
  <si>
    <t>62067425349</t>
  </si>
  <si>
    <t>45164</t>
  </si>
  <si>
    <t>12B CORONA CERO - LABATT</t>
  </si>
  <si>
    <t>062067382420</t>
  </si>
  <si>
    <t>34733</t>
  </si>
  <si>
    <t>12B CORONA DOMESTIC - LABATT</t>
  </si>
  <si>
    <t>062067382482</t>
  </si>
  <si>
    <t>38253</t>
  </si>
  <si>
    <t>12B CORONA LIGHT DOMESTIC - LABATT</t>
  </si>
  <si>
    <t>072890000859</t>
  </si>
  <si>
    <t>2624</t>
  </si>
  <si>
    <t>12B HEINEKEN LAGER - MOLSON</t>
  </si>
  <si>
    <t>072890006868</t>
  </si>
  <si>
    <t>45089</t>
  </si>
  <si>
    <t>12B HEINEKEN SILVER - MOLSON</t>
  </si>
  <si>
    <t>062067374029</t>
  </si>
  <si>
    <t>2829</t>
  </si>
  <si>
    <t>12B KOKANEE - LABATT</t>
  </si>
  <si>
    <t>062067351020</t>
  </si>
  <si>
    <t>1375</t>
  </si>
  <si>
    <t>12B LABATT BLUE</t>
  </si>
  <si>
    <t>062067577024</t>
  </si>
  <si>
    <t>2907</t>
  </si>
  <si>
    <t>12B LABATT LITE</t>
  </si>
  <si>
    <t>056327012370</t>
  </si>
  <si>
    <t>27469</t>
  </si>
  <si>
    <t>12B MILLER GENUINE DRAFT - MOLSON</t>
  </si>
  <si>
    <t>056327017665</t>
  </si>
  <si>
    <t>41393</t>
  </si>
  <si>
    <t>12B MILLER HIGH LIFE - MOLSON</t>
  </si>
  <si>
    <t>056327012165</t>
  </si>
  <si>
    <t>27477</t>
  </si>
  <si>
    <t>12B MILLER LITE - MOLSON</t>
  </si>
  <si>
    <t>7501064196362</t>
  </si>
  <si>
    <t>21878</t>
  </si>
  <si>
    <t>12B MODELO ESPECIAL - LABATT</t>
  </si>
  <si>
    <t>CERVECERIA MODELO</t>
  </si>
  <si>
    <t>4443</t>
  </si>
  <si>
    <t>056327013797</t>
  </si>
  <si>
    <t>31827</t>
  </si>
  <si>
    <t>12B MOLON ULTRA</t>
  </si>
  <si>
    <t>056327592551</t>
  </si>
  <si>
    <t>3650</t>
  </si>
  <si>
    <t>12B PILSNER  - MOLSON</t>
  </si>
  <si>
    <t>056327672550</t>
  </si>
  <si>
    <t>3827</t>
  </si>
  <si>
    <t>12B RICKARD'S RED - MOLSON</t>
  </si>
  <si>
    <t>056327017689</t>
  </si>
  <si>
    <t>36009</t>
  </si>
  <si>
    <t>12B SOL CERVEZA DOMESTIC MOLSON</t>
  </si>
  <si>
    <t>062067382239</t>
  </si>
  <si>
    <t>34722</t>
  </si>
  <si>
    <t>12B STELLA ARTOIS DOMESTIC - LABATT</t>
  </si>
  <si>
    <t>056327011151</t>
  </si>
  <si>
    <t>25021</t>
  </si>
  <si>
    <t>12C BELGIAN MOON WHITE MOLSON</t>
  </si>
  <si>
    <t>062067425448</t>
  </si>
  <si>
    <t>45183</t>
  </si>
  <si>
    <t>12C BL LIME FLAVOURS MIXER - LABATT</t>
  </si>
  <si>
    <t>BANDED PEAK BREWING - LABATT</t>
  </si>
  <si>
    <t>056327015494</t>
  </si>
  <si>
    <t>45781</t>
  </si>
  <si>
    <t>12C BLUE MOON LIGHT - MOLSON</t>
  </si>
  <si>
    <t>628110922724</t>
  </si>
  <si>
    <t>40876</t>
  </si>
  <si>
    <t>12C BP CRUSHMORE PILSNER - LABATT</t>
  </si>
  <si>
    <t>836902000417</t>
  </si>
  <si>
    <t>43261</t>
  </si>
  <si>
    <t>12C BP MICROBURST - LABATT</t>
  </si>
  <si>
    <t>773804312128</t>
  </si>
  <si>
    <t>45372</t>
  </si>
  <si>
    <t>12C BREWHOUSE CERVEZA GREAT WESTERN</t>
  </si>
  <si>
    <t>GREAT WESTERN BREWING COMPANY</t>
  </si>
  <si>
    <t>773804243125</t>
  </si>
  <si>
    <t>45212</t>
  </si>
  <si>
    <t>12C BREWHOUSE PILSNER - GREAT WESTERN</t>
  </si>
  <si>
    <t>064294928945</t>
  </si>
  <si>
    <t>43282</t>
  </si>
  <si>
    <t>12C BRIGHT SIDE LAGER - BIG ROCK</t>
  </si>
  <si>
    <t>BIG ROCK (ALBERTA) LTD. (R)</t>
  </si>
  <si>
    <t>3227</t>
  </si>
  <si>
    <t>062067567131</t>
  </si>
  <si>
    <t>19973</t>
  </si>
  <si>
    <t>12C BUD LIGHT - LABATT</t>
  </si>
  <si>
    <t>2832</t>
  </si>
  <si>
    <t>062067567247</t>
  </si>
  <si>
    <t>19961</t>
  </si>
  <si>
    <t>062067566240</t>
  </si>
  <si>
    <t>22238</t>
  </si>
  <si>
    <t>12C BUD LIGHT APPLE - LABATT</t>
  </si>
  <si>
    <t>062067423307</t>
  </si>
  <si>
    <t>43624</t>
  </si>
  <si>
    <t>12C BUD LIGHT CHELADA (DOM) - LABATT</t>
  </si>
  <si>
    <t>062067422263</t>
  </si>
  <si>
    <t>43081</t>
  </si>
  <si>
    <t>12C BUD LIGHT DOUBLE LIME - LABATT</t>
  </si>
  <si>
    <t>018200159831</t>
  </si>
  <si>
    <t>8363</t>
  </si>
  <si>
    <t>12C BUD LIGHT LIME - LABATT</t>
  </si>
  <si>
    <t>062067381539</t>
  </si>
  <si>
    <t>33782</t>
  </si>
  <si>
    <t>12C BUD ZERO - LABATT</t>
  </si>
  <si>
    <t>062067335242</t>
  </si>
  <si>
    <t>1505</t>
  </si>
  <si>
    <t>12C BUDWEISER - LABATT</t>
  </si>
  <si>
    <t>062067010248</t>
  </si>
  <si>
    <t>29486</t>
  </si>
  <si>
    <t>12C BUDWEISER PROHIBITION BREW LABATT</t>
  </si>
  <si>
    <t>062067318849</t>
  </si>
  <si>
    <t>43407</t>
  </si>
  <si>
    <t>12C BUSCH LAGER - LABATT</t>
  </si>
  <si>
    <t>056910103126</t>
  </si>
  <si>
    <t>45974</t>
  </si>
  <si>
    <t>12C CLEAR LIME SLEEMAN</t>
  </si>
  <si>
    <t>Sleeman Breweries Ltd / Les Brasseries S</t>
  </si>
  <si>
    <t>056327013070</t>
  </si>
  <si>
    <t>28634</t>
  </si>
  <si>
    <t>12C COORS EDGE - MOLSON</t>
  </si>
  <si>
    <t>62067425103</t>
  </si>
  <si>
    <t>45162</t>
  </si>
  <si>
    <t>12C CORONA CERO - LABATT</t>
  </si>
  <si>
    <t>062067424199</t>
  </si>
  <si>
    <t>40353</t>
  </si>
  <si>
    <t>12C CORONA SUNBREW NON-ALC - LAB</t>
  </si>
  <si>
    <t>779446205385</t>
  </si>
  <si>
    <t>39597</t>
  </si>
  <si>
    <t>12C GIB CORE MINGLER - MOLSON</t>
  </si>
  <si>
    <t>CREEMORE SPRINGS BREWERY LTD</t>
  </si>
  <si>
    <t>773804182127</t>
  </si>
  <si>
    <t>6643</t>
  </si>
  <si>
    <t>12C GOLD STRONG - GREAT WESTERN</t>
  </si>
  <si>
    <t>062067380297</t>
  </si>
  <si>
    <t>33372</t>
  </si>
  <si>
    <t>12C GOOSE ISLAND IPA - LABATT</t>
  </si>
  <si>
    <t>773804492127</t>
  </si>
  <si>
    <t>38250</t>
  </si>
  <si>
    <t>12C GREAT WESTERN LIME - GW</t>
  </si>
  <si>
    <t>773804402126</t>
  </si>
  <si>
    <t>24450</t>
  </si>
  <si>
    <t>12C GREAT WESTERN RADLER</t>
  </si>
  <si>
    <t>072890006820</t>
  </si>
  <si>
    <t>45782</t>
  </si>
  <si>
    <t>12C HEINEKEN 0.0 - MOLSON</t>
  </si>
  <si>
    <t>072890001177</t>
  </si>
  <si>
    <t>7247</t>
  </si>
  <si>
    <t>12C HEINEKEN LAGER - MOLSON</t>
  </si>
  <si>
    <t>072890006875</t>
  </si>
  <si>
    <t>45090</t>
  </si>
  <si>
    <t>12C HEINEKEN SILVER - MOLSON</t>
  </si>
  <si>
    <t>062067381102</t>
  </si>
  <si>
    <t>33909</t>
  </si>
  <si>
    <t>12C HOEGAARDEN - LABATT</t>
  </si>
  <si>
    <t>INBEV BELGIUM NV</t>
  </si>
  <si>
    <t>056910000364</t>
  </si>
  <si>
    <t>45277</t>
  </si>
  <si>
    <t>12C HONEY BLONDE - SLEEMAN</t>
  </si>
  <si>
    <t>627005971021</t>
  </si>
  <si>
    <t>43005</t>
  </si>
  <si>
    <t>12C HOP VALLEY BUBBLE STASH IPA MOLSON</t>
  </si>
  <si>
    <t>627005973124</t>
  </si>
  <si>
    <t>41614</t>
  </si>
  <si>
    <t>12C HOP VALLEY STASH PK - MOLSON</t>
  </si>
  <si>
    <t>062067374241</t>
  </si>
  <si>
    <t>6814</t>
  </si>
  <si>
    <t>12C KOKANEE - LABATT</t>
  </si>
  <si>
    <t>056327023888</t>
  </si>
  <si>
    <t>42988</t>
  </si>
  <si>
    <t>12C MADRI EXCEPCIONAL - MOLSON</t>
  </si>
  <si>
    <t>855315002528</t>
  </si>
  <si>
    <t>31200</t>
  </si>
  <si>
    <t>12C MILL STREET ORIGINAL ORGANIC  LABATT</t>
  </si>
  <si>
    <t>MILL ST BREWERY</t>
  </si>
  <si>
    <t>628451074335</t>
  </si>
  <si>
    <t>40639</t>
  </si>
  <si>
    <t>12C MIX PACK - CHURCHILL</t>
  </si>
  <si>
    <t>CHURCHILL BREWING CO (M)</t>
  </si>
  <si>
    <t>205877</t>
  </si>
  <si>
    <t>062067425554</t>
  </si>
  <si>
    <t>45604</t>
  </si>
  <si>
    <t>12C MODELO (DOMESTIC) LABATT</t>
  </si>
  <si>
    <t>7501064196386</t>
  </si>
  <si>
    <t>21874</t>
  </si>
  <si>
    <t>12C MODELO ESPECIAL - LABATT</t>
  </si>
  <si>
    <t>056327913257</t>
  </si>
  <si>
    <t>45464</t>
  </si>
  <si>
    <t>12C MOLSON EXEL NON ALC</t>
  </si>
  <si>
    <t>056327006614</t>
  </si>
  <si>
    <t>30546</t>
  </si>
  <si>
    <t>12C MOLSON EXPORT</t>
  </si>
  <si>
    <t>773804172128</t>
  </si>
  <si>
    <t>20380</t>
  </si>
  <si>
    <t>12C ORIGINAL 16 MIXER PALE &amp; COPPER PACK</t>
  </si>
  <si>
    <t>702915002086</t>
  </si>
  <si>
    <t>45166</t>
  </si>
  <si>
    <t>12C PILSNER - STEAM WHISTLE</t>
  </si>
  <si>
    <t>STEAM WHISTLE BREWING INC (R)</t>
  </si>
  <si>
    <t>128223</t>
  </si>
  <si>
    <t>0642946280229</t>
  </si>
  <si>
    <t>48365</t>
  </si>
  <si>
    <t>12C RIVER VALLEY RED ALE - BIG ROCK</t>
  </si>
  <si>
    <t>064294832266</t>
  </si>
  <si>
    <t>48364</t>
  </si>
  <si>
    <t>12C RIVER VALLEY SESSION IPA - BIG ROCK</t>
  </si>
  <si>
    <t>056910111145</t>
  </si>
  <si>
    <t>38425</t>
  </si>
  <si>
    <t>12C SLEEMAN CLEAR 2.0 FLAVOUR PACK</t>
  </si>
  <si>
    <t>056910103164</t>
  </si>
  <si>
    <t>43412</t>
  </si>
  <si>
    <t>12C SLEEMAN CLEAR LIME</t>
  </si>
  <si>
    <t>056910281121</t>
  </si>
  <si>
    <t>6529</t>
  </si>
  <si>
    <t>12C SLEEMAN SELECTION</t>
  </si>
  <si>
    <t>056327016644</t>
  </si>
  <si>
    <t>33730</t>
  </si>
  <si>
    <t>12C SOL CERVEZA  MOLSON (DOMESTIC)</t>
  </si>
  <si>
    <t>062067421921</t>
  </si>
  <si>
    <t>43080</t>
  </si>
  <si>
    <t>12C SP CONCESSION STAND MIX - LABATT</t>
  </si>
  <si>
    <t>TURNING POINT BREWERY</t>
  </si>
  <si>
    <t>064294012002</t>
  </si>
  <si>
    <t>4387</t>
  </si>
  <si>
    <t>12C TRADITIONAL  ALE - BIG ROCK</t>
  </si>
  <si>
    <t>062067567087</t>
  </si>
  <si>
    <t>24653</t>
  </si>
  <si>
    <t>15B BUD LIGHT LABATT</t>
  </si>
  <si>
    <t>5115</t>
  </si>
  <si>
    <t>062067200748</t>
  </si>
  <si>
    <t>24654</t>
  </si>
  <si>
    <t>15B BUDWEISER LABATT</t>
  </si>
  <si>
    <t>062067318085</t>
  </si>
  <si>
    <t>43259</t>
  </si>
  <si>
    <t>15B BUSCH - LABATT</t>
  </si>
  <si>
    <t>056327072572</t>
  </si>
  <si>
    <t>1713</t>
  </si>
  <si>
    <t>15B CANADIAN - MOLSON</t>
  </si>
  <si>
    <t>056327182578</t>
  </si>
  <si>
    <t>2095</t>
  </si>
  <si>
    <t>15B COORS LIGHT - MOLSON</t>
  </si>
  <si>
    <t>062067374081</t>
  </si>
  <si>
    <t>24652</t>
  </si>
  <si>
    <t>15B KOKANEE LABATT</t>
  </si>
  <si>
    <t>062067384929</t>
  </si>
  <si>
    <t>42938</t>
  </si>
  <si>
    <t>15B MICHELOB ULTRA - LABATT</t>
  </si>
  <si>
    <t>064294821116</t>
  </si>
  <si>
    <t>5407</t>
  </si>
  <si>
    <t>15C ALBERTA GENUINE DRAFT - BIG ROCK</t>
  </si>
  <si>
    <t>064294798302</t>
  </si>
  <si>
    <t>28044</t>
  </si>
  <si>
    <t>15C ALBERTA GENUINE DRAFT LIGHT BIG ROCK</t>
  </si>
  <si>
    <t>064294104981</t>
  </si>
  <si>
    <t>34628</t>
  </si>
  <si>
    <t>15C ALBERTA GENUINE DRAFT RED - BIG ROCK</t>
  </si>
  <si>
    <t>062067121371</t>
  </si>
  <si>
    <t>6818</t>
  </si>
  <si>
    <t>15C ALEXANDER KEITH'S INDIA PALE ALE-LAB</t>
  </si>
  <si>
    <t>056327963276</t>
  </si>
  <si>
    <t>37021</t>
  </si>
  <si>
    <t>15C BLACK ICE - MOLSON</t>
  </si>
  <si>
    <t>064294628197</t>
  </si>
  <si>
    <t>48489</t>
  </si>
  <si>
    <t>15C BOW VALLEY LAGER - BIG ROCK</t>
  </si>
  <si>
    <t>064294628203</t>
  </si>
  <si>
    <t>35557</t>
  </si>
  <si>
    <t>15C BOW VALLEY STRONG - BIG ROCK</t>
  </si>
  <si>
    <t>773804252165</t>
  </si>
  <si>
    <t>33187</t>
  </si>
  <si>
    <t>15C BREWHOUSE ICE - GREAT WESTERN</t>
  </si>
  <si>
    <t>773804222151</t>
  </si>
  <si>
    <t>32946</t>
  </si>
  <si>
    <t>15C BREWHOUSE LIGHT - GREAT WESTERN</t>
  </si>
  <si>
    <t>773804242159</t>
  </si>
  <si>
    <t>32947</t>
  </si>
  <si>
    <t>15C BREWHOUSE PILSNER - GREAT WESTERN</t>
  </si>
  <si>
    <t>773804282155</t>
  </si>
  <si>
    <t>36567</t>
  </si>
  <si>
    <t>15C BREWHOUSE ULTRA - GREAT WESTERN</t>
  </si>
  <si>
    <t>062067567377</t>
  </si>
  <si>
    <t>5493</t>
  </si>
  <si>
    <t>15C BUD LIGHT - LABATT</t>
  </si>
  <si>
    <t>062067335372</t>
  </si>
  <si>
    <t>1507</t>
  </si>
  <si>
    <t>15C BUDWEISER - LABATT</t>
  </si>
  <si>
    <t>062067811371</t>
  </si>
  <si>
    <t>17591</t>
  </si>
  <si>
    <t>15C BUSCH ICE - LABATT</t>
  </si>
  <si>
    <t>062067318375</t>
  </si>
  <si>
    <t>6756</t>
  </si>
  <si>
    <t>15C BUSCH LAGER - LABATT</t>
  </si>
  <si>
    <t>062067427183</t>
  </si>
  <si>
    <t>47376</t>
  </si>
  <si>
    <t>15C BUSCH LIGHT PLUS MIKES LABATT</t>
  </si>
  <si>
    <t>062067508370</t>
  </si>
  <si>
    <t>35653</t>
  </si>
  <si>
    <t>15C BUSCH LITE - LABATT</t>
  </si>
  <si>
    <t>056327073272</t>
  </si>
  <si>
    <t>1714</t>
  </si>
  <si>
    <t>15C CANADIAN - MOLSON</t>
  </si>
  <si>
    <t>056327183278</t>
  </si>
  <si>
    <t>2096</t>
  </si>
  <si>
    <t>15C COORS LIGHT - MOLSON</t>
  </si>
  <si>
    <t>056327014480</t>
  </si>
  <si>
    <t>34963</t>
  </si>
  <si>
    <t>15C COORS ORIGINAL -  MOLSON</t>
  </si>
  <si>
    <t>062067385179</t>
  </si>
  <si>
    <t>36746</t>
  </si>
  <si>
    <t>15C CORONA DOMESTIC - LABATT</t>
  </si>
  <si>
    <t>056910103669</t>
  </si>
  <si>
    <t>48327</t>
  </si>
  <si>
    <t>15C CREAM ALE SLEEMAN</t>
  </si>
  <si>
    <t>779446205941</t>
  </si>
  <si>
    <t>45191</t>
  </si>
  <si>
    <t>15C GIB HONEY CYPRESS - MOLSON</t>
  </si>
  <si>
    <t>056327005921</t>
  </si>
  <si>
    <t>10859</t>
  </si>
  <si>
    <t>15C KEYSTONE LIGHT - MOLSON</t>
  </si>
  <si>
    <t>062067374371</t>
  </si>
  <si>
    <t>5535</t>
  </si>
  <si>
    <t>15C KOKANEE - LABATT</t>
  </si>
  <si>
    <t>062067319372</t>
  </si>
  <si>
    <t>37925</t>
  </si>
  <si>
    <t>15C KOKANEE GOLD - LABATT</t>
  </si>
  <si>
    <t>062067351372</t>
  </si>
  <si>
    <t>5487</t>
  </si>
  <si>
    <t>15C LABATT BLUE</t>
  </si>
  <si>
    <t>062067577376</t>
  </si>
  <si>
    <t>5540</t>
  </si>
  <si>
    <t>15C LABATT LITE</t>
  </si>
  <si>
    <t>628451074328</t>
  </si>
  <si>
    <t>40638</t>
  </si>
  <si>
    <t>15C LAWN MOWER YARD LAGER - CHURCHILL</t>
  </si>
  <si>
    <t>062067355370</t>
  </si>
  <si>
    <t>7436</t>
  </si>
  <si>
    <t>15C LUCKY LAGER - LABATT</t>
  </si>
  <si>
    <t>062067376184</t>
  </si>
  <si>
    <t>28276</t>
  </si>
  <si>
    <t>15C MICHELOB ULTRA - LABATT</t>
  </si>
  <si>
    <t>62067425165</t>
  </si>
  <si>
    <t>45377</t>
  </si>
  <si>
    <t>15C MICHELOB ULTRA PROMO- LABATT</t>
  </si>
  <si>
    <t>056327012271</t>
  </si>
  <si>
    <t>27467</t>
  </si>
  <si>
    <t>15C MILLER GENUINE DRAFT - MOLSON</t>
  </si>
  <si>
    <t>056327012066</t>
  </si>
  <si>
    <t>27463</t>
  </si>
  <si>
    <t>15C MILLER HIGH LIFE - MOLSON</t>
  </si>
  <si>
    <t>056327012103</t>
  </si>
  <si>
    <t>27475</t>
  </si>
  <si>
    <t>15C MILLER LITE - MOLSON</t>
  </si>
  <si>
    <t>056327703278</t>
  </si>
  <si>
    <t>3319</t>
  </si>
  <si>
    <t>15C MOLSON SPECIAL DRY - MOLSON</t>
  </si>
  <si>
    <t>056327016163</t>
  </si>
  <si>
    <t>33145</t>
  </si>
  <si>
    <t>15C MOLSON ULTRA</t>
  </si>
  <si>
    <t>056910401604</t>
  </si>
  <si>
    <t>3478</t>
  </si>
  <si>
    <t>15C OLD MILWAUKEE - SLEEMAN</t>
  </si>
  <si>
    <t>773804432154</t>
  </si>
  <si>
    <t>41339</t>
  </si>
  <si>
    <t>15C OLYMPIA - GREAT WESTERN</t>
  </si>
  <si>
    <t>773804172159</t>
  </si>
  <si>
    <t>18421</t>
  </si>
  <si>
    <t>15C ORIGINAL 16 CANADIAN COPPER ALE</t>
  </si>
  <si>
    <t>773804102156</t>
  </si>
  <si>
    <t>34161</t>
  </si>
  <si>
    <t>15C ORIGINAL 16 CANADIAN EXTRA LIGHT -GW</t>
  </si>
  <si>
    <t>773804162150</t>
  </si>
  <si>
    <t>14524</t>
  </si>
  <si>
    <t>15C ORIGINAL 16 CANADIAN PALE ALE</t>
  </si>
  <si>
    <t>773804152151</t>
  </si>
  <si>
    <t>27688</t>
  </si>
  <si>
    <t>15C ORIGINAL 16 PRAIRIE WHITE - GW</t>
  </si>
  <si>
    <t>773804967151</t>
  </si>
  <si>
    <t>45880</t>
  </si>
  <si>
    <t>15C ORIGINAL 16 ULTRA - GREAT WESTERN</t>
  </si>
  <si>
    <t>056910403158</t>
  </si>
  <si>
    <t>6684</t>
  </si>
  <si>
    <t>15C PABST BLUE RIBBON - SLEEMAN</t>
  </si>
  <si>
    <t>056910405237</t>
  </si>
  <si>
    <t>46663</t>
  </si>
  <si>
    <t>15C PABST BLUE RIBBON LIGHT - SLEEMAN</t>
  </si>
  <si>
    <t>056327593275</t>
  </si>
  <si>
    <t>3653</t>
  </si>
  <si>
    <t>15C PILSNER  - MOLSON</t>
  </si>
  <si>
    <t>056910403257</t>
  </si>
  <si>
    <t>3770</t>
  </si>
  <si>
    <t>15C RAINIER - SLEEMAN</t>
  </si>
  <si>
    <t>062067397370</t>
  </si>
  <si>
    <t>24054</t>
  </si>
  <si>
    <t>15C ROLLING ROCK - LABATT</t>
  </si>
  <si>
    <t>056910301157</t>
  </si>
  <si>
    <t>27667</t>
  </si>
  <si>
    <t>15C SLEEMAN CLEAR 2.0</t>
  </si>
  <si>
    <t>056910231157</t>
  </si>
  <si>
    <t>18175</t>
  </si>
  <si>
    <t>15C SLEEMAN HONEY BROWN LAGER</t>
  </si>
  <si>
    <t>056910201150</t>
  </si>
  <si>
    <t>14287</t>
  </si>
  <si>
    <t>15C SLEEMAN ORIGINAL DRAUGHT</t>
  </si>
  <si>
    <t>062067385162</t>
  </si>
  <si>
    <t>36747</t>
  </si>
  <si>
    <t>15C STELLA ARTOIS DOMESTIC - LABATT</t>
  </si>
  <si>
    <t>064294290349</t>
  </si>
  <si>
    <t>46107</t>
  </si>
  <si>
    <t>15C VARIETY 2025 - BIG ROCK</t>
  </si>
  <si>
    <t>062067382437</t>
  </si>
  <si>
    <t>34735</t>
  </si>
  <si>
    <t>18B CORONA DOMESTIC - LABATT</t>
  </si>
  <si>
    <t>5940</t>
  </si>
  <si>
    <t>056327012394</t>
  </si>
  <si>
    <t>27470</t>
  </si>
  <si>
    <t>18B MILLER GENUINE DRAFT - MOLSON</t>
  </si>
  <si>
    <t>6390</t>
  </si>
  <si>
    <t>062067382284</t>
  </si>
  <si>
    <t>34723</t>
  </si>
  <si>
    <t>18B STELLA ARTOIS DOMESTIC - LABATT</t>
  </si>
  <si>
    <t>062067567506</t>
  </si>
  <si>
    <t>12443</t>
  </si>
  <si>
    <t>18C BUD LIGHT - LABATT</t>
  </si>
  <si>
    <t>062067335501</t>
  </si>
  <si>
    <t>12445</t>
  </si>
  <si>
    <t>18C BUDWEISER - LABATT</t>
  </si>
  <si>
    <t>056327073265</t>
  </si>
  <si>
    <t>1717</t>
  </si>
  <si>
    <t>18C CANADIAN -  MOLSON</t>
  </si>
  <si>
    <t>056327183261</t>
  </si>
  <si>
    <t>6621</t>
  </si>
  <si>
    <t>18C COORS LIGHT - MOLSON</t>
  </si>
  <si>
    <t>773804382183</t>
  </si>
  <si>
    <t>21486</t>
  </si>
  <si>
    <t>18C GREAT WESTERN CLASSIC</t>
  </si>
  <si>
    <t>773804122185</t>
  </si>
  <si>
    <t>14627</t>
  </si>
  <si>
    <t>18C GREAT WESTERN LIGHT</t>
  </si>
  <si>
    <t>773804352186</t>
  </si>
  <si>
    <t>14778</t>
  </si>
  <si>
    <t>18C GREAT WESTERN PILSNER</t>
  </si>
  <si>
    <t>062067200427</t>
  </si>
  <si>
    <t>5536</t>
  </si>
  <si>
    <t>18C KOKANEE - LABATT</t>
  </si>
  <si>
    <t>062067547591</t>
  </si>
  <si>
    <t>47835</t>
  </si>
  <si>
    <t>18C MICHELOB ULTRA - LABATT</t>
  </si>
  <si>
    <t>6930</t>
  </si>
  <si>
    <t>056327593268</t>
  </si>
  <si>
    <t>15554</t>
  </si>
  <si>
    <t>18C PILSNER  - MOLSON</t>
  </si>
  <si>
    <t>062067383137</t>
  </si>
  <si>
    <t>37419</t>
  </si>
  <si>
    <t>1B CORONA NATURAL EXPERIENCE DOMST LAB</t>
  </si>
  <si>
    <t>062067374708</t>
  </si>
  <si>
    <t>24588</t>
  </si>
  <si>
    <t>1C  KOKANEE LABATT</t>
  </si>
  <si>
    <t>740</t>
  </si>
  <si>
    <t>062067121357</t>
  </si>
  <si>
    <t>21073</t>
  </si>
  <si>
    <t>1C ALEXANDER KEITH'S INDIA PALE ALE LABA</t>
  </si>
  <si>
    <t>056327011168</t>
  </si>
  <si>
    <t>25028</t>
  </si>
  <si>
    <t>1C BELGIAN MOON WHITE MOLSON</t>
  </si>
  <si>
    <t>056910437108</t>
  </si>
  <si>
    <t>45275</t>
  </si>
  <si>
    <t>1C BLACK BULL 10% - SLEEMAN</t>
  </si>
  <si>
    <t>056327008915</t>
  </si>
  <si>
    <t>23644</t>
  </si>
  <si>
    <t>1C BLACK ICE MOLSON</t>
  </si>
  <si>
    <t>062067567353</t>
  </si>
  <si>
    <t>19971</t>
  </si>
  <si>
    <t>1C BUD LIGHT - LABATT</t>
  </si>
  <si>
    <t>062067567704</t>
  </si>
  <si>
    <t>21070</t>
  </si>
  <si>
    <t>062067566356</t>
  </si>
  <si>
    <t>22235</t>
  </si>
  <si>
    <t>1C BUD LIGHT APPLE - LABATT</t>
  </si>
  <si>
    <t>062067423338</t>
  </si>
  <si>
    <t>43625</t>
  </si>
  <si>
    <t>1C BUD LIGHT CHELADA (DOM) - LABATT</t>
  </si>
  <si>
    <t>062067516535</t>
  </si>
  <si>
    <t>31535</t>
  </si>
  <si>
    <t>1C BUD LIGHT LIME (DOMESTIC) - LABATT</t>
  </si>
  <si>
    <t>062067335358</t>
  </si>
  <si>
    <t>5497</t>
  </si>
  <si>
    <t>1C BUDWEISER - LABATT</t>
  </si>
  <si>
    <t>062067335709</t>
  </si>
  <si>
    <t>21072</t>
  </si>
  <si>
    <t>062067318702</t>
  </si>
  <si>
    <t>22483</t>
  </si>
  <si>
    <t>1C BUSCH - LABATT</t>
  </si>
  <si>
    <t>062067377631</t>
  </si>
  <si>
    <t>30631</t>
  </si>
  <si>
    <t>1C BUSCH ICE - LABATT</t>
  </si>
  <si>
    <t>062067427817</t>
  </si>
  <si>
    <t>48181</t>
  </si>
  <si>
    <t>1C BUSCH MAX ICE - LABATT</t>
  </si>
  <si>
    <t>056327006010</t>
  </si>
  <si>
    <t>11245</t>
  </si>
  <si>
    <t>1C CANADIAN - MOLSON</t>
  </si>
  <si>
    <t>056327023048</t>
  </si>
  <si>
    <t>45184</t>
  </si>
  <si>
    <t>1C CANADIAN COLD SHOT 6.0 - MOLSON</t>
  </si>
  <si>
    <t>056327024762</t>
  </si>
  <si>
    <t>48175</t>
  </si>
  <si>
    <t>1C COLD SHOTS MAX 7.1 - MOLSON</t>
  </si>
  <si>
    <t>056910426713</t>
  </si>
  <si>
    <t>28933</t>
  </si>
  <si>
    <t>1C COLT 45 - SLEEMAN</t>
  </si>
  <si>
    <t>056327013056</t>
  </si>
  <si>
    <t>28636</t>
  </si>
  <si>
    <t>1C COORS EDGE - MOLSON</t>
  </si>
  <si>
    <t>056327183414</t>
  </si>
  <si>
    <t>11244</t>
  </si>
  <si>
    <t>1C COORS LIGHT - MOLSON</t>
  </si>
  <si>
    <t>056327014336</t>
  </si>
  <si>
    <t>32936</t>
  </si>
  <si>
    <t>1C COORS ORIGINAL - MOLSON</t>
  </si>
  <si>
    <t>056327014541</t>
  </si>
  <si>
    <t>34281</t>
  </si>
  <si>
    <t>062067382338</t>
  </si>
  <si>
    <t>34726</t>
  </si>
  <si>
    <t>1C CORONA DOMESTIC - LABATT</t>
  </si>
  <si>
    <t>779446203206</t>
  </si>
  <si>
    <t>39843</t>
  </si>
  <si>
    <t>1C GIB BROCKTON WEST COAST IPA-MOLSON</t>
  </si>
  <si>
    <t>779446205774</t>
  </si>
  <si>
    <t>42746</t>
  </si>
  <si>
    <t>1C GIB FALSE CREEK RASPBERRY ALE MOLSON</t>
  </si>
  <si>
    <t>779446205965</t>
  </si>
  <si>
    <t>45192</t>
  </si>
  <si>
    <t>1C GIB HONEY CYPRESS - MOLSON</t>
  </si>
  <si>
    <t>779446205231</t>
  </si>
  <si>
    <t>39596</t>
  </si>
  <si>
    <t>1C GIB ISLAND LAGER - MOLSON</t>
  </si>
  <si>
    <t>779446205200</t>
  </si>
  <si>
    <t>39628</t>
  </si>
  <si>
    <t>1C GIB KITSILANO JUICY IPA MOLSON</t>
  </si>
  <si>
    <t>779446200489</t>
  </si>
  <si>
    <t>30542</t>
  </si>
  <si>
    <t>1C GRANVILLE ISLAND ENGLISH BAY PALE ALE</t>
  </si>
  <si>
    <t>5000213015414</t>
  </si>
  <si>
    <t>24294</t>
  </si>
  <si>
    <t>1C GUINNESS DRAUGHT DIAGEO</t>
  </si>
  <si>
    <t>DIAGEO CANADA INC (BDL)</t>
  </si>
  <si>
    <t>4447</t>
  </si>
  <si>
    <t>5000213030509</t>
  </si>
  <si>
    <t>48577</t>
  </si>
  <si>
    <t>1C GUINNESS EXTRA STOUT - DIAGEO</t>
  </si>
  <si>
    <t>5000213020753</t>
  </si>
  <si>
    <t>27138</t>
  </si>
  <si>
    <t>1C GUINNESS HOP HOUSE 13 - DIAGEO</t>
  </si>
  <si>
    <t>5000213015858</t>
  </si>
  <si>
    <t>14290</t>
  </si>
  <si>
    <t>1C HARP PREMIUM IRISH LAGER</t>
  </si>
  <si>
    <t>072890000026</t>
  </si>
  <si>
    <t>8632</t>
  </si>
  <si>
    <t>1C HEINEKEN LAGER - MOLSON</t>
  </si>
  <si>
    <t>8712000025649</t>
  </si>
  <si>
    <t>7154</t>
  </si>
  <si>
    <t>5000</t>
  </si>
  <si>
    <t>072890007001</t>
  </si>
  <si>
    <t>45091</t>
  </si>
  <si>
    <t>1C HEINEKEN SILVER - MOLSON</t>
  </si>
  <si>
    <t>627005971045</t>
  </si>
  <si>
    <t>39352</t>
  </si>
  <si>
    <t>1C HOP VALLEY BUBBLE STASH - MOLSON</t>
  </si>
  <si>
    <t>062067351709</t>
  </si>
  <si>
    <t>22432</t>
  </si>
  <si>
    <t>1C LABATT BLUE</t>
  </si>
  <si>
    <t>062067874703</t>
  </si>
  <si>
    <t>22498</t>
  </si>
  <si>
    <t>1C LABATT BLUE DRY</t>
  </si>
  <si>
    <t>062067381423</t>
  </si>
  <si>
    <t>33621</t>
  </si>
  <si>
    <t>1C LUCKY-  LABATT</t>
  </si>
  <si>
    <t>056327023826</t>
  </si>
  <si>
    <t>42989</t>
  </si>
  <si>
    <t>1C MADRI EXCEPCIONAL - MOLSON</t>
  </si>
  <si>
    <t>062067547355</t>
  </si>
  <si>
    <t>28312</t>
  </si>
  <si>
    <t>1C MICHELOB ULTRA - LABATT</t>
  </si>
  <si>
    <t>062067426148</t>
  </si>
  <si>
    <t>47673</t>
  </si>
  <si>
    <t>855315006816</t>
  </si>
  <si>
    <t>37580</t>
  </si>
  <si>
    <t>1C MILL STREET VANILLA PORTER - LABATT</t>
  </si>
  <si>
    <t>440</t>
  </si>
  <si>
    <t>855315000753</t>
  </si>
  <si>
    <t>20276</t>
  </si>
  <si>
    <t>1C MILL STREET VANILLA PORTER LABATT</t>
  </si>
  <si>
    <t>056327012301</t>
  </si>
  <si>
    <t>27465</t>
  </si>
  <si>
    <t>1C MILLER GENUINE DRAFT - MOLSON</t>
  </si>
  <si>
    <t>056327012028</t>
  </si>
  <si>
    <t>27461</t>
  </si>
  <si>
    <t>1C MILLER HIGH LIFE - MOLSON</t>
  </si>
  <si>
    <t>056327012189</t>
  </si>
  <si>
    <t>27473</t>
  </si>
  <si>
    <t>1C MILLER LITE - MOLSON</t>
  </si>
  <si>
    <t>062067425370</t>
  </si>
  <si>
    <t>45605</t>
  </si>
  <si>
    <t>1C MODELO (DOMESTIC) LABATT</t>
  </si>
  <si>
    <t>056327703414</t>
  </si>
  <si>
    <t>23813</t>
  </si>
  <si>
    <t>1C MOLSON DRY - MOLSON</t>
  </si>
  <si>
    <t>056327013858</t>
  </si>
  <si>
    <t>33144</t>
  </si>
  <si>
    <t>1C MOLSON ULTRA</t>
  </si>
  <si>
    <t>056910420711</t>
  </si>
  <si>
    <t>42942</t>
  </si>
  <si>
    <t>1C OLD MILWAUKEE - SLEEMAN</t>
  </si>
  <si>
    <t>056910422715</t>
  </si>
  <si>
    <t>42943</t>
  </si>
  <si>
    <t>1C OLD MILWAUKEE ICE - SLEEMAN</t>
  </si>
  <si>
    <t>056327012745</t>
  </si>
  <si>
    <t>28172</t>
  </si>
  <si>
    <t>1C OLD STYLE PILSNER - MOLSON</t>
  </si>
  <si>
    <t>855315000388</t>
  </si>
  <si>
    <t>20275</t>
  </si>
  <si>
    <t>1C ORIGINAL ORGANIC LAGER MILL STREET BR</t>
  </si>
  <si>
    <t>056910423712</t>
  </si>
  <si>
    <t>28934</t>
  </si>
  <si>
    <t>1C PABST BLUE RIBBON - SLEEMAN</t>
  </si>
  <si>
    <t>056910424719</t>
  </si>
  <si>
    <t>30785</t>
  </si>
  <si>
    <t>1C PABST BLUE RIBBON 5.9%  - SLEEMAN</t>
  </si>
  <si>
    <t>056910400010</t>
  </si>
  <si>
    <t>48286</t>
  </si>
  <si>
    <t>1C PABST BLUE RIBBON MAX - SLEEMAN</t>
  </si>
  <si>
    <t>056327017597</t>
  </si>
  <si>
    <t>34448</t>
  </si>
  <si>
    <t>1C PILSNER 6.1 - MOLSON</t>
  </si>
  <si>
    <t>056910304738</t>
  </si>
  <si>
    <t>43260</t>
  </si>
  <si>
    <t>1C SLEEMAN CLEAR 2.0</t>
  </si>
  <si>
    <t>5000213015834</t>
  </si>
  <si>
    <t>14292</t>
  </si>
  <si>
    <t>1C SMITHWICK'S ALE</t>
  </si>
  <si>
    <t>056327016606</t>
  </si>
  <si>
    <t>33728</t>
  </si>
  <si>
    <t>1C SOL CERVEZA  MOLSON (DOMESTIC)</t>
  </si>
  <si>
    <t>062067384318</t>
  </si>
  <si>
    <t>36596</t>
  </si>
  <si>
    <t>1C STANLEY PARK PASSION FRUIT SOUR LABAT</t>
  </si>
  <si>
    <t>702915003014</t>
  </si>
  <si>
    <t>26379</t>
  </si>
  <si>
    <t>1C STEAM WHISTLE PILSNER</t>
  </si>
  <si>
    <t>062067382178</t>
  </si>
  <si>
    <t>34626</t>
  </si>
  <si>
    <t>1C STELLA ARTOIS DOMESTIC - LABATT</t>
  </si>
  <si>
    <t>624524992995</t>
  </si>
  <si>
    <t>42872</t>
  </si>
  <si>
    <t>1C TREE BREW GOLDEN LARCH GRAPEFRUIT RAD</t>
  </si>
  <si>
    <t>624524993015</t>
  </si>
  <si>
    <t>43444</t>
  </si>
  <si>
    <t>1C TREE BREW MELLOW MOON PINEAPPLE -BR</t>
  </si>
  <si>
    <t>624524506994</t>
  </si>
  <si>
    <t>42724</t>
  </si>
  <si>
    <t>1C TREE BREWING CRANE BERRY SOUR - BR</t>
  </si>
  <si>
    <t>624524215902</t>
  </si>
  <si>
    <t>42868</t>
  </si>
  <si>
    <t>1C TREE BREWING TIMBER HAZY IPA - BR</t>
  </si>
  <si>
    <t>624524493218</t>
  </si>
  <si>
    <t>46587</t>
  </si>
  <si>
    <t>1C TREE CAMPSIDE WEST COAST PILSNER - BR</t>
  </si>
  <si>
    <t>855315001163</t>
  </si>
  <si>
    <t>11186</t>
  </si>
  <si>
    <t>1K  COBBLESTONE STOUT - LABATT</t>
  </si>
  <si>
    <t>064294100532</t>
  </si>
  <si>
    <t>1051</t>
  </si>
  <si>
    <t>1K ALBERTA GENUINE DRAFT - BIG ROCK</t>
  </si>
  <si>
    <t>58670</t>
  </si>
  <si>
    <t>062067121678</t>
  </si>
  <si>
    <t>1068</t>
  </si>
  <si>
    <t>1K ALEXANDER KEITH'S IPA</t>
  </si>
  <si>
    <t>628110922397</t>
  </si>
  <si>
    <t>35462</t>
  </si>
  <si>
    <t>1K BANDED PEAK CRUSHMORE PILSNER -LABATT</t>
  </si>
  <si>
    <t>628110922953</t>
  </si>
  <si>
    <t>36843</t>
  </si>
  <si>
    <t>1K BANDED PEAK MT CRUSHMORE - LABATT</t>
  </si>
  <si>
    <t>58673</t>
  </si>
  <si>
    <t>628110922434</t>
  </si>
  <si>
    <t>35458</t>
  </si>
  <si>
    <t>1K BANDED PEAK PLAINSBREAKER - LABATT</t>
  </si>
  <si>
    <t>628110922946</t>
  </si>
  <si>
    <t>36841</t>
  </si>
  <si>
    <t>628110922489</t>
  </si>
  <si>
    <t>35460</t>
  </si>
  <si>
    <t>1K BANDED PEAK SOUTHERN ASPECT - LABATT</t>
  </si>
  <si>
    <t>056327010161</t>
  </si>
  <si>
    <t>22940</t>
  </si>
  <si>
    <t>1K BELGIAN MOON - MOLSON</t>
  </si>
  <si>
    <t>056327044111</t>
  </si>
  <si>
    <t>6027</t>
  </si>
  <si>
    <t>1K BOHEMIAN - MOLSON</t>
  </si>
  <si>
    <t>836902000530</t>
  </si>
  <si>
    <t>40637</t>
  </si>
  <si>
    <t>1K BP ALPINE TART DRY HOPPED SOUR LABATT</t>
  </si>
  <si>
    <t>836902000448</t>
  </si>
  <si>
    <t>40194</t>
  </si>
  <si>
    <t>1K BP APPROACH AMBER LAGER LABATT</t>
  </si>
  <si>
    <t>836902000455</t>
  </si>
  <si>
    <t>46096</t>
  </si>
  <si>
    <t>1K BP APPROACH LAGER - LABATT</t>
  </si>
  <si>
    <t>836902000967</t>
  </si>
  <si>
    <t>44631</t>
  </si>
  <si>
    <t>1K BP CHOCKSTONE OATMEAL STOUT LABATT</t>
  </si>
  <si>
    <t>836902001261</t>
  </si>
  <si>
    <t>46098</t>
  </si>
  <si>
    <t>1K BP GRAN NORTE - LABATT</t>
  </si>
  <si>
    <t>836902000363</t>
  </si>
  <si>
    <t>39659</t>
  </si>
  <si>
    <t>1K BP KINSHIP WHEAT ALE - LABATT</t>
  </si>
  <si>
    <t>628110922359</t>
  </si>
  <si>
    <t>46102</t>
  </si>
  <si>
    <t>1K BP MICROBURST HAZY IPA - LABATT</t>
  </si>
  <si>
    <t>836902000912</t>
  </si>
  <si>
    <t>46097</t>
  </si>
  <si>
    <t>1K BP TALLGRASS TANGO - LABATT</t>
  </si>
  <si>
    <t>836902001391</t>
  </si>
  <si>
    <t>48589</t>
  </si>
  <si>
    <t>1K BP VALLEE BLANCHE - LABATT</t>
  </si>
  <si>
    <t>773804244016</t>
  </si>
  <si>
    <t>1453</t>
  </si>
  <si>
    <t>1K BREWHOUSE PILSENER - GREAT WESTERN</t>
  </si>
  <si>
    <t>58674</t>
  </si>
  <si>
    <t>064294928952</t>
  </si>
  <si>
    <t>43283</t>
  </si>
  <si>
    <t>1K BRIGHT SIDE LAGER - BIG ROCK</t>
  </si>
  <si>
    <t>064294015881</t>
  </si>
  <si>
    <t>40058</t>
  </si>
  <si>
    <t>1K BROWNS SOCIAL IPA - BIG ROCK</t>
  </si>
  <si>
    <t>064294015782</t>
  </si>
  <si>
    <t>40059</t>
  </si>
  <si>
    <t>1K BROWNS SOCIAL LAGER - BIG ROCK</t>
  </si>
  <si>
    <t>062067567674</t>
  </si>
  <si>
    <t>7185</t>
  </si>
  <si>
    <t>1K BUD LIGHT - LABATT</t>
  </si>
  <si>
    <t>062067335679</t>
  </si>
  <si>
    <t>1517</t>
  </si>
  <si>
    <t>1K BUDWEISER - LABATT</t>
  </si>
  <si>
    <t>062067318672</t>
  </si>
  <si>
    <t>47680</t>
  </si>
  <si>
    <t>1K BUSCH LAGER LABATT</t>
  </si>
  <si>
    <t>779446188251</t>
  </si>
  <si>
    <t>24950</t>
  </si>
  <si>
    <t>1K CACTUS UGLY ALE MOLSON</t>
  </si>
  <si>
    <t>056327074118</t>
  </si>
  <si>
    <t>1725</t>
  </si>
  <si>
    <t>1K CANADIAN - MOLSON</t>
  </si>
  <si>
    <t>628451074229</t>
  </si>
  <si>
    <t>35343</t>
  </si>
  <si>
    <t>1K CHURCHILL BLONDE LAGER</t>
  </si>
  <si>
    <t>628451074267</t>
  </si>
  <si>
    <t>38095</t>
  </si>
  <si>
    <t>1K CHURCHILL LAWN MOWER YARD ALE - CHURC</t>
  </si>
  <si>
    <t>628451074274</t>
  </si>
  <si>
    <t>38094</t>
  </si>
  <si>
    <t>1K CHURCHILL RIVERMEN RED ALE - CHURCHIL</t>
  </si>
  <si>
    <t>056327184114</t>
  </si>
  <si>
    <t>2104</t>
  </si>
  <si>
    <t>1K COORS LIGHT - MOLSON</t>
  </si>
  <si>
    <t>056327014350</t>
  </si>
  <si>
    <t>32944</t>
  </si>
  <si>
    <t>1K COORS ORIGINAL - MOLSON</t>
  </si>
  <si>
    <t>056327014565</t>
  </si>
  <si>
    <t>32945</t>
  </si>
  <si>
    <t>062067382871</t>
  </si>
  <si>
    <t>38828</t>
  </si>
  <si>
    <t>1K CORONA EXTRA (DOMESTIC) - LABATT</t>
  </si>
  <si>
    <t>58600</t>
  </si>
  <si>
    <t>0089826900527</t>
  </si>
  <si>
    <t>22122</t>
  </si>
  <si>
    <t>1K DOS EQUIS XX SPECIAL LAGER - MOLSON</t>
  </si>
  <si>
    <t>CERV CUAUHTEMOC MOCTEZUMA</t>
  </si>
  <si>
    <t>064294290028</t>
  </si>
  <si>
    <t>43623</t>
  </si>
  <si>
    <t>1K FUZZY COWBOY PEACH KOLSCH - BR</t>
  </si>
  <si>
    <t>779446205637</t>
  </si>
  <si>
    <t>41394</t>
  </si>
  <si>
    <t>1K GIB ANTLER ALE - MOLSON</t>
  </si>
  <si>
    <t>779446190308</t>
  </si>
  <si>
    <t>24945</t>
  </si>
  <si>
    <t>1K GIB CACTUS CLUB LONGBOARD LAGER MOLSN</t>
  </si>
  <si>
    <t>779446204388</t>
  </si>
  <si>
    <t>36084</t>
  </si>
  <si>
    <t>1K GIB CALIFORNIA COMMON - MOLSON</t>
  </si>
  <si>
    <t>779446120251</t>
  </si>
  <si>
    <t>39446</t>
  </si>
  <si>
    <t>1K GIB ENGLISH BAY - MOLSON</t>
  </si>
  <si>
    <t>779446205798</t>
  </si>
  <si>
    <t>42750</t>
  </si>
  <si>
    <t>1K GIB FALSE CREEK RASPBERRY ALE MOLSON</t>
  </si>
  <si>
    <t>779446105258</t>
  </si>
  <si>
    <t>39627</t>
  </si>
  <si>
    <t>1K GIB ISLAND LAGER - MOLSON</t>
  </si>
  <si>
    <t>779446205194</t>
  </si>
  <si>
    <t>39599</t>
  </si>
  <si>
    <t>1K GIB KITSILANO JUICY IPA - MOLSON</t>
  </si>
  <si>
    <t>779446204630</t>
  </si>
  <si>
    <t>36087</t>
  </si>
  <si>
    <t>1K GIB PEACH SOUR - MOLSON</t>
  </si>
  <si>
    <t>779446206184</t>
  </si>
  <si>
    <t>48356</t>
  </si>
  <si>
    <t>1K GIB SPANISH BANKS HAZY PALE ALE MOLS</t>
  </si>
  <si>
    <t>779446203220</t>
  </si>
  <si>
    <t>30442</t>
  </si>
  <si>
    <t>1K GIB WEST COAST IPA - MOLSON</t>
  </si>
  <si>
    <t>624524215490</t>
  </si>
  <si>
    <t>36135</t>
  </si>
  <si>
    <t>1K GOLDEN LARCH RADLER 30L  - BR</t>
  </si>
  <si>
    <t>062067312670</t>
  </si>
  <si>
    <t>22341</t>
  </si>
  <si>
    <t>1K GOOSE ISLAND IPA DOMESTIC KEG</t>
  </si>
  <si>
    <t>779446140303</t>
  </si>
  <si>
    <t>20729</t>
  </si>
  <si>
    <t>1K GRANVILLE ISLAND CYPRESS HONEY LAGER</t>
  </si>
  <si>
    <t>779446120305</t>
  </si>
  <si>
    <t>17456</t>
  </si>
  <si>
    <t>1K GRANVILLE ISLAND ENGLISH BAY PALE ALE</t>
  </si>
  <si>
    <t>779446105302</t>
  </si>
  <si>
    <t>20941</t>
  </si>
  <si>
    <t>1K GRANVILLE ISLAND LAGER</t>
  </si>
  <si>
    <t>0779446177309</t>
  </si>
  <si>
    <t>14836</t>
  </si>
  <si>
    <t>1K GRANVILLE ISLAND LIONS WINTER ALE</t>
  </si>
  <si>
    <t>064294100822</t>
  </si>
  <si>
    <t>2525</t>
  </si>
  <si>
    <t>1K GRASSHOPPER KRISTALLWEIZEN - BIG ROCK</t>
  </si>
  <si>
    <t>773804124028</t>
  </si>
  <si>
    <t>35049</t>
  </si>
  <si>
    <t>1K GREAT WESTERN LIGHT</t>
  </si>
  <si>
    <t>773804124011</t>
  </si>
  <si>
    <t>4536</t>
  </si>
  <si>
    <t>773804354029</t>
  </si>
  <si>
    <t>21039</t>
  </si>
  <si>
    <t>1K GREAT WESTERN PILSNER</t>
  </si>
  <si>
    <t>773804404014</t>
  </si>
  <si>
    <t>26208</t>
  </si>
  <si>
    <t>1K GREAT WESTERN RADLER</t>
  </si>
  <si>
    <t>5000213005804</t>
  </si>
  <si>
    <t>2591</t>
  </si>
  <si>
    <t>1K GUINNESS STOUT</t>
  </si>
  <si>
    <t>5000213005828</t>
  </si>
  <si>
    <t>2595</t>
  </si>
  <si>
    <t>1K HARP DRAFT</t>
  </si>
  <si>
    <t>064294290363</t>
  </si>
  <si>
    <t>46629</t>
  </si>
  <si>
    <t>1K HAUS PARTY HEFEWEIZEN - BIG ROCK</t>
  </si>
  <si>
    <t>072890006516</t>
  </si>
  <si>
    <t>34954</t>
  </si>
  <si>
    <t>1K HEINEKEN - MOLSON</t>
  </si>
  <si>
    <t>072890001108</t>
  </si>
  <si>
    <t>2621</t>
  </si>
  <si>
    <t>1K HEINEKEN DRAUGHT - MOLSON</t>
  </si>
  <si>
    <t>062067421372</t>
  </si>
  <si>
    <t>41059</t>
  </si>
  <si>
    <t>1K HOEGAARDEN - LABATT</t>
  </si>
  <si>
    <t>627005971304</t>
  </si>
  <si>
    <t>35936</t>
  </si>
  <si>
    <t>1K HOP VALLEY BUBBLE STASH MOLSON</t>
  </si>
  <si>
    <t>064294290462</t>
  </si>
  <si>
    <t>48606</t>
  </si>
  <si>
    <t>1K HUDSON'S BELGIAN WHEAT ALE - BR</t>
  </si>
  <si>
    <t>064294290448</t>
  </si>
  <si>
    <t>48120</t>
  </si>
  <si>
    <t>1K HUDSON'S WEST COAST IPA - BIG ROCK</t>
  </si>
  <si>
    <t>064294290158</t>
  </si>
  <si>
    <t>44518</t>
  </si>
  <si>
    <t>1K HUDSONS BLUEBERRY ALE - BIG ROCK</t>
  </si>
  <si>
    <t>064294928006</t>
  </si>
  <si>
    <t>40969</t>
  </si>
  <si>
    <t>1K HUDSONS CREAMSICLE - BIG ROCK</t>
  </si>
  <si>
    <t>064294290011</t>
  </si>
  <si>
    <t>43556</t>
  </si>
  <si>
    <t>1K HUDSONS PEACHY SOUR - BIG ROCK</t>
  </si>
  <si>
    <t>064294928914</t>
  </si>
  <si>
    <t>42397</t>
  </si>
  <si>
    <t>1K HUDSONS RASPBERRY RED LAGER - BR</t>
  </si>
  <si>
    <t>5000213005835</t>
  </si>
  <si>
    <t>2808</t>
  </si>
  <si>
    <t>1K KILKENNY CREAM ALE</t>
  </si>
  <si>
    <t>062067374678</t>
  </si>
  <si>
    <t>2823</t>
  </si>
  <si>
    <t>1K KOKANEE - LABATT</t>
  </si>
  <si>
    <t>062067319679</t>
  </si>
  <si>
    <t>2840</t>
  </si>
  <si>
    <t>1K KOKANEE GOLD - LABATT</t>
  </si>
  <si>
    <t>628451074397</t>
  </si>
  <si>
    <t>45971</t>
  </si>
  <si>
    <t>1K LAWN MOWER YARD ULTRA -CHURCHILL</t>
  </si>
  <si>
    <t>064294290615</t>
  </si>
  <si>
    <t>48689</t>
  </si>
  <si>
    <t>1K LEO'S CERVEZA - BIG ROCK</t>
  </si>
  <si>
    <t>064294699982</t>
  </si>
  <si>
    <t>36137</t>
  </si>
  <si>
    <t>1K LEO'S LAGER - BIG ROCK</t>
  </si>
  <si>
    <t>056327023819</t>
  </si>
  <si>
    <t>42958</t>
  </si>
  <si>
    <t>1K MADRI EXCEPTIONAL - MOLSON</t>
  </si>
  <si>
    <t>056327024595</t>
  </si>
  <si>
    <t>48493</t>
  </si>
  <si>
    <t>062067381904</t>
  </si>
  <si>
    <t>36382</t>
  </si>
  <si>
    <t>1K MICHELOB ULTRA - LABATT</t>
  </si>
  <si>
    <t>062067547676</t>
  </si>
  <si>
    <t>30450</t>
  </si>
  <si>
    <t>855315005901</t>
  </si>
  <si>
    <t>35275</t>
  </si>
  <si>
    <t>1K MILL ST HOPPED &amp; CONFUSED 2.0 -LABATT</t>
  </si>
  <si>
    <t>855315001170</t>
  </si>
  <si>
    <t>17256</t>
  </si>
  <si>
    <t>1K MILL STREET VANILLA PORTER - LABATT</t>
  </si>
  <si>
    <t>056327012233</t>
  </si>
  <si>
    <t>27479</t>
  </si>
  <si>
    <t>1K MILLER LITE - MOLSON</t>
  </si>
  <si>
    <t>062067425561</t>
  </si>
  <si>
    <t>48177</t>
  </si>
  <si>
    <t>1K MODELO ESPECIAL - LABATT</t>
  </si>
  <si>
    <t>056327013902</t>
  </si>
  <si>
    <t>32948</t>
  </si>
  <si>
    <t>1K MOLSON ULTRA</t>
  </si>
  <si>
    <t>8006890027716</t>
  </si>
  <si>
    <t>36410</t>
  </si>
  <si>
    <t>1K MORETTI - MOLSON</t>
  </si>
  <si>
    <t>HEINEKEN ITALIA</t>
  </si>
  <si>
    <t>779446200991</t>
  </si>
  <si>
    <t>18576</t>
  </si>
  <si>
    <t>1K MOXIE'S BIG LIFE AMBER - 362566</t>
  </si>
  <si>
    <t>779446201004</t>
  </si>
  <si>
    <t>18575</t>
  </si>
  <si>
    <t>1K MOXIE'S BIG LIFE EURO LAGER - 362590</t>
  </si>
  <si>
    <t>779446202612</t>
  </si>
  <si>
    <t>25754</t>
  </si>
  <si>
    <t>1K MR. MIKES ANTLER ALE GIB - MOLSON</t>
  </si>
  <si>
    <t>779446202605</t>
  </si>
  <si>
    <t>25755</t>
  </si>
  <si>
    <t>1K MR. MIKES BIG HORN LAGER GIB - MOLSON</t>
  </si>
  <si>
    <t>072890006615</t>
  </si>
  <si>
    <t>38926</t>
  </si>
  <si>
    <t>1K MURPHY'S IRISH STOUT - MOLSON</t>
  </si>
  <si>
    <t>5035766580058</t>
  </si>
  <si>
    <t>3397</t>
  </si>
  <si>
    <t>1K NEWCASTLE BROWN ALE</t>
  </si>
  <si>
    <t>056910002306</t>
  </si>
  <si>
    <t>13905</t>
  </si>
  <si>
    <t>1K OK SPRING 1516 BAVARIAN LAGER - SLEEM</t>
  </si>
  <si>
    <t>773804960411</t>
  </si>
  <si>
    <t>45881</t>
  </si>
  <si>
    <t>1K ORGINAL 16 ULTRA - GREAT WESTERN</t>
  </si>
  <si>
    <t>773804174016</t>
  </si>
  <si>
    <t>16789</t>
  </si>
  <si>
    <t>1K ORIGINAL 16 CANADIAN COPPER ALE</t>
  </si>
  <si>
    <t>773804175013</t>
  </si>
  <si>
    <t>17913</t>
  </si>
  <si>
    <t>773804164017</t>
  </si>
  <si>
    <t>13534</t>
  </si>
  <si>
    <t>1K ORIGINAL 16 CANADIAN PALE ALE</t>
  </si>
  <si>
    <t>773804165014</t>
  </si>
  <si>
    <t>13988</t>
  </si>
  <si>
    <t>773804154018</t>
  </si>
  <si>
    <t>27689</t>
  </si>
  <si>
    <t>1K ORIGINAL 16 PRAIRIE WHITE - GW</t>
  </si>
  <si>
    <t>056910404506</t>
  </si>
  <si>
    <t>21246</t>
  </si>
  <si>
    <t>1K PABST BLUE RIBBON - SLEEMAN</t>
  </si>
  <si>
    <t>056327594111</t>
  </si>
  <si>
    <t>3659</t>
  </si>
  <si>
    <t>1K PILSNER - MOLSON</t>
  </si>
  <si>
    <t>628451074083</t>
  </si>
  <si>
    <t>34470</t>
  </si>
  <si>
    <t>1K PLAINSMEN PILSNER - CHURCHILL</t>
  </si>
  <si>
    <t>628451074373</t>
  </si>
  <si>
    <t>45972</t>
  </si>
  <si>
    <t>1K RADLER CHURCHILL</t>
  </si>
  <si>
    <t>56327004474</t>
  </si>
  <si>
    <t>40225</t>
  </si>
  <si>
    <t>1K RICKARD'S RED - MOLSON</t>
  </si>
  <si>
    <t>056910601301</t>
  </si>
  <si>
    <t>15566</t>
  </si>
  <si>
    <t>1K SAPPORO PREMIUM - SLEEMAN</t>
  </si>
  <si>
    <t>056910300303</t>
  </si>
  <si>
    <t>40573</t>
  </si>
  <si>
    <t>1K SLEEMAN CLEAR</t>
  </si>
  <si>
    <t>056910230303</t>
  </si>
  <si>
    <t>14317</t>
  </si>
  <si>
    <t>1K SLEEMAN HONEY BROWN LAGER</t>
  </si>
  <si>
    <t>5000213005811</t>
  </si>
  <si>
    <t>4198</t>
  </si>
  <si>
    <t>1K SMITHWICK'S ALE</t>
  </si>
  <si>
    <t>779305100127</t>
  </si>
  <si>
    <t>25500</t>
  </si>
  <si>
    <t>1K STANLEY PARK 1897 AMBER LABATT</t>
  </si>
  <si>
    <t>062067148248</t>
  </si>
  <si>
    <t>26816</t>
  </si>
  <si>
    <t>1K STANLEY PARK DAY TRIP LAGER  - LABATT</t>
  </si>
  <si>
    <t>779305103104</t>
  </si>
  <si>
    <t>26062</t>
  </si>
  <si>
    <t>1K STANLEY PARK SUNSETTER - LABATT</t>
  </si>
  <si>
    <t>062067382253</t>
  </si>
  <si>
    <t>34766</t>
  </si>
  <si>
    <t>1K STELLA ARTOIS DOMESTIC - LABATT</t>
  </si>
  <si>
    <t>062067382260</t>
  </si>
  <si>
    <t>34724</t>
  </si>
  <si>
    <t>836902000905</t>
  </si>
  <si>
    <t>43288</t>
  </si>
  <si>
    <t>1K TALLGRASS TANGO MANGO WHEAT ALE LAB</t>
  </si>
  <si>
    <t>064294100815</t>
  </si>
  <si>
    <t>4388</t>
  </si>
  <si>
    <t>1K TRADITIONAL ALE - BIG ROCK</t>
  </si>
  <si>
    <t>624524963025</t>
  </si>
  <si>
    <t>42091</t>
  </si>
  <si>
    <t>1K TREE BREWING CRANE BERRY SOUR - BR</t>
  </si>
  <si>
    <t>624524215919</t>
  </si>
  <si>
    <t>43435</t>
  </si>
  <si>
    <t>1K TREE BREWING TIMBER HAZY IPA - BR</t>
  </si>
  <si>
    <t>624524493270</t>
  </si>
  <si>
    <t>45889</t>
  </si>
  <si>
    <t>1K TREE WATERMELON GOSE - BIG ROCK</t>
  </si>
  <si>
    <t>064294928976</t>
  </si>
  <si>
    <t>43285</t>
  </si>
  <si>
    <t>1K UNWINDER HAZY PALE ALE - BR</t>
  </si>
  <si>
    <t>773804504011</t>
  </si>
  <si>
    <t>44313</t>
  </si>
  <si>
    <t>1K WINTER BITTER ALE - GREAT WESTERN</t>
  </si>
  <si>
    <t>064294290356</t>
  </si>
  <si>
    <t>47796</t>
  </si>
  <si>
    <t>1K WRANGLER IPA - BIG ROCK</t>
  </si>
  <si>
    <t>064294290332</t>
  </si>
  <si>
    <t>45976</t>
  </si>
  <si>
    <t>20C CRAFT MIXER 2025 - BIG ROCK</t>
  </si>
  <si>
    <t>9460</t>
  </si>
  <si>
    <t>0064294290424</t>
  </si>
  <si>
    <t>46840</t>
  </si>
  <si>
    <t>20C CRAFT MIXER FALL - BIG ROCK</t>
  </si>
  <si>
    <t>062067567018</t>
  </si>
  <si>
    <t>5388</t>
  </si>
  <si>
    <t>24B BUD LIGHT - LABATT</t>
  </si>
  <si>
    <t>8184</t>
  </si>
  <si>
    <t>062067335013</t>
  </si>
  <si>
    <t>1510</t>
  </si>
  <si>
    <t>24B BUDWEISER - LABATT</t>
  </si>
  <si>
    <t>056327072541</t>
  </si>
  <si>
    <t>1718</t>
  </si>
  <si>
    <t>24B CANADIAN - MOLSON</t>
  </si>
  <si>
    <t>056327182547</t>
  </si>
  <si>
    <t>2099</t>
  </si>
  <si>
    <t>24B COORS LIGHT - MOLSON</t>
  </si>
  <si>
    <t>062067382444</t>
  </si>
  <si>
    <t>34736</t>
  </si>
  <si>
    <t>24B CORONA DOMESTIC - LABATT</t>
  </si>
  <si>
    <t>7920</t>
  </si>
  <si>
    <t>072890004031</t>
  </si>
  <si>
    <t>32434</t>
  </si>
  <si>
    <t>24B HEINEKEN MOLSON</t>
  </si>
  <si>
    <t>072890007018</t>
  </si>
  <si>
    <t>45092</t>
  </si>
  <si>
    <t>24B HEINEKEN SILVER - MOLSON</t>
  </si>
  <si>
    <t>062067374012</t>
  </si>
  <si>
    <t>2836</t>
  </si>
  <si>
    <t>24B KOKANEE - LABATT</t>
  </si>
  <si>
    <t>062067351013</t>
  </si>
  <si>
    <t>1380</t>
  </si>
  <si>
    <t>24B LABATT BLUE</t>
  </si>
  <si>
    <t>056327024830</t>
  </si>
  <si>
    <t>46764</t>
  </si>
  <si>
    <t>24B MADRI EXCEPCIONAL - MOLSON</t>
  </si>
  <si>
    <t>062067547072</t>
  </si>
  <si>
    <t>38629</t>
  </si>
  <si>
    <t>24B MICHELOB ULTRA -LABATT</t>
  </si>
  <si>
    <t>056327012400</t>
  </si>
  <si>
    <t>27471</t>
  </si>
  <si>
    <t>24B MILLER GENUINE DRAFT - MOLSON</t>
  </si>
  <si>
    <t>056327012172</t>
  </si>
  <si>
    <t>27478</t>
  </si>
  <si>
    <t>24B MILLER LITE - MOLSON</t>
  </si>
  <si>
    <t>056327592544</t>
  </si>
  <si>
    <t>3656</t>
  </si>
  <si>
    <t>24B PILSNER  - MOLSON</t>
  </si>
  <si>
    <t>062067382246</t>
  </si>
  <si>
    <t>37924</t>
  </si>
  <si>
    <t>24B STELLA ARTOIS DOMESTIC - LABATT</t>
  </si>
  <si>
    <t>064294821185</t>
  </si>
  <si>
    <t>31594</t>
  </si>
  <si>
    <t>24C ALBERTA GENUINE DRAFT - BIG ROCK</t>
  </si>
  <si>
    <t>062067121401</t>
  </si>
  <si>
    <t>45834</t>
  </si>
  <si>
    <t>24C ALEXANDER KEITH'S INDIA PALE ALE</t>
  </si>
  <si>
    <t>056327013612</t>
  </si>
  <si>
    <t>30391</t>
  </si>
  <si>
    <t>24C BOHEMIAN - MOLSON</t>
  </si>
  <si>
    <t>773804222243</t>
  </si>
  <si>
    <t>35465</t>
  </si>
  <si>
    <t>24C BREWHOUSE LIGHT - GREAT WESTERN</t>
  </si>
  <si>
    <t>773804242241</t>
  </si>
  <si>
    <t>11685</t>
  </si>
  <si>
    <t>24C BREWHOUSE PILSENER - GREAT WESTERN</t>
  </si>
  <si>
    <t>773804282247</t>
  </si>
  <si>
    <t>41299</t>
  </si>
  <si>
    <t>24C BREWHOUSE ULTRA - GREAT WESTERN</t>
  </si>
  <si>
    <t>062067567407</t>
  </si>
  <si>
    <t>6566</t>
  </si>
  <si>
    <t>24C BUD LIGHT - LABATT</t>
  </si>
  <si>
    <t>062067202285</t>
  </si>
  <si>
    <t>25340</t>
  </si>
  <si>
    <t>24C BUD LIGHT APPAREL- LABATT</t>
  </si>
  <si>
    <t>062067335402</t>
  </si>
  <si>
    <t>1511</t>
  </si>
  <si>
    <t>24C BUDWEISER - LABATT</t>
  </si>
  <si>
    <t>062067318405</t>
  </si>
  <si>
    <t>21856</t>
  </si>
  <si>
    <t>24C BUSCH LAGER - LABATT</t>
  </si>
  <si>
    <t>062067508400</t>
  </si>
  <si>
    <t>40352</t>
  </si>
  <si>
    <t>24C BUSCH LIGHT - LABATT</t>
  </si>
  <si>
    <t>056327073241</t>
  </si>
  <si>
    <t>5512</t>
  </si>
  <si>
    <t>24C CANADIAN - MOLSON</t>
  </si>
  <si>
    <t>056327183247</t>
  </si>
  <si>
    <t>2100</t>
  </si>
  <si>
    <t>24C COORS LIGHT - MOLSON</t>
  </si>
  <si>
    <t>056327014527</t>
  </si>
  <si>
    <t>32940</t>
  </si>
  <si>
    <t>24C COORS ORIGINAL - MOLSON</t>
  </si>
  <si>
    <t>773804382244</t>
  </si>
  <si>
    <t>21888</t>
  </si>
  <si>
    <t>24C GREAT WESTERN CLASSIC</t>
  </si>
  <si>
    <t>773804332249</t>
  </si>
  <si>
    <t>35941</t>
  </si>
  <si>
    <t>24C GREAT WESTERN LAGER</t>
  </si>
  <si>
    <t>773804122246</t>
  </si>
  <si>
    <t>7251</t>
  </si>
  <si>
    <t>24C GREAT WESTERN LIGHT</t>
  </si>
  <si>
    <t>773804352247</t>
  </si>
  <si>
    <t>7249</t>
  </si>
  <si>
    <t>24C GREAT WESTERN PILSNER</t>
  </si>
  <si>
    <t>773804482241</t>
  </si>
  <si>
    <t>45598</t>
  </si>
  <si>
    <t>24C GREAT WESTERN RADLER</t>
  </si>
  <si>
    <t>773804542242</t>
  </si>
  <si>
    <t>45367</t>
  </si>
  <si>
    <t>24C GREAT WESTERN ULTRA</t>
  </si>
  <si>
    <t>056327008274</t>
  </si>
  <si>
    <t>16659</t>
  </si>
  <si>
    <t>24C KEYSTONE LIGHT - MOLSON</t>
  </si>
  <si>
    <t>062067374401</t>
  </si>
  <si>
    <t>2837</t>
  </si>
  <si>
    <t>24C KOKANEE - LABATT</t>
  </si>
  <si>
    <t>062067351402</t>
  </si>
  <si>
    <t>5488</t>
  </si>
  <si>
    <t>24C LABATT BLUE</t>
  </si>
  <si>
    <t>062067577406</t>
  </si>
  <si>
    <t>5541</t>
  </si>
  <si>
    <t>24C LABATT LITE</t>
  </si>
  <si>
    <t>062067355400</t>
  </si>
  <si>
    <t>30788</t>
  </si>
  <si>
    <t>24C LUCKY LAGER - LABATT</t>
  </si>
  <si>
    <t>062067547874</t>
  </si>
  <si>
    <t>26329</t>
  </si>
  <si>
    <t>24C MICHELOB ULTRA - LABATT</t>
  </si>
  <si>
    <t>056327012288</t>
  </si>
  <si>
    <t>30858</t>
  </si>
  <si>
    <t>24C MILLER GENUINE DRAFT - MOLSON</t>
  </si>
  <si>
    <t>056327012073</t>
  </si>
  <si>
    <t>27464</t>
  </si>
  <si>
    <t>24C MILLER HIGH LIFE - MOLSON</t>
  </si>
  <si>
    <t>056327012127</t>
  </si>
  <si>
    <t>27476</t>
  </si>
  <si>
    <t>24C MILLER LITE - MOLSON</t>
  </si>
  <si>
    <t>056327013841</t>
  </si>
  <si>
    <t>40562</t>
  </si>
  <si>
    <t>24C MOLSON ULTRA</t>
  </si>
  <si>
    <t>060383021078</t>
  </si>
  <si>
    <t>34995</t>
  </si>
  <si>
    <t>24C NO NAME BEER - BIG ROCK</t>
  </si>
  <si>
    <t>060383053390</t>
  </si>
  <si>
    <t>42873</t>
  </si>
  <si>
    <t>24C NO NAME LIGHT LAGER - BR</t>
  </si>
  <si>
    <t>056910401406</t>
  </si>
  <si>
    <t>30388</t>
  </si>
  <si>
    <t>24C OLD MILWAUKEE - SLEEMAN</t>
  </si>
  <si>
    <t>773804432246</t>
  </si>
  <si>
    <t>41340</t>
  </si>
  <si>
    <t>24C OLYMPIA - GREAT WESTERN</t>
  </si>
  <si>
    <t>773804172241</t>
  </si>
  <si>
    <t>40576</t>
  </si>
  <si>
    <t>24C ORIGINAL 16 COPPER GREAT WESTERN</t>
  </si>
  <si>
    <t>773804162242</t>
  </si>
  <si>
    <t>25801</t>
  </si>
  <si>
    <t>24C ORIGINAL 16 PALE ALE - GREAT WESTERN</t>
  </si>
  <si>
    <t>056910403233</t>
  </si>
  <si>
    <t>30451</t>
  </si>
  <si>
    <t>24C PABST BLUE RIBBON - SLEEMAN</t>
  </si>
  <si>
    <t>056910405251</t>
  </si>
  <si>
    <t>46664</t>
  </si>
  <si>
    <t>24C PABST BLUE RIBBON LIGHT - SLEEMAN</t>
  </si>
  <si>
    <t>056327593244</t>
  </si>
  <si>
    <t>5553</t>
  </si>
  <si>
    <t>24C PILSNER  - MOLSON</t>
  </si>
  <si>
    <t>062067397400</t>
  </si>
  <si>
    <t>28196</t>
  </si>
  <si>
    <t>24C ROLLING ROCK LABATT</t>
  </si>
  <si>
    <t>056910601240</t>
  </si>
  <si>
    <t>47368</t>
  </si>
  <si>
    <t>24C SAPPORO CANADA - SLEEMAN</t>
  </si>
  <si>
    <t>056910301249</t>
  </si>
  <si>
    <t>35108</t>
  </si>
  <si>
    <t>24C SLEEMAN CLEAR 2.0</t>
  </si>
  <si>
    <t>062067382451</t>
  </si>
  <si>
    <t>40715</t>
  </si>
  <si>
    <t>28B CORONA EXTRA - LABATT</t>
  </si>
  <si>
    <t>9240</t>
  </si>
  <si>
    <t>0072890006509</t>
  </si>
  <si>
    <t>37927</t>
  </si>
  <si>
    <t>28B HEINEKEN - MOLSON</t>
  </si>
  <si>
    <t>9940</t>
  </si>
  <si>
    <t>056327015678</t>
  </si>
  <si>
    <t>33139</t>
  </si>
  <si>
    <t>28B MILLER GENUINE DRAFT - MOLSON</t>
  </si>
  <si>
    <t>062067385346</t>
  </si>
  <si>
    <t>41257</t>
  </si>
  <si>
    <t>28B STELLA ARTOIS - LABATT</t>
  </si>
  <si>
    <t>062067567469</t>
  </si>
  <si>
    <t>14755</t>
  </si>
  <si>
    <t>30C BUD LIGHT - LABATT</t>
  </si>
  <si>
    <t>10650</t>
  </si>
  <si>
    <t>062067335464</t>
  </si>
  <si>
    <t>5500</t>
  </si>
  <si>
    <t>30C BUDWEISER - LABATT</t>
  </si>
  <si>
    <t>062067380341</t>
  </si>
  <si>
    <t>37921</t>
  </si>
  <si>
    <t>30C BUSCH - LABATT</t>
  </si>
  <si>
    <t>162067508462</t>
  </si>
  <si>
    <t>38825</t>
  </si>
  <si>
    <t>30C BUSCH LIGHT - LABATT</t>
  </si>
  <si>
    <t>056327014718</t>
  </si>
  <si>
    <t>46531</t>
  </si>
  <si>
    <t>30C KEYSTONE LIGHT - MOLSON</t>
  </si>
  <si>
    <t>062067374463</t>
  </si>
  <si>
    <t>2839</t>
  </si>
  <si>
    <t>30C KOKANEE - LABATT</t>
  </si>
  <si>
    <t>062067380334</t>
  </si>
  <si>
    <t>45833</t>
  </si>
  <si>
    <t>30C LABATT BLUE - LABATT</t>
  </si>
  <si>
    <t>062067380952</t>
  </si>
  <si>
    <t>33190</t>
  </si>
  <si>
    <t>30C MICHELOB ULTRA - LABATT</t>
  </si>
  <si>
    <t>773804162303</t>
  </si>
  <si>
    <t>44272</t>
  </si>
  <si>
    <t>30C ORIGINAL 16 CANADIAN PALE ALE - GW</t>
  </si>
  <si>
    <t>064294290042</t>
  </si>
  <si>
    <t>44108</t>
  </si>
  <si>
    <t>36C ALBERTA GENUINE DRAFT - BIG ROCK</t>
  </si>
  <si>
    <t>12780</t>
  </si>
  <si>
    <t>773804242364</t>
  </si>
  <si>
    <t>43682</t>
  </si>
  <si>
    <t>36C BREWHOUSE PILSNER - GW</t>
  </si>
  <si>
    <t>773804282360</t>
  </si>
  <si>
    <t>43683</t>
  </si>
  <si>
    <t>36C BREWHOUSE ULTRA - GW</t>
  </si>
  <si>
    <t>062067335297</t>
  </si>
  <si>
    <t>28460</t>
  </si>
  <si>
    <t>36C BUDWEISER LABATT</t>
  </si>
  <si>
    <t>056327005648</t>
  </si>
  <si>
    <t>32426</t>
  </si>
  <si>
    <t>36C CANADIAN MOLSON</t>
  </si>
  <si>
    <t>056327004337</t>
  </si>
  <si>
    <t>32424</t>
  </si>
  <si>
    <t>36C COORS LIGHT - MOLSON</t>
  </si>
  <si>
    <t>056327014534</t>
  </si>
  <si>
    <t>32941</t>
  </si>
  <si>
    <t>36C COORS ORIGINAL - MOLSON</t>
  </si>
  <si>
    <t>773804382367</t>
  </si>
  <si>
    <t>44665</t>
  </si>
  <si>
    <t>36C GREAT WESTERN CLASSIC</t>
  </si>
  <si>
    <t>773804122369</t>
  </si>
  <si>
    <t>35944</t>
  </si>
  <si>
    <t>36C GREAT WESTERN LIGHT</t>
  </si>
  <si>
    <t>773804352360</t>
  </si>
  <si>
    <t>35943</t>
  </si>
  <si>
    <t>36C GREAT WESTERN PILSNER</t>
  </si>
  <si>
    <t>062067374296</t>
  </si>
  <si>
    <t>33188</t>
  </si>
  <si>
    <t>36C KOKANEE - LABATT</t>
  </si>
  <si>
    <t>062067376481</t>
  </si>
  <si>
    <t>31038</t>
  </si>
  <si>
    <t>36C LUCKY - LABATT</t>
  </si>
  <si>
    <t>056327012660</t>
  </si>
  <si>
    <t>32428</t>
  </si>
  <si>
    <t>36C PILSNER MOLSON</t>
  </si>
  <si>
    <t>773804242487</t>
  </si>
  <si>
    <t>37780</t>
  </si>
  <si>
    <t>48C BREWHOUSE PILSNER - GREAT WESTERN</t>
  </si>
  <si>
    <t>17040</t>
  </si>
  <si>
    <t>062067567971</t>
  </si>
  <si>
    <t>32390</t>
  </si>
  <si>
    <t>48C BUD LIGHT LABATT</t>
  </si>
  <si>
    <t>062067335976</t>
  </si>
  <si>
    <t>32358</t>
  </si>
  <si>
    <t>48C BUDWEISER - LABATT</t>
  </si>
  <si>
    <t>056327010642</t>
  </si>
  <si>
    <t>32427</t>
  </si>
  <si>
    <t>48C CANADIAN MOLSON</t>
  </si>
  <si>
    <t>056327007925</t>
  </si>
  <si>
    <t>32425</t>
  </si>
  <si>
    <t>48C COORS LIGHT - MOLSON</t>
  </si>
  <si>
    <t>056327014503</t>
  </si>
  <si>
    <t>32943</t>
  </si>
  <si>
    <t>48C COORS ORIGINAL - MOLSON</t>
  </si>
  <si>
    <t>773804122482</t>
  </si>
  <si>
    <t>42617</t>
  </si>
  <si>
    <t>48C GREAT WESTERN LIGHT</t>
  </si>
  <si>
    <t>773804352483</t>
  </si>
  <si>
    <t>33783</t>
  </si>
  <si>
    <t>48C GREAT WESTERN PILSNER</t>
  </si>
  <si>
    <t>062067374975</t>
  </si>
  <si>
    <t>32361</t>
  </si>
  <si>
    <t>48C KOKANEE - LABATT</t>
  </si>
  <si>
    <t>062067355974</t>
  </si>
  <si>
    <t>32360</t>
  </si>
  <si>
    <t>48C LUCKY - LABATT</t>
  </si>
  <si>
    <t>773804162488</t>
  </si>
  <si>
    <t>33784</t>
  </si>
  <si>
    <t>48C ORIGINAL 16 CANADIAN PALE ALE - GW</t>
  </si>
  <si>
    <t>0056910403486</t>
  </si>
  <si>
    <t>42944</t>
  </si>
  <si>
    <t>48C PABST BLUE RIBBON - SLEEMAN</t>
  </si>
  <si>
    <t>056327012677</t>
  </si>
  <si>
    <t>32430</t>
  </si>
  <si>
    <t>48C PILSNER MOLSON</t>
  </si>
  <si>
    <t>6281109220445</t>
  </si>
  <si>
    <t>35461</t>
  </si>
  <si>
    <t>4C BANDED PEAK CRUSHMORE PILSNER -LABATT</t>
  </si>
  <si>
    <t>628110922151</t>
  </si>
  <si>
    <t>37734</t>
  </si>
  <si>
    <t>4C BANDED PEAK CRUSHMORE PILSNER LABATT</t>
  </si>
  <si>
    <t>628110922137</t>
  </si>
  <si>
    <t>37435</t>
  </si>
  <si>
    <t>4C BANDED PEAK FALL LINE HAZY IPA LABATT</t>
  </si>
  <si>
    <t>0628110922052</t>
  </si>
  <si>
    <t>35843</t>
  </si>
  <si>
    <t>4C BANDED PEAK MICROBURST HAZY IPA - LAB</t>
  </si>
  <si>
    <t>628110922021</t>
  </si>
  <si>
    <t>35459</t>
  </si>
  <si>
    <t>4C BANDED PEAK SOUTHERN ASPECT - LABATT</t>
  </si>
  <si>
    <t>056327015272</t>
  </si>
  <si>
    <t>33143</t>
  </si>
  <si>
    <t>4C BELGIAN MOON MANGO WHEAT - MOLSON</t>
  </si>
  <si>
    <t>836902000554</t>
  </si>
  <si>
    <t>40635</t>
  </si>
  <si>
    <t>4C BP ALPINE TART DRY HOPPED SOUR LABATT</t>
  </si>
  <si>
    <t>836902000462</t>
  </si>
  <si>
    <t>41879</t>
  </si>
  <si>
    <t>4C BP APPROACH AMBER LAGER - LABATT</t>
  </si>
  <si>
    <t>836902000981</t>
  </si>
  <si>
    <t>44371</t>
  </si>
  <si>
    <t>4C BP CHOCKSTONE STOUT - LABATT</t>
  </si>
  <si>
    <t>836902001278</t>
  </si>
  <si>
    <t>45465</t>
  </si>
  <si>
    <t>4C BP GRAN NORTE LABATT</t>
  </si>
  <si>
    <t>836902000356</t>
  </si>
  <si>
    <t>39701</t>
  </si>
  <si>
    <t>4C BP NON ALC DRY CAMP ALE - LABATT</t>
  </si>
  <si>
    <t>836902000394</t>
  </si>
  <si>
    <t>44373</t>
  </si>
  <si>
    <t>4C BP NON ALC DRY CAMP PALE ALE - LABATT</t>
  </si>
  <si>
    <t>836902001407</t>
  </si>
  <si>
    <t>48588</t>
  </si>
  <si>
    <t>4C BP VALLEE BLANCHE - LABATT</t>
  </si>
  <si>
    <t>062067423529</t>
  </si>
  <si>
    <t>46482</t>
  </si>
  <si>
    <t>4C BUSCH BULLET - LABATT</t>
  </si>
  <si>
    <t>888</t>
  </si>
  <si>
    <t>064294623604</t>
  </si>
  <si>
    <t>37579</t>
  </si>
  <si>
    <t>4C GRASSHOPPER KRISTALLWEIZEN - BIG ROCK</t>
  </si>
  <si>
    <t>773804123014</t>
  </si>
  <si>
    <t>42813</t>
  </si>
  <si>
    <t>4C GREAT WESTERN LIGHT - GW</t>
  </si>
  <si>
    <t>088076188327</t>
  </si>
  <si>
    <t>40174</t>
  </si>
  <si>
    <t>4C GUINNESS NITRO COLD BREW COFFEE</t>
  </si>
  <si>
    <t>1760</t>
  </si>
  <si>
    <t>5000213002834</t>
  </si>
  <si>
    <t>2589</t>
  </si>
  <si>
    <t>4C GUINNESS PUB DRAUGHT</t>
  </si>
  <si>
    <t>5000213025420</t>
  </si>
  <si>
    <t>41916</t>
  </si>
  <si>
    <t>4C GUINNESS ZERO - DIAGEO</t>
  </si>
  <si>
    <t>0064294482980</t>
  </si>
  <si>
    <t>38409</t>
  </si>
  <si>
    <t>4C HONEY BROWN LAGER - BIG ROCK</t>
  </si>
  <si>
    <t>5000213019085</t>
  </si>
  <si>
    <t>23388</t>
  </si>
  <si>
    <t>4C KILKENNY IRISH CREAM ALE - DIAGEO</t>
  </si>
  <si>
    <t>855315006724</t>
  </si>
  <si>
    <t>35976</t>
  </si>
  <si>
    <t>4C MILL ST HOPPED &amp; CONFUSED 3.0 LABATT</t>
  </si>
  <si>
    <t>855315006717</t>
  </si>
  <si>
    <t>35842</t>
  </si>
  <si>
    <t>4C MILL STREET ORGANIC HAZY IPA -LABATT</t>
  </si>
  <si>
    <t>855315006083</t>
  </si>
  <si>
    <t>35841</t>
  </si>
  <si>
    <t>4C MILL STREET ORGANIC PILSNER - LABATT</t>
  </si>
  <si>
    <t>056327023246</t>
  </si>
  <si>
    <t>45899</t>
  </si>
  <si>
    <t>4C MOLSON DRY - MOLSON</t>
  </si>
  <si>
    <t>773804173040</t>
  </si>
  <si>
    <t>16813</t>
  </si>
  <si>
    <t>4C ORIGINAL 16 CANADIAN COPPER ALE</t>
  </si>
  <si>
    <t>773804163041</t>
  </si>
  <si>
    <t>13533</t>
  </si>
  <si>
    <t>4C ORIGINAL 16 CANADIAN PALE ALE</t>
  </si>
  <si>
    <t>062067386909</t>
  </si>
  <si>
    <t>40147</t>
  </si>
  <si>
    <t>4C SP NON ALC SUNSETTER PEACH ALE LABATT</t>
  </si>
  <si>
    <t>062067386916</t>
  </si>
  <si>
    <t>40146</t>
  </si>
  <si>
    <t>4C SP NON ALC TRAIL HOPPER IPA LABATT</t>
  </si>
  <si>
    <t>836902000929</t>
  </si>
  <si>
    <t>43287</t>
  </si>
  <si>
    <t>4C TALLGRASS TANGO MANGO WHEAT ALE LAB</t>
  </si>
  <si>
    <t>064294212983</t>
  </si>
  <si>
    <t>35679</t>
  </si>
  <si>
    <t>4C TRADITIONAL ALE - BIG ROCK</t>
  </si>
  <si>
    <t>064294928969</t>
  </si>
  <si>
    <t>43284</t>
  </si>
  <si>
    <t>4C UNWINDER HAZY PALE ALE - BR</t>
  </si>
  <si>
    <t>773804503014</t>
  </si>
  <si>
    <t>44312</t>
  </si>
  <si>
    <t>4C WINTER BITTER ALE - GREAT WESTERN</t>
  </si>
  <si>
    <t>064294290318</t>
  </si>
  <si>
    <t>46570</t>
  </si>
  <si>
    <t>4C WRANGLER IPA - BIG ROCK</t>
  </si>
  <si>
    <t>056327025127</t>
  </si>
  <si>
    <t>46766</t>
  </si>
  <si>
    <t>6B BLUE MOON NON ALC BELGIAN WHITE MOLS</t>
  </si>
  <si>
    <t>062067335037</t>
  </si>
  <si>
    <t>1499</t>
  </si>
  <si>
    <t>6B BUDWEISER - LABATT</t>
  </si>
  <si>
    <t>056327072534</t>
  </si>
  <si>
    <t>1706</t>
  </si>
  <si>
    <t>6B CANADIAN - MOLSON</t>
  </si>
  <si>
    <t>056327182530</t>
  </si>
  <si>
    <t>2091</t>
  </si>
  <si>
    <t>6B COORS LIGHT - MOLSON</t>
  </si>
  <si>
    <t>62067424977</t>
  </si>
  <si>
    <t>45163</t>
  </si>
  <si>
    <t>6B CORONA CERO - LABATT</t>
  </si>
  <si>
    <t>062067382413</t>
  </si>
  <si>
    <t>34732</t>
  </si>
  <si>
    <t>6B CORONA DOMESTIC - LABATT</t>
  </si>
  <si>
    <t>7501064196133</t>
  </si>
  <si>
    <t>7111</t>
  </si>
  <si>
    <t>6B CORONA LIGHT (MEXICO) - LABATT</t>
  </si>
  <si>
    <t>062067382499</t>
  </si>
  <si>
    <t>38251</t>
  </si>
  <si>
    <t>6B CORONA LIGHT DOMESTIC - LABATT</t>
  </si>
  <si>
    <t>062067385629</t>
  </si>
  <si>
    <t>37794</t>
  </si>
  <si>
    <t>6B CORONA SUNBREW NON-ALC - LABATT</t>
  </si>
  <si>
    <t>7501064196010</t>
  </si>
  <si>
    <t>7112</t>
  </si>
  <si>
    <t>6B CORONITA EXTRA (MEXICO) - LABATT</t>
  </si>
  <si>
    <t>1242</t>
  </si>
  <si>
    <t>072311630122</t>
  </si>
  <si>
    <t>7333</t>
  </si>
  <si>
    <t>6B DOS EQUIS XX SPECIAL LAGER - MOLSON</t>
  </si>
  <si>
    <t>5000213024188</t>
  </si>
  <si>
    <t>40175</t>
  </si>
  <si>
    <t>6B GUINNESS EXTRA STOUT - DIAGEO</t>
  </si>
  <si>
    <t>622153535439</t>
  </si>
  <si>
    <t>5277</t>
  </si>
  <si>
    <t>6B GUINNESS PUB DRAUGHT</t>
  </si>
  <si>
    <t>072890005861</t>
  </si>
  <si>
    <t>28562</t>
  </si>
  <si>
    <t>6B HEINEKEN 0.0 - MOLSON</t>
  </si>
  <si>
    <t>072890000033</t>
  </si>
  <si>
    <t>5531</t>
  </si>
  <si>
    <t>6B HEINEKEN LAGER - MOLSON</t>
  </si>
  <si>
    <t>72890006882</t>
  </si>
  <si>
    <t>45088</t>
  </si>
  <si>
    <t>6B HEINEKEN SILVER - MOLSON</t>
  </si>
  <si>
    <t>786150000205</t>
  </si>
  <si>
    <t>20936</t>
  </si>
  <si>
    <t>6B HOEGAARDEN - LABATT</t>
  </si>
  <si>
    <t>056327024816</t>
  </si>
  <si>
    <t>46762</t>
  </si>
  <si>
    <t>6B MADRI EXCEPCIONAL - MOLSON</t>
  </si>
  <si>
    <t>056327012387</t>
  </si>
  <si>
    <t>27468</t>
  </si>
  <si>
    <t>6B MILLER GENUINE DRAFT - MOLSON</t>
  </si>
  <si>
    <t>7501064196379</t>
  </si>
  <si>
    <t>24068</t>
  </si>
  <si>
    <t>6B MODELO ESPECIAL - LABATT</t>
  </si>
  <si>
    <t>7501064196164</t>
  </si>
  <si>
    <t>7114</t>
  </si>
  <si>
    <t>6B PACIFICO CLARA (MEXICO) - LABATT</t>
  </si>
  <si>
    <t>056327672536</t>
  </si>
  <si>
    <t>3824</t>
  </si>
  <si>
    <t>6B RICKARD'S RED - MOLSON</t>
  </si>
  <si>
    <t>056910600069</t>
  </si>
  <si>
    <t>28471</t>
  </si>
  <si>
    <t>6B SAPPORO - SLEEMAN</t>
  </si>
  <si>
    <t>056327017702</t>
  </si>
  <si>
    <t>36008</t>
  </si>
  <si>
    <t>6B SOL CERVEZA DOMESTIC MOLSON</t>
  </si>
  <si>
    <t>062067382222</t>
  </si>
  <si>
    <t>34627</t>
  </si>
  <si>
    <t>6B STELLA ARTOIS DOMESTIC - LABATT</t>
  </si>
  <si>
    <t>773804352063</t>
  </si>
  <si>
    <t>6159</t>
  </si>
  <si>
    <t>6C BEACH STORMER PILSNER - GW</t>
  </si>
  <si>
    <t>056327015531</t>
  </si>
  <si>
    <t>33282</t>
  </si>
  <si>
    <t>6C BELGIAN MOON LIGHT SKY - MOLSON</t>
  </si>
  <si>
    <t>624466908856</t>
  </si>
  <si>
    <t>48488</t>
  </si>
  <si>
    <t>6C BOW VALLEY LAGER - BIG ROCK</t>
  </si>
  <si>
    <t>064294908886</t>
  </si>
  <si>
    <t>33064</t>
  </si>
  <si>
    <t>6C BOW VALLEY STRONG - BIG ROCK</t>
  </si>
  <si>
    <t>064294927986</t>
  </si>
  <si>
    <t>40634</t>
  </si>
  <si>
    <t>6C BROWN'S SOCIAL LAGER - BIG ROCK</t>
  </si>
  <si>
    <t>062067423314</t>
  </si>
  <si>
    <t>43626</t>
  </si>
  <si>
    <t>6C BUD LIGHT CHELADA (DOM) - LABATT</t>
  </si>
  <si>
    <t>062067423352</t>
  </si>
  <si>
    <t>43627</t>
  </si>
  <si>
    <t>6C BUD LIGHT SPICY CHELADA (DOM) LAB</t>
  </si>
  <si>
    <t>062067381522</t>
  </si>
  <si>
    <t>34129</t>
  </si>
  <si>
    <t>6C BUDWEISER ZERO - LABATT</t>
  </si>
  <si>
    <t>056327073937</t>
  </si>
  <si>
    <t>1709</t>
  </si>
  <si>
    <t>6C CANADIAN - MOLSON</t>
  </si>
  <si>
    <t>628451074021</t>
  </si>
  <si>
    <t>23740</t>
  </si>
  <si>
    <t>6C CHURCHILL BLONDE LAGER</t>
  </si>
  <si>
    <t>628451074052</t>
  </si>
  <si>
    <t>23739</t>
  </si>
  <si>
    <t>6C CHURCHILL BRITISHER ENGLISH BROWN ALE</t>
  </si>
  <si>
    <t>628451074250</t>
  </si>
  <si>
    <t>36924</t>
  </si>
  <si>
    <t>6C CHURCHILL LAWN MOWER YARD LAGER</t>
  </si>
  <si>
    <t>628451074045</t>
  </si>
  <si>
    <t>24507</t>
  </si>
  <si>
    <t>6C CHURCHILL PLAINSMEN PILSNER</t>
  </si>
  <si>
    <t>628451074038</t>
  </si>
  <si>
    <t>23738</t>
  </si>
  <si>
    <t>6C CHURCHILL RIVERMEN RED ALE</t>
  </si>
  <si>
    <t>056910002207</t>
  </si>
  <si>
    <t>45594</t>
  </si>
  <si>
    <t>6C COLT 45 - SLEEMAN</t>
  </si>
  <si>
    <t>056327183933</t>
  </si>
  <si>
    <t>2092</t>
  </si>
  <si>
    <t>6C COORS LIGHT -  MOLSON</t>
  </si>
  <si>
    <t>773804892064</t>
  </si>
  <si>
    <t>42651</t>
  </si>
  <si>
    <t>6C CORIGINAL 16 ZERO - GREAT WESTERN</t>
  </si>
  <si>
    <t>062067382376</t>
  </si>
  <si>
    <t>35625</t>
  </si>
  <si>
    <t>6C CORONA DOMESTIC - LABATT</t>
  </si>
  <si>
    <t>779446204067</t>
  </si>
  <si>
    <t>34424</t>
  </si>
  <si>
    <t>6C GIB BROCKTON WEST COAST IPA- MOLSON</t>
  </si>
  <si>
    <t>779446205811</t>
  </si>
  <si>
    <t>42747</t>
  </si>
  <si>
    <t>6C GIB FALSE CREEK RASPBERRY ALE MOLSON</t>
  </si>
  <si>
    <t>779446205958</t>
  </si>
  <si>
    <t>45189</t>
  </si>
  <si>
    <t>6C GIB HONEY CYPRESS - MOLSON</t>
  </si>
  <si>
    <t>779446205101</t>
  </si>
  <si>
    <t>39594</t>
  </si>
  <si>
    <t>6C GIB ISLAND LAGER - MOLSON</t>
  </si>
  <si>
    <t>779446205163</t>
  </si>
  <si>
    <t>39598</t>
  </si>
  <si>
    <t>6C GIB KITSILANO JUICY IPA - MOLSON</t>
  </si>
  <si>
    <t>773804182066</t>
  </si>
  <si>
    <t>2541</t>
  </si>
  <si>
    <t>6C GOLD STRONG - GREAT WESTERN</t>
  </si>
  <si>
    <t>779446204036</t>
  </si>
  <si>
    <t>34423</t>
  </si>
  <si>
    <t>6C GRANVILLE ENGLISH BAY PALE ALE MOLSON</t>
  </si>
  <si>
    <t>773804382060</t>
  </si>
  <si>
    <t>44594</t>
  </si>
  <si>
    <t>6C GREAT WESTERN CLASSIC ARTILLERY</t>
  </si>
  <si>
    <t>072890005885</t>
  </si>
  <si>
    <t>28563</t>
  </si>
  <si>
    <t>6C HEINEKEN 0.0 - MOLSON</t>
  </si>
  <si>
    <t>072890000019</t>
  </si>
  <si>
    <t>2622</t>
  </si>
  <si>
    <t>6C HEINEKEN LAGER - MOLSON</t>
  </si>
  <si>
    <t>786150002025</t>
  </si>
  <si>
    <t>31547</t>
  </si>
  <si>
    <t>6C HOEGAARDEN 0.0 - LABATT</t>
  </si>
  <si>
    <t>628451074205</t>
  </si>
  <si>
    <t>34465</t>
  </si>
  <si>
    <t>6C INTREPID IPA - CHURCHILL</t>
  </si>
  <si>
    <t>628451074380</t>
  </si>
  <si>
    <t>45731</t>
  </si>
  <si>
    <t>6C LAWN MOWER YARD LAGER ULTRA CHURCHILL</t>
  </si>
  <si>
    <t>062067378720</t>
  </si>
  <si>
    <t>31871</t>
  </si>
  <si>
    <t>6C LAYER UP WINTER WHEAT ALE STANLEY PK</t>
  </si>
  <si>
    <t>062067427152</t>
  </si>
  <si>
    <t>46727</t>
  </si>
  <si>
    <t>6C MICHELOB ULTRA 0.0% - LABATT</t>
  </si>
  <si>
    <t>855315005062</t>
  </si>
  <si>
    <t>30814</t>
  </si>
  <si>
    <t>6C MILL STREET 100TH MERIDIAN - LABATT</t>
  </si>
  <si>
    <t>855315004997</t>
  </si>
  <si>
    <t>30811</t>
  </si>
  <si>
    <t>6C MILL STREET ORIGINAL ORGANIC - LABATT</t>
  </si>
  <si>
    <t>855315005123</t>
  </si>
  <si>
    <t>30838</t>
  </si>
  <si>
    <t>6C MILL STREET TANKHOUSE ALE - LABATT</t>
  </si>
  <si>
    <t>062067425400</t>
  </si>
  <si>
    <t>45522</t>
  </si>
  <si>
    <t>6C MODELO LABATT (DOMESTIC)</t>
  </si>
  <si>
    <t>056910403097</t>
  </si>
  <si>
    <t>16508</t>
  </si>
  <si>
    <t>6C PABST BLUE RIBBON - SLEEMAN</t>
  </si>
  <si>
    <t>064294928850</t>
  </si>
  <si>
    <t>42596</t>
  </si>
  <si>
    <t>6C PACER NON ALC GOLDEN ALE</t>
  </si>
  <si>
    <t>064294928884</t>
  </si>
  <si>
    <t>42407</t>
  </si>
  <si>
    <t>6C PACER NON ALC HAZY PALE ALE</t>
  </si>
  <si>
    <t>056327593930</t>
  </si>
  <si>
    <t>3648</t>
  </si>
  <si>
    <t>6C PILSNER  - MOLSON</t>
  </si>
  <si>
    <t>628451074366</t>
  </si>
  <si>
    <t>45362</t>
  </si>
  <si>
    <t>6C RADLER - CHURCHILL</t>
  </si>
  <si>
    <t>056910605064</t>
  </si>
  <si>
    <t>41590</t>
  </si>
  <si>
    <t>6C SAPPORO - SLEEMAN</t>
  </si>
  <si>
    <t>056910035564</t>
  </si>
  <si>
    <t>44598</t>
  </si>
  <si>
    <t>6C SAPPORO 0.0 NON ALC - SLEEMAN</t>
  </si>
  <si>
    <t>BLACK FLY BEVERAGE COMPANY</t>
  </si>
  <si>
    <t>062067148262</t>
  </si>
  <si>
    <t>26114</t>
  </si>
  <si>
    <t>6C STANLEY PARK DAY TRIP LAGER - LABATT</t>
  </si>
  <si>
    <t>062067378379</t>
  </si>
  <si>
    <t>34159</t>
  </si>
  <si>
    <t>6C STANLEY PARK ELECTRO LAGER - LABATT</t>
  </si>
  <si>
    <t>062067148293</t>
  </si>
  <si>
    <t>26259</t>
  </si>
  <si>
    <t>6C STANLEY PARK SUNSETTER LABATT</t>
  </si>
  <si>
    <t>062067375743</t>
  </si>
  <si>
    <t>28049</t>
  </si>
  <si>
    <t>6C STANLEY PARK TRAIL HOPPER IPA LABATT</t>
  </si>
  <si>
    <t>062067382192</t>
  </si>
  <si>
    <t>34275</t>
  </si>
  <si>
    <t>6C STELLA ARTOIS DOMESTIC - LABATT</t>
  </si>
  <si>
    <t>628451074212</t>
  </si>
  <si>
    <t>34466</t>
  </si>
  <si>
    <t>6C SUNDOG BELGIAN WHITE - CHURCHILL</t>
  </si>
  <si>
    <t>064294290004</t>
  </si>
  <si>
    <t>43803</t>
  </si>
  <si>
    <t>8C ALBERTA GENUINE DRAFT - BR</t>
  </si>
  <si>
    <t>062067121456</t>
  </si>
  <si>
    <t>28297</t>
  </si>
  <si>
    <t>8C ALEXANDER KEITH'S IPA LABATT</t>
  </si>
  <si>
    <t>836902000059</t>
  </si>
  <si>
    <t>38368</t>
  </si>
  <si>
    <t>8C BANDED PEAK TRAIL MIX PACK - LABATT</t>
  </si>
  <si>
    <t>056327012912</t>
  </si>
  <si>
    <t>35935</t>
  </si>
  <si>
    <t>8C BLACK ICE MOLSON</t>
  </si>
  <si>
    <t>056327011342</t>
  </si>
  <si>
    <t>35934</t>
  </si>
  <si>
    <t>8C BLACK LABEL MOLSON</t>
  </si>
  <si>
    <t>836902001414</t>
  </si>
  <si>
    <t>48611</t>
  </si>
  <si>
    <t>8C BP TRAIL MIX PK - LABATT</t>
  </si>
  <si>
    <t>064294290080</t>
  </si>
  <si>
    <t>44468</t>
  </si>
  <si>
    <t>8C BR BARN BURNER VARIETY PK</t>
  </si>
  <si>
    <t>062067567452</t>
  </si>
  <si>
    <t>32921</t>
  </si>
  <si>
    <t>8C BUD LIGHT - LABATT</t>
  </si>
  <si>
    <t>062067335457</t>
  </si>
  <si>
    <t>32924</t>
  </si>
  <si>
    <t>8C BUDWEISER - LABATT</t>
  </si>
  <si>
    <t>062067318450</t>
  </si>
  <si>
    <t>32920</t>
  </si>
  <si>
    <t>8C BUSCH - LABATT</t>
  </si>
  <si>
    <t>056327073203</t>
  </si>
  <si>
    <t>12610</t>
  </si>
  <si>
    <t>8C CANADIAN - MOLSON</t>
  </si>
  <si>
    <t>056327005518</t>
  </si>
  <si>
    <t>12608</t>
  </si>
  <si>
    <t>8C COORS LIGHT - MOLSON</t>
  </si>
  <si>
    <t>056327008632</t>
  </si>
  <si>
    <t>35510</t>
  </si>
  <si>
    <t>056327014671</t>
  </si>
  <si>
    <t>35512</t>
  </si>
  <si>
    <t>8C COORS ORIGINAL - MOLSON</t>
  </si>
  <si>
    <t>779446206078</t>
  </si>
  <si>
    <t>45283</t>
  </si>
  <si>
    <t>8C GIB SUMMER MIXER - MOLSON</t>
  </si>
  <si>
    <t>779446206269</t>
  </si>
  <si>
    <t>48339</t>
  </si>
  <si>
    <t>8C GIB SUMMER MIXER 2026 MOLSON</t>
  </si>
  <si>
    <t>779446206115</t>
  </si>
  <si>
    <t>46493</t>
  </si>
  <si>
    <t>8C GIB WINTER MINGLER - MOLSON</t>
  </si>
  <si>
    <t>5000213101025</t>
  </si>
  <si>
    <t>5088</t>
  </si>
  <si>
    <t>8C GUINNESS PUB DRAUGHT</t>
  </si>
  <si>
    <t>3520</t>
  </si>
  <si>
    <t>062067374456</t>
  </si>
  <si>
    <t>32923</t>
  </si>
  <si>
    <t>8C KOKANEE - LABATT</t>
  </si>
  <si>
    <t>062067355455</t>
  </si>
  <si>
    <t>32919</t>
  </si>
  <si>
    <t>8C LUCKY - LABATT</t>
  </si>
  <si>
    <t>062067825453</t>
  </si>
  <si>
    <t>30398</t>
  </si>
  <si>
    <t>8C LUCKY EXTRA - LABATT</t>
  </si>
  <si>
    <t>062067547454</t>
  </si>
  <si>
    <t>28465</t>
  </si>
  <si>
    <t>8C MICHELOB ULTRA - LABATT</t>
  </si>
  <si>
    <t>56327023987</t>
  </si>
  <si>
    <t>43644</t>
  </si>
  <si>
    <t>8C MILLER LITE - MOLSON</t>
  </si>
  <si>
    <t>056327010925</t>
  </si>
  <si>
    <t>24755</t>
  </si>
  <si>
    <t>8C MOLSON CANADIAN COLD SHOTS</t>
  </si>
  <si>
    <t>1888</t>
  </si>
  <si>
    <t>056327014121</t>
  </si>
  <si>
    <t>34372</t>
  </si>
  <si>
    <t>8C MOLSON COLD SHOTS</t>
  </si>
  <si>
    <t>1776</t>
  </si>
  <si>
    <t>062067378928</t>
  </si>
  <si>
    <t>32926</t>
  </si>
  <si>
    <t>8C NATTY LIGHT - LABATT</t>
  </si>
  <si>
    <t>056910401185</t>
  </si>
  <si>
    <t>34546</t>
  </si>
  <si>
    <t>8C OLD MILWAUKEE - SLEEMAN</t>
  </si>
  <si>
    <t>056327593206</t>
  </si>
  <si>
    <t>14094</t>
  </si>
  <si>
    <t>8C OLD STYLE PILSNER  - MOLSON</t>
  </si>
  <si>
    <t>062067567292</t>
  </si>
  <si>
    <t>28461</t>
  </si>
  <si>
    <t>SR 36C BUD LIGHT LABATT</t>
  </si>
  <si>
    <t>Privately Distributed Refresh - Malt-Based - Cider</t>
  </si>
  <si>
    <t>064294015089</t>
  </si>
  <si>
    <t>39503</t>
  </si>
  <si>
    <t>12C ROCK CREEK CIDER VARIETY - BR</t>
  </si>
  <si>
    <t>064294165982</t>
  </si>
  <si>
    <t>33065</t>
  </si>
  <si>
    <t>4CROCK CREEK ROSE CIDER</t>
  </si>
  <si>
    <t>Privately Distributed Refresh - Other - Cider</t>
  </si>
  <si>
    <t>062067427640</t>
  </si>
  <si>
    <t>48333</t>
  </si>
  <si>
    <t>12C OK CIDER HARVEST MIXER LABATT</t>
  </si>
  <si>
    <t>205874</t>
  </si>
  <si>
    <t>779305102299</t>
  </si>
  <si>
    <t>21140</t>
  </si>
  <si>
    <t>12C OKANAGAN CIDER - BC'S SAMPLER LABATT</t>
  </si>
  <si>
    <t>062067422584</t>
  </si>
  <si>
    <t>42867</t>
  </si>
  <si>
    <t>12C OKANAGAN CIDER CRISP APPLE - LABATT</t>
  </si>
  <si>
    <t>5411718912953</t>
  </si>
  <si>
    <t>42401</t>
  </si>
  <si>
    <t>12C STRONGBOW ULTRA VARIETY  PK - MOLSON</t>
  </si>
  <si>
    <t>062067180743</t>
  </si>
  <si>
    <t>32366</t>
  </si>
  <si>
    <t>1B OKANAGAN CIDER BLACK CHERRY LABATT</t>
  </si>
  <si>
    <t>062067185748</t>
  </si>
  <si>
    <t>28681</t>
  </si>
  <si>
    <t>1B OKANAGAN CIDER GINGER APPLE LABATT</t>
  </si>
  <si>
    <t>062067187742</t>
  </si>
  <si>
    <t>32367</t>
  </si>
  <si>
    <t>1B OKANAGAN CIDER HARVEST PEAR LABATT</t>
  </si>
  <si>
    <t>062067193743</t>
  </si>
  <si>
    <t>32364</t>
  </si>
  <si>
    <t>1B OKANAGAN CIDER STRAW/RHUBARB LABATT</t>
  </si>
  <si>
    <t>062067194740</t>
  </si>
  <si>
    <t>32369</t>
  </si>
  <si>
    <t>1B OKANAGAN CIDER WHITE GRAPE LABATT</t>
  </si>
  <si>
    <t>779305238011</t>
  </si>
  <si>
    <t>3438</t>
  </si>
  <si>
    <t>1B OKANAGAN CRISP APPLE CIDER LABATT</t>
  </si>
  <si>
    <t>779305101193</t>
  </si>
  <si>
    <t>18465</t>
  </si>
  <si>
    <t>1B OKANAGAN EXTRA ARCTIC RASPBERRY CIDER</t>
  </si>
  <si>
    <t>779305100882</t>
  </si>
  <si>
    <t>3431</t>
  </si>
  <si>
    <t>1B OKANAGAN EXTRA GLACIER BERRY CIDER</t>
  </si>
  <si>
    <t>779305395165</t>
  </si>
  <si>
    <t>7571</t>
  </si>
  <si>
    <t>1B OKANAGAN ORCHARD PEACH CIDER LABATT</t>
  </si>
  <si>
    <t>062067182013</t>
  </si>
  <si>
    <t>28123</t>
  </si>
  <si>
    <t>1C OKANAGAN CIDER CRISP APPLE LABATT</t>
  </si>
  <si>
    <t>062067375880</t>
  </si>
  <si>
    <t>28124</t>
  </si>
  <si>
    <t>1C OKANAGAN CIDER HARVEST PEAR LABATT</t>
  </si>
  <si>
    <t>064294628395</t>
  </si>
  <si>
    <t>31085</t>
  </si>
  <si>
    <t>1C ROCK CREEK APPLE CIDER - BIG ROCK</t>
  </si>
  <si>
    <t>062067182129</t>
  </si>
  <si>
    <t>26287</t>
  </si>
  <si>
    <t>1K OKANAGAN CIDER CRISP APPLE LABATT</t>
  </si>
  <si>
    <t>064294100549</t>
  </si>
  <si>
    <t>5098</t>
  </si>
  <si>
    <t>1K ROCK CREEK APPLE  CIDER BR</t>
  </si>
  <si>
    <t>064294766325</t>
  </si>
  <si>
    <t>36396</t>
  </si>
  <si>
    <t>1K ROCK CREEK PEACH CIDER BIG ROCK</t>
  </si>
  <si>
    <t>064294758306</t>
  </si>
  <si>
    <t>24883</t>
  </si>
  <si>
    <t>1K ROCK CREEK PEAR CIDER BIG ROCK</t>
  </si>
  <si>
    <t>BIG ROCK BREWERY (r)</t>
  </si>
  <si>
    <t>10464154234389</t>
  </si>
  <si>
    <t>5168</t>
  </si>
  <si>
    <t>1K STRONGBOW CIDER KEG - MOLSON</t>
  </si>
  <si>
    <t>5000104123280</t>
  </si>
  <si>
    <t>7429</t>
  </si>
  <si>
    <t>4C STRONGBOW  CIDER - MOLSON</t>
  </si>
  <si>
    <t>5035766047599</t>
  </si>
  <si>
    <t>26093</t>
  </si>
  <si>
    <t>4C STRONGBOW DARK FRUIT CIDER - MOLSON</t>
  </si>
  <si>
    <t>5035766045762</t>
  </si>
  <si>
    <t>21965</t>
  </si>
  <si>
    <t>4C STRONGBOW GOLD - MOLSON</t>
  </si>
  <si>
    <t>5411718912045</t>
  </si>
  <si>
    <t>30928</t>
  </si>
  <si>
    <t>4C STRONGBOW ROSE - MOLSON</t>
  </si>
  <si>
    <t>064294819984</t>
  </si>
  <si>
    <t>30387</t>
  </si>
  <si>
    <t>6B ROCK CREEK ROSE - BIG ROCK</t>
  </si>
  <si>
    <t>5035766041238</t>
  </si>
  <si>
    <t>7532</t>
  </si>
  <si>
    <t>6B STRONGBOW CIDER - MOLSON</t>
  </si>
  <si>
    <t>062067381935</t>
  </si>
  <si>
    <t>34003</t>
  </si>
  <si>
    <t>6C OK CIDER SASKATOON BERRY LABATT</t>
  </si>
  <si>
    <t>779305004661</t>
  </si>
  <si>
    <t>19226</t>
  </si>
  <si>
    <t>6C OKANAGAN  CIDER WHITE GRAPE LABATT</t>
  </si>
  <si>
    <t>779305004579</t>
  </si>
  <si>
    <t>19760</t>
  </si>
  <si>
    <t>6C OKANAGAN  CRISP APPLE CIDER LABATT</t>
  </si>
  <si>
    <t>779305004654</t>
  </si>
  <si>
    <t>16243</t>
  </si>
  <si>
    <t>6C OKANAGAN BLACK CHERRY LABATT</t>
  </si>
  <si>
    <t>062067378843</t>
  </si>
  <si>
    <t>32375</t>
  </si>
  <si>
    <t>6C OKANAGAN CIDER APRICOT HIBISCUS LABAT</t>
  </si>
  <si>
    <t>062067375170</t>
  </si>
  <si>
    <t>28680</t>
  </si>
  <si>
    <t>6C OKANAGAN CIDER BLACKBERRY LABATT</t>
  </si>
  <si>
    <t>779305004630</t>
  </si>
  <si>
    <t>19225</t>
  </si>
  <si>
    <t>6C OKANAGAN CIDER ORCHARD PEACH LABATT</t>
  </si>
  <si>
    <t>062067375187</t>
  </si>
  <si>
    <t>28125</t>
  </si>
  <si>
    <t>6C OKANAGAN CIDER WINTER APPLE LABATT</t>
  </si>
  <si>
    <t>779305000519</t>
  </si>
  <si>
    <t>16797</t>
  </si>
  <si>
    <t>6C OKANAGAN GINGER APPLE CIDER LABATT</t>
  </si>
  <si>
    <t>779305004616</t>
  </si>
  <si>
    <t>13336</t>
  </si>
  <si>
    <t>6C OKANAGAN HARVEST PEAR CIDER LABATT</t>
  </si>
  <si>
    <t>064294766127</t>
  </si>
  <si>
    <t>24221</t>
  </si>
  <si>
    <t>6C ROCK CREEK PEACH CIDER</t>
  </si>
  <si>
    <t>064294626209</t>
  </si>
  <si>
    <t>22233</t>
  </si>
  <si>
    <t>6C ROCK CREEK PEAR CIDER</t>
  </si>
  <si>
    <t>064294629903</t>
  </si>
  <si>
    <t>6112</t>
  </si>
  <si>
    <t>6C ROCK CREEK PREMIUM DRY APPLE CIDER</t>
  </si>
  <si>
    <t>064294766141</t>
  </si>
  <si>
    <t>24009</t>
  </si>
  <si>
    <t>6C ROCK CREEK VARIETY PACK BIG ROCK</t>
  </si>
  <si>
    <t>Privately Distributed Refresh - Malt-Based - Coolers</t>
  </si>
  <si>
    <t>062067383328</t>
  </si>
  <si>
    <t>35683</t>
  </si>
  <si>
    <t>12C BL SELTZER MIXER MALT PK - LABATT</t>
  </si>
  <si>
    <t>062067374234</t>
  </si>
  <si>
    <t>28684</t>
  </si>
  <si>
    <t>12C MIKE'S HARDER ICED TEA LABATT</t>
  </si>
  <si>
    <t>062067383304</t>
  </si>
  <si>
    <t>37202</t>
  </si>
  <si>
    <t>1C BL BLACK CHERRY SELTZER MALT- LAB</t>
  </si>
  <si>
    <t>062067383281</t>
  </si>
  <si>
    <t>37200</t>
  </si>
  <si>
    <t>1C BL MANGO SELTZER MALT - LABATT</t>
  </si>
  <si>
    <t>062067383298</t>
  </si>
  <si>
    <t>37201</t>
  </si>
  <si>
    <t>1C BL STRAWBERRY SELTZER  MALT- LABATT</t>
  </si>
  <si>
    <t>056327022737</t>
  </si>
  <si>
    <t>45282</t>
  </si>
  <si>
    <t>1C COORS SELTZER CHERRY SLUSHIE (MALT)</t>
  </si>
  <si>
    <t>0456327024144</t>
  </si>
  <si>
    <t>45281</t>
  </si>
  <si>
    <t>1C COORS SELTZER GRAPE SLUSHIE (MALT)</t>
  </si>
  <si>
    <t>062067426186</t>
  </si>
  <si>
    <t>45656</t>
  </si>
  <si>
    <t>1C MIKE'S HALFER LEMONADE &amp; LAGER (MALT)</t>
  </si>
  <si>
    <t>062067375293</t>
  </si>
  <si>
    <t>28683</t>
  </si>
  <si>
    <t>1C MIKE'S HARDER BLACK CHERRY LEMONADE</t>
  </si>
  <si>
    <t>062067375262</t>
  </si>
  <si>
    <t>28682</t>
  </si>
  <si>
    <t>1C MIKE'S HARDER LEMONADE LABATT</t>
  </si>
  <si>
    <t>056327021228</t>
  </si>
  <si>
    <t>41392</t>
  </si>
  <si>
    <t>1C VIZZY BLACK CHERRY LIME (MALT)MOLSON</t>
  </si>
  <si>
    <t>56327019492</t>
  </si>
  <si>
    <t>35589</t>
  </si>
  <si>
    <t>1C VIZZY BLUEBERRY POMEGRANATE MALT MOL</t>
  </si>
  <si>
    <t>056327024298</t>
  </si>
  <si>
    <t>45173</t>
  </si>
  <si>
    <t>1C VIZZY ORANGE CREAM POP (MALT) MOLSON</t>
  </si>
  <si>
    <t>056327108563</t>
  </si>
  <si>
    <t>35588</t>
  </si>
  <si>
    <t>1C VIZZY PINEAPPLE MANGO MALT- MOLSON</t>
  </si>
  <si>
    <t>056327023062</t>
  </si>
  <si>
    <t>41255</t>
  </si>
  <si>
    <t>1K RASPBERRY LEMONADE (MLT) MOLSON</t>
  </si>
  <si>
    <t>19500</t>
  </si>
  <si>
    <t>056327021891</t>
  </si>
  <si>
    <t>39322</t>
  </si>
  <si>
    <t>1K VIZZY PAPAYA PASSIONFRUIT (MALT)-MOLS</t>
  </si>
  <si>
    <t>062067383335</t>
  </si>
  <si>
    <t>37923</t>
  </si>
  <si>
    <t>24C BL SELTZER MIXER MALT PK - LABATT</t>
  </si>
  <si>
    <t>062067383243</t>
  </si>
  <si>
    <t>35680</t>
  </si>
  <si>
    <t>6C BL BLACK CHERRY SELTZER MALT- LAB</t>
  </si>
  <si>
    <t>062067383205</t>
  </si>
  <si>
    <t>35681</t>
  </si>
  <si>
    <t>6C BL MANGO SELTZER MALT - LABATT</t>
  </si>
  <si>
    <t>062067383229</t>
  </si>
  <si>
    <t>35682</t>
  </si>
  <si>
    <t>6C BL STRAWBERRY SELTZER MALT - LABATT</t>
  </si>
  <si>
    <t>Privately Distributed Refresh - Spirit-Based - Coolers</t>
  </si>
  <si>
    <t>773804832121</t>
  </si>
  <si>
    <t>43084</t>
  </si>
  <si>
    <t>12C 306 HARD ICED TEA - GREAT WESTERN</t>
  </si>
  <si>
    <t>773804882126</t>
  </si>
  <si>
    <t>41113</t>
  </si>
  <si>
    <t>12C 306 MIX VARIETY PK (SPT) - GW</t>
  </si>
  <si>
    <t>056327021617</t>
  </si>
  <si>
    <t>38509</t>
  </si>
  <si>
    <t>12C ARIZONA HALF AND HALF (SPT) - MOLSON</t>
  </si>
  <si>
    <t>056327023796</t>
  </si>
  <si>
    <t>42838</t>
  </si>
  <si>
    <t>12C ARIZONA HARD HALF &amp; HALF(SPT)MOLSON</t>
  </si>
  <si>
    <t>056327018921</t>
  </si>
  <si>
    <t>35656</t>
  </si>
  <si>
    <t>12C ARIZONA HARD ICED TEA MIXER MOLSON</t>
  </si>
  <si>
    <t>MOLSON COORS BEVERAGE COMPANY</t>
  </si>
  <si>
    <t>056327021341</t>
  </si>
  <si>
    <t>38413</t>
  </si>
  <si>
    <t>12C ARIZONA HARD LEMON ICED TEA (SPT)MOL</t>
  </si>
  <si>
    <t>56327024403</t>
  </si>
  <si>
    <t>46876</t>
  </si>
  <si>
    <t>12C ARIZONA HARD VP (SPT) - MOLSON</t>
  </si>
  <si>
    <t>062067426407</t>
  </si>
  <si>
    <t>45215</t>
  </si>
  <si>
    <t>12C AVIT HALF &amp; HALF (SPT) - LABATT</t>
  </si>
  <si>
    <t>815829011218</t>
  </si>
  <si>
    <t>21970</t>
  </si>
  <si>
    <t>12C AVIT LEMON HARD ICED TEA - LABATT</t>
  </si>
  <si>
    <t>062067202261</t>
  </si>
  <si>
    <t>26365</t>
  </si>
  <si>
    <t>12C AVIT MIXER - LABATT</t>
  </si>
  <si>
    <t>062067386268</t>
  </si>
  <si>
    <t>38239</t>
  </si>
  <si>
    <t>12C BL LEMONADE SELTZER VAR (SPT) - LAB</t>
  </si>
  <si>
    <t>062067434297</t>
  </si>
  <si>
    <t>40575</t>
  </si>
  <si>
    <t>12C BL SELTZER HARD SODA MIX (SPT) LAB</t>
  </si>
  <si>
    <t>062067385230</t>
  </si>
  <si>
    <t>37392</t>
  </si>
  <si>
    <t>12C BL SELTZER HOLIDAY VARIETY SPT LAB</t>
  </si>
  <si>
    <t>062067386282</t>
  </si>
  <si>
    <t>39062</t>
  </si>
  <si>
    <t>12C BL SELTZER OUT OF OFFICE MIXER (SPT)</t>
  </si>
  <si>
    <t>056327023314</t>
  </si>
  <si>
    <t>42770</t>
  </si>
  <si>
    <t>12C COORS SELTZ ISLAND BREEZE (SPT) MOL</t>
  </si>
  <si>
    <t>056327020658</t>
  </si>
  <si>
    <t>38416</t>
  </si>
  <si>
    <t>12C COORS SELTZER FRUIT SPLASH PK (SPT)M</t>
  </si>
  <si>
    <t>056327024335</t>
  </si>
  <si>
    <t>45139</t>
  </si>
  <si>
    <t>12C COORS SELTZER MIXABLES SPT - MOLSON</t>
  </si>
  <si>
    <t>056327022591</t>
  </si>
  <si>
    <t>40688</t>
  </si>
  <si>
    <t>12C COORS SELTZER SLUSHIE MIX (SPT) MOLS</t>
  </si>
  <si>
    <t>056327024861</t>
  </si>
  <si>
    <t>46887</t>
  </si>
  <si>
    <t>12C COORS SELTZER SLUSHIE VP (SPT) MOL</t>
  </si>
  <si>
    <t>062067386480</t>
  </si>
  <si>
    <t>38246</t>
  </si>
  <si>
    <t>12C CORONA SELTZER VARIETY (SPT)- LABATT</t>
  </si>
  <si>
    <t>060249007291</t>
  </si>
  <si>
    <t>42084</t>
  </si>
  <si>
    <t>12C DECA HARD ICED TEA - BIG ROCK</t>
  </si>
  <si>
    <t>060249001923</t>
  </si>
  <si>
    <t>36302</t>
  </si>
  <si>
    <t>12C DECA VODKA SODA VARITY PK - BIG ROCK</t>
  </si>
  <si>
    <t>062067427237</t>
  </si>
  <si>
    <t>48215</t>
  </si>
  <si>
    <t>12C HOOP TEA (SPT) LABATT</t>
  </si>
  <si>
    <t>773804532120</t>
  </si>
  <si>
    <t>45425</t>
  </si>
  <si>
    <t>12C LAKE LIFE HALF &amp; HALF (SPT) - GW</t>
  </si>
  <si>
    <t>773804512122</t>
  </si>
  <si>
    <t>45422</t>
  </si>
  <si>
    <t>12C LAKE LIFE HARD ICED TEA (SPT) - GW</t>
  </si>
  <si>
    <t>773804522121</t>
  </si>
  <si>
    <t>45424</t>
  </si>
  <si>
    <t>12C LAKE LIFE LEMONADE (SPT) - GW</t>
  </si>
  <si>
    <t>062067388330</t>
  </si>
  <si>
    <t>39321</t>
  </si>
  <si>
    <t>12C MIKE'S HARD FREEZE PACK - LABATT</t>
  </si>
  <si>
    <t>062067387166</t>
  </si>
  <si>
    <t>38488</t>
  </si>
  <si>
    <t>12C MIKE'S HARD LEMON TEA (SPT) - LABATT</t>
  </si>
  <si>
    <t>RTD CANADA</t>
  </si>
  <si>
    <t>062067422577</t>
  </si>
  <si>
    <t>43139</t>
  </si>
  <si>
    <t>12C MIKE'S HARD LEMONADE</t>
  </si>
  <si>
    <t>062067202520</t>
  </si>
  <si>
    <t>26367</t>
  </si>
  <si>
    <t>12C MIKE'S HARD MIXED PACK</t>
  </si>
  <si>
    <t>062067387197</t>
  </si>
  <si>
    <t>38487</t>
  </si>
  <si>
    <t>12C MIKE'S HARD TEA MIXER (SPT) LABATT</t>
  </si>
  <si>
    <t>062067423628</t>
  </si>
  <si>
    <t>44316</t>
  </si>
  <si>
    <t>12C MIKE'S HARDER MIXER (SPT) - LABATT</t>
  </si>
  <si>
    <t>062067421570</t>
  </si>
  <si>
    <t>42966</t>
  </si>
  <si>
    <t>12C MIKE'S PINK LEMONADE ICED TEA (Spt)</t>
  </si>
  <si>
    <t>062067386947</t>
  </si>
  <si>
    <t>40782</t>
  </si>
  <si>
    <t>12C NUTRL TROPICAL MIXER</t>
  </si>
  <si>
    <t>062067461101</t>
  </si>
  <si>
    <t>40737</t>
  </si>
  <si>
    <t>12C NUTRL VODKA SODA 7% MIXER</t>
  </si>
  <si>
    <t>062067425844</t>
  </si>
  <si>
    <t>45151</t>
  </si>
  <si>
    <t>12C NUTRL VODKA SODA BERRY MIX(SPT) LAB</t>
  </si>
  <si>
    <t>062067421211</t>
  </si>
  <si>
    <t>43150</t>
  </si>
  <si>
    <t>12C NUTRL VODKA SODA LIME</t>
  </si>
  <si>
    <t>843403000044</t>
  </si>
  <si>
    <t>34406</t>
  </si>
  <si>
    <t>12C NUTRL VODKA SODA MIXED PACK 12pk</t>
  </si>
  <si>
    <t>GOODRIDGE &amp; WILLIAMS DISTILLING INC</t>
  </si>
  <si>
    <t>773804942127</t>
  </si>
  <si>
    <t>35708</t>
  </si>
  <si>
    <t>12C O16 HARD SELTZER VARIETY (SPT) -GW</t>
  </si>
  <si>
    <t>056910443512</t>
  </si>
  <si>
    <t>42663</t>
  </si>
  <si>
    <t>12C PABST STRONG VODKA ICED TEA  SLEEMAN</t>
  </si>
  <si>
    <t>056910406159</t>
  </si>
  <si>
    <t>45011</t>
  </si>
  <si>
    <t>12C PABST STRONG VODKA LEMONADE SPT SLM</t>
  </si>
  <si>
    <t>062067376931</t>
  </si>
  <si>
    <t>30853</t>
  </si>
  <si>
    <t>12C PALM BAY VARIETY PACK</t>
  </si>
  <si>
    <t>628068270748</t>
  </si>
  <si>
    <t>44248</t>
  </si>
  <si>
    <t>12C SIMPLY SPIKED CRAN (SPT) - MOLSON</t>
  </si>
  <si>
    <t>628068270311</t>
  </si>
  <si>
    <t>40678</t>
  </si>
  <si>
    <t>12C SIMPLY SPIKED LEMONADE (SPT) MOLSON</t>
  </si>
  <si>
    <t>628068270298</t>
  </si>
  <si>
    <t>40677</t>
  </si>
  <si>
    <t>12C SIMPLY SPIKED LEMONADE MIXR(SPT) MOL</t>
  </si>
  <si>
    <t>628068270908</t>
  </si>
  <si>
    <t>45169</t>
  </si>
  <si>
    <t>12C SIMPLY SPIKED LIMEADE VARIETY (SPT)</t>
  </si>
  <si>
    <t>628068270694</t>
  </si>
  <si>
    <t>42792</t>
  </si>
  <si>
    <t>12C SIMPLY SPIKED PEACH MIXER (SPT)MOL</t>
  </si>
  <si>
    <t>628068270793</t>
  </si>
  <si>
    <t>45171</t>
  </si>
  <si>
    <t>12C SIMPLY SPIKED SIG. LIMEADE (SPT) MOL</t>
  </si>
  <si>
    <t>628068270717</t>
  </si>
  <si>
    <t>42795</t>
  </si>
  <si>
    <t>12C SIMPLY SPIKED SIGNATURE PEACH(SPTMOL</t>
  </si>
  <si>
    <t>056910939121</t>
  </si>
  <si>
    <t>42671</t>
  </si>
  <si>
    <t>12C SOCIAL LITE CKTAIL SELTZER MIX SLIM</t>
  </si>
  <si>
    <t>AWARE BEVERAGES</t>
  </si>
  <si>
    <t>763331937123</t>
  </si>
  <si>
    <t>39976</t>
  </si>
  <si>
    <t>12C SOCIAL LITE MIXER PK - SLEEMANS</t>
  </si>
  <si>
    <t>056910938124</t>
  </si>
  <si>
    <t>42669</t>
  </si>
  <si>
    <t>12C SOCIAL LITE VARIETY MIXER SLEEMAN</t>
  </si>
  <si>
    <t>062067423680</t>
  </si>
  <si>
    <t>45149</t>
  </si>
  <si>
    <t>12C SVNS HARD 7UP MIXER (SPT) LABATT</t>
  </si>
  <si>
    <t>62067426896</t>
  </si>
  <si>
    <t>48316</t>
  </si>
  <si>
    <t>062067422256</t>
  </si>
  <si>
    <t>42964</t>
  </si>
  <si>
    <t>12C SVNS HARD 7UP ORIGINAL - LABATT(SPT)</t>
  </si>
  <si>
    <t>628055589907</t>
  </si>
  <si>
    <t>33740</t>
  </si>
  <si>
    <t>12C TEMPO GIN SMASH MIXED PACK</t>
  </si>
  <si>
    <t>628068270243</t>
  </si>
  <si>
    <t>40690</t>
  </si>
  <si>
    <t>12C TOPO CHICO MARGARITA MIX (SPT) MOLS</t>
  </si>
  <si>
    <t>0628068270083</t>
  </si>
  <si>
    <t>38505</t>
  </si>
  <si>
    <t>12C TOPO CHICO MIXER (SPT) - MOLSON</t>
  </si>
  <si>
    <t>056327023529</t>
  </si>
  <si>
    <t>42837</t>
  </si>
  <si>
    <t>12C VIZZY MAX VARIETY PK (SPT)- MOLSON</t>
  </si>
  <si>
    <t>056327018297</t>
  </si>
  <si>
    <t>35737</t>
  </si>
  <si>
    <t>12C VIZZY MIXER PACK - MOLSON</t>
  </si>
  <si>
    <t>056327024212</t>
  </si>
  <si>
    <t>45197</t>
  </si>
  <si>
    <t>12C VIZZY ORANGE CREAM POP MIXER SPT MOL</t>
  </si>
  <si>
    <t>64294641981</t>
  </si>
  <si>
    <t>39543</t>
  </si>
  <si>
    <t>12C WHITE PEAKS ORIG W/MEYER LEMON - BR</t>
  </si>
  <si>
    <t>064294612981</t>
  </si>
  <si>
    <t>36303</t>
  </si>
  <si>
    <t>12C WHITE PEAKS TEA VARITY PK - BIG ROCK</t>
  </si>
  <si>
    <t>0843403000174</t>
  </si>
  <si>
    <t>36922</t>
  </si>
  <si>
    <t>12C YES GUY HARD ICED TEA LEMON - RTD</t>
  </si>
  <si>
    <t>00843403000525</t>
  </si>
  <si>
    <t>35753</t>
  </si>
  <si>
    <t>12C YES GUY HARD ICED TEA MIXER - LABATT</t>
  </si>
  <si>
    <t>062067426384</t>
  </si>
  <si>
    <t>47392</t>
  </si>
  <si>
    <t>15C AVIT MIXER (SPT) LABATT</t>
  </si>
  <si>
    <t>062067386930</t>
  </si>
  <si>
    <t>47393</t>
  </si>
  <si>
    <t>15C NURTL VODLA SODA TROP MIX (SPT) LAB</t>
  </si>
  <si>
    <t>62067382659</t>
  </si>
  <si>
    <t>35147</t>
  </si>
  <si>
    <t>1B AVIT LEMON HARD ICED TEA - LABATT</t>
  </si>
  <si>
    <t>062067427336</t>
  </si>
  <si>
    <t>48398</t>
  </si>
  <si>
    <t>1B MIKE'S HARDER BERRY LEMONADE (SPT)</t>
  </si>
  <si>
    <t>062067425288</t>
  </si>
  <si>
    <t>44472</t>
  </si>
  <si>
    <t>1B MIKE'S HARDER LEMONADE (SPT) LABATT</t>
  </si>
  <si>
    <t>056327014930</t>
  </si>
  <si>
    <t>36265</t>
  </si>
  <si>
    <t>1C ARIZONA HARD GREEN TEA ICED TEA MOLS</t>
  </si>
  <si>
    <t>056327017801</t>
  </si>
  <si>
    <t>36019</t>
  </si>
  <si>
    <t>1C ARIZONA HARD LEMON ICED TEA MOLSON</t>
  </si>
  <si>
    <t>056327017795</t>
  </si>
  <si>
    <t>36264</t>
  </si>
  <si>
    <t>1C ARIZONA HARD PEACH ICED TEA MOLSON</t>
  </si>
  <si>
    <t>062067426469</t>
  </si>
  <si>
    <t>45301</t>
  </si>
  <si>
    <t>1C AV HARD IT LEMON 7% (SPT) - LABATT</t>
  </si>
  <si>
    <t>056910002283</t>
  </si>
  <si>
    <t>48182</t>
  </si>
  <si>
    <t>1C COLT 45 KICK CLASSIC ORANGE (SPT)SLEE</t>
  </si>
  <si>
    <t>056327023390</t>
  </si>
  <si>
    <t>42771</t>
  </si>
  <si>
    <t>1C COORS SELTZ PINEAPPLE COLADA (SPT)MOL</t>
  </si>
  <si>
    <t>056327022713</t>
  </si>
  <si>
    <t>40689</t>
  </si>
  <si>
    <t>1C COORS SELTZER CHERRY SLUSHIE (SPT)MOL</t>
  </si>
  <si>
    <t>056327024069</t>
  </si>
  <si>
    <t>45783</t>
  </si>
  <si>
    <t>1C COORS SELTZER GRAPE SLUSHIE - (SPT)</t>
  </si>
  <si>
    <t>056327025080</t>
  </si>
  <si>
    <t>46888</t>
  </si>
  <si>
    <t>1C COORS SELTZER SLUSH GREEN APPLE (SPT)</t>
  </si>
  <si>
    <t>62067423574</t>
  </si>
  <si>
    <t>48319</t>
  </si>
  <si>
    <t>1C CUTWATER LEMON DROP MARTINI (SPT)LAB</t>
  </si>
  <si>
    <t>355</t>
  </si>
  <si>
    <t>062067421754</t>
  </si>
  <si>
    <t>47386</t>
  </si>
  <si>
    <t>1C CUTWATER LIME MARGARITA (SPT) LABATT</t>
  </si>
  <si>
    <t>062067423581</t>
  </si>
  <si>
    <t>47388</t>
  </si>
  <si>
    <t>1C CUTWATER MANGO MARGARITA (SPT) LABATT</t>
  </si>
  <si>
    <t>062067427206</t>
  </si>
  <si>
    <t>48216</t>
  </si>
  <si>
    <t>1C HOOP TEA (SPT) LABATT</t>
  </si>
  <si>
    <t>062067379239</t>
  </si>
  <si>
    <t>33178</t>
  </si>
  <si>
    <t>1C MIKE'S HARD BLUE FREEZE LEMONADE</t>
  </si>
  <si>
    <t>62067427329</t>
  </si>
  <si>
    <t>48317</t>
  </si>
  <si>
    <t>1C MIKE'S HARD BLUE RASP LEMON (SPT) LAB</t>
  </si>
  <si>
    <t>062067418136</t>
  </si>
  <si>
    <t>43141</t>
  </si>
  <si>
    <t>1C MIKE'S HARD PURPLE FREEZE</t>
  </si>
  <si>
    <t>062067424922</t>
  </si>
  <si>
    <t>46662</t>
  </si>
  <si>
    <t>1C MIKE'S HARDER LEMONADE (SPT) LABATT</t>
  </si>
  <si>
    <t>062067421600</t>
  </si>
  <si>
    <t>43142</t>
  </si>
  <si>
    <t>1C MIKE'S HARDER LEMONADE 7%</t>
  </si>
  <si>
    <t>62067426322</t>
  </si>
  <si>
    <t>48217</t>
  </si>
  <si>
    <t>1C MIKE'S HARDER MANGO LEMONADE (SPT)</t>
  </si>
  <si>
    <t>62067427367</t>
  </si>
  <si>
    <t>48212</t>
  </si>
  <si>
    <t>1C MIKE'S HARDER STRAW/LEMON (SPT) LAB</t>
  </si>
  <si>
    <t>062067425455</t>
  </si>
  <si>
    <t>45147</t>
  </si>
  <si>
    <t>1C MIKE'S PINK FREEZE (SPT) LABATT</t>
  </si>
  <si>
    <t>062067385988</t>
  </si>
  <si>
    <t>39154</t>
  </si>
  <si>
    <t>1C MIKES HARD LEMON ICED TEA LABATT</t>
  </si>
  <si>
    <t>062067421808</t>
  </si>
  <si>
    <t>45841</t>
  </si>
  <si>
    <t>1C NUTRL VODKA SODA LIME (SPT) LABATT</t>
  </si>
  <si>
    <t>056910447114</t>
  </si>
  <si>
    <t>48183</t>
  </si>
  <si>
    <t>1C PABST STRONG HALF &amp; HALF (SPT) SLEE</t>
  </si>
  <si>
    <t>056910444717</t>
  </si>
  <si>
    <t>42664</t>
  </si>
  <si>
    <t>1C PABST STRONG VODKA ICED TEA  SLEEMAN</t>
  </si>
  <si>
    <t>056910406036</t>
  </si>
  <si>
    <t>45016</t>
  </si>
  <si>
    <t>1C PABST STRONG VODKA LEMONADE SPT SLM</t>
  </si>
  <si>
    <t>062067377112</t>
  </si>
  <si>
    <t>31043</t>
  </si>
  <si>
    <t>1C ROCKSTAR &amp; VODKA FRUIT PUNCH</t>
  </si>
  <si>
    <t>062067377129</t>
  </si>
  <si>
    <t>31044</t>
  </si>
  <si>
    <t>1C ROCKSTAR &amp; VODKA ORIGINAL</t>
  </si>
  <si>
    <t>628068271141</t>
  </si>
  <si>
    <t>46878</t>
  </si>
  <si>
    <t>1C SIMPLY BOLD CHERRY LIMEADE (SPT) MOLS</t>
  </si>
  <si>
    <t>628068270267</t>
  </si>
  <si>
    <t>40687</t>
  </si>
  <si>
    <t>1C SIMPLY SPIKED LEMONADE (SPT) MOLSON</t>
  </si>
  <si>
    <t>628068270656</t>
  </si>
  <si>
    <t>42774</t>
  </si>
  <si>
    <t>1C SIMPLY SPIKED SIGNATURE PEACH(SPT)MOL</t>
  </si>
  <si>
    <t>062067426667</t>
  </si>
  <si>
    <t>48314</t>
  </si>
  <si>
    <t>1C SVNS HARD 7UP ORIGINAL (SPT) LABATT</t>
  </si>
  <si>
    <t>437</t>
  </si>
  <si>
    <t>62067426933</t>
  </si>
  <si>
    <t>48218</t>
  </si>
  <si>
    <t>1C SVNS RASPBERRY (SPT) LABATT</t>
  </si>
  <si>
    <t>628068270380</t>
  </si>
  <si>
    <t>40676</t>
  </si>
  <si>
    <t>1C TOPO CHICO SIGNATURE MARGARITA (SPT)</t>
  </si>
  <si>
    <t>0628068270168</t>
  </si>
  <si>
    <t>38506</t>
  </si>
  <si>
    <t>1C TOPO CHICO STRAW GUAVA (SPT)- MOLSON</t>
  </si>
  <si>
    <t>0628068270144</t>
  </si>
  <si>
    <t>38507</t>
  </si>
  <si>
    <t>1C TOPO CHICO TROP MANGO (SPT)- MOLSON</t>
  </si>
  <si>
    <t>056327023567</t>
  </si>
  <si>
    <t>42797</t>
  </si>
  <si>
    <t>1C VIZZY DRAGON FRUIT MANGO (SPT) MOLSON</t>
  </si>
  <si>
    <t>056327022454</t>
  </si>
  <si>
    <t>42980</t>
  </si>
  <si>
    <t>1C VIZZY MIMOSA STRAW/ORANGE(MALT)MOLSON</t>
  </si>
  <si>
    <t>056327024281</t>
  </si>
  <si>
    <t>45167</t>
  </si>
  <si>
    <t>1C VIZZY ORANGE CREAM POP (SPT) - MOLSON</t>
  </si>
  <si>
    <t>056327022478</t>
  </si>
  <si>
    <t>40673</t>
  </si>
  <si>
    <t>1C VIZZY STRAW/ORANGE MIMOSA (SPT)MOLSON</t>
  </si>
  <si>
    <t>056327020894</t>
  </si>
  <si>
    <t>38401</t>
  </si>
  <si>
    <t>1C VIZZY STRAWBERRY LEMONADE (SPT) - MOL</t>
  </si>
  <si>
    <t>064294015935</t>
  </si>
  <si>
    <t>42869</t>
  </si>
  <si>
    <t>1C WHITE PEAKS ORIGINAL HARD TEA - BR</t>
  </si>
  <si>
    <t>064294290295</t>
  </si>
  <si>
    <t>45885</t>
  </si>
  <si>
    <t>1K HUDSONS BLUE RASP VODKA SODA - BR</t>
  </si>
  <si>
    <t>064294289961</t>
  </si>
  <si>
    <t>43559</t>
  </si>
  <si>
    <t>1K LEO'S BLUEBERRY FIZZ - BIG ROCK</t>
  </si>
  <si>
    <t>064294290455</t>
  </si>
  <si>
    <t>48604</t>
  </si>
  <si>
    <t>1K LEO'S DRAGON FRUIT FIZZ (SPT) BR</t>
  </si>
  <si>
    <t>064294015911</t>
  </si>
  <si>
    <t>40173</t>
  </si>
  <si>
    <t>1K LEO'S GRAPE FIZZ (SPIRIT) - BIG ROCK</t>
  </si>
  <si>
    <t>064294290189</t>
  </si>
  <si>
    <t>44535</t>
  </si>
  <si>
    <t>1K LEO'S ORANGE FIZZ (SPT)- BIG ROCK</t>
  </si>
  <si>
    <t>064294927993</t>
  </si>
  <si>
    <t>40704</t>
  </si>
  <si>
    <t>1K LEO'S PEACH FIZZ (SPT) - BR</t>
  </si>
  <si>
    <t>064294290288</t>
  </si>
  <si>
    <t>45887</t>
  </si>
  <si>
    <t>1K LEO'S RASPBERRY FIZZ (SPT) - BR</t>
  </si>
  <si>
    <t>064294290431</t>
  </si>
  <si>
    <t>46772</t>
  </si>
  <si>
    <t>1K LEO'S SOUR APPLE FIZZ (SPT) BIG ROCK</t>
  </si>
  <si>
    <t>064294290479</t>
  </si>
  <si>
    <t>48605</t>
  </si>
  <si>
    <t>1K LEO'S STRAW/RHUBARB  FIZZ (SPT) BR</t>
  </si>
  <si>
    <t>064294290271</t>
  </si>
  <si>
    <t>45886</t>
  </si>
  <si>
    <t>1K LEO'S WATERMELON FIZZ (SPT) - BR</t>
  </si>
  <si>
    <t>064294362985</t>
  </si>
  <si>
    <t>36403</t>
  </si>
  <si>
    <t>1K LEO'S WILD CHERRY FIZZ - BIG ROCK</t>
  </si>
  <si>
    <t>064294023985</t>
  </si>
  <si>
    <t>40970</t>
  </si>
  <si>
    <t>1K WHITE PEAKS ORIGINAL (SPT) - BR</t>
  </si>
  <si>
    <t>062067382888</t>
  </si>
  <si>
    <t>35698</t>
  </si>
  <si>
    <t>1P MIKE'S HARD BLUE FREEZE FROZEN</t>
  </si>
  <si>
    <t>296</t>
  </si>
  <si>
    <t>062067385773</t>
  </si>
  <si>
    <t>38492</t>
  </si>
  <si>
    <t>1P PALM BAY FROZEN RAINBOW TWIST</t>
  </si>
  <si>
    <t>062067395802</t>
  </si>
  <si>
    <t>39642</t>
  </si>
  <si>
    <t>24B NUTRL DOUBLE LEMON(SPT) - LABATT</t>
  </si>
  <si>
    <t>062067426391</t>
  </si>
  <si>
    <t>45216</t>
  </si>
  <si>
    <t>24C AVIT HARD ICED TEA LEMON (SPT) LAB</t>
  </si>
  <si>
    <t>056327024007</t>
  </si>
  <si>
    <t>42979</t>
  </si>
  <si>
    <t>24C COORS SELTZER SLUSHIE SPT - MOLSON</t>
  </si>
  <si>
    <t>062067387722</t>
  </si>
  <si>
    <t>45838</t>
  </si>
  <si>
    <t>24C NUTRL VODKA SODA BAR CLASSICS (SPT)</t>
  </si>
  <si>
    <t>056327020474</t>
  </si>
  <si>
    <t>38400</t>
  </si>
  <si>
    <t>24C VIZZY SIGNATURE MIXER (SPT) - MOLSON</t>
  </si>
  <si>
    <t>LABATT BREWERIES</t>
  </si>
  <si>
    <t>062067421549</t>
  </si>
  <si>
    <t>41583</t>
  </si>
  <si>
    <t>30C MIKES HARD MEGA MIX PK LABATT</t>
  </si>
  <si>
    <t>628068270977</t>
  </si>
  <si>
    <t>45185</t>
  </si>
  <si>
    <t>30C SIMPLY SPIKED MIXER #2 (SPT) MOLSON</t>
  </si>
  <si>
    <t>628068270724</t>
  </si>
  <si>
    <t>43286</t>
  </si>
  <si>
    <t>30C SIMPLY SPIKED MIXER (SPT) MOLSON</t>
  </si>
  <si>
    <t>062067387760</t>
  </si>
  <si>
    <t>38518</t>
  </si>
  <si>
    <t>30C TEMPO GIN SMASH MIXER - LABATT</t>
  </si>
  <si>
    <t>056327024731</t>
  </si>
  <si>
    <t>45141</t>
  </si>
  <si>
    <t>30C VIZZY ULTIMATE MIXER #2 SPT - MOLSON</t>
  </si>
  <si>
    <t>62067427374</t>
  </si>
  <si>
    <t>48185</t>
  </si>
  <si>
    <t>4C CUTWATER LEMON DROP MARTINI (SPT) LAB</t>
  </si>
  <si>
    <t>062067425585</t>
  </si>
  <si>
    <t>45144</t>
  </si>
  <si>
    <t>4C CUTWATER MANGO MARGARITA (SPT) - LAB</t>
  </si>
  <si>
    <t>062067421747</t>
  </si>
  <si>
    <t>43004</t>
  </si>
  <si>
    <t>4C CUTWATER MARGARITA(SPT) - LABATT</t>
  </si>
  <si>
    <t>062067423598</t>
  </si>
  <si>
    <t>45143</t>
  </si>
  <si>
    <t>4C CUTWATER RUM MAI TAI  (SPT) LAB</t>
  </si>
  <si>
    <t>062067423727</t>
  </si>
  <si>
    <t>45145</t>
  </si>
  <si>
    <t>4C CUTWATER VODKA MULE (SPT) LAB</t>
  </si>
  <si>
    <t>056910939947</t>
  </si>
  <si>
    <t>42945</t>
  </si>
  <si>
    <t>4C SOCIAL LITE TOM COLLINS SLEEMAN (Spt)</t>
  </si>
  <si>
    <t>062067424953</t>
  </si>
  <si>
    <t>48324</t>
  </si>
  <si>
    <t>6B MIKE'S HARDER LEMONADE (SPT) LABATT</t>
  </si>
  <si>
    <t>062067421525</t>
  </si>
  <si>
    <t>43151</t>
  </si>
  <si>
    <t>6C  NUTRL VODKA SODA ORANGE</t>
  </si>
  <si>
    <t>056327021600</t>
  </si>
  <si>
    <t>38508</t>
  </si>
  <si>
    <t>6C ARIZONA HALF AND HALF (SPT) - MOLSON</t>
  </si>
  <si>
    <t>056327017764</t>
  </si>
  <si>
    <t>36018</t>
  </si>
  <si>
    <t>6C ARIZONA HARD LEMON ICED TEA MOLSON</t>
  </si>
  <si>
    <t>056327017757</t>
  </si>
  <si>
    <t>36266</t>
  </si>
  <si>
    <t>6C ARIZONA HARD PEACH ICED TEA MOLSON</t>
  </si>
  <si>
    <t>056327024359</t>
  </si>
  <si>
    <t>47399</t>
  </si>
  <si>
    <t>6C ARIZONA HARD RASPBERRY (SPT) MOLSON</t>
  </si>
  <si>
    <t>062067410109</t>
  </si>
  <si>
    <t>26119</t>
  </si>
  <si>
    <t>6C AVIT GREEN TEA - LABATT</t>
  </si>
  <si>
    <t>062067381225</t>
  </si>
  <si>
    <t>33959</t>
  </si>
  <si>
    <t>6C AVIT HALF &amp; HALF - LABATT</t>
  </si>
  <si>
    <t>779469500054</t>
  </si>
  <si>
    <t>22752</t>
  </si>
  <si>
    <t>6C AVIT PEACH HARD ICED TEA - LABATT</t>
  </si>
  <si>
    <t>779469220433</t>
  </si>
  <si>
    <t>24146</t>
  </si>
  <si>
    <t>6C AVIT RASPBERRY HARD ICED TEA LAB</t>
  </si>
  <si>
    <t>062067385452</t>
  </si>
  <si>
    <t>37110</t>
  </si>
  <si>
    <t>6C BL SELTZER LEMONADE BLK CHERRY SPT</t>
  </si>
  <si>
    <t>062067385469</t>
  </si>
  <si>
    <t>37109</t>
  </si>
  <si>
    <t>6C BL SELTZER LEMONADE STRAWBERRY SPT</t>
  </si>
  <si>
    <t>062067386589</t>
  </si>
  <si>
    <t>38557</t>
  </si>
  <si>
    <t>6C BUD LIGHT BLACK CHERRY SELTZER (SPT)</t>
  </si>
  <si>
    <t>062067386596</t>
  </si>
  <si>
    <t>38558</t>
  </si>
  <si>
    <t>6C BUD LIGHT MANGO SELTZER (SPT) - LAB</t>
  </si>
  <si>
    <t>062067386213</t>
  </si>
  <si>
    <t>38233</t>
  </si>
  <si>
    <t>6C BUD LIGHT PASSIONFRUIT SELTZ SPT- LAB</t>
  </si>
  <si>
    <t>062067386787</t>
  </si>
  <si>
    <t>38264</t>
  </si>
  <si>
    <t>6C BUD LIGHT PEACH SELTZER (SPT)- LABATT</t>
  </si>
  <si>
    <t>062067386602</t>
  </si>
  <si>
    <t>38559</t>
  </si>
  <si>
    <t>6C BUD LIGHT STRAWBERRY SELTZER (SPT)LAB</t>
  </si>
  <si>
    <t>056327022560</t>
  </si>
  <si>
    <t>40686</t>
  </si>
  <si>
    <t>6C COORS CHERRY SLUSHIE (SPT) MOLSON</t>
  </si>
  <si>
    <t>056327023338</t>
  </si>
  <si>
    <t>42767</t>
  </si>
  <si>
    <t>6C COORS SELTZ PINEAPPLE COLADA (SPT)MOL</t>
  </si>
  <si>
    <t>056327024984</t>
  </si>
  <si>
    <t>47685</t>
  </si>
  <si>
    <t>6C COORS SELTZ SLUSH 7.0 BLUE RASP (SPT)</t>
  </si>
  <si>
    <t>056327025066</t>
  </si>
  <si>
    <t>47402</t>
  </si>
  <si>
    <t>6C COORS SELTZ SLUSH GR APPLE (SPT) MOL</t>
  </si>
  <si>
    <t>056327025158</t>
  </si>
  <si>
    <t>48178</t>
  </si>
  <si>
    <t>6C COORS SELTZ SLUSHIE GRAPE (SPT) - MOL</t>
  </si>
  <si>
    <t>062067387104</t>
  </si>
  <si>
    <t>38245</t>
  </si>
  <si>
    <t>6C CORONA TROP GRAPEFRUIT LEMGRS SPT LAB</t>
  </si>
  <si>
    <t>062067386985</t>
  </si>
  <si>
    <t>38241</t>
  </si>
  <si>
    <t>6C CORONA TROPICAL CACTUS LIME (SPT)-LAB</t>
  </si>
  <si>
    <t>062067387128</t>
  </si>
  <si>
    <t>38243</t>
  </si>
  <si>
    <t>6C CORONA TROPICAL RASPBERRY LEMON SPT</t>
  </si>
  <si>
    <t>060249001886</t>
  </si>
  <si>
    <t>36304</t>
  </si>
  <si>
    <t>6C DECA BLACK CHERRY VODKA SODA</t>
  </si>
  <si>
    <t>060249001893</t>
  </si>
  <si>
    <t>36310</t>
  </si>
  <si>
    <t>6C DECA LIME VODKA SODA</t>
  </si>
  <si>
    <t>060249001909</t>
  </si>
  <si>
    <t>36311</t>
  </si>
  <si>
    <t>6C DECA PEACH VODKA SODA</t>
  </si>
  <si>
    <t>062067427220</t>
  </si>
  <si>
    <t>48214</t>
  </si>
  <si>
    <t>6C HOOP TEA (SPT) LABATT</t>
  </si>
  <si>
    <t>779469101886</t>
  </si>
  <si>
    <t>22102</t>
  </si>
  <si>
    <t>6C MIKE'S HARD BLACK CHERRY</t>
  </si>
  <si>
    <t>062067379512</t>
  </si>
  <si>
    <t>33654</t>
  </si>
  <si>
    <t>6C MIKE'S HARD BLUE FREEZE LEMONADE</t>
  </si>
  <si>
    <t>779469302405</t>
  </si>
  <si>
    <t>16942</t>
  </si>
  <si>
    <t>6C MIKE'S HARD LEMONADE</t>
  </si>
  <si>
    <t>062067375842</t>
  </si>
  <si>
    <t>32122</t>
  </si>
  <si>
    <t>6C MIKE'S HARD LIME</t>
  </si>
  <si>
    <t>062067381959</t>
  </si>
  <si>
    <t>33957</t>
  </si>
  <si>
    <t>6C MIKE'S HARD PEACH FUZZ</t>
  </si>
  <si>
    <t>062067417122</t>
  </si>
  <si>
    <t>43140</t>
  </si>
  <si>
    <t>6C MIKE'S HARD PURPLE FREEZE</t>
  </si>
  <si>
    <t>062067385742</t>
  </si>
  <si>
    <t>38479</t>
  </si>
  <si>
    <t>6C MIKE'S HARD RED FREEZE</t>
  </si>
  <si>
    <t>062067382932</t>
  </si>
  <si>
    <t>35700</t>
  </si>
  <si>
    <t>6C MIKE'S HARD WHITE FREEZE</t>
  </si>
  <si>
    <t>062067385971</t>
  </si>
  <si>
    <t>41435</t>
  </si>
  <si>
    <t>6C MIKE'S ICED TEA LEMON (SPT) LABATT</t>
  </si>
  <si>
    <t>062067388620</t>
  </si>
  <si>
    <t>40779</t>
  </si>
  <si>
    <t>6C MIKE'S ORANGE N' CREAM</t>
  </si>
  <si>
    <t>062067391767</t>
  </si>
  <si>
    <t>42556</t>
  </si>
  <si>
    <t>6C NUTRL VODKA SODA GRAPE</t>
  </si>
  <si>
    <t>628055589266</t>
  </si>
  <si>
    <t>28772</t>
  </si>
  <si>
    <t>6C NUTRL VODKA SODA GRAPEFRUIT</t>
  </si>
  <si>
    <t>062067426988</t>
  </si>
  <si>
    <t>48174</t>
  </si>
  <si>
    <t>6C NUTRL VODKA SODA GREEN APPLE (SPT)LAB</t>
  </si>
  <si>
    <t>628055589280</t>
  </si>
  <si>
    <t>30237</t>
  </si>
  <si>
    <t>6C NUTRL VODKA SODA PINEAPPLE</t>
  </si>
  <si>
    <t>062067385926</t>
  </si>
  <si>
    <t>38490</t>
  </si>
  <si>
    <t>6C NUTRL VODKA SODA RASPBERRY</t>
  </si>
  <si>
    <t>773804932012</t>
  </si>
  <si>
    <t>35273</t>
  </si>
  <si>
    <t>6C O16 HARD SELTZER CRANBERRY (SPT) GW</t>
  </si>
  <si>
    <t>773804922013</t>
  </si>
  <si>
    <t>34303</t>
  </si>
  <si>
    <t>6C O16 HARD SELTZER LEMON S'TOON (SPT)</t>
  </si>
  <si>
    <t>773804952010</t>
  </si>
  <si>
    <t>35980</t>
  </si>
  <si>
    <t>6C O16 HARD SELTZER MIXED BERRY (SPT)</t>
  </si>
  <si>
    <t>773804912014</t>
  </si>
  <si>
    <t>34304</t>
  </si>
  <si>
    <t>6C O16 HARD SELTZER PEACH (SPT) GW</t>
  </si>
  <si>
    <t>779469002435</t>
  </si>
  <si>
    <t>8661</t>
  </si>
  <si>
    <t>6C PALM B RUBY GRAPEFRUIT SUNRISE SPRITZ</t>
  </si>
  <si>
    <t>062067383342</t>
  </si>
  <si>
    <t>35710</t>
  </si>
  <si>
    <t>6C PALM BAY RAINBOW TWIST</t>
  </si>
  <si>
    <t>779469002442</t>
  </si>
  <si>
    <t>14660</t>
  </si>
  <si>
    <t>6C PALM BAY STRAWBERRY PINEAPPLE</t>
  </si>
  <si>
    <t>628068271073</t>
  </si>
  <si>
    <t>46880</t>
  </si>
  <si>
    <t>6C SIMPLY BOLD CHERRY LIMEADE (SPT) MOLS</t>
  </si>
  <si>
    <t>628068270304</t>
  </si>
  <si>
    <t>40692</t>
  </si>
  <si>
    <t>6C SIMPLY SPIKED LEMONADE (SPT) MOLSON</t>
  </si>
  <si>
    <t>628068270700</t>
  </si>
  <si>
    <t>42776</t>
  </si>
  <si>
    <t>6C SIMPLY SPIKED SIGNATURE PEACH(SPT)MOL</t>
  </si>
  <si>
    <t>056910938964</t>
  </si>
  <si>
    <t>42667</t>
  </si>
  <si>
    <t>6C SOCIAL LITE ITALIAN SPRITZ SLEEMAN</t>
  </si>
  <si>
    <t>062067421877</t>
  </si>
  <si>
    <t>42965</t>
  </si>
  <si>
    <t>6C SVNS HARD 7UP LEMONADE - LABATT (SPT)</t>
  </si>
  <si>
    <t>062067421853</t>
  </si>
  <si>
    <t>42962</t>
  </si>
  <si>
    <t>6C SVNS HARD 7UP ORIGINAL - LABATT(SPT)</t>
  </si>
  <si>
    <t>836902001322</t>
  </si>
  <si>
    <t>47621</t>
  </si>
  <si>
    <t>6C TEA BAR LEMON HARD ICED TEA (SPT) LAB</t>
  </si>
  <si>
    <t>062067426568</t>
  </si>
  <si>
    <t>45975</t>
  </si>
  <si>
    <t>6C TEMPO GIN  PINEAPPLE COCO (SPT) LAB</t>
  </si>
  <si>
    <t>062067386435</t>
  </si>
  <si>
    <t>38493</t>
  </si>
  <si>
    <t>6C TEMPO GIN SMASH BLACKBERRY LIME</t>
  </si>
  <si>
    <t>843403000440</t>
  </si>
  <si>
    <t>36742</t>
  </si>
  <si>
    <t>6C TEMPO GIN SMASH MANGO PEACH</t>
  </si>
  <si>
    <t>628068270250</t>
  </si>
  <si>
    <t>40675</t>
  </si>
  <si>
    <t>6C TOPO CHICO SIGNATURE MARGARITA (SPT)</t>
  </si>
  <si>
    <t>628068270182</t>
  </si>
  <si>
    <t>40837</t>
  </si>
  <si>
    <t>6C TOPO CHICO STRAWBERRY GUAVA (SPT)</t>
  </si>
  <si>
    <t>056327023536</t>
  </si>
  <si>
    <t>42836</t>
  </si>
  <si>
    <t>6C VIZZY MAX DRAGON FRUIT MANGO (SPT)MOL</t>
  </si>
  <si>
    <t>056327024694</t>
  </si>
  <si>
    <t>45140</t>
  </si>
  <si>
    <t>6C VIZZY ORANGE CREAM POP SPT- MOL</t>
  </si>
  <si>
    <t>056327022843</t>
  </si>
  <si>
    <t>40674</t>
  </si>
  <si>
    <t>6C VIZZY PAPAYA PASSIONFRUIT(SPT) MOLSON</t>
  </si>
  <si>
    <t>056327022430</t>
  </si>
  <si>
    <t>40672</t>
  </si>
  <si>
    <t>6C VIZZY STRAW/ORANGE MIMOSA (SPT)MOLSON</t>
  </si>
  <si>
    <t>064294723984</t>
  </si>
  <si>
    <t>38757</t>
  </si>
  <si>
    <t>6C WHITE PEAKS GREEN TEA WITH HONEY BR S</t>
  </si>
  <si>
    <t>064294642988</t>
  </si>
  <si>
    <t>39318</t>
  </si>
  <si>
    <t>6C WHITE PEAKS PEACH APRICOT(SPT) - BR</t>
  </si>
  <si>
    <t>064294652987</t>
  </si>
  <si>
    <t>39317</t>
  </si>
  <si>
    <t>6C WHITE PEAKS SASKATOON BLUEBERRY(SPT)</t>
  </si>
  <si>
    <t>0843403000518</t>
  </si>
  <si>
    <t>36923</t>
  </si>
  <si>
    <t>6C YES GUY HARD ICED GREEN TEA LEMONADE</t>
  </si>
  <si>
    <t>0843403000167</t>
  </si>
  <si>
    <t>35749</t>
  </si>
  <si>
    <t>6C YES GUY HARD ICED TEA LEMON - RTD</t>
  </si>
  <si>
    <t>0843403000501</t>
  </si>
  <si>
    <t>36921</t>
  </si>
  <si>
    <t>6C YES GUY HARD ICED TEA PEACH - RTD</t>
  </si>
  <si>
    <t>0843403000495</t>
  </si>
  <si>
    <t>36920</t>
  </si>
  <si>
    <t>6C YES GUY HARD ICED TEA RASPBERRY - RTD</t>
  </si>
  <si>
    <t>062067423611</t>
  </si>
  <si>
    <t>45142</t>
  </si>
  <si>
    <t>8C CUTWATER SIG C'TAIL VRTY PK SPT- LAB</t>
  </si>
  <si>
    <t>773804552081</t>
  </si>
  <si>
    <t>46282</t>
  </si>
  <si>
    <t>8C LAKE LIFE BLACKBERRY SELTZER - GW</t>
  </si>
  <si>
    <t>062067425813</t>
  </si>
  <si>
    <t>45204</t>
  </si>
  <si>
    <t>8C NUTRL ESSENTIALS MIX (SPT) - LABATT</t>
  </si>
  <si>
    <t>628068271349</t>
  </si>
  <si>
    <t>46884</t>
  </si>
  <si>
    <t>8C SIMPLY BOLD VP (SPT) MOLSON</t>
  </si>
  <si>
    <t>056910937363</t>
  </si>
  <si>
    <t>40581</t>
  </si>
  <si>
    <t>8C SOCIAL LITE CKTL SELT MIX(SPT)SLEEMAN</t>
  </si>
  <si>
    <t>SLGA Distributed Refreshment - Other - Cider</t>
  </si>
  <si>
    <t>087692821021</t>
  </si>
  <si>
    <t>20569</t>
  </si>
  <si>
    <t>ANGRY ORCHARD CRISP APPLE CIDER</t>
  </si>
  <si>
    <t>THE BOSTON BEER COMPANY</t>
  </si>
  <si>
    <t>626990321392</t>
  </si>
  <si>
    <t>29194</t>
  </si>
  <si>
    <t>BUMPER CROP CRISP APPLE CIDER</t>
  </si>
  <si>
    <t>626990469209</t>
  </si>
  <si>
    <t>35660</t>
  </si>
  <si>
    <t>BUMPER CROP MIXER</t>
  </si>
  <si>
    <t>626990321408</t>
  </si>
  <si>
    <t>28862</t>
  </si>
  <si>
    <t>BUMPER CROP MOUNTAIN PEAR</t>
  </si>
  <si>
    <t>628657815428</t>
  </si>
  <si>
    <t>21021</t>
  </si>
  <si>
    <t>CARLSBERG SOMERSBY APPLE CIDER</t>
  </si>
  <si>
    <t>CARLSBERG BREWERIES A/S</t>
  </si>
  <si>
    <t>25000</t>
  </si>
  <si>
    <t>063657033579</t>
  </si>
  <si>
    <t>19755</t>
  </si>
  <si>
    <t>GROWERS BLACKBERRY CIDER</t>
  </si>
  <si>
    <t>067932000362</t>
  </si>
  <si>
    <t>2584</t>
  </si>
  <si>
    <t>GROWERS ORCHARDBERRY CIDER</t>
  </si>
  <si>
    <t>067932017384</t>
  </si>
  <si>
    <t>6844</t>
  </si>
  <si>
    <t>GROWERS POMEGRANATE CIDER</t>
  </si>
  <si>
    <t>067932000355</t>
  </si>
  <si>
    <t>2587</t>
  </si>
  <si>
    <t>GROWERS RASPBERRY CIDER</t>
  </si>
  <si>
    <t>063657042175</t>
  </si>
  <si>
    <t>43108</t>
  </si>
  <si>
    <t>GROWERS ROSE CIDER</t>
  </si>
  <si>
    <t>063657032312</t>
  </si>
  <si>
    <t>16786</t>
  </si>
  <si>
    <t>GROWERS STRAWBERRY RHUBARB</t>
  </si>
  <si>
    <t>063657042892</t>
  </si>
  <si>
    <t>37126</t>
  </si>
  <si>
    <t>GROWERS VARIETY PACK</t>
  </si>
  <si>
    <t>063657034750</t>
  </si>
  <si>
    <t>43109</t>
  </si>
  <si>
    <t>GROWERS WINTER CRANBERRY</t>
  </si>
  <si>
    <t>626990098638</t>
  </si>
  <si>
    <t>14254</t>
  </si>
  <si>
    <t>LONETREE AUTHENTIC APPLE CIDER</t>
  </si>
  <si>
    <t>626990170372</t>
  </si>
  <si>
    <t>23002</t>
  </si>
  <si>
    <t>LONETREE GINGER &amp; APPLE CIDER</t>
  </si>
  <si>
    <t>5391516871402</t>
  </si>
  <si>
    <t>7745</t>
  </si>
  <si>
    <t>MAGNERS IRISH  CIDER</t>
  </si>
  <si>
    <t>WILLIAM MAGNER &amp; CO</t>
  </si>
  <si>
    <t>048162015647</t>
  </si>
  <si>
    <t>33261</t>
  </si>
  <si>
    <t>NO BOATS ON SUNDAY ORIGINAL CIDER</t>
  </si>
  <si>
    <t>675325010029</t>
  </si>
  <si>
    <t>33521</t>
  </si>
  <si>
    <t>SOMERSBY APPLE CIDER</t>
  </si>
  <si>
    <t>675325010128</t>
  </si>
  <si>
    <t>33047</t>
  </si>
  <si>
    <t>SOMERSBY BLACKBERRY CIDER</t>
  </si>
  <si>
    <t>675325462026</t>
  </si>
  <si>
    <t>38435</t>
  </si>
  <si>
    <t>SOMERSBY CIDER MIXER PACK</t>
  </si>
  <si>
    <t>675325010401</t>
  </si>
  <si>
    <t>33478</t>
  </si>
  <si>
    <t>SOMERSBY MANGO LIME CIDER</t>
  </si>
  <si>
    <t>675325010166</t>
  </si>
  <si>
    <t>43546</t>
  </si>
  <si>
    <t>SOMERSBY PEAR CIDER</t>
  </si>
  <si>
    <t>675325010203</t>
  </si>
  <si>
    <t>43547</t>
  </si>
  <si>
    <t>SOMERSBY RED RHUBARB CIDER</t>
  </si>
  <si>
    <t>SLGA Distributed Refreshment - Malt-Based - Coolers</t>
  </si>
  <si>
    <t>628250078893</t>
  </si>
  <si>
    <t>45329</t>
  </si>
  <si>
    <t>DEMON MIXED PACT</t>
  </si>
  <si>
    <t>NEW LEVEL BREWING (m)</t>
  </si>
  <si>
    <t>206057</t>
  </si>
  <si>
    <t>087692831020</t>
  </si>
  <si>
    <t>15707</t>
  </si>
  <si>
    <t>TWISTED TEA HARD  ICED TEA (USA)</t>
  </si>
  <si>
    <t>SLGA Distributed Refreshment - Spirit-Based - Coolers</t>
  </si>
  <si>
    <t>080686025436</t>
  </si>
  <si>
    <t>48471</t>
  </si>
  <si>
    <t>-196 LEMON</t>
  </si>
  <si>
    <t>080686010722</t>
  </si>
  <si>
    <t>48472</t>
  </si>
  <si>
    <t>-196 VARIETY PACK</t>
  </si>
  <si>
    <t>848819018027</t>
  </si>
  <si>
    <t>40723</t>
  </si>
  <si>
    <t>2 HOOTS HARD ICED TEA 12 PACK</t>
  </si>
  <si>
    <t>848819018034</t>
  </si>
  <si>
    <t>40724</t>
  </si>
  <si>
    <t>2 HOOTS LEMON TEA BAG-IN-BOX</t>
  </si>
  <si>
    <t>089540536125</t>
  </si>
  <si>
    <t>40725</t>
  </si>
  <si>
    <t>ABSOLUT BERRY VODKARITA COCKTAIL</t>
  </si>
  <si>
    <t>206036</t>
  </si>
  <si>
    <t>080432002186</t>
  </si>
  <si>
    <t>45313</t>
  </si>
  <si>
    <t>ABSOLUT COCKTAILS VARIETY PACK</t>
  </si>
  <si>
    <t>089540535807</t>
  </si>
  <si>
    <t>38311</t>
  </si>
  <si>
    <t>ABSOLUT MANGO MULE COCKTAIL</t>
  </si>
  <si>
    <t>080432001257</t>
  </si>
  <si>
    <t>45314</t>
  </si>
  <si>
    <t>ABSOLUT OCEAN SPRAY VARIETY PACK</t>
  </si>
  <si>
    <t>080480015176</t>
  </si>
  <si>
    <t>7551</t>
  </si>
  <si>
    <t>BACARDI MOJITO</t>
  </si>
  <si>
    <t>080480986292</t>
  </si>
  <si>
    <t>36080</t>
  </si>
  <si>
    <t>080480987800</t>
  </si>
  <si>
    <t>38526</t>
  </si>
  <si>
    <t>BACARDI PINA COLADA</t>
  </si>
  <si>
    <t>080480988647</t>
  </si>
  <si>
    <t>40731</t>
  </si>
  <si>
    <t>BACARDI RTD MIX PACK</t>
  </si>
  <si>
    <t>080480985332</t>
  </si>
  <si>
    <t>33529</t>
  </si>
  <si>
    <t>BACARDI RUM PUNCH</t>
  </si>
  <si>
    <t>080480981204</t>
  </si>
  <si>
    <t>15327</t>
  </si>
  <si>
    <t>BACARDI SPICED &amp; COLA</t>
  </si>
  <si>
    <t>8936126169302</t>
  </si>
  <si>
    <t>43131</t>
  </si>
  <si>
    <t>BALI WATER MIX PACK</t>
  </si>
  <si>
    <t>ASIA FOOD &amp; BEVERAGE CO</t>
  </si>
  <si>
    <t>084380425349</t>
  </si>
  <si>
    <t>18343</t>
  </si>
  <si>
    <t>BARTENDERS COCKTAILS AWESOME ORANGE</t>
  </si>
  <si>
    <t>CHARLES JACQUIN ET CIE</t>
  </si>
  <si>
    <t>084380424649</t>
  </si>
  <si>
    <t>12691</t>
  </si>
  <si>
    <t>BARTENDERS COCKTAILS I'M BANANAS OVER</t>
  </si>
  <si>
    <t>627987899320</t>
  </si>
  <si>
    <t>45346</t>
  </si>
  <si>
    <t>BEVO RUM SELTZER MIX PACK</t>
  </si>
  <si>
    <t>BEVO BEVERAGE CORP</t>
  </si>
  <si>
    <t>206271</t>
  </si>
  <si>
    <t>883043003494</t>
  </si>
  <si>
    <t>48403</t>
  </si>
  <si>
    <t>BLACK FLY BLUEBERRY CITRUS KING CAN</t>
  </si>
  <si>
    <t>206073</t>
  </si>
  <si>
    <t>883043002299</t>
  </si>
  <si>
    <t>40706</t>
  </si>
  <si>
    <t>BLACK FLY CLASSIC COCKTAIL MIXER</t>
  </si>
  <si>
    <t>883043002848</t>
  </si>
  <si>
    <t>43156</t>
  </si>
  <si>
    <t>BLACK FLY COCKTAIL MEGA MIXER</t>
  </si>
  <si>
    <t>883043003500</t>
  </si>
  <si>
    <t>48404</t>
  </si>
  <si>
    <t>BLACK FLY CRANBERRY RASPBERRY KING CAN</t>
  </si>
  <si>
    <t>883043003074</t>
  </si>
  <si>
    <t>45447</t>
  </si>
  <si>
    <t>BLACK FLY CRUSHED ROOT BEER</t>
  </si>
  <si>
    <t>883043003579</t>
  </si>
  <si>
    <t>48401</t>
  </si>
  <si>
    <t>BLACK FLY GIN BRAMBLE</t>
  </si>
  <si>
    <t>883043002824</t>
  </si>
  <si>
    <t>43093</t>
  </si>
  <si>
    <t>BLACK FLY GIN FIZZ GRAPEFRUIT</t>
  </si>
  <si>
    <t>883043002770</t>
  </si>
  <si>
    <t>43094</t>
  </si>
  <si>
    <t>BLACK FLY GIN FIZZ MIXER</t>
  </si>
  <si>
    <t>883043002312</t>
  </si>
  <si>
    <t>40707</t>
  </si>
  <si>
    <t>BLACK FLY GIN GREYHOUND</t>
  </si>
  <si>
    <t>883043002657</t>
  </si>
  <si>
    <t>45315</t>
  </si>
  <si>
    <t>BLACK FLY HARD ICED TEA</t>
  </si>
  <si>
    <t>883043002176</t>
  </si>
  <si>
    <t>40708</t>
  </si>
  <si>
    <t>BLACK FLY LONG ISLAND ICED TEA</t>
  </si>
  <si>
    <t>883043000684</t>
  </si>
  <si>
    <t>17440</t>
  </si>
  <si>
    <t>1600</t>
  </si>
  <si>
    <t>883043002947</t>
  </si>
  <si>
    <t>45316</t>
  </si>
  <si>
    <t>BLACK FLY MAXX CHERRY BOMB</t>
  </si>
  <si>
    <t>883043002930</t>
  </si>
  <si>
    <t>45317</t>
  </si>
  <si>
    <t>BLACK FLY MAXX LEMON DROP</t>
  </si>
  <si>
    <t>883043003470</t>
  </si>
  <si>
    <t>48406</t>
  </si>
  <si>
    <t>BLACK FLY MAXX RASPBERRY RUSH</t>
  </si>
  <si>
    <t>883043003180</t>
  </si>
  <si>
    <t>45318</t>
  </si>
  <si>
    <t>BLACK FLY RUM MIAMI MIXER</t>
  </si>
  <si>
    <t>883043003067</t>
  </si>
  <si>
    <t>45243</t>
  </si>
  <si>
    <t>BLACK FLY RUM MIAMI VICE</t>
  </si>
  <si>
    <t>883043002305</t>
  </si>
  <si>
    <t>43095</t>
  </si>
  <si>
    <t>BLACK FLY RUM MOJITO</t>
  </si>
  <si>
    <t>883043001780</t>
  </si>
  <si>
    <t>38421</t>
  </si>
  <si>
    <t>BLACK FLY RUM PINA COLADA</t>
  </si>
  <si>
    <t>883043000752</t>
  </si>
  <si>
    <t>21966</t>
  </si>
  <si>
    <t>BLACK FLY RUM PUNCH</t>
  </si>
  <si>
    <t>883043002534</t>
  </si>
  <si>
    <t>43096</t>
  </si>
  <si>
    <t>BLACK FLY RUM RASPBERRY MOJITO</t>
  </si>
  <si>
    <t>883043000844</t>
  </si>
  <si>
    <t>26537</t>
  </si>
  <si>
    <t>BLACK FLY SOUR RASPBERRY</t>
  </si>
  <si>
    <t>883043002169</t>
  </si>
  <si>
    <t>40710</t>
  </si>
  <si>
    <t>BLACK FLY TEQUILA MARGARITA</t>
  </si>
  <si>
    <t>883043000561</t>
  </si>
  <si>
    <t>23072</t>
  </si>
  <si>
    <t>883043002336</t>
  </si>
  <si>
    <t>40711</t>
  </si>
  <si>
    <t>BLACK FLY TEQUILA SUNRISE</t>
  </si>
  <si>
    <t>883043003050</t>
  </si>
  <si>
    <t>48402</t>
  </si>
  <si>
    <t>BLACK FLY VODKA BLUE LAGOON</t>
  </si>
  <si>
    <t>883043000592</t>
  </si>
  <si>
    <t>22033</t>
  </si>
  <si>
    <t>BLACK FLY VODKA CITRUS</t>
  </si>
  <si>
    <t>883043003135</t>
  </si>
  <si>
    <t>45319</t>
  </si>
  <si>
    <t>BLACK FLY VODKA COSMOPOLITAN</t>
  </si>
  <si>
    <t>883043000738</t>
  </si>
  <si>
    <t>24624</t>
  </si>
  <si>
    <t>BLACK FLY VODKA CRANBERRY</t>
  </si>
  <si>
    <t>883043002367</t>
  </si>
  <si>
    <t>40712</t>
  </si>
  <si>
    <t>BLACK FLY VODKA CRANBERRY RASPBERRY</t>
  </si>
  <si>
    <t>883043003432</t>
  </si>
  <si>
    <t>48405</t>
  </si>
  <si>
    <t>BLACK FLY VODKA CREAM SODA</t>
  </si>
  <si>
    <t>883043002763</t>
  </si>
  <si>
    <t>43097</t>
  </si>
  <si>
    <t>BLACK FLY VODKA CRUSHED BLACK CHERRY</t>
  </si>
  <si>
    <t>883043001919</t>
  </si>
  <si>
    <t>38422</t>
  </si>
  <si>
    <t>BLACK FLY VODKA CRUSHED MIXER PACK 2.0</t>
  </si>
  <si>
    <t>883043003159</t>
  </si>
  <si>
    <t>45320</t>
  </si>
  <si>
    <t>BLACK FLY VODKA CRUSHED MIXER PURPLE</t>
  </si>
  <si>
    <t>883043001148</t>
  </si>
  <si>
    <t>28964</t>
  </si>
  <si>
    <t>BLACK FLY VODKA CRUSHED ORANGE</t>
  </si>
  <si>
    <t>883043001322</t>
  </si>
  <si>
    <t>33701</t>
  </si>
  <si>
    <t>BLACK FLY VODKA CRUSHED PUNCH</t>
  </si>
  <si>
    <t>883043000790</t>
  </si>
  <si>
    <t>24694</t>
  </si>
  <si>
    <t>BLACK FLY VODKA GRAPEFRUIT</t>
  </si>
  <si>
    <t>883043002619</t>
  </si>
  <si>
    <t>43099</t>
  </si>
  <si>
    <t>BLACK FLY VODKA LEMONADE</t>
  </si>
  <si>
    <t>883043002589</t>
  </si>
  <si>
    <t>43098</t>
  </si>
  <si>
    <t>BLACK FLY VODKA LEMONADE MIXER</t>
  </si>
  <si>
    <t>883043000837</t>
  </si>
  <si>
    <t>24124</t>
  </si>
  <si>
    <t>BLACK FLY VODKA SOUR GRAPE</t>
  </si>
  <si>
    <t>620213270023</t>
  </si>
  <si>
    <t>7196</t>
  </si>
  <si>
    <t>BREEZER TROPICAL ORANGE SMOOTHIE</t>
  </si>
  <si>
    <t>627843651284</t>
  </si>
  <si>
    <t>25924</t>
  </si>
  <si>
    <t>CABANA COAST MOSCOW MULE</t>
  </si>
  <si>
    <t>SOLAR BOTTLING</t>
  </si>
  <si>
    <t>696852081030</t>
  </si>
  <si>
    <t>40729</t>
  </si>
  <si>
    <t>CABRON FIESTA MIXER PACK</t>
  </si>
  <si>
    <t>080686817369</t>
  </si>
  <si>
    <t>31157</t>
  </si>
  <si>
    <t>CANADIAN CLUB PREMIUM &amp; GINGER ALE</t>
  </si>
  <si>
    <t>080686014195</t>
  </si>
  <si>
    <t>48481</t>
  </si>
  <si>
    <t>CANADIAN CLUB SMASH N TEA VARIETY PACK</t>
  </si>
  <si>
    <t>SUNTORY GLOBAL SPIRITS</t>
  </si>
  <si>
    <t>080686009610</t>
  </si>
  <si>
    <t>45408</t>
  </si>
  <si>
    <t>CANADIAN CLUB THE CLUB PACK</t>
  </si>
  <si>
    <t>CENTRAL CITY BREWING COMPANY LTD</t>
  </si>
  <si>
    <t>082000805656</t>
  </si>
  <si>
    <t>43104</t>
  </si>
  <si>
    <t>CAPTAIN MORGAN COCKTAIL COLLECTION PACK</t>
  </si>
  <si>
    <t>082000809227</t>
  </si>
  <si>
    <t>45327</t>
  </si>
  <si>
    <t>CAPTAIN MORGAN GUAVA MOJITO</t>
  </si>
  <si>
    <t>082000802396</t>
  </si>
  <si>
    <t>40732</t>
  </si>
  <si>
    <t>CAPTAIN MORGAN MANGO MAI TAI</t>
  </si>
  <si>
    <t>082000802402</t>
  </si>
  <si>
    <t>40733</t>
  </si>
  <si>
    <t>CAPTAIN MORGAN PINEAPPLE DAQUIRI</t>
  </si>
  <si>
    <t>082000814047</t>
  </si>
  <si>
    <t>48407</t>
  </si>
  <si>
    <t>CAPTAIN MORGAN SPICED RUM CITRUS LIME</t>
  </si>
  <si>
    <t>082000814016</t>
  </si>
  <si>
    <t>48408</t>
  </si>
  <si>
    <t>CAPTAIN MORGAN SPICED RUM PUNCH PINEAPPL</t>
  </si>
  <si>
    <t>082000814078</t>
  </si>
  <si>
    <t>48409</t>
  </si>
  <si>
    <t>CAPTAIN MORGAN SPICED RUM PUNCH VARIETY</t>
  </si>
  <si>
    <t>051497419042</t>
  </si>
  <si>
    <t>45323</t>
  </si>
  <si>
    <t>CASA DEL REY TEQUILA COCKTAIL MIXED PACK</t>
  </si>
  <si>
    <t>ACE BEVERAGE GROUP</t>
  </si>
  <si>
    <t>8802340112175</t>
  </si>
  <si>
    <t>24675</t>
  </si>
  <si>
    <t>CHUM CHURUM APPLE SOJU</t>
  </si>
  <si>
    <t>LOTTE CHILSUNG BEVERAGE CO. LTD.</t>
  </si>
  <si>
    <t>8801030000488</t>
  </si>
  <si>
    <t>29595</t>
  </si>
  <si>
    <t>CHUM CHURUM BLUEBERRY SOJU</t>
  </si>
  <si>
    <t>158481</t>
  </si>
  <si>
    <t>8802340112328</t>
  </si>
  <si>
    <t>36071</t>
  </si>
  <si>
    <t>CHUM CHURUM MANGO SOJU</t>
  </si>
  <si>
    <t>88023450112168</t>
  </si>
  <si>
    <t>27175</t>
  </si>
  <si>
    <t>CHUM CHURUM PEACH SOJU</t>
  </si>
  <si>
    <t>8801030995203</t>
  </si>
  <si>
    <t>29603</t>
  </si>
  <si>
    <t>CHUM CHURUM STRAWBERRY SOJU</t>
  </si>
  <si>
    <t>8801022000014</t>
  </si>
  <si>
    <t>30994</t>
  </si>
  <si>
    <t>CHUM CHURUM YOGURT SOJU</t>
  </si>
  <si>
    <t>990312188919</t>
  </si>
  <si>
    <t>46574</t>
  </si>
  <si>
    <t>CLINK MIMOSA VODKA COCKTAIL</t>
  </si>
  <si>
    <t>BEVMAX</t>
  </si>
  <si>
    <t>206284</t>
  </si>
  <si>
    <t>990312188940</t>
  </si>
  <si>
    <t>46576</t>
  </si>
  <si>
    <t>CLINK RASP LIMONCELLO VODKA COCKTAIL</t>
  </si>
  <si>
    <t>627987047356</t>
  </si>
  <si>
    <t>45627</t>
  </si>
  <si>
    <t>COCO RUM</t>
  </si>
  <si>
    <t>COCO RUM / COCO VODKA/BONDI DISTILLERY</t>
  </si>
  <si>
    <t>628634628201</t>
  </si>
  <si>
    <t>45580</t>
  </si>
  <si>
    <t>COCO RUM MOJITO</t>
  </si>
  <si>
    <t>627987047332</t>
  </si>
  <si>
    <t>30876</t>
  </si>
  <si>
    <t>COCO VODKA</t>
  </si>
  <si>
    <t>627987047370</t>
  </si>
  <si>
    <t>45584</t>
  </si>
  <si>
    <t>COCO VODKA LIME</t>
  </si>
  <si>
    <t>628634628188</t>
  </si>
  <si>
    <t>43462</t>
  </si>
  <si>
    <t>COCO VODKA PINEAPPLE</t>
  </si>
  <si>
    <t>051497503864</t>
  </si>
  <si>
    <t>48411</t>
  </si>
  <si>
    <t>COTTAGE SPRINGS CANDY KEYS</t>
  </si>
  <si>
    <t>051497470463</t>
  </si>
  <si>
    <t>45325</t>
  </si>
  <si>
    <t>COTTAGE SPRINGS REAL JUICE VODKA MX PK</t>
  </si>
  <si>
    <t>051497458256</t>
  </si>
  <si>
    <t>45324</t>
  </si>
  <si>
    <t>COTTAGE SPRINGS ROCKET BERRY BAG-IN-BOX</t>
  </si>
  <si>
    <t>051497416904</t>
  </si>
  <si>
    <t>43144</t>
  </si>
  <si>
    <t>COTTAGE SPRINGS TEQUILA LEMONADE</t>
  </si>
  <si>
    <t>051497365691</t>
  </si>
  <si>
    <t>40977</t>
  </si>
  <si>
    <t>COTTAGE SPRINGS TEQUILA SODA MIXER PACK</t>
  </si>
  <si>
    <t>051497315726</t>
  </si>
  <si>
    <t>38550</t>
  </si>
  <si>
    <t>COTTAGE SPRINGS VODKA ICED TEA MIXER</t>
  </si>
  <si>
    <t>ICONIC BRANDS INC</t>
  </si>
  <si>
    <t>051497296476</t>
  </si>
  <si>
    <t>41812</t>
  </si>
  <si>
    <t>COTTAGE SPRINGS VODKA SODA MIXER PACK</t>
  </si>
  <si>
    <t>051497310806</t>
  </si>
  <si>
    <t>43886</t>
  </si>
  <si>
    <t>COTTAGE SPRINGS VODKA SODA PEACH</t>
  </si>
  <si>
    <t>051497400101</t>
  </si>
  <si>
    <t>43145</t>
  </si>
  <si>
    <t>COTTAGE SPRINGS VODKA SODA PUNCHED UP</t>
  </si>
  <si>
    <t>051497419059</t>
  </si>
  <si>
    <t>43164</t>
  </si>
  <si>
    <t>COTTAGE SPRINGS VODKA SODA ROUGHRIDERS</t>
  </si>
  <si>
    <t>628055980889</t>
  </si>
  <si>
    <t>35665</t>
  </si>
  <si>
    <t>COTTAGE SPRINGS VODKA WATER MIXER PACK</t>
  </si>
  <si>
    <t>628055980940</t>
  </si>
  <si>
    <t>37674</t>
  </si>
  <si>
    <t>COTTAGE SPRINGS VODKA WATER RASPBERRY</t>
  </si>
  <si>
    <t>8135963023</t>
  </si>
  <si>
    <t>25514</t>
  </si>
  <si>
    <t>CRAZY UNCLE HARD CREAM SODA</t>
  </si>
  <si>
    <t>361 DEGREES</t>
  </si>
  <si>
    <t>89189</t>
  </si>
  <si>
    <t>813596003030</t>
  </si>
  <si>
    <t>24510</t>
  </si>
  <si>
    <t>CRAZY UNCLE HARD ROOT BEER</t>
  </si>
  <si>
    <t>813596003092</t>
  </si>
  <si>
    <t>45321</t>
  </si>
  <si>
    <t>CRAZY UNCLE ORANGE CREAM SODA</t>
  </si>
  <si>
    <t>813596003085</t>
  </si>
  <si>
    <t>43423</t>
  </si>
  <si>
    <t>CRAZY UNCLE STRAWBERRY CREAM SODA</t>
  </si>
  <si>
    <t>082000809135</t>
  </si>
  <si>
    <t>45328</t>
  </si>
  <si>
    <t>CROWN ROYAL BLACKBERRY WHISKY LEMONADE</t>
  </si>
  <si>
    <t>082000796824</t>
  </si>
  <si>
    <t>35668</t>
  </si>
  <si>
    <t>CROWN ROYAL WHISKY &amp; COLA</t>
  </si>
  <si>
    <t>082000813323</t>
  </si>
  <si>
    <t>48414</t>
  </si>
  <si>
    <t>CROWN ROYAL WHISKY LEMONADE VARIETY PACK</t>
  </si>
  <si>
    <t>687475000409</t>
  </si>
  <si>
    <t>42620</t>
  </si>
  <si>
    <t>CRUSH-IT HARD ICED TEA</t>
  </si>
  <si>
    <t>687475000386</t>
  </si>
  <si>
    <t>42621</t>
  </si>
  <si>
    <t>68747500300</t>
  </si>
  <si>
    <t>42622</t>
  </si>
  <si>
    <t>874618000529</t>
  </si>
  <si>
    <t>45342</t>
  </si>
  <si>
    <t>DILLON'S ESPRESSO MARTINI</t>
  </si>
  <si>
    <t>DILLON'S SMALL BATCH DISTILLERS</t>
  </si>
  <si>
    <t>874618000284</t>
  </si>
  <si>
    <t>44074</t>
  </si>
  <si>
    <t>DILLON'S GIN &amp; VODKA VARIETY PACK</t>
  </si>
  <si>
    <t>874618009362</t>
  </si>
  <si>
    <t>38613</t>
  </si>
  <si>
    <t>DILLON'S GIN COCKTAILS VARIETY PACK</t>
  </si>
  <si>
    <t>874618009508</t>
  </si>
  <si>
    <t>40742</t>
  </si>
  <si>
    <t>DILLON'S STRAWBERRY RHUBARB &amp; LIME</t>
  </si>
  <si>
    <t>874618000024</t>
  </si>
  <si>
    <t>43113</t>
  </si>
  <si>
    <t>DILLON'S VODKA BLUEBERRY, PEACH &amp; LEMON</t>
  </si>
  <si>
    <t>874618000048</t>
  </si>
  <si>
    <t>43114</t>
  </si>
  <si>
    <t>DILLON'S VODKA COCKTAILS VARIETY PACK</t>
  </si>
  <si>
    <t>874618000499</t>
  </si>
  <si>
    <t>45343</t>
  </si>
  <si>
    <t>DILLON'S WHITE CRANBERRY COSMOPOLITAN</t>
  </si>
  <si>
    <t>057496015230</t>
  </si>
  <si>
    <t>48416</t>
  </si>
  <si>
    <t>DISARONNO SOUR</t>
  </si>
  <si>
    <t>9421030105229</t>
  </si>
  <si>
    <t>35672</t>
  </si>
  <si>
    <t>DOS LOCOS STRAW LIME SELTZER</t>
  </si>
  <si>
    <t>INDEPENDENT DISTILLERS</t>
  </si>
  <si>
    <t>9421030101924</t>
  </si>
  <si>
    <t>30826</t>
  </si>
  <si>
    <t>DOS LOCOS TEQUILA SUNRISE</t>
  </si>
  <si>
    <t>813273001274</t>
  </si>
  <si>
    <t>43328</t>
  </si>
  <si>
    <t>EASY VODKA LEMONADE</t>
  </si>
  <si>
    <t>SNAKE LAKE BREWING COMPANY INC</t>
  </si>
  <si>
    <t>206082</t>
  </si>
  <si>
    <t>744607000789</t>
  </si>
  <si>
    <t>15209</t>
  </si>
  <si>
    <t>EL JIMADOR MARGARITA</t>
  </si>
  <si>
    <t>848819020013</t>
  </si>
  <si>
    <t>43865</t>
  </si>
  <si>
    <t>FINNISH LONG DRINK 0 SUGAR</t>
  </si>
  <si>
    <t>848819020006</t>
  </si>
  <si>
    <t>43866</t>
  </si>
  <si>
    <t>FINNISH LONG DRINK TRADITIONAL CITRUS</t>
  </si>
  <si>
    <t>057496014110</t>
  </si>
  <si>
    <t>45326</t>
  </si>
  <si>
    <t>FIREBALL APPLE CINNAMON WHISKY</t>
  </si>
  <si>
    <t>057496014424</t>
  </si>
  <si>
    <t>45495</t>
  </si>
  <si>
    <t>628176629469</t>
  </si>
  <si>
    <t>45332</t>
  </si>
  <si>
    <t>FOUNDER'S BLACK CHERRY WHISKY SOUR</t>
  </si>
  <si>
    <t>FOUNDER'S ORIGINAL INC.</t>
  </si>
  <si>
    <t>206231</t>
  </si>
  <si>
    <t>628176629131</t>
  </si>
  <si>
    <t>36064</t>
  </si>
  <si>
    <t>FOUNDER'S GRAPEFRUIT TEQUILA PALOMA</t>
  </si>
  <si>
    <t>628176629445</t>
  </si>
  <si>
    <t>45331</t>
  </si>
  <si>
    <t>FOUNDER'S LIME COCKTAIL PARTY BOX</t>
  </si>
  <si>
    <t>628176629100</t>
  </si>
  <si>
    <t>33907</t>
  </si>
  <si>
    <t>FOUNDER'S ORIG BLACKBERRY GIN BRAMBLE</t>
  </si>
  <si>
    <t>628176629285</t>
  </si>
  <si>
    <t>41261</t>
  </si>
  <si>
    <t>FOUNDER'S ORIGINAL TEQUILA COCKTAIL BOX</t>
  </si>
  <si>
    <t>628176629278</t>
  </si>
  <si>
    <t>39147</t>
  </si>
  <si>
    <t>FOUNDER'S ORIGINAL ULTIMATE COCKTAIL BOX</t>
  </si>
  <si>
    <t>628176629124</t>
  </si>
  <si>
    <t>36065</t>
  </si>
  <si>
    <t>FOUNDER'S SEVILLE ORANGE BOUR SOUR</t>
  </si>
  <si>
    <t>628176629476</t>
  </si>
  <si>
    <t>45330</t>
  </si>
  <si>
    <t>FOUNDER'S SPICY PINEAPPLE MARGARITA</t>
  </si>
  <si>
    <t>628176629391</t>
  </si>
  <si>
    <t>43691</t>
  </si>
  <si>
    <t>FOUNDER'S WATERMELON LIME MARGARITA</t>
  </si>
  <si>
    <t>675325092261</t>
  </si>
  <si>
    <t>43257</t>
  </si>
  <si>
    <t>GARAGE HARD LEMONADE</t>
  </si>
  <si>
    <t>275</t>
  </si>
  <si>
    <t>805763000072</t>
  </si>
  <si>
    <t>33669</t>
  </si>
  <si>
    <t>GEORGIAN BAY CRANBERRY GIN SMASH</t>
  </si>
  <si>
    <t>GEORGIAN BAY SPIRIT CO</t>
  </si>
  <si>
    <t>805763001871</t>
  </si>
  <si>
    <t>45353</t>
  </si>
  <si>
    <t>GEORGIAN BAY GIN COCKTAIL PK</t>
  </si>
  <si>
    <t>805763000003</t>
  </si>
  <si>
    <t>33667</t>
  </si>
  <si>
    <t>GEORGIAN BAY GIN SMASH</t>
  </si>
  <si>
    <t>805763001130</t>
  </si>
  <si>
    <t>40739</t>
  </si>
  <si>
    <t>GEORGIAN BAY GIN SMASH MIX PACK</t>
  </si>
  <si>
    <t>805763000256</t>
  </si>
  <si>
    <t>35676</t>
  </si>
  <si>
    <t>GEORGIAN BAY MANGO TEQUILA SMASH</t>
  </si>
  <si>
    <t>805763000294</t>
  </si>
  <si>
    <t>36066</t>
  </si>
  <si>
    <t>GEORGIAN BAY RASPBERRY RHUBARB SMASH</t>
  </si>
  <si>
    <t>805763000935</t>
  </si>
  <si>
    <t>40746</t>
  </si>
  <si>
    <t>GEORGIAN BAY TEQUILA SMASH MIX PACK</t>
  </si>
  <si>
    <t>805763000690</t>
  </si>
  <si>
    <t>38628</t>
  </si>
  <si>
    <t>GEORGIAN BAY TEQUILA SMASH PRICKLY PEAR</t>
  </si>
  <si>
    <t>206112</t>
  </si>
  <si>
    <t>805763001307</t>
  </si>
  <si>
    <t>43118</t>
  </si>
  <si>
    <t>GEORGIAN BAY VODKA ICED TEA MIXER PACK</t>
  </si>
  <si>
    <t>8801100131050</t>
  </si>
  <si>
    <t>40085</t>
  </si>
  <si>
    <t>GOOD DAY LYCHEE SOJU</t>
  </si>
  <si>
    <t>MUHAK CO LTD</t>
  </si>
  <si>
    <t>8801100128906</t>
  </si>
  <si>
    <t>41065</t>
  </si>
  <si>
    <t>GOOD DAY PEACH SOJU</t>
  </si>
  <si>
    <t>8801100128937</t>
  </si>
  <si>
    <t>40084</t>
  </si>
  <si>
    <t>GOOD DAY PINEAPPLE SOJU</t>
  </si>
  <si>
    <t>8809018212793</t>
  </si>
  <si>
    <t>41735</t>
  </si>
  <si>
    <t>HALLASAN SOJU LYCHEE</t>
  </si>
  <si>
    <t>HALLASAN CO LTD</t>
  </si>
  <si>
    <t>850057925265</t>
  </si>
  <si>
    <t>45354</t>
  </si>
  <si>
    <t>HAPPY DAD HARD ICED TEA VARIETY PACK</t>
  </si>
  <si>
    <t>HAPPY DAD SALES CANADA INC</t>
  </si>
  <si>
    <t>850057925609</t>
  </si>
  <si>
    <t>48421</t>
  </si>
  <si>
    <t>HAPPY DAD HARD LEMONADE</t>
  </si>
  <si>
    <t>850046522666</t>
  </si>
  <si>
    <t>44241</t>
  </si>
  <si>
    <t>HAPPY DAD HARD SELTZER FRUIT PUNCH</t>
  </si>
  <si>
    <t>850046522703</t>
  </si>
  <si>
    <t>44255</t>
  </si>
  <si>
    <t>HAPPY DAD HARD SELTZER GRAPE 12 PACK</t>
  </si>
  <si>
    <t>850046522376</t>
  </si>
  <si>
    <t>43658</t>
  </si>
  <si>
    <t>HAPPY DAD HARD SELTZER GRAPE ROW RECORDS</t>
  </si>
  <si>
    <t>850046522710</t>
  </si>
  <si>
    <t>43659</t>
  </si>
  <si>
    <t>HAPPY DAD HARD SELTZER RASPBERRY</t>
  </si>
  <si>
    <t>850046522734</t>
  </si>
  <si>
    <t>43660</t>
  </si>
  <si>
    <t>HAPPY DAD HARD SELTZER VARIETY PACK</t>
  </si>
  <si>
    <t>040232674662</t>
  </si>
  <si>
    <t>33199</t>
  </si>
  <si>
    <t>HARD ICE CROOKED CREAM SODA</t>
  </si>
  <si>
    <t>WINTERLAND BEVERAGES LTD.</t>
  </si>
  <si>
    <t>171056</t>
  </si>
  <si>
    <t>627987406450</t>
  </si>
  <si>
    <t>41057</t>
  </si>
  <si>
    <t>HARD T VARIETY PACK</t>
  </si>
  <si>
    <t>LOVELY DAY BEVERAGE CORP</t>
  </si>
  <si>
    <t>693851787789</t>
  </si>
  <si>
    <t>40749</t>
  </si>
  <si>
    <t>HECTOR'S HARD BIG BLUE RASPBERRY</t>
  </si>
  <si>
    <t>FORT GARRY BREWING LTD (R)</t>
  </si>
  <si>
    <t>1033</t>
  </si>
  <si>
    <t>693851785228</t>
  </si>
  <si>
    <t>40750</t>
  </si>
  <si>
    <t>HECTOR'S HARD CHERRY BOMB</t>
  </si>
  <si>
    <t>693851130004</t>
  </si>
  <si>
    <t>38481</t>
  </si>
  <si>
    <t>HECTOR'S HARD ICED TEA</t>
  </si>
  <si>
    <t>693851996693</t>
  </si>
  <si>
    <t>40984</t>
  </si>
  <si>
    <t>HECTOR'S HARD PARTY PACK</t>
  </si>
  <si>
    <t>693851554466</t>
  </si>
  <si>
    <t>40751</t>
  </si>
  <si>
    <t>HECTOR'S HARD PEACH PUNCH</t>
  </si>
  <si>
    <t>693851004046</t>
  </si>
  <si>
    <t>43120</t>
  </si>
  <si>
    <t>HECTOR'S HARD PINK LEMONADE</t>
  </si>
  <si>
    <t>693851987455</t>
  </si>
  <si>
    <t>45355</t>
  </si>
  <si>
    <t>HECTOR'S HARD WHISKY COLA</t>
  </si>
  <si>
    <t>626990183761</t>
  </si>
  <si>
    <t>23902</t>
  </si>
  <si>
    <t>HEY Y'ALL GEORGIA PEACH HARD ICED TEA</t>
  </si>
  <si>
    <t>626990183716</t>
  </si>
  <si>
    <t>23038</t>
  </si>
  <si>
    <t>HEY Y'ALL HARD ICED TEA &amp; LEMONADE</t>
  </si>
  <si>
    <t>696852169127</t>
  </si>
  <si>
    <t>45643</t>
  </si>
  <si>
    <t>HEY Y'ALL HARD ICED TEA KING CAN</t>
  </si>
  <si>
    <t>626990250531</t>
  </si>
  <si>
    <t>26356</t>
  </si>
  <si>
    <t>HEY Y'ALL ICED TEA TAILGATE PACK</t>
  </si>
  <si>
    <t>696852080927</t>
  </si>
  <si>
    <t>40754</t>
  </si>
  <si>
    <t>HEY Y'ALL LEMONADE MIXER</t>
  </si>
  <si>
    <t>626990321354</t>
  </si>
  <si>
    <t>40962</t>
  </si>
  <si>
    <t>HEY Y'ALL ORIGINAL TALL CAN 7%</t>
  </si>
  <si>
    <t>458</t>
  </si>
  <si>
    <t>696852080972</t>
  </si>
  <si>
    <t>41020</t>
  </si>
  <si>
    <t>HEY Y'ALL PINA COLADA HARD ICED TEA</t>
  </si>
  <si>
    <t>626990366867</t>
  </si>
  <si>
    <t>30970</t>
  </si>
  <si>
    <t>HEY Y'ALL PORCH PACK</t>
  </si>
  <si>
    <t>626990183709</t>
  </si>
  <si>
    <t>23039</t>
  </si>
  <si>
    <t>HEY Y'ALL SOUTHERN HARD ICED TEA</t>
  </si>
  <si>
    <t>696852060509</t>
  </si>
  <si>
    <t>38772</t>
  </si>
  <si>
    <t>HEY Y'ALL SOUTHERN STYLE TEA PARTY POUCH</t>
  </si>
  <si>
    <t>085000041963</t>
  </si>
  <si>
    <t>48437</t>
  </si>
  <si>
    <t>HIGH NOON DAY PACK</t>
  </si>
  <si>
    <t>085000039816</t>
  </si>
  <si>
    <t>48438</t>
  </si>
  <si>
    <t>HIGH NOON PEACH</t>
  </si>
  <si>
    <t>085000034293</t>
  </si>
  <si>
    <t>43219</t>
  </si>
  <si>
    <t>HIGH NOON POOL PACK</t>
  </si>
  <si>
    <t>085000036099</t>
  </si>
  <si>
    <t>43112</t>
  </si>
  <si>
    <t>HIGH NOON TEQUILA VARIETY PACK</t>
  </si>
  <si>
    <t>085000036167</t>
  </si>
  <si>
    <t>40758</t>
  </si>
  <si>
    <t>HIGH NOON VARIETY PACK</t>
  </si>
  <si>
    <t>056000010631</t>
  </si>
  <si>
    <t>25946</t>
  </si>
  <si>
    <t>HIRES ROOT BEER AND VODKA</t>
  </si>
  <si>
    <t>Canada Dry Motts</t>
  </si>
  <si>
    <t>805763001581</t>
  </si>
  <si>
    <t>45357</t>
  </si>
  <si>
    <t>ISLA TEQUILA ISLAND MIXER</t>
  </si>
  <si>
    <t>82184006801</t>
  </si>
  <si>
    <t>40760</t>
  </si>
  <si>
    <t>JACK DANIEL'S &amp; GINGER</t>
  </si>
  <si>
    <t>082184007280</t>
  </si>
  <si>
    <t>43111</t>
  </si>
  <si>
    <t>JACK DANIEL'S AND COCA-COLA</t>
  </si>
  <si>
    <t>082184007297</t>
  </si>
  <si>
    <t>43110</t>
  </si>
  <si>
    <t>JACK DANIEL'S AND COCA-COLA ZERO SUGAR</t>
  </si>
  <si>
    <t>082184207376</t>
  </si>
  <si>
    <t>45195</t>
  </si>
  <si>
    <t>JACK DANIEL'S WATERMELON PUNCH</t>
  </si>
  <si>
    <t>5011007018993</t>
  </si>
  <si>
    <t>37884</t>
  </si>
  <si>
    <t>JAMESON GINGER AND LIME</t>
  </si>
  <si>
    <t>080432117538</t>
  </si>
  <si>
    <t>40702</t>
  </si>
  <si>
    <t>080432001424</t>
  </si>
  <si>
    <t>43103</t>
  </si>
  <si>
    <t>JAMESON LEMONADE</t>
  </si>
  <si>
    <t>080432002162</t>
  </si>
  <si>
    <t>45341</t>
  </si>
  <si>
    <t>JAMESON ORANGE SPRITZ</t>
  </si>
  <si>
    <t>628623022638</t>
  </si>
  <si>
    <t>40761</t>
  </si>
  <si>
    <t>JAW DROP FAN FAVOURITES</t>
  </si>
  <si>
    <t>AQUILINI BRANDS</t>
  </si>
  <si>
    <t>628623019911</t>
  </si>
  <si>
    <t>33087</t>
  </si>
  <si>
    <t>JAW DROP GUSHING GRAPES</t>
  </si>
  <si>
    <t>628341259057</t>
  </si>
  <si>
    <t>48439</t>
  </si>
  <si>
    <t>JOHN SLEEMAN &amp; SONS GINGER LIME &amp; MULE</t>
  </si>
  <si>
    <t>811538010993</t>
  </si>
  <si>
    <t>29000</t>
  </si>
  <si>
    <t>JOSE CUERVO AUTHENTIC LIME MARGARITA</t>
  </si>
  <si>
    <t>0811538013765</t>
  </si>
  <si>
    <t>33632</t>
  </si>
  <si>
    <t>JOSE CUERVO AUTHENTIC PINK LEMONADE</t>
  </si>
  <si>
    <t>0811538011037</t>
  </si>
  <si>
    <t>35942</t>
  </si>
  <si>
    <t>JOSE CUERVO AUTHENTIC STRAWBERRY LIME</t>
  </si>
  <si>
    <t>818844024386</t>
  </si>
  <si>
    <t>43122</t>
  </si>
  <si>
    <t>JOSE CUERVO AUTHENTIC TROPICAL PARADISE</t>
  </si>
  <si>
    <t>811538011587</t>
  </si>
  <si>
    <t>40885</t>
  </si>
  <si>
    <t>JOSE CUERVO AUTHENTIC WHITE PEACH</t>
  </si>
  <si>
    <t>811538013864</t>
  </si>
  <si>
    <t>24341</t>
  </si>
  <si>
    <t>JOSE CUERVO SPARKLING MARGARITA</t>
  </si>
  <si>
    <t>REFRESCO NORTH AMERICA</t>
  </si>
  <si>
    <t>811538014991</t>
  </si>
  <si>
    <t>26008</t>
  </si>
  <si>
    <t>JOSE CUERVO SPARKLING PALOMA</t>
  </si>
  <si>
    <t>818844028476</t>
  </si>
  <si>
    <t>45347</t>
  </si>
  <si>
    <t>JOSE CUERVO SPARKLING TEQUILA SUNRISE</t>
  </si>
  <si>
    <t>080432001431</t>
  </si>
  <si>
    <t>43134</t>
  </si>
  <si>
    <t>MALIBU COCKTAIL MIXER PACK</t>
  </si>
  <si>
    <t>089540535661</t>
  </si>
  <si>
    <t>43135</t>
  </si>
  <si>
    <t>MALIBU PINA COLADA</t>
  </si>
  <si>
    <t>089540536170</t>
  </si>
  <si>
    <t>40778</t>
  </si>
  <si>
    <t>MALIBU PINEAPPLE BAY BREEZE</t>
  </si>
  <si>
    <t>080432002803</t>
  </si>
  <si>
    <t>48646</t>
  </si>
  <si>
    <t>MALIBU PINEAPPLE COCKTAIL VARIETY PACK</t>
  </si>
  <si>
    <t>089540536385</t>
  </si>
  <si>
    <t>43136</t>
  </si>
  <si>
    <t>MALIBU STRAWBERRY DAQUIRI</t>
  </si>
  <si>
    <t>089540535869</t>
  </si>
  <si>
    <t>38308</t>
  </si>
  <si>
    <t>00628176556055</t>
  </si>
  <si>
    <t>34958</t>
  </si>
  <si>
    <t>MATT &amp; STEVE'S CAESAR HOT &amp; SPICY</t>
  </si>
  <si>
    <t>MATT &amp; STEVE'S</t>
  </si>
  <si>
    <t>628176556017</t>
  </si>
  <si>
    <t>34287</t>
  </si>
  <si>
    <t>MATT &amp; STEVE'S CAESAR ORIGINAL</t>
  </si>
  <si>
    <t>8411640001340</t>
  </si>
  <si>
    <t>28171</t>
  </si>
  <si>
    <t>MG SPIRIT MOJITO</t>
  </si>
  <si>
    <t>DESTILERIAS MG</t>
  </si>
  <si>
    <t>1100</t>
  </si>
  <si>
    <t>696852139267</t>
  </si>
  <si>
    <t>43405</t>
  </si>
  <si>
    <t>MONSOON VODKA TROPICAL 7% MIXER</t>
  </si>
  <si>
    <t>0065912000425</t>
  </si>
  <si>
    <t>24989</t>
  </si>
  <si>
    <t>MOTT'S CLAMATO CAESAR EXTRA SPICY</t>
  </si>
  <si>
    <t>065912006977</t>
  </si>
  <si>
    <t>7239</t>
  </si>
  <si>
    <t>DNU Canada Dry Motts</t>
  </si>
  <si>
    <t>65912000944</t>
  </si>
  <si>
    <t>24020</t>
  </si>
  <si>
    <t>MOTT'S CLAMATO CAESAR LIME</t>
  </si>
  <si>
    <t>065912000418</t>
  </si>
  <si>
    <t>19769</t>
  </si>
  <si>
    <t>MOTT'S CLAMATO CAESAR ORIGINAL</t>
  </si>
  <si>
    <t>065912006823</t>
  </si>
  <si>
    <t>3345</t>
  </si>
  <si>
    <t>065912006946</t>
  </si>
  <si>
    <t>7238</t>
  </si>
  <si>
    <t>065912001750</t>
  </si>
  <si>
    <t>30871</t>
  </si>
  <si>
    <t>MOTT'S CLAMATO GIN &amp; CUCUMBER CAESAR</t>
  </si>
  <si>
    <t>065912002153</t>
  </si>
  <si>
    <t>40780</t>
  </si>
  <si>
    <t>MOTT'S CLAMATO ORIGINAL</t>
  </si>
  <si>
    <t>065912003228</t>
  </si>
  <si>
    <t>48423</t>
  </si>
  <si>
    <t>MOTT'S CLAMATO ORIGINAL 7%</t>
  </si>
  <si>
    <t>065912002689</t>
  </si>
  <si>
    <t>43143</t>
  </si>
  <si>
    <t>MOTT'S CLAMATO ORIGINAL LIGHT</t>
  </si>
  <si>
    <t>065912001538</t>
  </si>
  <si>
    <t>28081</t>
  </si>
  <si>
    <t>MOTT'S CLAMATO THE WORKS CAESAR</t>
  </si>
  <si>
    <t>065912002177</t>
  </si>
  <si>
    <t>40781</t>
  </si>
  <si>
    <t>MOTT'S CLAMATO VARIETY PACK</t>
  </si>
  <si>
    <t>00065912001095</t>
  </si>
  <si>
    <t>25956</t>
  </si>
  <si>
    <t>MOTT'S PICKLED BEAN</t>
  </si>
  <si>
    <t>065912001675</t>
  </si>
  <si>
    <t>30823</t>
  </si>
  <si>
    <t>065912003259</t>
  </si>
  <si>
    <t>48424</t>
  </si>
  <si>
    <t>MOTT'S TEQUILA TROPICS</t>
  </si>
  <si>
    <t>628451958314</t>
  </si>
  <si>
    <t>40392</t>
  </si>
  <si>
    <t>MOUNTAIN JOE HARD COFFEE</t>
  </si>
  <si>
    <t>PARK DISTILLERY (m)</t>
  </si>
  <si>
    <t>206139</t>
  </si>
  <si>
    <t>823994001101</t>
  </si>
  <si>
    <t>30322</t>
  </si>
  <si>
    <t>MUDDLER'S MOSCOW MULE</t>
  </si>
  <si>
    <t>PARALLEL 49 BREWING CO (m)</t>
  </si>
  <si>
    <t>185255</t>
  </si>
  <si>
    <t>0823994003679</t>
  </si>
  <si>
    <t>33260</t>
  </si>
  <si>
    <t>MUDDLER'S VODKA PINK LEMONADE</t>
  </si>
  <si>
    <t>823994005819</t>
  </si>
  <si>
    <t>43397</t>
  </si>
  <si>
    <t>MUDDLERS COCKTAIL SESSIONS MIXER</t>
  </si>
  <si>
    <t>0823994004294</t>
  </si>
  <si>
    <t>35896</t>
  </si>
  <si>
    <t>MUDDLERS MIXOLOGY MIXER 12PK</t>
  </si>
  <si>
    <t>628693391085</t>
  </si>
  <si>
    <t>43146</t>
  </si>
  <si>
    <t>NUDE ARTIC BERRY</t>
  </si>
  <si>
    <t>NUDE VODKA BEVERAGES</t>
  </si>
  <si>
    <t>32302448310</t>
  </si>
  <si>
    <t>33176</t>
  </si>
  <si>
    <t>NUDE GIN SODA MIXER PACK</t>
  </si>
  <si>
    <t>628693391146</t>
  </si>
  <si>
    <t>43147</t>
  </si>
  <si>
    <t>NUDE GRAPE</t>
  </si>
  <si>
    <t>628693391351</t>
  </si>
  <si>
    <t>45497</t>
  </si>
  <si>
    <t>NUDE ICED TEA LEMONADE</t>
  </si>
  <si>
    <t>032302448990</t>
  </si>
  <si>
    <t>40792</t>
  </si>
  <si>
    <t>NUDE LEMONADE MIXER</t>
  </si>
  <si>
    <t>032302448754</t>
  </si>
  <si>
    <t>38432</t>
  </si>
  <si>
    <t>NUDE PINK LEMONADE</t>
  </si>
  <si>
    <t>032302448013</t>
  </si>
  <si>
    <t>31034</t>
  </si>
  <si>
    <t>NUDE VODKA SODA 12-PACK MIXER</t>
  </si>
  <si>
    <t>032302448044</t>
  </si>
  <si>
    <t>31023</t>
  </si>
  <si>
    <t>NUDE VODKA SODA 24 PACK MIXER</t>
  </si>
  <si>
    <t>32302448495</t>
  </si>
  <si>
    <t>35701</t>
  </si>
  <si>
    <t>NUDE VODKA SODA BLACK CHERRY</t>
  </si>
  <si>
    <t>051497503925</t>
  </si>
  <si>
    <t>48448</t>
  </si>
  <si>
    <t>NUDE VODKA SODA MIXER NO. 2</t>
  </si>
  <si>
    <t>032302448037</t>
  </si>
  <si>
    <t>30982</t>
  </si>
  <si>
    <t>NUDE VODKA SODA RASPBERRY LEMON</t>
  </si>
  <si>
    <t>051497462512</t>
  </si>
  <si>
    <t>45387</t>
  </si>
  <si>
    <t>NUDE VODKA SODA STIFF MIXER</t>
  </si>
  <si>
    <t>00627843592815</t>
  </si>
  <si>
    <t>28626</t>
  </si>
  <si>
    <t>NUDE VODKA SODA STRAWBERRY KIWI</t>
  </si>
  <si>
    <t>032302448730</t>
  </si>
  <si>
    <t>35823</t>
  </si>
  <si>
    <t>NUDE VODKA SODA V2 MIXER</t>
  </si>
  <si>
    <t>051497514525</t>
  </si>
  <si>
    <t>48449</t>
  </si>
  <si>
    <t>NUDE VODKA WATER MIXED</t>
  </si>
  <si>
    <t>00627987680560</t>
  </si>
  <si>
    <t>39765</t>
  </si>
  <si>
    <t>OLE COCKTAIL - OLE MARGARITA</t>
  </si>
  <si>
    <t>OLE COCKTAILS CO</t>
  </si>
  <si>
    <t>00627987680584</t>
  </si>
  <si>
    <t>39766</t>
  </si>
  <si>
    <t>OLE COCKTAIL - OLE PALOMA</t>
  </si>
  <si>
    <t>627987680607</t>
  </si>
  <si>
    <t>39767</t>
  </si>
  <si>
    <t>OLE COCKTAIL - OLE TEQUILA VARIETY</t>
  </si>
  <si>
    <t>627987680621</t>
  </si>
  <si>
    <t>39764</t>
  </si>
  <si>
    <t>OLE COCKTAIL CHILI MANGO</t>
  </si>
  <si>
    <t>628942740046</t>
  </si>
  <si>
    <t>43871</t>
  </si>
  <si>
    <t>OLE COCKTAIL SPICY MARGARITA</t>
  </si>
  <si>
    <t>627987680614</t>
  </si>
  <si>
    <t>43152</t>
  </si>
  <si>
    <t>OLE COCKTAIL TEQUILA MULE</t>
  </si>
  <si>
    <t>627987680652</t>
  </si>
  <si>
    <t>43872</t>
  </si>
  <si>
    <t>OLE COCKTAIL TEQUILA SUNRISE</t>
  </si>
  <si>
    <t>848819060101</t>
  </si>
  <si>
    <t>48510</t>
  </si>
  <si>
    <t>OLE DOUBLE SHOT MARGARITA</t>
  </si>
  <si>
    <t>687181947258</t>
  </si>
  <si>
    <t>48425</t>
  </si>
  <si>
    <t>PINK GIN FIZZ</t>
  </si>
  <si>
    <t>CRAFT360</t>
  </si>
  <si>
    <t>048415000413</t>
  </si>
  <si>
    <t>43155</t>
  </si>
  <si>
    <t>048415000536</t>
  </si>
  <si>
    <t>45337</t>
  </si>
  <si>
    <t>POLAR ICE BLUE HAWAIIAN</t>
  </si>
  <si>
    <t>048415000543</t>
  </si>
  <si>
    <t>45338</t>
  </si>
  <si>
    <t>POLAR ICE CHERRY BLIZZARD</t>
  </si>
  <si>
    <t>048415000420</t>
  </si>
  <si>
    <t>43190</t>
  </si>
  <si>
    <t>696352000838</t>
  </si>
  <si>
    <t>25916</t>
  </si>
  <si>
    <t>POP SHOPPE HARD SODA CREAM SODA</t>
  </si>
  <si>
    <t>BLUE SPIKE BEVERAGES INC</t>
  </si>
  <si>
    <t>626990367147</t>
  </si>
  <si>
    <t>31586</t>
  </si>
  <si>
    <t>PYUR VODKA SODA COCONUT</t>
  </si>
  <si>
    <t>628882000330</t>
  </si>
  <si>
    <t>35160</t>
  </si>
  <si>
    <t>REMIX VODKA SODA MIXER</t>
  </si>
  <si>
    <t>RED TRUCK BEER COMPANY LTD (m)</t>
  </si>
  <si>
    <t>205997</t>
  </si>
  <si>
    <t>620213250124</t>
  </si>
  <si>
    <t>16518</t>
  </si>
  <si>
    <t>REV</t>
  </si>
  <si>
    <t>620213250209</t>
  </si>
  <si>
    <t>3813</t>
  </si>
  <si>
    <t>628942632617</t>
  </si>
  <si>
    <t>45393</t>
  </si>
  <si>
    <t>SANDBAGGER 8 PACK VODKA MIXER</t>
  </si>
  <si>
    <t>SANDBAGGER HOLDINGS</t>
  </si>
  <si>
    <t>206233</t>
  </si>
  <si>
    <t>628942632631</t>
  </si>
  <si>
    <t>48426</t>
  </si>
  <si>
    <t>SANDBAGGER CRANSFUSION</t>
  </si>
  <si>
    <t>627987361797</t>
  </si>
  <si>
    <t>43167</t>
  </si>
  <si>
    <t>SANDBAGGER HARD SELTZER LEMON LIME</t>
  </si>
  <si>
    <t>627987361742</t>
  </si>
  <si>
    <t>43168</t>
  </si>
  <si>
    <t>SANDBAGGER HARD SELTZER MIXER PACK</t>
  </si>
  <si>
    <t>990315900112</t>
  </si>
  <si>
    <t>48427</t>
  </si>
  <si>
    <t>SANDBAGGER SANDBOX MIXER</t>
  </si>
  <si>
    <t>628942632570</t>
  </si>
  <si>
    <t>45394</t>
  </si>
  <si>
    <t>SANDBAGGER TRANSFUSION</t>
  </si>
  <si>
    <t>990315900136</t>
  </si>
  <si>
    <t>48428</t>
  </si>
  <si>
    <t>SANDBAGGER VODKA FUSION</t>
  </si>
  <si>
    <t>628068530484</t>
  </si>
  <si>
    <t>45395</t>
  </si>
  <si>
    <t>SCENIC ROUTE PINEAPPLE GINGER AND HONEY</t>
  </si>
  <si>
    <t>THE STRAIT AND NARROW PACIFIC COCKTAILS</t>
  </si>
  <si>
    <t>082000813996</t>
  </si>
  <si>
    <t>48463</t>
  </si>
  <si>
    <t>SMIRNOFF CRUSH MANGO PEACH</t>
  </si>
  <si>
    <t>082000763581</t>
  </si>
  <si>
    <t>7586</t>
  </si>
  <si>
    <t>SMIRNOFF ICE</t>
  </si>
  <si>
    <t>UDV CANADA</t>
  </si>
  <si>
    <t>082000759485</t>
  </si>
  <si>
    <t>6735</t>
  </si>
  <si>
    <t>082000773894</t>
  </si>
  <si>
    <t>23791</t>
  </si>
  <si>
    <t>082000799689</t>
  </si>
  <si>
    <t>38517</t>
  </si>
  <si>
    <t>SMIRNOFF ICE 12 PACK</t>
  </si>
  <si>
    <t>82000785552</t>
  </si>
  <si>
    <t>28143</t>
  </si>
  <si>
    <t>SMIRNOFF ICE BERRY BLAST</t>
  </si>
  <si>
    <t>082000790297</t>
  </si>
  <si>
    <t>30865</t>
  </si>
  <si>
    <t>082000795742</t>
  </si>
  <si>
    <t>35712</t>
  </si>
  <si>
    <t>SMIRNOFF ICE BLUE RASPBERRY &amp; BLACKBERRY</t>
  </si>
  <si>
    <t>082000784432</t>
  </si>
  <si>
    <t>26447</t>
  </si>
  <si>
    <t>SMIRNOFF ICE FLAVOURS PARTY PACK</t>
  </si>
  <si>
    <t>082000805885</t>
  </si>
  <si>
    <t>43157</t>
  </si>
  <si>
    <t>SMIRNOFF ICE LEMON TEA</t>
  </si>
  <si>
    <t>082000773887</t>
  </si>
  <si>
    <t>23787</t>
  </si>
  <si>
    <t>SMIRNOFF ICE LIGHT BLACK CHERRY &amp; SODA</t>
  </si>
  <si>
    <t>082000773870</t>
  </si>
  <si>
    <t>23788</t>
  </si>
  <si>
    <t>SMIRNOFF ICE LIGHT RASPBERRY &amp; SODA</t>
  </si>
  <si>
    <t>082000811633</t>
  </si>
  <si>
    <t>45391</t>
  </si>
  <si>
    <t>SMIRNOFF ICE LIGHT VARIETY PACK</t>
  </si>
  <si>
    <t>082000775768</t>
  </si>
  <si>
    <t>23789</t>
  </si>
  <si>
    <t>SMIRNOFF ICE LIGHT WHITE PEACH &amp; SODA</t>
  </si>
  <si>
    <t>082000802440</t>
  </si>
  <si>
    <t>40793</t>
  </si>
  <si>
    <t>SMIRNOFF ICE ORANGE CREAMSICLE BLAST</t>
  </si>
  <si>
    <t>082000802457</t>
  </si>
  <si>
    <t>40794</t>
  </si>
  <si>
    <t>082000799801</t>
  </si>
  <si>
    <t>38513</t>
  </si>
  <si>
    <t>SMIRNOFF ICE PEACH LEMONADE</t>
  </si>
  <si>
    <t>082000805908</t>
  </si>
  <si>
    <t>43158</t>
  </si>
  <si>
    <t>SMIRNOFF ICE PEACH TEA</t>
  </si>
  <si>
    <t>082000797302</t>
  </si>
  <si>
    <t>36542</t>
  </si>
  <si>
    <t>SMIRNOFF ICE PINK LEMONADE</t>
  </si>
  <si>
    <t>082000797296</t>
  </si>
  <si>
    <t>36543</t>
  </si>
  <si>
    <t>082000782254</t>
  </si>
  <si>
    <t>26054</t>
  </si>
  <si>
    <t>SMIRNOFF ICE RASPBERRY</t>
  </si>
  <si>
    <t>082000773818</t>
  </si>
  <si>
    <t>23792</t>
  </si>
  <si>
    <t>SMIRNOFF ICE VII ORIGINAL</t>
  </si>
  <si>
    <t>082000773825</t>
  </si>
  <si>
    <t>23790</t>
  </si>
  <si>
    <t>SMIRNOFF ICE VII WATERMELON</t>
  </si>
  <si>
    <t>082000809494</t>
  </si>
  <si>
    <t>45392</t>
  </si>
  <si>
    <t>SMIRNOFF READY TO DRINK COCKTAILS</t>
  </si>
  <si>
    <t>082000800231</t>
  </si>
  <si>
    <t>38514</t>
  </si>
  <si>
    <t>SMIRNOFF SELTZER LEMONADE VARIETY PACK</t>
  </si>
  <si>
    <t>082000006510</t>
  </si>
  <si>
    <t>38515</t>
  </si>
  <si>
    <t>SMIRNOFF VODKA &amp; SODA BERRY BLAST</t>
  </si>
  <si>
    <t>82000006374</t>
  </si>
  <si>
    <t>33476</t>
  </si>
  <si>
    <t>SMIRNOFF VODKA &amp; SODA RASPBERRY ROSE</t>
  </si>
  <si>
    <t>82000006381</t>
  </si>
  <si>
    <t>33477</t>
  </si>
  <si>
    <t>SMIRNOFF VODKA &amp; SODA WHITE PEACH ROSE</t>
  </si>
  <si>
    <t>082000795964</t>
  </si>
  <si>
    <t>35714</t>
  </si>
  <si>
    <t>SMIRNOFF VODKA &amp;SODA ROSE VARIETY PACK</t>
  </si>
  <si>
    <t>082000807124</t>
  </si>
  <si>
    <t>43058</t>
  </si>
  <si>
    <t>SMIRNOFF VODKA SODA VARIETY PACK</t>
  </si>
  <si>
    <t>076183009659</t>
  </si>
  <si>
    <t>45430</t>
  </si>
  <si>
    <t>SNAPPLE SPIKE 7% VARIETY PACK</t>
  </si>
  <si>
    <t>076183004951</t>
  </si>
  <si>
    <t>33231</t>
  </si>
  <si>
    <t>SNAPPLE SPIKED LONG ISLAND ICED TEA</t>
  </si>
  <si>
    <t>076183473467</t>
  </si>
  <si>
    <t>35715</t>
  </si>
  <si>
    <t>SNAPPLE SPIKED MANGO RASPBERRY TEA</t>
  </si>
  <si>
    <t>00076183003084</t>
  </si>
  <si>
    <t>26021</t>
  </si>
  <si>
    <t>SNAPPLE SPIKED PEACH TEA VODKA</t>
  </si>
  <si>
    <t>076183002629</t>
  </si>
  <si>
    <t>24067</t>
  </si>
  <si>
    <t>SNAPPLE SPIKED RASPCHERRY TEA VODKA</t>
  </si>
  <si>
    <t>076183003039</t>
  </si>
  <si>
    <t>26000</t>
  </si>
  <si>
    <t>SNAPPLE SPIKED STRAWBERRY KIWI VODKA</t>
  </si>
  <si>
    <t>076183009277</t>
  </si>
  <si>
    <t>43160</t>
  </si>
  <si>
    <t>SNAPPLE SPIKED VARIETY PACK</t>
  </si>
  <si>
    <t>628942353888</t>
  </si>
  <si>
    <t>43479</t>
  </si>
  <si>
    <t>SOJU SPRITZ VARIETY PACK</t>
  </si>
  <si>
    <t>COBEES ENTERPRISE LTD</t>
  </si>
  <si>
    <t>057496015490</t>
  </si>
  <si>
    <t>48432</t>
  </si>
  <si>
    <t>SOUTHERN COMFORT LEMONADE</t>
  </si>
  <si>
    <t>087692023470</t>
  </si>
  <si>
    <t>48515</t>
  </si>
  <si>
    <t>SUN CRUISER CLASSIC ICED TEA</t>
  </si>
  <si>
    <t>087692022589</t>
  </si>
  <si>
    <t>46310</t>
  </si>
  <si>
    <t>087692024217</t>
  </si>
  <si>
    <t>48516</t>
  </si>
  <si>
    <t>087692022596</t>
  </si>
  <si>
    <t>46309</t>
  </si>
  <si>
    <t>SUN CRUISER LEMONADE ICED TEA</t>
  </si>
  <si>
    <t>628011008428</t>
  </si>
  <si>
    <t>41289</t>
  </si>
  <si>
    <t>SUNDAY SESSION GRAPE TRANSFUSION</t>
  </si>
  <si>
    <t>GRADIENT BEVERAGES CORP (m)</t>
  </si>
  <si>
    <t>062100011164</t>
  </si>
  <si>
    <t>38937</t>
  </si>
  <si>
    <t>TAHITI TREAT AND VODKA</t>
  </si>
  <si>
    <t>062100011706</t>
  </si>
  <si>
    <t>45402</t>
  </si>
  <si>
    <t>TAHITI TREAT PARADISE PACK</t>
  </si>
  <si>
    <t>628451773597</t>
  </si>
  <si>
    <t>36881</t>
  </si>
  <si>
    <t>THE STRAIT &amp; NARROW ADVENTURE PACK</t>
  </si>
  <si>
    <t>628068530514</t>
  </si>
  <si>
    <t>45398</t>
  </si>
  <si>
    <t>THE STRAIT &amp; NARROW PEAR AND RHUBARB</t>
  </si>
  <si>
    <t>990312289807</t>
  </si>
  <si>
    <t>46558</t>
  </si>
  <si>
    <t>TIDE COCKTAILS VODKA COCKTAIL VARIETY</t>
  </si>
  <si>
    <t>TIDE COCKTAILS CO</t>
  </si>
  <si>
    <t>628942683831</t>
  </si>
  <si>
    <t>48433</t>
  </si>
  <si>
    <t>TQLA VIDA VIDA PACK</t>
  </si>
  <si>
    <t>TQLA VIDA (m)</t>
  </si>
  <si>
    <t>206273</t>
  </si>
  <si>
    <t>087116006744</t>
  </si>
  <si>
    <t>43163</t>
  </si>
  <si>
    <t>TRADER VIC'S MAI TAI</t>
  </si>
  <si>
    <t>87692009917</t>
  </si>
  <si>
    <t>34717</t>
  </si>
  <si>
    <t>TRULY HARD LEMONADE MIX PACK</t>
  </si>
  <si>
    <t>87692006763</t>
  </si>
  <si>
    <t>34718</t>
  </si>
  <si>
    <t>TRULY HARD SELTZER BERRY MIX PACK</t>
  </si>
  <si>
    <t>087692008040</t>
  </si>
  <si>
    <t>32810</t>
  </si>
  <si>
    <t>TRULY HARD SELTZER TROPICAL MIX PACK</t>
  </si>
  <si>
    <t>087692012276</t>
  </si>
  <si>
    <t>38583</t>
  </si>
  <si>
    <t>TRULY PUNCH MIX PACK</t>
  </si>
  <si>
    <t>087692016649</t>
  </si>
  <si>
    <t>43166</t>
  </si>
  <si>
    <t>TRULY TEQUILA SODA MIX PACK</t>
  </si>
  <si>
    <t>087692023531</t>
  </si>
  <si>
    <t>48533</t>
  </si>
  <si>
    <t>TRULY UNRULY</t>
  </si>
  <si>
    <t>087692020837</t>
  </si>
  <si>
    <t>45333</t>
  </si>
  <si>
    <t>TWISTED TEA EXTREME BLUE RAZZ</t>
  </si>
  <si>
    <t>087692023425</t>
  </si>
  <si>
    <t>48535</t>
  </si>
  <si>
    <t>TWISTED TEA EXTREME PARTY PACK</t>
  </si>
  <si>
    <t>87692008255</t>
  </si>
  <si>
    <t>31108</t>
  </si>
  <si>
    <t>TWISTED TEA HALF &amp; HALF</t>
  </si>
  <si>
    <t>087692751311</t>
  </si>
  <si>
    <t>28942</t>
  </si>
  <si>
    <t>087692007418</t>
  </si>
  <si>
    <t>28763</t>
  </si>
  <si>
    <t>087692016557</t>
  </si>
  <si>
    <t>40808</t>
  </si>
  <si>
    <t>TWISTED TEA MANGO</t>
  </si>
  <si>
    <t>087692007470</t>
  </si>
  <si>
    <t>28712</t>
  </si>
  <si>
    <t>TWISTED TEA ORIGINAL</t>
  </si>
  <si>
    <t>087692007456</t>
  </si>
  <si>
    <t>28764</t>
  </si>
  <si>
    <t>087692007432</t>
  </si>
  <si>
    <t>28765</t>
  </si>
  <si>
    <t>0087692005322</t>
  </si>
  <si>
    <t>32479</t>
  </si>
  <si>
    <t>TWISTED TEA ORIGINAL HARD ICED TEA</t>
  </si>
  <si>
    <t>087692009474</t>
  </si>
  <si>
    <t>34077</t>
  </si>
  <si>
    <t>087692007425</t>
  </si>
  <si>
    <t>28766</t>
  </si>
  <si>
    <t>TWISTED TEA PARTY PACK</t>
  </si>
  <si>
    <t>87692007234</t>
  </si>
  <si>
    <t>35735</t>
  </si>
  <si>
    <t>087692011248</t>
  </si>
  <si>
    <t>40809</t>
  </si>
  <si>
    <t>TWISTED TEA PEACH</t>
  </si>
  <si>
    <t>87692005094</t>
  </si>
  <si>
    <t>28711</t>
  </si>
  <si>
    <t>087692018551</t>
  </si>
  <si>
    <t>45339</t>
  </si>
  <si>
    <t>TWISTED TEA PINEAPPLE</t>
  </si>
  <si>
    <t>087692013488</t>
  </si>
  <si>
    <t>38371</t>
  </si>
  <si>
    <t>TWISTED TEA SLIGHTLY SWEET</t>
  </si>
  <si>
    <t>087692019596</t>
  </si>
  <si>
    <t>43173</t>
  </si>
  <si>
    <t>087692020943</t>
  </si>
  <si>
    <t>45180</t>
  </si>
  <si>
    <t>TWISTED TEA TROPICAL PARTY PACK</t>
  </si>
  <si>
    <t>9414453929695</t>
  </si>
  <si>
    <t>15475</t>
  </si>
  <si>
    <t>VODKA MUDSHAKE CHOCOLATE</t>
  </si>
  <si>
    <t>1080</t>
  </si>
  <si>
    <t>9414453929749</t>
  </si>
  <si>
    <t>15474</t>
  </si>
  <si>
    <t>VODKA MUDSHAKE CREAMY VANILLA</t>
  </si>
  <si>
    <t>9414453926601</t>
  </si>
  <si>
    <t>12208</t>
  </si>
  <si>
    <t>VODKA MUDSHAKE STRAWBERRY</t>
  </si>
  <si>
    <t>9414453929732</t>
  </si>
  <si>
    <t>6074</t>
  </si>
  <si>
    <t>VODKA MUDSHAKE TROPICAL BANANA</t>
  </si>
  <si>
    <t>20628678258314</t>
  </si>
  <si>
    <t>47038</t>
  </si>
  <si>
    <t>WHAT? NOOO WAAAY! HARD LEMON ICED TEA</t>
  </si>
  <si>
    <t>RIVAL TRADE BREWING COMPANY</t>
  </si>
  <si>
    <t>206280</t>
  </si>
  <si>
    <t>848819000831</t>
  </si>
  <si>
    <t>40803</t>
  </si>
  <si>
    <t>WHITE CLAW BIG SURF VARIETY PACK</t>
  </si>
  <si>
    <t>779469600006</t>
  </si>
  <si>
    <t>33137</t>
  </si>
  <si>
    <t>WHITE CLAW BLACK CHERRY</t>
  </si>
  <si>
    <t>779469600051</t>
  </si>
  <si>
    <t>33078</t>
  </si>
  <si>
    <t>848819000978</t>
  </si>
  <si>
    <t>40800</t>
  </si>
  <si>
    <t>WHITE CLAW BLACKBERRY</t>
  </si>
  <si>
    <t>848819002033</t>
  </si>
  <si>
    <t>48518</t>
  </si>
  <si>
    <t>WHITE CLAW CLAWTAILS VARIETY PACK</t>
  </si>
  <si>
    <t>848819001685</t>
  </si>
  <si>
    <t>45403</t>
  </si>
  <si>
    <t>WHITE CLAW GIN SMASH</t>
  </si>
  <si>
    <t>848819002101</t>
  </si>
  <si>
    <t>48519</t>
  </si>
  <si>
    <t>WHITE CLAW GRAPE</t>
  </si>
  <si>
    <t>779469600020</t>
  </si>
  <si>
    <t>34795</t>
  </si>
  <si>
    <t>WHITE CLAW LIME</t>
  </si>
  <si>
    <t>779469600013</t>
  </si>
  <si>
    <t>33136</t>
  </si>
  <si>
    <t>WHITE CLAW MANGO</t>
  </si>
  <si>
    <t>779469600068</t>
  </si>
  <si>
    <t>33081</t>
  </si>
  <si>
    <t>779469600075</t>
  </si>
  <si>
    <t>33080</t>
  </si>
  <si>
    <t>WHITE CLAW NATURAL LIME</t>
  </si>
  <si>
    <t>848819001647</t>
  </si>
  <si>
    <t>45404</t>
  </si>
  <si>
    <t>WHITE CLAW PEACH</t>
  </si>
  <si>
    <t>848819000190</t>
  </si>
  <si>
    <t>35702</t>
  </si>
  <si>
    <t>WHITE CLAW RASPBERRY</t>
  </si>
  <si>
    <t>848819000947</t>
  </si>
  <si>
    <t>40804</t>
  </si>
  <si>
    <t>WHITE CLAW SURGE BLOOD ORANGE</t>
  </si>
  <si>
    <t>848819000732</t>
  </si>
  <si>
    <t>39609</t>
  </si>
  <si>
    <t>WHITE CLAW SURGE VARIETY PACK</t>
  </si>
  <si>
    <t>848819001364</t>
  </si>
  <si>
    <t>43171</t>
  </si>
  <si>
    <t>WHITE CLAW TEQUILA SMASH</t>
  </si>
  <si>
    <t>779469600099</t>
  </si>
  <si>
    <t>33082</t>
  </si>
  <si>
    <t>WHITE CLAW VARIETY PACK</t>
  </si>
  <si>
    <t>848819000725</t>
  </si>
  <si>
    <t>39610</t>
  </si>
  <si>
    <t>848819000336</t>
  </si>
  <si>
    <t>36927</t>
  </si>
  <si>
    <t>WHITE CLAW VARIETY PACK #2</t>
  </si>
  <si>
    <t>848819001340</t>
  </si>
  <si>
    <t>43750</t>
  </si>
  <si>
    <t>WHITE CLAW VODKA SMASH</t>
  </si>
  <si>
    <t>626990448907</t>
  </si>
  <si>
    <t>37353</t>
  </si>
  <si>
    <t>WIZE NOSTALGIA MIXED PACK</t>
  </si>
  <si>
    <t>WIZE SPIRITS</t>
  </si>
  <si>
    <t>805763001031</t>
  </si>
  <si>
    <t>40805</t>
  </si>
  <si>
    <t>WYATT ROSE MEXICAN LIME TEQUILA</t>
  </si>
  <si>
    <t>805763001048</t>
  </si>
  <si>
    <t>40806</t>
  </si>
  <si>
    <t>WYATT ROSE PINEAPPLE COCONUT TEQUILA</t>
  </si>
  <si>
    <t>805763001741</t>
  </si>
  <si>
    <t>45405</t>
  </si>
  <si>
    <t>WYATT ROSE RANCH WATER JALAPENO LEMONADE</t>
  </si>
  <si>
    <t>805763001314</t>
  </si>
  <si>
    <t>43172</t>
  </si>
  <si>
    <t>WYATT ROSE RANCH WATER MIXED PACK</t>
  </si>
  <si>
    <t>084279004389</t>
  </si>
  <si>
    <t>43400</t>
  </si>
  <si>
    <t>X BY KINKY BLACK RASPBERRY</t>
  </si>
  <si>
    <t>CITY BREWING COMPANY, LLC</t>
  </si>
  <si>
    <t>SLGA Distributed Refreshment - Wine-Based - Coolers</t>
  </si>
  <si>
    <t>067932010071</t>
  </si>
  <si>
    <t>1696</t>
  </si>
  <si>
    <t>CANADA COOLER FROSTY PEACH</t>
  </si>
  <si>
    <t>067932010064</t>
  </si>
  <si>
    <t>1700</t>
  </si>
  <si>
    <t>CANADA COOLER ROCKABERRY</t>
  </si>
  <si>
    <t>067932010095</t>
  </si>
  <si>
    <t>1702</t>
  </si>
  <si>
    <t>CANADA COOLER TROPIKIWI</t>
  </si>
  <si>
    <t>048162019232</t>
  </si>
  <si>
    <t>43124</t>
  </si>
  <si>
    <t>LIVELY PEACH CHERRY ROSE</t>
  </si>
  <si>
    <t>341</t>
  </si>
  <si>
    <t>048162021631</t>
  </si>
  <si>
    <t>45359</t>
  </si>
  <si>
    <t>LIVELY PINEAPPLE MANGO</t>
  </si>
  <si>
    <t>SRP</t>
  </si>
  <si>
    <t>March Price</t>
  </si>
  <si>
    <t>Price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</si>
</sst>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,##0.##"/>
  </numFmts>
  <fonts count="3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164" fontId="0" fillId="0" borderId="0" xfId="0" applyNumberFormat="1"/>
    <xf numFmtId="44" fontId="0" fillId="0" borderId="0" xfId="1" applyFont="1"/>
    <xf numFmtId="0" fontId="2" fillId="2" borderId="0" xfId="0" applyFont="1" applyFill="1"/>
    <xf numFmtId="44" fontId="2" fillId="2" borderId="0" xfId="1" applyFont="1" applyFill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3%20-%20March%202026/FINAL/SLGA%20Official%20Price%20List%20effective%20March%201%202026%20with%20SRP%20EXCEL.xlsx" TargetMode="External"/><Relationship Id="rId2" Type="http://schemas.openxmlformats.org/officeDocument/2006/relationships/externalLinkPath" Target="https://slgaonline.sharepoint.com/sites/CRB-Files/Shared%20Documents/26250%20Liquor%20Distribution/Wholesale%20Price%20Lists%20and%20WPP/2026/3%20-%20March%202026/FINAL/SLGA%20Official%20Price%20List%20effective%20March%201%202026%20with%20SRP%20EXCEL.xlsx" TargetMode="External"/><Relationship Id="rId1" Type="http://schemas.openxmlformats.org/officeDocument/2006/relationships/externalLinkPath" Target="/sites/CRB-Files/Shared%20Documents/26250%20Liquor%20Distribution/Wholesale%20Price%20Lists%20and%20WPP/2026/3%20-%20March%202026/FINAL/SLGA%20Official%20Price%20List%20effective%20March%201%202026%20with%20SRP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e"/>
    </sheetNames>
    <sheetDataSet>
      <sheetData sheetId="0">
        <row r="2">
          <cell r="C2" t="str">
            <v>5076</v>
          </cell>
          <cell r="D2" t="str">
            <v>CROWN ROYAL RESERVE 12 YEAR OLD</v>
          </cell>
          <cell r="E2" t="str">
            <v>THE CROWN ROYAL DISTILLING COMPANY</v>
          </cell>
          <cell r="F2" t="str">
            <v>750</v>
          </cell>
          <cell r="G2">
            <v>40</v>
          </cell>
          <cell r="H2">
            <v>12</v>
          </cell>
          <cell r="I2" t="str">
            <v>3224</v>
          </cell>
          <cell r="L2">
            <v>1</v>
          </cell>
          <cell r="M2">
            <v>47</v>
          </cell>
        </row>
        <row r="3">
          <cell r="C3" t="str">
            <v>8520</v>
          </cell>
          <cell r="D3" t="str">
            <v>FORTY CREEK DOUBLE BARREL</v>
          </cell>
          <cell r="E3" t="str">
            <v>FORTY CREEK DISTILLERY</v>
          </cell>
          <cell r="F3" t="str">
            <v>750</v>
          </cell>
          <cell r="G3">
            <v>40</v>
          </cell>
          <cell r="H3">
            <v>12</v>
          </cell>
          <cell r="I3" t="str">
            <v>1041</v>
          </cell>
          <cell r="L3">
            <v>1</v>
          </cell>
          <cell r="M3">
            <v>34.5</v>
          </cell>
        </row>
        <row r="4">
          <cell r="C4" t="str">
            <v>2415</v>
          </cell>
          <cell r="D4" t="str">
            <v>GIBSON'S FINEST VENERABLE 18 YEAR OLD</v>
          </cell>
          <cell r="E4" t="str">
            <v>SCHENLEY DISTILLERS INC</v>
          </cell>
          <cell r="F4" t="str">
            <v>750</v>
          </cell>
          <cell r="G4">
            <v>40</v>
          </cell>
          <cell r="H4">
            <v>12</v>
          </cell>
          <cell r="I4" t="str">
            <v>3243</v>
          </cell>
          <cell r="L4">
            <v>1</v>
          </cell>
          <cell r="M4">
            <v>56</v>
          </cell>
        </row>
        <row r="5">
          <cell r="C5" t="str">
            <v>4612</v>
          </cell>
          <cell r="D5" t="str">
            <v>J.P. WISER'S 18 YEAR OLD</v>
          </cell>
          <cell r="E5" t="str">
            <v>CORBY SPIRIT AND WINE LIMITED</v>
          </cell>
          <cell r="F5" t="str">
            <v>750</v>
          </cell>
          <cell r="G5">
            <v>40</v>
          </cell>
          <cell r="H5">
            <v>6</v>
          </cell>
          <cell r="I5" t="str">
            <v>3237</v>
          </cell>
          <cell r="L5">
            <v>1</v>
          </cell>
          <cell r="M5">
            <v>75.010000000000005</v>
          </cell>
        </row>
        <row r="6">
          <cell r="C6" t="str">
            <v>28346</v>
          </cell>
          <cell r="D6" t="str">
            <v>J.P. WISERS 15 YEAR OLD</v>
          </cell>
          <cell r="E6" t="str">
            <v>HIRAM WALKER &amp; SONS LTD</v>
          </cell>
          <cell r="F6" t="str">
            <v>750</v>
          </cell>
          <cell r="G6">
            <v>40</v>
          </cell>
          <cell r="H6">
            <v>6</v>
          </cell>
          <cell r="I6" t="str">
            <v>3237</v>
          </cell>
          <cell r="L6">
            <v>1</v>
          </cell>
          <cell r="M6">
            <v>52.02</v>
          </cell>
        </row>
        <row r="7">
          <cell r="C7" t="str">
            <v>2987</v>
          </cell>
          <cell r="D7" t="str">
            <v>LOT 40 SINGLE COPPER POT STILL</v>
          </cell>
          <cell r="E7" t="str">
            <v>HIRAM WALKER &amp; SONS LTD</v>
          </cell>
          <cell r="F7" t="str">
            <v>750</v>
          </cell>
          <cell r="G7">
            <v>43</v>
          </cell>
          <cell r="H7">
            <v>6</v>
          </cell>
          <cell r="I7" t="str">
            <v>3237</v>
          </cell>
          <cell r="L7">
            <v>1</v>
          </cell>
          <cell r="M7">
            <v>36.5</v>
          </cell>
        </row>
        <row r="8">
          <cell r="C8" t="str">
            <v>11196</v>
          </cell>
          <cell r="D8" t="str">
            <v>WHITE OWL WHISKY</v>
          </cell>
          <cell r="E8" t="str">
            <v>CENTURY DISTILLERS</v>
          </cell>
          <cell r="F8" t="str">
            <v>750</v>
          </cell>
          <cell r="G8">
            <v>40</v>
          </cell>
          <cell r="H8">
            <v>6</v>
          </cell>
          <cell r="I8" t="str">
            <v>1021</v>
          </cell>
          <cell r="L8">
            <v>1</v>
          </cell>
          <cell r="M8">
            <v>28.66</v>
          </cell>
        </row>
        <row r="9">
          <cell r="C9" t="str">
            <v>29382</v>
          </cell>
          <cell r="D9" t="str">
            <v>BEARFACE TRIPLE CASK</v>
          </cell>
          <cell r="E9" t="str">
            <v>BEARFACE WHISKY</v>
          </cell>
          <cell r="F9" t="str">
            <v>750</v>
          </cell>
          <cell r="G9">
            <v>42.5</v>
          </cell>
          <cell r="H9">
            <v>12</v>
          </cell>
          <cell r="I9" t="str">
            <v>1009</v>
          </cell>
          <cell r="L9">
            <v>1</v>
          </cell>
          <cell r="M9">
            <v>32.49</v>
          </cell>
        </row>
        <row r="10">
          <cell r="C10" t="str">
            <v>16219</v>
          </cell>
          <cell r="D10" t="str">
            <v>CANADIAN CLUB SMALL BATCH CLASSIC 12</v>
          </cell>
          <cell r="E10" t="str">
            <v>CANADIAN CLUB WHISKY COMPANY</v>
          </cell>
          <cell r="F10" t="str">
            <v>750</v>
          </cell>
          <cell r="G10">
            <v>40</v>
          </cell>
          <cell r="H10">
            <v>12</v>
          </cell>
          <cell r="I10" t="str">
            <v>3242</v>
          </cell>
          <cell r="L10">
            <v>1</v>
          </cell>
          <cell r="M10">
            <v>25.7</v>
          </cell>
        </row>
        <row r="11">
          <cell r="C11" t="str">
            <v>16220</v>
          </cell>
          <cell r="D11" t="str">
            <v>CANADIAN CLUB SMALL BATCH CLASSIC 12</v>
          </cell>
          <cell r="E11" t="str">
            <v>CANADIAN CLUB WHISKY COMPANY</v>
          </cell>
          <cell r="F11" t="str">
            <v>1140</v>
          </cell>
          <cell r="G11">
            <v>40</v>
          </cell>
          <cell r="H11">
            <v>8</v>
          </cell>
          <cell r="I11" t="str">
            <v>3242</v>
          </cell>
          <cell r="L11">
            <v>1</v>
          </cell>
          <cell r="M11">
            <v>37.32</v>
          </cell>
        </row>
        <row r="12">
          <cell r="C12" t="str">
            <v>20065</v>
          </cell>
          <cell r="D12" t="str">
            <v>CARIBOU CROSSING</v>
          </cell>
          <cell r="E12" t="str">
            <v>SAZERAC COMPANY INC</v>
          </cell>
          <cell r="F12" t="str">
            <v>750</v>
          </cell>
          <cell r="G12">
            <v>40</v>
          </cell>
          <cell r="H12">
            <v>6</v>
          </cell>
          <cell r="I12" t="str">
            <v>1535</v>
          </cell>
          <cell r="L12">
            <v>1</v>
          </cell>
          <cell r="M12">
            <v>76.72</v>
          </cell>
        </row>
        <row r="13">
          <cell r="C13" t="str">
            <v>4032</v>
          </cell>
          <cell r="D13" t="str">
            <v>CROWN ROYAL</v>
          </cell>
          <cell r="E13" t="str">
            <v>THE CROWN ROYAL DISTILLING COMPANY</v>
          </cell>
          <cell r="F13" t="str">
            <v>50</v>
          </cell>
          <cell r="G13">
            <v>40</v>
          </cell>
          <cell r="H13">
            <v>120</v>
          </cell>
          <cell r="I13" t="str">
            <v>3224</v>
          </cell>
          <cell r="L13">
            <v>1</v>
          </cell>
          <cell r="M13">
            <v>2.99</v>
          </cell>
        </row>
        <row r="14">
          <cell r="C14" t="str">
            <v>4033</v>
          </cell>
          <cell r="D14" t="str">
            <v>CROWN ROYAL</v>
          </cell>
          <cell r="E14" t="str">
            <v>THE CROWN ROYAL DISTILLING COMPANY</v>
          </cell>
          <cell r="F14" t="str">
            <v>375</v>
          </cell>
          <cell r="G14">
            <v>40</v>
          </cell>
          <cell r="H14">
            <v>24</v>
          </cell>
          <cell r="I14" t="str">
            <v>3224</v>
          </cell>
          <cell r="L14">
            <v>1</v>
          </cell>
          <cell r="M14">
            <v>14.5</v>
          </cell>
        </row>
        <row r="15">
          <cell r="C15" t="str">
            <v>4028</v>
          </cell>
          <cell r="D15" t="str">
            <v>CROWN ROYAL</v>
          </cell>
          <cell r="E15" t="str">
            <v>THE CROWN ROYAL DISTILLING COMPANY</v>
          </cell>
          <cell r="F15" t="str">
            <v>750</v>
          </cell>
          <cell r="G15">
            <v>40</v>
          </cell>
          <cell r="H15">
            <v>12</v>
          </cell>
          <cell r="I15" t="str">
            <v>3224</v>
          </cell>
          <cell r="L15">
            <v>1</v>
          </cell>
          <cell r="M15">
            <v>25.01</v>
          </cell>
        </row>
        <row r="16">
          <cell r="C16" t="str">
            <v>4035</v>
          </cell>
          <cell r="D16" t="str">
            <v>CROWN ROYAL</v>
          </cell>
          <cell r="E16" t="str">
            <v>THE CROWN ROYAL DISTILLING COMPANY</v>
          </cell>
          <cell r="F16" t="str">
            <v>1140</v>
          </cell>
          <cell r="G16">
            <v>40</v>
          </cell>
          <cell r="H16">
            <v>9</v>
          </cell>
          <cell r="I16" t="str">
            <v>3224</v>
          </cell>
          <cell r="L16">
            <v>1</v>
          </cell>
          <cell r="M16">
            <v>35.020000000000003</v>
          </cell>
        </row>
        <row r="17">
          <cell r="C17" t="str">
            <v>4036</v>
          </cell>
          <cell r="D17" t="str">
            <v>CROWN ROYAL</v>
          </cell>
          <cell r="E17" t="str">
            <v>THE CROWN ROYAL DISTILLING COMPANY</v>
          </cell>
          <cell r="F17" t="str">
            <v>1750</v>
          </cell>
          <cell r="G17">
            <v>40</v>
          </cell>
          <cell r="H17">
            <v>6</v>
          </cell>
          <cell r="I17" t="str">
            <v>3224</v>
          </cell>
          <cell r="L17">
            <v>1</v>
          </cell>
          <cell r="M17">
            <v>50.01</v>
          </cell>
        </row>
        <row r="18">
          <cell r="C18" t="str">
            <v>4031</v>
          </cell>
          <cell r="D18" t="str">
            <v>CROWN ROYAL</v>
          </cell>
          <cell r="E18" t="str">
            <v>THE CROWN ROYAL DISTILLING COMPANY</v>
          </cell>
          <cell r="F18" t="str">
            <v>3000</v>
          </cell>
          <cell r="G18">
            <v>40</v>
          </cell>
          <cell r="H18">
            <v>3</v>
          </cell>
          <cell r="I18" t="str">
            <v>3224</v>
          </cell>
          <cell r="L18">
            <v>1</v>
          </cell>
          <cell r="M18">
            <v>104.32</v>
          </cell>
        </row>
        <row r="19">
          <cell r="C19" t="str">
            <v>12793</v>
          </cell>
          <cell r="D19" t="str">
            <v>CROWN ROYAL BLACK</v>
          </cell>
          <cell r="E19" t="str">
            <v>THE CROWN ROYAL DISTILLING COMPANY</v>
          </cell>
          <cell r="F19" t="str">
            <v>750</v>
          </cell>
          <cell r="G19">
            <v>45</v>
          </cell>
          <cell r="H19">
            <v>12</v>
          </cell>
          <cell r="I19" t="str">
            <v>3224</v>
          </cell>
          <cell r="L19">
            <v>1</v>
          </cell>
          <cell r="M19">
            <v>25.99</v>
          </cell>
        </row>
        <row r="20">
          <cell r="C20" t="str">
            <v>15666</v>
          </cell>
          <cell r="D20" t="str">
            <v>CROWN ROYAL BLACK</v>
          </cell>
          <cell r="E20" t="str">
            <v>THE CROWN ROYAL DISTILLING COMPANY</v>
          </cell>
          <cell r="F20" t="str">
            <v>1140</v>
          </cell>
          <cell r="G20">
            <v>45</v>
          </cell>
          <cell r="H20">
            <v>9</v>
          </cell>
          <cell r="I20" t="str">
            <v>3224</v>
          </cell>
          <cell r="L20">
            <v>1</v>
          </cell>
          <cell r="M20">
            <v>38.01</v>
          </cell>
        </row>
        <row r="21">
          <cell r="C21" t="str">
            <v>45909</v>
          </cell>
          <cell r="D21" t="str">
            <v>CROWN ROYAL CHOCOLATE</v>
          </cell>
          <cell r="E21" t="str">
            <v>DIAGEO CANADA INC.</v>
          </cell>
          <cell r="F21" t="str">
            <v>750</v>
          </cell>
          <cell r="G21">
            <v>35</v>
          </cell>
          <cell r="H21">
            <v>12</v>
          </cell>
          <cell r="I21" t="str">
            <v>3224</v>
          </cell>
          <cell r="L21">
            <v>1</v>
          </cell>
          <cell r="M21">
            <v>26.16</v>
          </cell>
        </row>
        <row r="22">
          <cell r="C22" t="str">
            <v>22969</v>
          </cell>
          <cell r="D22" t="str">
            <v>CROWN ROYAL NORTHERN HARVEST RYE</v>
          </cell>
          <cell r="E22" t="str">
            <v>THE CROWN ROYAL DISTILLING COMPANY</v>
          </cell>
          <cell r="F22" t="str">
            <v>750</v>
          </cell>
          <cell r="G22">
            <v>45</v>
          </cell>
          <cell r="H22">
            <v>12</v>
          </cell>
          <cell r="I22" t="str">
            <v>3224</v>
          </cell>
          <cell r="L22">
            <v>1</v>
          </cell>
          <cell r="M22">
            <v>27</v>
          </cell>
        </row>
        <row r="23">
          <cell r="C23" t="str">
            <v>43343</v>
          </cell>
          <cell r="D23" t="str">
            <v>CROWN ROYAL SINGLE MALT</v>
          </cell>
          <cell r="E23" t="str">
            <v>DIAGEO CANADA INC.</v>
          </cell>
          <cell r="F23" t="str">
            <v>750</v>
          </cell>
          <cell r="G23">
            <v>45</v>
          </cell>
          <cell r="H23">
            <v>12</v>
          </cell>
          <cell r="I23" t="str">
            <v>3224</v>
          </cell>
          <cell r="L23">
            <v>1</v>
          </cell>
          <cell r="M23">
            <v>66.989999999999995</v>
          </cell>
        </row>
        <row r="24">
          <cell r="C24" t="str">
            <v>46150</v>
          </cell>
          <cell r="D24" t="str">
            <v>FORTY CREEK CHRONOLOGY</v>
          </cell>
          <cell r="E24" t="str">
            <v>FORTY CREEK DISTILLERY</v>
          </cell>
          <cell r="F24" t="str">
            <v>750</v>
          </cell>
          <cell r="G24">
            <v>45</v>
          </cell>
          <cell r="H24">
            <v>6</v>
          </cell>
          <cell r="I24" t="str">
            <v>1041</v>
          </cell>
          <cell r="L24">
            <v>1</v>
          </cell>
          <cell r="M24">
            <v>230.02</v>
          </cell>
        </row>
        <row r="25">
          <cell r="C25" t="str">
            <v>16414</v>
          </cell>
          <cell r="D25" t="str">
            <v>FORTY CREEK COPPER BOLD WHISKY</v>
          </cell>
          <cell r="E25" t="str">
            <v>FORTY CREEK DISTILLERY</v>
          </cell>
          <cell r="F25" t="str">
            <v>750</v>
          </cell>
          <cell r="G25">
            <v>43</v>
          </cell>
          <cell r="H25">
            <v>12</v>
          </cell>
          <cell r="I25" t="str">
            <v>1041</v>
          </cell>
          <cell r="L25">
            <v>1</v>
          </cell>
          <cell r="M25">
            <v>28.01</v>
          </cell>
        </row>
        <row r="26">
          <cell r="C26" t="str">
            <v>46151</v>
          </cell>
          <cell r="D26" t="str">
            <v>FORTY CREEK NIAGARA TRIPLE RESERVE</v>
          </cell>
          <cell r="E26" t="str">
            <v>FORTY CREEK DISTILLERY</v>
          </cell>
          <cell r="F26" t="str">
            <v>750</v>
          </cell>
          <cell r="G26">
            <v>51</v>
          </cell>
          <cell r="H26">
            <v>6</v>
          </cell>
          <cell r="I26" t="str">
            <v>1041</v>
          </cell>
          <cell r="L26">
            <v>1</v>
          </cell>
          <cell r="M26">
            <v>73.78</v>
          </cell>
        </row>
        <row r="27">
          <cell r="C27" t="str">
            <v>24690</v>
          </cell>
          <cell r="D27" t="str">
            <v>GIBSON'S FINEST BOLD 8 YEAR OLD</v>
          </cell>
          <cell r="E27" t="str">
            <v>HIRAM WALKER &amp; SONS LTD</v>
          </cell>
          <cell r="F27" t="str">
            <v>750</v>
          </cell>
          <cell r="G27">
            <v>46</v>
          </cell>
          <cell r="H27">
            <v>12</v>
          </cell>
          <cell r="I27" t="str">
            <v>3243</v>
          </cell>
          <cell r="L27">
            <v>1</v>
          </cell>
          <cell r="M27">
            <v>24.5</v>
          </cell>
        </row>
        <row r="28">
          <cell r="C28" t="str">
            <v>2409</v>
          </cell>
          <cell r="D28" t="str">
            <v>GIBSON'S FINEST RARE 12 YEAR OLD</v>
          </cell>
          <cell r="E28" t="str">
            <v>SCHENLEY DISTILLERS INC</v>
          </cell>
          <cell r="F28" t="str">
            <v>375</v>
          </cell>
          <cell r="G28">
            <v>40</v>
          </cell>
          <cell r="H28">
            <v>12</v>
          </cell>
          <cell r="I28" t="str">
            <v>3243</v>
          </cell>
          <cell r="L28">
            <v>1</v>
          </cell>
          <cell r="M28">
            <v>14</v>
          </cell>
        </row>
        <row r="29">
          <cell r="C29" t="str">
            <v>2410</v>
          </cell>
          <cell r="D29" t="str">
            <v>GIBSON'S FINEST RARE 12 YEAR OLD</v>
          </cell>
          <cell r="E29" t="str">
            <v>SCHENLEY DISTILLERS INC</v>
          </cell>
          <cell r="F29" t="str">
            <v>750</v>
          </cell>
          <cell r="G29">
            <v>40</v>
          </cell>
          <cell r="H29">
            <v>12</v>
          </cell>
          <cell r="I29" t="str">
            <v>3243</v>
          </cell>
          <cell r="L29">
            <v>1</v>
          </cell>
          <cell r="M29">
            <v>25.01</v>
          </cell>
        </row>
        <row r="30">
          <cell r="C30" t="str">
            <v>2411</v>
          </cell>
          <cell r="D30" t="str">
            <v>GIBSON'S FINEST RARE 12 YEAR OLD</v>
          </cell>
          <cell r="E30" t="str">
            <v>SCHENLEY DISTILLERS INC</v>
          </cell>
          <cell r="F30" t="str">
            <v>1140</v>
          </cell>
          <cell r="G30">
            <v>40</v>
          </cell>
          <cell r="H30">
            <v>8</v>
          </cell>
          <cell r="I30" t="str">
            <v>3243</v>
          </cell>
          <cell r="L30">
            <v>1</v>
          </cell>
          <cell r="M30">
            <v>35.51</v>
          </cell>
        </row>
        <row r="31">
          <cell r="C31" t="str">
            <v>2412</v>
          </cell>
          <cell r="D31" t="str">
            <v>GIBSON'S FINEST RARE 12 YEAR OLD</v>
          </cell>
          <cell r="E31" t="str">
            <v>SCHENLEY DISTILLERS INC</v>
          </cell>
          <cell r="F31" t="str">
            <v>1750</v>
          </cell>
          <cell r="G31">
            <v>40</v>
          </cell>
          <cell r="H31">
            <v>6</v>
          </cell>
          <cell r="I31" t="str">
            <v>3243</v>
          </cell>
          <cell r="L31">
            <v>1</v>
          </cell>
          <cell r="M31">
            <v>52.02</v>
          </cell>
        </row>
        <row r="32">
          <cell r="C32" t="str">
            <v>2416</v>
          </cell>
          <cell r="D32" t="str">
            <v>GIBSON'S FINEST STERLING</v>
          </cell>
          <cell r="E32" t="str">
            <v>SCHENLEY DISTILLERS INC</v>
          </cell>
          <cell r="F32" t="str">
            <v>750</v>
          </cell>
          <cell r="G32">
            <v>40</v>
          </cell>
          <cell r="H32">
            <v>12</v>
          </cell>
          <cell r="I32" t="str">
            <v>3243</v>
          </cell>
          <cell r="L32">
            <v>1</v>
          </cell>
          <cell r="M32">
            <v>22</v>
          </cell>
        </row>
        <row r="33">
          <cell r="C33" t="str">
            <v>2417</v>
          </cell>
          <cell r="D33" t="str">
            <v>GIBSON'S FINEST STERLING</v>
          </cell>
          <cell r="E33" t="str">
            <v>SCHENLEY DISTILLERS INC</v>
          </cell>
          <cell r="F33" t="str">
            <v>1140</v>
          </cell>
          <cell r="G33">
            <v>40</v>
          </cell>
          <cell r="H33">
            <v>8</v>
          </cell>
          <cell r="I33" t="str">
            <v>3243</v>
          </cell>
          <cell r="L33">
            <v>1</v>
          </cell>
          <cell r="M33">
            <v>32.020000000000003</v>
          </cell>
        </row>
        <row r="34">
          <cell r="C34" t="str">
            <v>7004</v>
          </cell>
          <cell r="D34" t="str">
            <v>GIBSON'S FINEST STERLING</v>
          </cell>
          <cell r="E34" t="str">
            <v>SCHENLEY DISTILLERS INC</v>
          </cell>
          <cell r="F34" t="str">
            <v>1750</v>
          </cell>
          <cell r="G34">
            <v>40</v>
          </cell>
          <cell r="H34">
            <v>6</v>
          </cell>
          <cell r="I34" t="str">
            <v>3243</v>
          </cell>
          <cell r="L34">
            <v>1</v>
          </cell>
          <cell r="M34">
            <v>47.53</v>
          </cell>
        </row>
        <row r="35">
          <cell r="C35" t="str">
            <v>22276</v>
          </cell>
          <cell r="D35" t="str">
            <v>HIGHWOOD PURE CANADIAN RYE</v>
          </cell>
          <cell r="E35" t="str">
            <v>HIGHWOOD DISTILLERS</v>
          </cell>
          <cell r="F35" t="str">
            <v>1140</v>
          </cell>
          <cell r="G35">
            <v>40</v>
          </cell>
          <cell r="H35">
            <v>12</v>
          </cell>
          <cell r="I35" t="str">
            <v>1021</v>
          </cell>
          <cell r="L35">
            <v>1</v>
          </cell>
          <cell r="M35">
            <v>27.91</v>
          </cell>
        </row>
        <row r="36">
          <cell r="C36" t="str">
            <v>40066</v>
          </cell>
          <cell r="D36" t="str">
            <v>J.P. WISER'S 10YO CANADIAN WHISKY</v>
          </cell>
          <cell r="E36" t="str">
            <v>HIRAM WALKER &amp; SONS LTD</v>
          </cell>
          <cell r="F36" t="str">
            <v>750</v>
          </cell>
          <cell r="G36">
            <v>40</v>
          </cell>
          <cell r="H36">
            <v>12</v>
          </cell>
          <cell r="I36" t="str">
            <v>3237</v>
          </cell>
          <cell r="L36">
            <v>1</v>
          </cell>
          <cell r="M36">
            <v>26.12</v>
          </cell>
        </row>
        <row r="37">
          <cell r="C37" t="str">
            <v>4598</v>
          </cell>
          <cell r="D37" t="str">
            <v>J.P. WISER'S DELUXE</v>
          </cell>
          <cell r="E37" t="str">
            <v>CORBY SPIRIT AND WINE LIMITED</v>
          </cell>
          <cell r="F37" t="str">
            <v>375</v>
          </cell>
          <cell r="G37">
            <v>40</v>
          </cell>
          <cell r="H37">
            <v>24</v>
          </cell>
          <cell r="I37" t="str">
            <v>3237</v>
          </cell>
          <cell r="L37">
            <v>1</v>
          </cell>
          <cell r="M37">
            <v>13.81</v>
          </cell>
        </row>
        <row r="38">
          <cell r="C38" t="str">
            <v>4599</v>
          </cell>
          <cell r="D38" t="str">
            <v>J.P. WISER'S DELUXE</v>
          </cell>
          <cell r="E38" t="str">
            <v>CORBY SPIRIT AND WINE LIMITED</v>
          </cell>
          <cell r="F38" t="str">
            <v>750</v>
          </cell>
          <cell r="G38">
            <v>40</v>
          </cell>
          <cell r="H38">
            <v>12</v>
          </cell>
          <cell r="I38" t="str">
            <v>3237</v>
          </cell>
          <cell r="L38">
            <v>1</v>
          </cell>
          <cell r="M38">
            <v>23.82</v>
          </cell>
        </row>
        <row r="39">
          <cell r="C39" t="str">
            <v>4600</v>
          </cell>
          <cell r="D39" t="str">
            <v>J.P. WISER'S DELUXE</v>
          </cell>
          <cell r="E39" t="str">
            <v>CORBY SPIRIT AND WINE LIMITED</v>
          </cell>
          <cell r="F39" t="str">
            <v>1140</v>
          </cell>
          <cell r="G39">
            <v>40</v>
          </cell>
          <cell r="H39">
            <v>8</v>
          </cell>
          <cell r="I39" t="str">
            <v>3237</v>
          </cell>
          <cell r="L39">
            <v>1</v>
          </cell>
          <cell r="M39">
            <v>33.840000000000003</v>
          </cell>
        </row>
        <row r="40">
          <cell r="C40" t="str">
            <v>4601</v>
          </cell>
          <cell r="D40" t="str">
            <v>J.P. WISER'S DELUXE</v>
          </cell>
          <cell r="E40" t="str">
            <v>CORBY SPIRIT AND WINE LIMITED</v>
          </cell>
          <cell r="F40" t="str">
            <v>1750</v>
          </cell>
          <cell r="G40">
            <v>40</v>
          </cell>
          <cell r="H40">
            <v>6</v>
          </cell>
          <cell r="I40" t="str">
            <v>3237</v>
          </cell>
          <cell r="L40">
            <v>1</v>
          </cell>
          <cell r="M40">
            <v>50.46</v>
          </cell>
        </row>
        <row r="41">
          <cell r="C41" t="str">
            <v>5213</v>
          </cell>
          <cell r="D41" t="str">
            <v>J.P. WISER'S DELUXE</v>
          </cell>
          <cell r="E41" t="str">
            <v>CORBY SPIRIT AND WINE LIMITED</v>
          </cell>
          <cell r="F41" t="str">
            <v>3000</v>
          </cell>
          <cell r="G41">
            <v>40</v>
          </cell>
          <cell r="H41">
            <v>1</v>
          </cell>
          <cell r="I41" t="str">
            <v>3237</v>
          </cell>
          <cell r="L41">
            <v>1</v>
          </cell>
          <cell r="M41">
            <v>105.09</v>
          </cell>
        </row>
        <row r="42">
          <cell r="C42" t="str">
            <v>29693</v>
          </cell>
          <cell r="D42" t="str">
            <v>J.P. WISER'S OLD FASHIONED</v>
          </cell>
          <cell r="E42" t="str">
            <v>HIRAM WALKER &amp; SONS LTD</v>
          </cell>
          <cell r="F42" t="str">
            <v>750</v>
          </cell>
          <cell r="G42">
            <v>35</v>
          </cell>
          <cell r="H42">
            <v>12</v>
          </cell>
          <cell r="I42" t="str">
            <v>3237</v>
          </cell>
          <cell r="L42">
            <v>1</v>
          </cell>
          <cell r="M42">
            <v>24.6</v>
          </cell>
        </row>
        <row r="43">
          <cell r="C43" t="str">
            <v>21657</v>
          </cell>
          <cell r="D43" t="str">
            <v>PENDLETON 1910 WHISKY - 12 YEAR OLD</v>
          </cell>
          <cell r="E43" t="str">
            <v>HOOD RIVER DISTILLERS INC</v>
          </cell>
          <cell r="F43" t="str">
            <v>750</v>
          </cell>
          <cell r="G43">
            <v>40</v>
          </cell>
          <cell r="H43">
            <v>6</v>
          </cell>
          <cell r="I43" t="str">
            <v>128699</v>
          </cell>
          <cell r="L43">
            <v>1</v>
          </cell>
          <cell r="M43">
            <v>43.01</v>
          </cell>
        </row>
        <row r="44">
          <cell r="C44" t="str">
            <v>17404</v>
          </cell>
          <cell r="D44" t="str">
            <v>PENDLETON ORIGINAL WHISKY</v>
          </cell>
          <cell r="E44" t="str">
            <v>HOOD RIVER DISTILLERS INC</v>
          </cell>
          <cell r="F44" t="str">
            <v>750</v>
          </cell>
          <cell r="G44">
            <v>40</v>
          </cell>
          <cell r="H44">
            <v>6</v>
          </cell>
          <cell r="I44" t="str">
            <v>128699</v>
          </cell>
          <cell r="L44">
            <v>1</v>
          </cell>
          <cell r="M44">
            <v>27.3</v>
          </cell>
        </row>
        <row r="45">
          <cell r="C45" t="str">
            <v>41112</v>
          </cell>
          <cell r="D45" t="str">
            <v>PENDLETON ORIGINAL WHISKY</v>
          </cell>
          <cell r="E45" t="str">
            <v>HOOD RIVER DISTILLERS INC</v>
          </cell>
          <cell r="F45" t="str">
            <v>1750</v>
          </cell>
          <cell r="G45">
            <v>40</v>
          </cell>
          <cell r="H45">
            <v>6</v>
          </cell>
          <cell r="I45" t="str">
            <v>128699</v>
          </cell>
          <cell r="L45">
            <v>1</v>
          </cell>
          <cell r="M45">
            <v>56.33</v>
          </cell>
        </row>
        <row r="46">
          <cell r="C46" t="str">
            <v>25390</v>
          </cell>
          <cell r="D46" t="str">
            <v>PIKE CREEK DOUBLE BARRELED CDN WHISKY</v>
          </cell>
          <cell r="E46" t="str">
            <v>HIRAM WALKER &amp; SONS LTD</v>
          </cell>
          <cell r="F46" t="str">
            <v>750</v>
          </cell>
          <cell r="G46">
            <v>42</v>
          </cell>
          <cell r="H46">
            <v>6</v>
          </cell>
          <cell r="I46" t="str">
            <v>3237</v>
          </cell>
          <cell r="L46">
            <v>1</v>
          </cell>
          <cell r="M46">
            <v>30.71</v>
          </cell>
        </row>
        <row r="47">
          <cell r="C47" t="str">
            <v>42114</v>
          </cell>
          <cell r="D47" t="str">
            <v>RED BANK PREMIUM BLENDED CDN WHI</v>
          </cell>
          <cell r="E47" t="str">
            <v>RED BANK WHISKY CO.</v>
          </cell>
          <cell r="F47" t="str">
            <v>750</v>
          </cell>
          <cell r="G47">
            <v>40</v>
          </cell>
          <cell r="H47">
            <v>6</v>
          </cell>
          <cell r="I47" t="str">
            <v>3278</v>
          </cell>
          <cell r="L47">
            <v>1</v>
          </cell>
          <cell r="M47">
            <v>38.5</v>
          </cell>
        </row>
        <row r="48">
          <cell r="C48" t="str">
            <v>39821</v>
          </cell>
          <cell r="D48" t="str">
            <v>REIFEL RYE</v>
          </cell>
          <cell r="E48" t="str">
            <v>ALBERTA DISTILLERS LTD</v>
          </cell>
          <cell r="F48" t="str">
            <v>750</v>
          </cell>
          <cell r="G48">
            <v>42</v>
          </cell>
          <cell r="H48">
            <v>6</v>
          </cell>
          <cell r="I48" t="str">
            <v>3242</v>
          </cell>
          <cell r="L48">
            <v>1</v>
          </cell>
          <cell r="M48">
            <v>33.22</v>
          </cell>
        </row>
        <row r="49">
          <cell r="C49" t="str">
            <v>37217</v>
          </cell>
          <cell r="D49" t="str">
            <v>RUPERTS EXCEPTIONAL CANADIAN WHISKY</v>
          </cell>
          <cell r="E49" t="str">
            <v>EAU CLAIRE DISTILLERY</v>
          </cell>
          <cell r="F49" t="str">
            <v>750</v>
          </cell>
          <cell r="G49">
            <v>40</v>
          </cell>
          <cell r="H49">
            <v>6</v>
          </cell>
          <cell r="I49" t="str">
            <v>194112</v>
          </cell>
          <cell r="L49">
            <v>1</v>
          </cell>
          <cell r="M49">
            <v>32.450000000000003</v>
          </cell>
        </row>
        <row r="50">
          <cell r="C50" t="str">
            <v>43353</v>
          </cell>
          <cell r="D50" t="str">
            <v>SEAGRAM'S VO SELECT</v>
          </cell>
          <cell r="E50" t="str">
            <v>SAZERAC OF CANADA INC.</v>
          </cell>
          <cell r="F50" t="str">
            <v>750</v>
          </cell>
          <cell r="G50">
            <v>40</v>
          </cell>
          <cell r="H50">
            <v>6</v>
          </cell>
          <cell r="I50" t="str">
            <v>1537</v>
          </cell>
          <cell r="L50">
            <v>1</v>
          </cell>
          <cell r="M50">
            <v>24.99</v>
          </cell>
        </row>
        <row r="51">
          <cell r="C51" t="str">
            <v>37108</v>
          </cell>
          <cell r="D51" t="str">
            <v>SIGNAL HILL CANADIAN WHISKY</v>
          </cell>
          <cell r="E51" t="str">
            <v>SIGNAL HILL SPIRITS INC</v>
          </cell>
          <cell r="F51" t="str">
            <v>750</v>
          </cell>
          <cell r="G51">
            <v>40</v>
          </cell>
          <cell r="H51">
            <v>6</v>
          </cell>
          <cell r="I51" t="str">
            <v>1382</v>
          </cell>
          <cell r="L51">
            <v>1</v>
          </cell>
          <cell r="M51">
            <v>33</v>
          </cell>
        </row>
        <row r="52">
          <cell r="C52" t="str">
            <v>34762</v>
          </cell>
          <cell r="D52" t="str">
            <v>SWEAR JAR 6 YEAR OLD CANADIAN WHISKY</v>
          </cell>
          <cell r="E52" t="str">
            <v>NIAGARA FALLS CRAFT DISTILLERS</v>
          </cell>
          <cell r="F52" t="str">
            <v>750</v>
          </cell>
          <cell r="G52">
            <v>40</v>
          </cell>
          <cell r="H52">
            <v>12</v>
          </cell>
          <cell r="I52" t="str">
            <v>147521</v>
          </cell>
          <cell r="L52">
            <v>1</v>
          </cell>
          <cell r="M52">
            <v>31.82</v>
          </cell>
        </row>
        <row r="53">
          <cell r="C53" t="str">
            <v>25587</v>
          </cell>
          <cell r="D53" t="str">
            <v>TRUE NORTH RYE WHISKY</v>
          </cell>
          <cell r="E53" t="str">
            <v>HIGHWOOD DISTILLERS</v>
          </cell>
          <cell r="F53" t="str">
            <v>1750</v>
          </cell>
          <cell r="G53">
            <v>40</v>
          </cell>
          <cell r="H53">
            <v>6</v>
          </cell>
          <cell r="I53" t="str">
            <v>1021</v>
          </cell>
          <cell r="L53">
            <v>1</v>
          </cell>
          <cell r="M53">
            <v>40.770000000000003</v>
          </cell>
        </row>
        <row r="54">
          <cell r="C54" t="str">
            <v>39733</v>
          </cell>
          <cell r="D54" t="str">
            <v>WAYNE GRETZKY DOUBLE OAKED WHISKY</v>
          </cell>
          <cell r="E54" t="str">
            <v>ANDREW PELLER LIMITED</v>
          </cell>
          <cell r="F54" t="str">
            <v>750</v>
          </cell>
          <cell r="G54">
            <v>40</v>
          </cell>
          <cell r="H54">
            <v>6</v>
          </cell>
          <cell r="I54" t="str">
            <v>4095</v>
          </cell>
          <cell r="L54">
            <v>1</v>
          </cell>
          <cell r="M54">
            <v>34.01</v>
          </cell>
        </row>
        <row r="55">
          <cell r="C55" t="str">
            <v>27356</v>
          </cell>
          <cell r="D55" t="str">
            <v>WAYNE GRETZKY RED CASK WHISKY</v>
          </cell>
          <cell r="E55" t="str">
            <v>ANDREW PELLER LIMITED</v>
          </cell>
          <cell r="F55" t="str">
            <v>750</v>
          </cell>
          <cell r="G55">
            <v>40</v>
          </cell>
          <cell r="H55">
            <v>6</v>
          </cell>
          <cell r="I55" t="str">
            <v>4095</v>
          </cell>
          <cell r="L55">
            <v>1</v>
          </cell>
          <cell r="M55">
            <v>32.01</v>
          </cell>
        </row>
        <row r="56">
          <cell r="C56" t="str">
            <v>30361</v>
          </cell>
          <cell r="D56" t="str">
            <v>ALBERTA PREMIUM</v>
          </cell>
          <cell r="E56" t="str">
            <v>ALBERTA DISTILLERS LTD</v>
          </cell>
          <cell r="F56" t="str">
            <v>200</v>
          </cell>
          <cell r="G56">
            <v>40</v>
          </cell>
          <cell r="H56">
            <v>48</v>
          </cell>
          <cell r="I56" t="str">
            <v>3242</v>
          </cell>
          <cell r="L56">
            <v>1</v>
          </cell>
          <cell r="M56">
            <v>7.39</v>
          </cell>
        </row>
        <row r="57">
          <cell r="C57" t="str">
            <v>28153</v>
          </cell>
          <cell r="D57" t="str">
            <v>ALBERTA PREMIUM</v>
          </cell>
          <cell r="E57" t="str">
            <v>ALBERTA DISTILLERS LTD</v>
          </cell>
          <cell r="F57" t="str">
            <v>375</v>
          </cell>
          <cell r="G57">
            <v>40</v>
          </cell>
          <cell r="H57">
            <v>24</v>
          </cell>
          <cell r="I57" t="str">
            <v>3242</v>
          </cell>
          <cell r="L57">
            <v>1</v>
          </cell>
          <cell r="M57">
            <v>11.08</v>
          </cell>
        </row>
        <row r="58">
          <cell r="C58" t="str">
            <v>1054</v>
          </cell>
          <cell r="D58" t="str">
            <v>ALBERTA PREMIUM</v>
          </cell>
          <cell r="E58" t="str">
            <v>ALBERTA DISTILLERS LTD</v>
          </cell>
          <cell r="F58" t="str">
            <v>750</v>
          </cell>
          <cell r="G58">
            <v>40</v>
          </cell>
          <cell r="H58">
            <v>12</v>
          </cell>
          <cell r="I58" t="str">
            <v>3242</v>
          </cell>
          <cell r="L58">
            <v>1</v>
          </cell>
          <cell r="M58">
            <v>20.309999999999999</v>
          </cell>
        </row>
        <row r="59">
          <cell r="C59" t="str">
            <v>1055</v>
          </cell>
          <cell r="D59" t="str">
            <v>ALBERTA PREMIUM</v>
          </cell>
          <cell r="E59" t="str">
            <v>ALBERTA DISTILLERS LTD</v>
          </cell>
          <cell r="F59" t="str">
            <v>1140</v>
          </cell>
          <cell r="G59">
            <v>40</v>
          </cell>
          <cell r="H59">
            <v>8</v>
          </cell>
          <cell r="I59" t="str">
            <v>3242</v>
          </cell>
          <cell r="L59">
            <v>1</v>
          </cell>
          <cell r="M59">
            <v>29.01</v>
          </cell>
        </row>
        <row r="60">
          <cell r="C60" t="str">
            <v>1056</v>
          </cell>
          <cell r="D60" t="str">
            <v>ALBERTA PREMIUM</v>
          </cell>
          <cell r="E60" t="str">
            <v>ALBERTA DISTILLERS LTD</v>
          </cell>
          <cell r="F60" t="str">
            <v>1750</v>
          </cell>
          <cell r="G60">
            <v>40</v>
          </cell>
          <cell r="H60">
            <v>6</v>
          </cell>
          <cell r="I60" t="str">
            <v>3242</v>
          </cell>
          <cell r="L60">
            <v>1</v>
          </cell>
          <cell r="M60">
            <v>42.52</v>
          </cell>
        </row>
        <row r="61">
          <cell r="C61" t="str">
            <v>29291</v>
          </cell>
          <cell r="D61" t="str">
            <v>ALBERTA PREMIUM PET</v>
          </cell>
          <cell r="E61" t="str">
            <v>ALBERTA DISTILLERS LTD</v>
          </cell>
          <cell r="F61" t="str">
            <v>750</v>
          </cell>
          <cell r="G61">
            <v>40</v>
          </cell>
          <cell r="H61">
            <v>12</v>
          </cell>
          <cell r="I61" t="str">
            <v>3242</v>
          </cell>
          <cell r="L61">
            <v>1</v>
          </cell>
          <cell r="M61">
            <v>20.309999999999999</v>
          </cell>
        </row>
        <row r="62">
          <cell r="C62" t="str">
            <v>1060</v>
          </cell>
          <cell r="D62" t="str">
            <v>ALBERTA SPRINGS 10 YEAR OLD RYE WHISKY</v>
          </cell>
          <cell r="E62" t="str">
            <v>ALBERTA DISTILLERS LTD</v>
          </cell>
          <cell r="F62" t="str">
            <v>1140</v>
          </cell>
          <cell r="G62">
            <v>40</v>
          </cell>
          <cell r="H62">
            <v>8</v>
          </cell>
          <cell r="I62" t="str">
            <v>3242</v>
          </cell>
          <cell r="L62">
            <v>1</v>
          </cell>
          <cell r="M62">
            <v>30.19</v>
          </cell>
        </row>
        <row r="63">
          <cell r="C63" t="str">
            <v>4024</v>
          </cell>
          <cell r="D63" t="str">
            <v>CANADIAN  FIVE STAR</v>
          </cell>
          <cell r="E63" t="str">
            <v>CANADIAN FIVE STAR DISTILLING COMPANY</v>
          </cell>
          <cell r="F63" t="str">
            <v>750</v>
          </cell>
          <cell r="G63">
            <v>40</v>
          </cell>
          <cell r="H63">
            <v>12</v>
          </cell>
          <cell r="I63" t="str">
            <v>1537</v>
          </cell>
          <cell r="L63">
            <v>1</v>
          </cell>
          <cell r="M63">
            <v>19.03</v>
          </cell>
        </row>
        <row r="64">
          <cell r="C64" t="str">
            <v>4026</v>
          </cell>
          <cell r="D64" t="str">
            <v>CANADIAN  FIVE STAR</v>
          </cell>
          <cell r="E64" t="str">
            <v>CANADIAN FIVE STAR DISTILLING COMPANY</v>
          </cell>
          <cell r="F64" t="str">
            <v>1750</v>
          </cell>
          <cell r="G64">
            <v>40</v>
          </cell>
          <cell r="H64">
            <v>6</v>
          </cell>
          <cell r="I64" t="str">
            <v>1537</v>
          </cell>
          <cell r="L64">
            <v>1</v>
          </cell>
          <cell r="M64">
            <v>42.19</v>
          </cell>
        </row>
        <row r="65">
          <cell r="C65" t="str">
            <v>4485</v>
          </cell>
          <cell r="D65" t="str">
            <v>CANADIAN CLUB</v>
          </cell>
          <cell r="E65" t="str">
            <v>CANADIAN CLUB WHISKY COMPANY</v>
          </cell>
          <cell r="F65" t="str">
            <v>750</v>
          </cell>
          <cell r="G65">
            <v>40</v>
          </cell>
          <cell r="H65">
            <v>12</v>
          </cell>
          <cell r="I65" t="str">
            <v>3242</v>
          </cell>
          <cell r="L65">
            <v>1</v>
          </cell>
          <cell r="M65">
            <v>21.21</v>
          </cell>
        </row>
        <row r="66">
          <cell r="C66" t="str">
            <v>4487</v>
          </cell>
          <cell r="D66" t="str">
            <v>CANADIAN CLUB</v>
          </cell>
          <cell r="E66" t="str">
            <v>CANADIAN CLUB WHISKY COMPANY</v>
          </cell>
          <cell r="F66" t="str">
            <v>1140</v>
          </cell>
          <cell r="G66">
            <v>40</v>
          </cell>
          <cell r="H66">
            <v>8</v>
          </cell>
          <cell r="I66" t="str">
            <v>3242</v>
          </cell>
          <cell r="L66">
            <v>1</v>
          </cell>
          <cell r="M66">
            <v>30.82</v>
          </cell>
        </row>
        <row r="67">
          <cell r="C67" t="str">
            <v>4488</v>
          </cell>
          <cell r="D67" t="str">
            <v>CANADIAN CLUB</v>
          </cell>
          <cell r="E67" t="str">
            <v>CANADIAN CLUB WHISKY COMPANY</v>
          </cell>
          <cell r="F67" t="str">
            <v>1750</v>
          </cell>
          <cell r="G67">
            <v>40</v>
          </cell>
          <cell r="H67">
            <v>6</v>
          </cell>
          <cell r="I67" t="str">
            <v>3242</v>
          </cell>
          <cell r="L67">
            <v>1</v>
          </cell>
          <cell r="M67">
            <v>44.98</v>
          </cell>
        </row>
        <row r="68">
          <cell r="C68" t="str">
            <v>21071</v>
          </cell>
          <cell r="D68" t="str">
            <v>CANADIAN CLUB CHAIRMAN'S SELECT 100% RYE</v>
          </cell>
          <cell r="E68" t="str">
            <v>CANADIAN CLUB WHISKY COMPANY</v>
          </cell>
          <cell r="F68" t="str">
            <v>750</v>
          </cell>
          <cell r="G68">
            <v>40</v>
          </cell>
          <cell r="H68">
            <v>12</v>
          </cell>
          <cell r="I68" t="str">
            <v>3242</v>
          </cell>
          <cell r="L68">
            <v>1</v>
          </cell>
          <cell r="M68">
            <v>24.02</v>
          </cell>
        </row>
        <row r="69">
          <cell r="C69" t="str">
            <v>4023</v>
          </cell>
          <cell r="D69" t="str">
            <v>CANADIAN FIVE STAR</v>
          </cell>
          <cell r="E69" t="str">
            <v>CANADIAN FIVE STAR DISTILLING COMPANY</v>
          </cell>
          <cell r="F69" t="str">
            <v>375</v>
          </cell>
          <cell r="G69">
            <v>40</v>
          </cell>
          <cell r="H69">
            <v>24</v>
          </cell>
          <cell r="I69" t="str">
            <v>1537</v>
          </cell>
          <cell r="L69">
            <v>1</v>
          </cell>
          <cell r="M69">
            <v>11.38</v>
          </cell>
        </row>
        <row r="70">
          <cell r="C70" t="str">
            <v>38064</v>
          </cell>
          <cell r="D70" t="str">
            <v>CANADIAN FIVE STAR</v>
          </cell>
          <cell r="E70" t="str">
            <v>CANADIAN FIVE STAR DISTILLING COMPANY</v>
          </cell>
          <cell r="F70" t="str">
            <v>1140</v>
          </cell>
          <cell r="G70">
            <v>40</v>
          </cell>
          <cell r="H70">
            <v>12</v>
          </cell>
          <cell r="I70" t="str">
            <v>1537</v>
          </cell>
          <cell r="L70">
            <v>1</v>
          </cell>
          <cell r="M70">
            <v>28.28</v>
          </cell>
        </row>
        <row r="71">
          <cell r="C71" t="str">
            <v>5319</v>
          </cell>
          <cell r="D71" t="str">
            <v>CENTENNIAL 10 YEAR OLD</v>
          </cell>
          <cell r="E71" t="str">
            <v>HIGHWOOD DISTILLERS</v>
          </cell>
          <cell r="F71" t="str">
            <v>750</v>
          </cell>
          <cell r="G71">
            <v>40</v>
          </cell>
          <cell r="H71">
            <v>12</v>
          </cell>
          <cell r="I71" t="str">
            <v>1021</v>
          </cell>
          <cell r="L71">
            <v>1</v>
          </cell>
          <cell r="M71">
            <v>20.96</v>
          </cell>
        </row>
        <row r="72">
          <cell r="C72" t="str">
            <v>2110</v>
          </cell>
          <cell r="D72" t="str">
            <v>CORBY ROYAL RESERVE</v>
          </cell>
          <cell r="E72" t="str">
            <v>CORBY SPIRIT AND WINE LIMITED</v>
          </cell>
          <cell r="F72" t="str">
            <v>375</v>
          </cell>
          <cell r="G72">
            <v>40</v>
          </cell>
          <cell r="H72">
            <v>24</v>
          </cell>
          <cell r="I72" t="str">
            <v>3237</v>
          </cell>
          <cell r="L72">
            <v>1</v>
          </cell>
          <cell r="M72">
            <v>13.4</v>
          </cell>
        </row>
        <row r="73">
          <cell r="C73" t="str">
            <v>2111</v>
          </cell>
          <cell r="D73" t="str">
            <v>CORBY ROYAL RESERVE</v>
          </cell>
          <cell r="E73" t="str">
            <v>CORBY SPIRIT AND WINE LIMITED</v>
          </cell>
          <cell r="F73" t="str">
            <v>750</v>
          </cell>
          <cell r="G73">
            <v>40</v>
          </cell>
          <cell r="H73">
            <v>12</v>
          </cell>
          <cell r="I73" t="str">
            <v>3237</v>
          </cell>
          <cell r="L73">
            <v>1</v>
          </cell>
          <cell r="M73">
            <v>23</v>
          </cell>
        </row>
        <row r="74">
          <cell r="C74" t="str">
            <v>2112</v>
          </cell>
          <cell r="D74" t="str">
            <v>CORBY ROYAL RESERVE</v>
          </cell>
          <cell r="E74" t="str">
            <v>CORBY SPIRIT AND WINE LIMITED</v>
          </cell>
          <cell r="F74" t="str">
            <v>1140</v>
          </cell>
          <cell r="G74">
            <v>40</v>
          </cell>
          <cell r="H74">
            <v>12</v>
          </cell>
          <cell r="I74" t="str">
            <v>3237</v>
          </cell>
          <cell r="L74">
            <v>1</v>
          </cell>
          <cell r="M74">
            <v>32.82</v>
          </cell>
        </row>
        <row r="75">
          <cell r="C75" t="str">
            <v>2113</v>
          </cell>
          <cell r="D75" t="str">
            <v>CORBY ROYAL RESERVE</v>
          </cell>
          <cell r="E75" t="str">
            <v>CORBY SPIRIT AND WINE LIMITED</v>
          </cell>
          <cell r="F75" t="str">
            <v>1750</v>
          </cell>
          <cell r="G75">
            <v>40</v>
          </cell>
          <cell r="H75">
            <v>6</v>
          </cell>
          <cell r="I75" t="str">
            <v>3237</v>
          </cell>
          <cell r="L75">
            <v>1</v>
          </cell>
          <cell r="M75">
            <v>49.29</v>
          </cell>
        </row>
        <row r="76">
          <cell r="C76" t="str">
            <v>9114</v>
          </cell>
          <cell r="D76" t="str">
            <v>FORTY CREEK PREMIUM BARREL SELECT</v>
          </cell>
          <cell r="E76" t="str">
            <v>FORTY CREEK DISTILLERY</v>
          </cell>
          <cell r="F76" t="str">
            <v>375</v>
          </cell>
          <cell r="G76">
            <v>40</v>
          </cell>
          <cell r="H76">
            <v>24</v>
          </cell>
          <cell r="I76" t="str">
            <v>1041</v>
          </cell>
          <cell r="L76">
            <v>1</v>
          </cell>
          <cell r="M76">
            <v>13.98</v>
          </cell>
        </row>
        <row r="77">
          <cell r="C77" t="str">
            <v>5475</v>
          </cell>
          <cell r="D77" t="str">
            <v>FORTY CREEK PREMIUM BARREL SELECT</v>
          </cell>
          <cell r="E77" t="str">
            <v>FORTY CREEK DISTILLERY</v>
          </cell>
          <cell r="F77" t="str">
            <v>750</v>
          </cell>
          <cell r="G77">
            <v>40</v>
          </cell>
          <cell r="H77">
            <v>12</v>
          </cell>
          <cell r="I77" t="str">
            <v>1041</v>
          </cell>
          <cell r="L77">
            <v>1</v>
          </cell>
          <cell r="M77">
            <v>24</v>
          </cell>
        </row>
        <row r="78">
          <cell r="C78" t="str">
            <v>7117</v>
          </cell>
          <cell r="D78" t="str">
            <v>FORTY CREEK PREMIUM BARREL SELECT</v>
          </cell>
          <cell r="E78" t="str">
            <v>FORTY CREEK DISTILLERY</v>
          </cell>
          <cell r="F78" t="str">
            <v>1140</v>
          </cell>
          <cell r="G78">
            <v>40</v>
          </cell>
          <cell r="H78">
            <v>8</v>
          </cell>
          <cell r="I78" t="str">
            <v>1041</v>
          </cell>
          <cell r="L78">
            <v>1</v>
          </cell>
          <cell r="M78">
            <v>34.32</v>
          </cell>
        </row>
        <row r="79">
          <cell r="C79" t="str">
            <v>8526</v>
          </cell>
          <cell r="D79" t="str">
            <v>FORTY CREEK PREMIUM BARREL SELECT</v>
          </cell>
          <cell r="E79" t="str">
            <v>FORTY CREEK DISTILLERY</v>
          </cell>
          <cell r="F79" t="str">
            <v>1750</v>
          </cell>
          <cell r="G79">
            <v>40</v>
          </cell>
          <cell r="H79">
            <v>6</v>
          </cell>
          <cell r="I79" t="str">
            <v>1041</v>
          </cell>
          <cell r="L79">
            <v>1</v>
          </cell>
          <cell r="M79">
            <v>48.51</v>
          </cell>
        </row>
        <row r="80">
          <cell r="C80" t="str">
            <v>4677</v>
          </cell>
          <cell r="D80" t="str">
            <v>GOLDEN WEDDING</v>
          </cell>
          <cell r="E80" t="str">
            <v>SCHENLEY DISTILLERS  INC</v>
          </cell>
          <cell r="F80" t="str">
            <v>375</v>
          </cell>
          <cell r="G80">
            <v>40</v>
          </cell>
          <cell r="H80">
            <v>24</v>
          </cell>
          <cell r="I80" t="str">
            <v>194112</v>
          </cell>
          <cell r="L80">
            <v>1</v>
          </cell>
          <cell r="M80">
            <v>11.6</v>
          </cell>
        </row>
        <row r="81">
          <cell r="C81" t="str">
            <v>4678</v>
          </cell>
          <cell r="D81" t="str">
            <v>GOLDEN WEDDING</v>
          </cell>
          <cell r="E81" t="str">
            <v>SCHENLEY DISTILLERS  INC</v>
          </cell>
          <cell r="F81" t="str">
            <v>750</v>
          </cell>
          <cell r="G81">
            <v>40</v>
          </cell>
          <cell r="H81">
            <v>12</v>
          </cell>
          <cell r="I81" t="str">
            <v>194112</v>
          </cell>
          <cell r="L81">
            <v>1</v>
          </cell>
          <cell r="M81">
            <v>19.2</v>
          </cell>
        </row>
        <row r="82">
          <cell r="C82" t="str">
            <v>4680</v>
          </cell>
          <cell r="D82" t="str">
            <v>GOLDEN WEDDING</v>
          </cell>
          <cell r="E82" t="str">
            <v>SCHENLEY DISTILLERS  INC</v>
          </cell>
          <cell r="F82" t="str">
            <v>1750</v>
          </cell>
          <cell r="G82">
            <v>40</v>
          </cell>
          <cell r="H82">
            <v>6</v>
          </cell>
          <cell r="I82" t="str">
            <v>194112</v>
          </cell>
          <cell r="L82">
            <v>1</v>
          </cell>
          <cell r="M82">
            <v>42.47</v>
          </cell>
        </row>
        <row r="83">
          <cell r="C83" t="str">
            <v>43637</v>
          </cell>
          <cell r="D83" t="str">
            <v>HIGHWOOD PURE CANADIAN RYE</v>
          </cell>
          <cell r="E83" t="str">
            <v>HIGHWOOD DISTILLERS</v>
          </cell>
          <cell r="F83" t="str">
            <v>750</v>
          </cell>
          <cell r="G83">
            <v>40</v>
          </cell>
          <cell r="H83">
            <v>12</v>
          </cell>
          <cell r="I83" t="str">
            <v>1021</v>
          </cell>
          <cell r="L83">
            <v>1</v>
          </cell>
          <cell r="M83">
            <v>18.850000000000001</v>
          </cell>
        </row>
        <row r="84">
          <cell r="C84" t="str">
            <v>4506</v>
          </cell>
          <cell r="D84" t="str">
            <v>HIRAM WALKER SPECIAL OLD</v>
          </cell>
          <cell r="E84" t="str">
            <v>HIRAM WALKER &amp; SONS LTD</v>
          </cell>
          <cell r="F84" t="str">
            <v>1140</v>
          </cell>
          <cell r="G84">
            <v>40</v>
          </cell>
          <cell r="H84">
            <v>12</v>
          </cell>
          <cell r="I84" t="str">
            <v>3237</v>
          </cell>
          <cell r="L84">
            <v>1</v>
          </cell>
          <cell r="M84">
            <v>34.01</v>
          </cell>
        </row>
        <row r="85">
          <cell r="C85" t="str">
            <v>4507</v>
          </cell>
          <cell r="D85" t="str">
            <v>HIRAM WALKER SPECIAL OLD</v>
          </cell>
          <cell r="E85" t="str">
            <v>HIRAM WALKER &amp; SONS LTD</v>
          </cell>
          <cell r="F85" t="str">
            <v>1750</v>
          </cell>
          <cell r="G85">
            <v>40</v>
          </cell>
          <cell r="H85">
            <v>6</v>
          </cell>
          <cell r="I85" t="str">
            <v>3237</v>
          </cell>
          <cell r="L85">
            <v>1</v>
          </cell>
          <cell r="M85">
            <v>49.62</v>
          </cell>
        </row>
        <row r="86">
          <cell r="C86" t="str">
            <v>3103</v>
          </cell>
          <cell r="D86" t="str">
            <v>McGUINNESS SILK TASSEL</v>
          </cell>
          <cell r="E86" t="str">
            <v>HIRAM WALKER &amp; SONS LTD</v>
          </cell>
          <cell r="F86" t="str">
            <v>750</v>
          </cell>
          <cell r="G86">
            <v>40</v>
          </cell>
          <cell r="H86">
            <v>12</v>
          </cell>
          <cell r="I86" t="str">
            <v>1537</v>
          </cell>
          <cell r="L86">
            <v>1</v>
          </cell>
          <cell r="M86">
            <v>19.02</v>
          </cell>
        </row>
        <row r="87">
          <cell r="C87" t="str">
            <v>3104</v>
          </cell>
          <cell r="D87" t="str">
            <v>McGUINNESS SILK TASSEL</v>
          </cell>
          <cell r="E87" t="str">
            <v>HIRAM WALKER &amp; SONS LTD</v>
          </cell>
          <cell r="F87" t="str">
            <v>1140</v>
          </cell>
          <cell r="G87">
            <v>40</v>
          </cell>
          <cell r="H87">
            <v>12</v>
          </cell>
          <cell r="I87" t="str">
            <v>1537</v>
          </cell>
          <cell r="L87">
            <v>1</v>
          </cell>
          <cell r="M87">
            <v>28.2</v>
          </cell>
        </row>
        <row r="88">
          <cell r="C88" t="str">
            <v>3105</v>
          </cell>
          <cell r="D88" t="str">
            <v>McGUINNESS SILK TASSEL</v>
          </cell>
          <cell r="E88" t="str">
            <v>HIRAM WALKER &amp; SONS LTD</v>
          </cell>
          <cell r="F88" t="str">
            <v>1750</v>
          </cell>
          <cell r="G88">
            <v>40</v>
          </cell>
          <cell r="H88">
            <v>6</v>
          </cell>
          <cell r="I88" t="str">
            <v>1537</v>
          </cell>
          <cell r="L88">
            <v>1</v>
          </cell>
          <cell r="M88">
            <v>42.2</v>
          </cell>
        </row>
        <row r="89">
          <cell r="C89" t="str">
            <v>3112</v>
          </cell>
          <cell r="D89" t="str">
            <v>MEAGHERS 1878 CANADIAN RYE WHISKY</v>
          </cell>
          <cell r="E89" t="str">
            <v>SAZERAC OF CANADA INC.</v>
          </cell>
          <cell r="F89" t="str">
            <v>750</v>
          </cell>
          <cell r="G89">
            <v>40</v>
          </cell>
          <cell r="H89">
            <v>12</v>
          </cell>
          <cell r="I89" t="str">
            <v>1537</v>
          </cell>
          <cell r="L89">
            <v>1</v>
          </cell>
          <cell r="M89">
            <v>19.03</v>
          </cell>
        </row>
        <row r="90">
          <cell r="C90" t="str">
            <v>3113</v>
          </cell>
          <cell r="D90" t="str">
            <v>MEAGHERS 1878 CANADIAN RYE WHISKY</v>
          </cell>
          <cell r="E90" t="str">
            <v>SAZERAC OF CANADA INC.</v>
          </cell>
          <cell r="F90" t="str">
            <v>1140</v>
          </cell>
          <cell r="G90">
            <v>40</v>
          </cell>
          <cell r="H90">
            <v>12</v>
          </cell>
          <cell r="I90" t="str">
            <v>1537</v>
          </cell>
          <cell r="L90">
            <v>1</v>
          </cell>
          <cell r="M90">
            <v>28.2</v>
          </cell>
        </row>
        <row r="91">
          <cell r="C91" t="str">
            <v>3114</v>
          </cell>
          <cell r="D91" t="str">
            <v>MEAGHERS 1878 CANADIAN RYE WHISKY</v>
          </cell>
          <cell r="E91" t="str">
            <v>SAZERAC OF CANADA INC.</v>
          </cell>
          <cell r="F91" t="str">
            <v>1750</v>
          </cell>
          <cell r="G91">
            <v>40</v>
          </cell>
          <cell r="H91">
            <v>6</v>
          </cell>
          <cell r="I91" t="str">
            <v>1537</v>
          </cell>
          <cell r="L91">
            <v>1</v>
          </cell>
          <cell r="M91">
            <v>42.2</v>
          </cell>
        </row>
        <row r="92">
          <cell r="C92" t="str">
            <v>3733</v>
          </cell>
          <cell r="D92" t="str">
            <v>POTTER'S SPECIAL OLD</v>
          </cell>
          <cell r="E92" t="str">
            <v>HIGHWOOD DISTILLERS</v>
          </cell>
          <cell r="F92" t="str">
            <v>1750</v>
          </cell>
          <cell r="G92">
            <v>40</v>
          </cell>
          <cell r="H92">
            <v>6</v>
          </cell>
          <cell r="I92" t="str">
            <v>1021</v>
          </cell>
          <cell r="L92">
            <v>1</v>
          </cell>
          <cell r="M92">
            <v>41.11</v>
          </cell>
        </row>
        <row r="93">
          <cell r="C93" t="str">
            <v>4027</v>
          </cell>
          <cell r="D93" t="str">
            <v>SEAGRAM'S 83 CANADIAN WHISKY</v>
          </cell>
          <cell r="E93" t="str">
            <v>SAZERAC OF CANADA INC.</v>
          </cell>
          <cell r="F93" t="str">
            <v>750</v>
          </cell>
          <cell r="G93">
            <v>40</v>
          </cell>
          <cell r="H93">
            <v>9</v>
          </cell>
          <cell r="I93" t="str">
            <v>1537</v>
          </cell>
          <cell r="L93">
            <v>1</v>
          </cell>
          <cell r="M93">
            <v>20.03</v>
          </cell>
        </row>
        <row r="94">
          <cell r="C94" t="str">
            <v>4048</v>
          </cell>
          <cell r="D94" t="str">
            <v>SEAGRAM'S V.O.</v>
          </cell>
          <cell r="E94" t="str">
            <v>DIAGEO  CANADA INC</v>
          </cell>
          <cell r="F94" t="str">
            <v>750</v>
          </cell>
          <cell r="G94">
            <v>40</v>
          </cell>
          <cell r="H94">
            <v>12</v>
          </cell>
          <cell r="I94" t="str">
            <v>1537</v>
          </cell>
          <cell r="L94">
            <v>1</v>
          </cell>
          <cell r="M94">
            <v>20.399999999999999</v>
          </cell>
        </row>
        <row r="95">
          <cell r="C95" t="str">
            <v>4050</v>
          </cell>
          <cell r="D95" t="str">
            <v>SEAGRAM'S V.O.</v>
          </cell>
          <cell r="E95" t="str">
            <v>DIAGEO  CANADA INC</v>
          </cell>
          <cell r="F95" t="str">
            <v>1140</v>
          </cell>
          <cell r="G95">
            <v>40</v>
          </cell>
          <cell r="H95">
            <v>8</v>
          </cell>
          <cell r="I95" t="str">
            <v>1537</v>
          </cell>
          <cell r="L95">
            <v>1</v>
          </cell>
          <cell r="M95">
            <v>29.98</v>
          </cell>
        </row>
        <row r="96">
          <cell r="C96" t="str">
            <v>6502</v>
          </cell>
          <cell r="D96" t="str">
            <v>SEAGRAM'S V.O.</v>
          </cell>
          <cell r="E96" t="str">
            <v>DIAGEO  CANADA INC</v>
          </cell>
          <cell r="F96" t="str">
            <v>1750</v>
          </cell>
          <cell r="G96">
            <v>40</v>
          </cell>
          <cell r="H96">
            <v>6</v>
          </cell>
          <cell r="I96" t="str">
            <v>1537</v>
          </cell>
          <cell r="L96">
            <v>1</v>
          </cell>
          <cell r="M96">
            <v>44.19</v>
          </cell>
        </row>
        <row r="97">
          <cell r="C97" t="str">
            <v>43833</v>
          </cell>
          <cell r="D97" t="str">
            <v>SIGNAL HILL FOUNDERS SELECT OVERPROOF</v>
          </cell>
          <cell r="E97" t="str">
            <v>SIGNAL HILL SPIRITS INC</v>
          </cell>
          <cell r="F97" t="str">
            <v>750</v>
          </cell>
          <cell r="G97">
            <v>56.3</v>
          </cell>
          <cell r="H97">
            <v>6</v>
          </cell>
          <cell r="I97" t="str">
            <v>1382</v>
          </cell>
          <cell r="L97">
            <v>1</v>
          </cell>
          <cell r="M97">
            <v>46.35</v>
          </cell>
        </row>
        <row r="98">
          <cell r="C98" t="str">
            <v>28771</v>
          </cell>
          <cell r="D98" t="str">
            <v>WAYNE GRETZKY RED CASK WHISKY</v>
          </cell>
          <cell r="E98" t="str">
            <v>ANDREW PELLER LIMITED</v>
          </cell>
          <cell r="F98" t="str">
            <v>50</v>
          </cell>
          <cell r="G98">
            <v>40</v>
          </cell>
          <cell r="H98">
            <v>48</v>
          </cell>
          <cell r="I98" t="str">
            <v>4095</v>
          </cell>
          <cell r="L98">
            <v>1</v>
          </cell>
          <cell r="M98">
            <v>3.04</v>
          </cell>
        </row>
        <row r="99">
          <cell r="C99" t="str">
            <v>30640</v>
          </cell>
          <cell r="D99" t="str">
            <v>WINDSOR CANADIAN WHISKY</v>
          </cell>
          <cell r="E99" t="str">
            <v>ALBERTA DISTILLERS LTD</v>
          </cell>
          <cell r="F99" t="str">
            <v>375</v>
          </cell>
          <cell r="G99">
            <v>40</v>
          </cell>
          <cell r="H99">
            <v>24</v>
          </cell>
          <cell r="I99" t="str">
            <v>206239</v>
          </cell>
          <cell r="L99">
            <v>1</v>
          </cell>
          <cell r="M99">
            <v>10.99</v>
          </cell>
        </row>
        <row r="100">
          <cell r="C100" t="str">
            <v>4586</v>
          </cell>
          <cell r="D100" t="str">
            <v>WINDSOR CANADIAN WHISKY</v>
          </cell>
          <cell r="E100" t="str">
            <v>ALBERTA DISTILLERS LTD</v>
          </cell>
          <cell r="F100" t="str">
            <v>750</v>
          </cell>
          <cell r="G100">
            <v>40</v>
          </cell>
          <cell r="H100">
            <v>12</v>
          </cell>
          <cell r="I100" t="str">
            <v>206239</v>
          </cell>
          <cell r="L100">
            <v>1</v>
          </cell>
          <cell r="M100">
            <v>18.45</v>
          </cell>
        </row>
        <row r="101">
          <cell r="C101" t="str">
            <v>30642</v>
          </cell>
          <cell r="D101" t="str">
            <v>WINDSOR CANADIAN WHISKY</v>
          </cell>
          <cell r="E101" t="str">
            <v>ALBERTA DISTILLERS LTD</v>
          </cell>
          <cell r="F101" t="str">
            <v>1750</v>
          </cell>
          <cell r="G101">
            <v>40</v>
          </cell>
          <cell r="H101">
            <v>6</v>
          </cell>
          <cell r="I101" t="str">
            <v>206239</v>
          </cell>
          <cell r="L101">
            <v>1</v>
          </cell>
          <cell r="M101">
            <v>39.99</v>
          </cell>
        </row>
        <row r="102">
          <cell r="C102" t="str">
            <v>4606</v>
          </cell>
          <cell r="D102" t="str">
            <v>WISER'S SPECIAL BLEND</v>
          </cell>
          <cell r="E102" t="str">
            <v>CORBY SPIRIT AND WINE LIMITED</v>
          </cell>
          <cell r="F102" t="str">
            <v>375</v>
          </cell>
          <cell r="G102">
            <v>40</v>
          </cell>
          <cell r="H102">
            <v>24</v>
          </cell>
          <cell r="I102" t="str">
            <v>3237</v>
          </cell>
          <cell r="L102">
            <v>1</v>
          </cell>
          <cell r="M102">
            <v>11.61</v>
          </cell>
        </row>
        <row r="103">
          <cell r="C103" t="str">
            <v>4607</v>
          </cell>
          <cell r="D103" t="str">
            <v>WISER'S SPECIAL BLEND</v>
          </cell>
          <cell r="E103" t="str">
            <v>CORBY SPIRIT AND WINE LIMITED</v>
          </cell>
          <cell r="F103" t="str">
            <v>750</v>
          </cell>
          <cell r="G103">
            <v>40</v>
          </cell>
          <cell r="H103">
            <v>12</v>
          </cell>
          <cell r="I103" t="str">
            <v>3237</v>
          </cell>
          <cell r="L103">
            <v>1</v>
          </cell>
          <cell r="M103">
            <v>20</v>
          </cell>
        </row>
        <row r="104">
          <cell r="C104" t="str">
            <v>4608</v>
          </cell>
          <cell r="D104" t="str">
            <v>WISER'S SPECIAL BLEND</v>
          </cell>
          <cell r="E104" t="str">
            <v>CORBY SPIRIT AND WINE LIMITED</v>
          </cell>
          <cell r="F104" t="str">
            <v>1140</v>
          </cell>
          <cell r="G104">
            <v>40</v>
          </cell>
          <cell r="H104">
            <v>8</v>
          </cell>
          <cell r="I104" t="str">
            <v>3237</v>
          </cell>
          <cell r="L104">
            <v>1</v>
          </cell>
          <cell r="M104">
            <v>29.01</v>
          </cell>
        </row>
        <row r="105">
          <cell r="C105" t="str">
            <v>4609</v>
          </cell>
          <cell r="D105" t="str">
            <v>WISER'S SPECIAL BLEND</v>
          </cell>
          <cell r="E105" t="str">
            <v>CORBY SPIRIT AND WINE LIMITED</v>
          </cell>
          <cell r="F105" t="str">
            <v>1750</v>
          </cell>
          <cell r="G105">
            <v>40</v>
          </cell>
          <cell r="H105">
            <v>6</v>
          </cell>
          <cell r="I105" t="str">
            <v>3237</v>
          </cell>
          <cell r="L105">
            <v>1</v>
          </cell>
          <cell r="M105">
            <v>42.52</v>
          </cell>
        </row>
        <row r="106">
          <cell r="C106" t="str">
            <v>26370</v>
          </cell>
          <cell r="D106" t="str">
            <v>WISER'S SPECIAL BLEND PET</v>
          </cell>
          <cell r="E106" t="str">
            <v>CORBY SPIRIT AND WINE LIMITED</v>
          </cell>
          <cell r="F106" t="str">
            <v>750</v>
          </cell>
          <cell r="G106">
            <v>40</v>
          </cell>
          <cell r="H106">
            <v>12</v>
          </cell>
          <cell r="I106" t="str">
            <v>3237</v>
          </cell>
          <cell r="L106">
            <v>1</v>
          </cell>
          <cell r="M106">
            <v>20</v>
          </cell>
        </row>
        <row r="107">
          <cell r="C107" t="str">
            <v>27803</v>
          </cell>
          <cell r="D107" t="str">
            <v>PENDLETON MIDNIGHT</v>
          </cell>
          <cell r="E107" t="str">
            <v>HOOD RIVER DISTILLERS INC</v>
          </cell>
          <cell r="F107" t="str">
            <v>750</v>
          </cell>
          <cell r="G107">
            <v>45</v>
          </cell>
          <cell r="H107">
            <v>6</v>
          </cell>
          <cell r="I107" t="str">
            <v>128699</v>
          </cell>
          <cell r="L107">
            <v>1</v>
          </cell>
          <cell r="M107">
            <v>33.11</v>
          </cell>
        </row>
        <row r="108">
          <cell r="C108" t="str">
            <v>42577</v>
          </cell>
          <cell r="D108" t="str">
            <v>INDRI SINGLE MALT INDIAN WHISKY</v>
          </cell>
          <cell r="E108" t="str">
            <v>PICCADILY AGRO INDUSTRIES LTD</v>
          </cell>
          <cell r="F108" t="str">
            <v>750</v>
          </cell>
          <cell r="G108">
            <v>46</v>
          </cell>
          <cell r="H108">
            <v>6</v>
          </cell>
          <cell r="I108" t="str">
            <v>3237</v>
          </cell>
          <cell r="L108">
            <v>1</v>
          </cell>
          <cell r="M108">
            <v>80.010000000000005</v>
          </cell>
        </row>
        <row r="109">
          <cell r="C109" t="str">
            <v>43338</v>
          </cell>
          <cell r="D109" t="str">
            <v>ROYAL STAG DELUXE WHISKY</v>
          </cell>
          <cell r="E109" t="str">
            <v>PERNOD RICARD INDIA PVT LTD</v>
          </cell>
          <cell r="F109" t="str">
            <v>750</v>
          </cell>
          <cell r="G109">
            <v>42.8</v>
          </cell>
          <cell r="H109">
            <v>12</v>
          </cell>
          <cell r="I109" t="str">
            <v>3278</v>
          </cell>
          <cell r="L109">
            <v>1</v>
          </cell>
          <cell r="M109">
            <v>26.22</v>
          </cell>
        </row>
        <row r="110">
          <cell r="C110" t="str">
            <v>1522</v>
          </cell>
          <cell r="D110" t="str">
            <v>BUSHMILLS 10 YEAR OLD SINGLE MALT</v>
          </cell>
          <cell r="E110" t="str">
            <v>PROXIMO SPIRITS Kentucky</v>
          </cell>
          <cell r="F110" t="str">
            <v>750</v>
          </cell>
          <cell r="G110">
            <v>40</v>
          </cell>
          <cell r="H110">
            <v>6</v>
          </cell>
          <cell r="I110" t="str">
            <v>128699</v>
          </cell>
          <cell r="L110">
            <v>1</v>
          </cell>
          <cell r="M110">
            <v>41.01</v>
          </cell>
        </row>
        <row r="111">
          <cell r="C111" t="str">
            <v>1353</v>
          </cell>
          <cell r="D111" t="str">
            <v>BUSHMILLS BLACK BUSH</v>
          </cell>
          <cell r="E111" t="str">
            <v>PROXIMO SPIRITS Kentucky</v>
          </cell>
          <cell r="F111" t="str">
            <v>750</v>
          </cell>
          <cell r="G111">
            <v>40</v>
          </cell>
          <cell r="H111">
            <v>12</v>
          </cell>
          <cell r="I111" t="str">
            <v>128699</v>
          </cell>
          <cell r="L111">
            <v>1</v>
          </cell>
          <cell r="M111">
            <v>34.61</v>
          </cell>
        </row>
        <row r="112">
          <cell r="C112" t="str">
            <v>25435</v>
          </cell>
          <cell r="D112" t="str">
            <v>GLENDALOUGH DOUBLE BARREL</v>
          </cell>
          <cell r="E112" t="str">
            <v>GLENDALOUGH IRISH WHISKEY</v>
          </cell>
          <cell r="F112" t="str">
            <v>750</v>
          </cell>
          <cell r="G112">
            <v>42</v>
          </cell>
          <cell r="H112">
            <v>6</v>
          </cell>
          <cell r="I112" t="str">
            <v>1009</v>
          </cell>
          <cell r="L112">
            <v>1</v>
          </cell>
          <cell r="M112">
            <v>46.49</v>
          </cell>
        </row>
        <row r="113">
          <cell r="C113" t="str">
            <v>17328</v>
          </cell>
          <cell r="D113" t="str">
            <v>JAMESON BLACK BARREL</v>
          </cell>
          <cell r="E113" t="str">
            <v>IRISH DISTILLERS INTERNATIONAL</v>
          </cell>
          <cell r="F113" t="str">
            <v>750</v>
          </cell>
          <cell r="G113">
            <v>40</v>
          </cell>
          <cell r="H113">
            <v>12</v>
          </cell>
          <cell r="I113" t="str">
            <v>3237</v>
          </cell>
          <cell r="L113">
            <v>1</v>
          </cell>
          <cell r="M113">
            <v>49</v>
          </cell>
        </row>
        <row r="114">
          <cell r="C114" t="str">
            <v>23935</v>
          </cell>
          <cell r="D114" t="str">
            <v>JAMESON CASKMATES IRISH WHISKEY</v>
          </cell>
          <cell r="E114" t="str">
            <v>IRISH DISTILLERS INTERNATIONAL</v>
          </cell>
          <cell r="F114" t="str">
            <v>750</v>
          </cell>
          <cell r="G114">
            <v>40</v>
          </cell>
          <cell r="H114">
            <v>12</v>
          </cell>
          <cell r="I114" t="str">
            <v>3237</v>
          </cell>
          <cell r="L114">
            <v>1</v>
          </cell>
          <cell r="M114">
            <v>39</v>
          </cell>
        </row>
        <row r="115">
          <cell r="C115" t="str">
            <v>1524</v>
          </cell>
          <cell r="D115" t="str">
            <v>BUSHMILLS ORIGINAL IRISH WHISKEY</v>
          </cell>
          <cell r="E115" t="str">
            <v>PROXIMO SPIRITS Kentucky</v>
          </cell>
          <cell r="F115" t="str">
            <v>750</v>
          </cell>
          <cell r="G115">
            <v>40</v>
          </cell>
          <cell r="H115">
            <v>12</v>
          </cell>
          <cell r="I115" t="str">
            <v>128699</v>
          </cell>
          <cell r="L115">
            <v>1</v>
          </cell>
          <cell r="M115">
            <v>32.61</v>
          </cell>
        </row>
        <row r="116">
          <cell r="C116" t="str">
            <v>6445</v>
          </cell>
          <cell r="D116" t="str">
            <v>JAMESON IRISH WHISKEY</v>
          </cell>
          <cell r="E116" t="str">
            <v>IRISH DISTILLERS INTERNATIONAL</v>
          </cell>
          <cell r="F116" t="str">
            <v>375</v>
          </cell>
          <cell r="G116">
            <v>40</v>
          </cell>
          <cell r="H116">
            <v>24</v>
          </cell>
          <cell r="I116" t="str">
            <v>3237</v>
          </cell>
          <cell r="L116">
            <v>1</v>
          </cell>
          <cell r="M116">
            <v>18.29</v>
          </cell>
        </row>
        <row r="117">
          <cell r="C117" t="str">
            <v>2745</v>
          </cell>
          <cell r="D117" t="str">
            <v>JAMESON IRISH WHISKEY</v>
          </cell>
          <cell r="E117" t="str">
            <v>IRISH DISTILLERS INTERNATIONAL</v>
          </cell>
          <cell r="F117" t="str">
            <v>750</v>
          </cell>
          <cell r="G117">
            <v>40</v>
          </cell>
          <cell r="H117">
            <v>12</v>
          </cell>
          <cell r="I117" t="str">
            <v>3237</v>
          </cell>
          <cell r="L117">
            <v>1</v>
          </cell>
          <cell r="M117">
            <v>34.5</v>
          </cell>
        </row>
        <row r="118">
          <cell r="C118" t="str">
            <v>12335</v>
          </cell>
          <cell r="D118" t="str">
            <v>JAMESON IRISH WHISKEY</v>
          </cell>
          <cell r="E118" t="str">
            <v>IRISH DISTILLERS INTERNATIONAL</v>
          </cell>
          <cell r="F118" t="str">
            <v>1140</v>
          </cell>
          <cell r="G118">
            <v>40</v>
          </cell>
          <cell r="H118">
            <v>6</v>
          </cell>
          <cell r="I118" t="str">
            <v>3237</v>
          </cell>
          <cell r="L118">
            <v>1</v>
          </cell>
          <cell r="M118">
            <v>46.51</v>
          </cell>
        </row>
        <row r="119">
          <cell r="C119" t="str">
            <v>20448</v>
          </cell>
          <cell r="D119" t="str">
            <v>JAMESON IRISH WHISKEY</v>
          </cell>
          <cell r="E119" t="str">
            <v>IRISH DISTILLERS INTERNATIONAL</v>
          </cell>
          <cell r="F119" t="str">
            <v>1750</v>
          </cell>
          <cell r="G119">
            <v>40</v>
          </cell>
          <cell r="H119">
            <v>6</v>
          </cell>
          <cell r="I119" t="str">
            <v>3237</v>
          </cell>
          <cell r="L119">
            <v>1</v>
          </cell>
          <cell r="M119">
            <v>66.02</v>
          </cell>
        </row>
        <row r="120">
          <cell r="C120" t="str">
            <v>6413</v>
          </cell>
          <cell r="D120" t="str">
            <v>REDBREAST 12 YEAR OLD</v>
          </cell>
          <cell r="E120" t="str">
            <v>IRISH DISTILLERS INTERNATIONAL</v>
          </cell>
          <cell r="F120" t="str">
            <v>750</v>
          </cell>
          <cell r="G120">
            <v>40</v>
          </cell>
          <cell r="H120">
            <v>6</v>
          </cell>
          <cell r="I120" t="str">
            <v>3237</v>
          </cell>
          <cell r="L120">
            <v>1</v>
          </cell>
          <cell r="M120">
            <v>68.12</v>
          </cell>
        </row>
        <row r="121">
          <cell r="C121" t="str">
            <v>40631</v>
          </cell>
          <cell r="D121" t="str">
            <v>THE BUSKER TRIPLE CASK</v>
          </cell>
          <cell r="E121" t="str">
            <v>ROYAL OAK DISTILLERY LIMITED</v>
          </cell>
          <cell r="F121" t="str">
            <v>750</v>
          </cell>
          <cell r="G121">
            <v>40</v>
          </cell>
          <cell r="H121">
            <v>12</v>
          </cell>
          <cell r="I121" t="str">
            <v>1537</v>
          </cell>
          <cell r="L121">
            <v>1</v>
          </cell>
          <cell r="M121">
            <v>29.15</v>
          </cell>
        </row>
        <row r="122">
          <cell r="C122" t="str">
            <v>6274</v>
          </cell>
          <cell r="D122" t="str">
            <v>TULLAMORE DEW IRISH WHISKEY</v>
          </cell>
          <cell r="E122" t="str">
            <v>C &amp; C INTERNATIONAL</v>
          </cell>
          <cell r="F122" t="str">
            <v>750</v>
          </cell>
          <cell r="G122">
            <v>40</v>
          </cell>
          <cell r="H122">
            <v>12</v>
          </cell>
          <cell r="I122" t="str">
            <v>3243</v>
          </cell>
          <cell r="L122">
            <v>1</v>
          </cell>
          <cell r="M122">
            <v>32.01</v>
          </cell>
        </row>
        <row r="123">
          <cell r="C123" t="str">
            <v>13555</v>
          </cell>
          <cell r="D123" t="str">
            <v>WRITERS TEARS POT STILL IRISH WHISKEY</v>
          </cell>
          <cell r="E123" t="str">
            <v>WALSH WHISKEY DISTILLERY</v>
          </cell>
          <cell r="F123" t="str">
            <v>700</v>
          </cell>
          <cell r="G123">
            <v>40</v>
          </cell>
          <cell r="H123">
            <v>6</v>
          </cell>
          <cell r="I123" t="str">
            <v>205873</v>
          </cell>
          <cell r="L123">
            <v>1</v>
          </cell>
          <cell r="M123">
            <v>58.42</v>
          </cell>
        </row>
        <row r="124">
          <cell r="C124" t="str">
            <v>23134</v>
          </cell>
          <cell r="D124" t="str">
            <v>HIBIKI JAPANESE HARMONY</v>
          </cell>
          <cell r="E124" t="str">
            <v>JIM BEAM BRANDS CO.</v>
          </cell>
          <cell r="F124" t="str">
            <v>750</v>
          </cell>
          <cell r="G124">
            <v>43</v>
          </cell>
          <cell r="H124">
            <v>6</v>
          </cell>
          <cell r="I124" t="str">
            <v>3242</v>
          </cell>
          <cell r="L124">
            <v>1</v>
          </cell>
          <cell r="M124">
            <v>121.07</v>
          </cell>
        </row>
        <row r="125">
          <cell r="C125" t="str">
            <v>27371</v>
          </cell>
          <cell r="D125" t="str">
            <v>SUNTORY TOKI JAPANESE WHISKY</v>
          </cell>
          <cell r="E125" t="str">
            <v>JIM BEAM BRANDS CO.</v>
          </cell>
          <cell r="F125" t="str">
            <v>750</v>
          </cell>
          <cell r="G125">
            <v>43</v>
          </cell>
          <cell r="H125">
            <v>6</v>
          </cell>
          <cell r="I125" t="str">
            <v>3242</v>
          </cell>
          <cell r="L125">
            <v>1</v>
          </cell>
          <cell r="M125">
            <v>46.68</v>
          </cell>
        </row>
        <row r="126">
          <cell r="C126" t="str">
            <v>26044</v>
          </cell>
          <cell r="D126" t="str">
            <v>GLENLIVET FOUNDERS RESERVE SCOTCH WHISKY</v>
          </cell>
          <cell r="E126" t="str">
            <v>CHIVAS BROTHERS LIMITED</v>
          </cell>
          <cell r="F126" t="str">
            <v>375</v>
          </cell>
          <cell r="G126">
            <v>40</v>
          </cell>
          <cell r="H126">
            <v>12</v>
          </cell>
          <cell r="I126" t="str">
            <v>3237</v>
          </cell>
          <cell r="L126">
            <v>1</v>
          </cell>
          <cell r="M126">
            <v>30.12</v>
          </cell>
        </row>
        <row r="127">
          <cell r="C127" t="str">
            <v>15199</v>
          </cell>
          <cell r="D127" t="str">
            <v>ELIJAH CRAIG KENTUCKY SMALL BATCH</v>
          </cell>
          <cell r="E127" t="str">
            <v>HEAVEN HILL INC.</v>
          </cell>
          <cell r="F127" t="str">
            <v>750</v>
          </cell>
          <cell r="G127">
            <v>47</v>
          </cell>
          <cell r="H127">
            <v>12</v>
          </cell>
          <cell r="I127" t="str">
            <v>194112</v>
          </cell>
          <cell r="L127">
            <v>1</v>
          </cell>
          <cell r="M127">
            <v>47.61</v>
          </cell>
        </row>
        <row r="128">
          <cell r="C128" t="str">
            <v>2396</v>
          </cell>
          <cell r="D128" t="str">
            <v>GENTLEMAN JACK RARE</v>
          </cell>
          <cell r="E128" t="str">
            <v>BROWN-FORMAN BEVERAGES</v>
          </cell>
          <cell r="F128" t="str">
            <v>750</v>
          </cell>
          <cell r="G128">
            <v>40</v>
          </cell>
          <cell r="H128">
            <v>12</v>
          </cell>
          <cell r="I128" t="str">
            <v>1230</v>
          </cell>
          <cell r="L128">
            <v>1</v>
          </cell>
          <cell r="M128">
            <v>38.42</v>
          </cell>
        </row>
        <row r="129">
          <cell r="C129" t="str">
            <v>8865</v>
          </cell>
          <cell r="D129" t="str">
            <v>JACK DANIEL'S SINGLE BARREL</v>
          </cell>
          <cell r="E129" t="str">
            <v>BROWN-FORMAN BEVERAGES</v>
          </cell>
          <cell r="F129" t="str">
            <v>750</v>
          </cell>
          <cell r="G129">
            <v>47</v>
          </cell>
          <cell r="H129">
            <v>6</v>
          </cell>
          <cell r="I129" t="str">
            <v>1230</v>
          </cell>
          <cell r="L129">
            <v>1</v>
          </cell>
          <cell r="M129">
            <v>61.31</v>
          </cell>
        </row>
        <row r="130">
          <cell r="C130" t="str">
            <v>13490</v>
          </cell>
          <cell r="D130" t="str">
            <v>MAKER'S MARK 46</v>
          </cell>
          <cell r="E130" t="str">
            <v>MAKER'S MARK INC</v>
          </cell>
          <cell r="F130" t="str">
            <v>750</v>
          </cell>
          <cell r="G130">
            <v>47</v>
          </cell>
          <cell r="H130">
            <v>6</v>
          </cell>
          <cell r="I130" t="str">
            <v>3242</v>
          </cell>
          <cell r="L130">
            <v>1</v>
          </cell>
          <cell r="M130">
            <v>47.67</v>
          </cell>
        </row>
        <row r="131">
          <cell r="C131" t="str">
            <v>21728</v>
          </cell>
          <cell r="D131" t="str">
            <v>TINCUP AMERICAN WHISKEY</v>
          </cell>
          <cell r="E131" t="str">
            <v>PROXIMO SPIRITS INC LLC</v>
          </cell>
          <cell r="F131" t="str">
            <v>750</v>
          </cell>
          <cell r="G131">
            <v>42</v>
          </cell>
          <cell r="H131">
            <v>12</v>
          </cell>
          <cell r="I131" t="str">
            <v>128699</v>
          </cell>
          <cell r="L131">
            <v>1</v>
          </cell>
          <cell r="M131">
            <v>31.01</v>
          </cell>
        </row>
        <row r="132">
          <cell r="C132" t="str">
            <v>6869</v>
          </cell>
          <cell r="D132" t="str">
            <v>WOODFORD RESERVE</v>
          </cell>
          <cell r="E132" t="str">
            <v>BROWN-FORMAN BEVERAGES</v>
          </cell>
          <cell r="F132" t="str">
            <v>750</v>
          </cell>
          <cell r="G132">
            <v>45.2</v>
          </cell>
          <cell r="H132">
            <v>6</v>
          </cell>
          <cell r="I132" t="str">
            <v>1230</v>
          </cell>
          <cell r="L132">
            <v>1</v>
          </cell>
          <cell r="M132">
            <v>45.34</v>
          </cell>
        </row>
        <row r="133">
          <cell r="C133" t="str">
            <v>20826</v>
          </cell>
          <cell r="D133" t="str">
            <v>WOODFORD RESERVE DOUBLE OAKED</v>
          </cell>
          <cell r="E133" t="str">
            <v>BROWN-FORMAN BEVERAGES</v>
          </cell>
          <cell r="F133" t="str">
            <v>750</v>
          </cell>
          <cell r="G133">
            <v>45.2</v>
          </cell>
          <cell r="H133">
            <v>6</v>
          </cell>
          <cell r="I133" t="str">
            <v>1230</v>
          </cell>
          <cell r="L133">
            <v>1</v>
          </cell>
          <cell r="M133">
            <v>66.08</v>
          </cell>
        </row>
        <row r="134">
          <cell r="C134" t="str">
            <v>45743</v>
          </cell>
          <cell r="D134" t="str">
            <v>ANGEL'S ENVY TRIPLE OAK</v>
          </cell>
          <cell r="E134" t="str">
            <v>LOUISVILLE DISTILLING COMPANY</v>
          </cell>
          <cell r="F134" t="str">
            <v>750</v>
          </cell>
          <cell r="G134">
            <v>46</v>
          </cell>
          <cell r="H134">
            <v>6</v>
          </cell>
          <cell r="I134" t="str">
            <v>3233</v>
          </cell>
          <cell r="L134">
            <v>1</v>
          </cell>
          <cell r="M134">
            <v>67.099999999999994</v>
          </cell>
        </row>
        <row r="135">
          <cell r="C135" t="str">
            <v>21916</v>
          </cell>
          <cell r="D135" t="str">
            <v>BIB &amp; TUCKER BOURBON</v>
          </cell>
          <cell r="E135" t="str">
            <v>DEUTSCH FAMILY WINE &amp; SPIRITS LTD</v>
          </cell>
          <cell r="F135" t="str">
            <v>750</v>
          </cell>
          <cell r="G135">
            <v>46</v>
          </cell>
          <cell r="H135">
            <v>6</v>
          </cell>
          <cell r="I135" t="str">
            <v>3245</v>
          </cell>
          <cell r="L135">
            <v>1</v>
          </cell>
          <cell r="M135">
            <v>81.02</v>
          </cell>
        </row>
        <row r="136">
          <cell r="C136" t="str">
            <v>30144</v>
          </cell>
          <cell r="D136" t="str">
            <v>CROWN ROYAL</v>
          </cell>
          <cell r="E136" t="str">
            <v>DIAGEO CANADA  INC</v>
          </cell>
          <cell r="F136" t="str">
            <v>200</v>
          </cell>
          <cell r="G136">
            <v>40</v>
          </cell>
          <cell r="H136">
            <v>44</v>
          </cell>
          <cell r="I136" t="str">
            <v>3224</v>
          </cell>
          <cell r="L136">
            <v>1</v>
          </cell>
          <cell r="M136">
            <v>8.69</v>
          </cell>
        </row>
        <row r="137">
          <cell r="C137" t="str">
            <v>2719</v>
          </cell>
          <cell r="D137" t="str">
            <v>JACK DANIEL'S OLD NO.7</v>
          </cell>
          <cell r="E137" t="str">
            <v>BROWN-FORMAN BEVERAGES</v>
          </cell>
          <cell r="F137" t="str">
            <v>50</v>
          </cell>
          <cell r="G137">
            <v>40</v>
          </cell>
          <cell r="H137">
            <v>120</v>
          </cell>
          <cell r="I137" t="str">
            <v>1230</v>
          </cell>
          <cell r="L137">
            <v>1</v>
          </cell>
          <cell r="M137">
            <v>3.56</v>
          </cell>
        </row>
        <row r="138">
          <cell r="C138" t="str">
            <v>2720</v>
          </cell>
          <cell r="D138" t="str">
            <v>JACK DANIEL'S OLD NO.7</v>
          </cell>
          <cell r="E138" t="str">
            <v>BROWN-FORMAN BEVERAGES</v>
          </cell>
          <cell r="F138" t="str">
            <v>375</v>
          </cell>
          <cell r="G138">
            <v>40</v>
          </cell>
          <cell r="H138">
            <v>24</v>
          </cell>
          <cell r="I138" t="str">
            <v>1230</v>
          </cell>
          <cell r="L138">
            <v>1</v>
          </cell>
          <cell r="M138">
            <v>17.28</v>
          </cell>
        </row>
        <row r="139">
          <cell r="C139" t="str">
            <v>2721</v>
          </cell>
          <cell r="D139" t="str">
            <v>JACK DANIEL'S OLD NO.7</v>
          </cell>
          <cell r="E139" t="str">
            <v>BROWN-FORMAN BEVERAGES</v>
          </cell>
          <cell r="F139" t="str">
            <v>750</v>
          </cell>
          <cell r="G139">
            <v>40</v>
          </cell>
          <cell r="H139">
            <v>12</v>
          </cell>
          <cell r="I139" t="str">
            <v>206252</v>
          </cell>
          <cell r="L139">
            <v>1</v>
          </cell>
          <cell r="M139">
            <v>32.42</v>
          </cell>
        </row>
        <row r="140">
          <cell r="C140" t="str">
            <v>2722</v>
          </cell>
          <cell r="D140" t="str">
            <v>JACK DANIEL'S OLD NO.7</v>
          </cell>
          <cell r="E140" t="str">
            <v>BROWN-FORMAN BEVERAGES</v>
          </cell>
          <cell r="F140" t="str">
            <v>1140</v>
          </cell>
          <cell r="G140">
            <v>40</v>
          </cell>
          <cell r="H140">
            <v>6</v>
          </cell>
          <cell r="I140" t="str">
            <v>1230</v>
          </cell>
          <cell r="L140">
            <v>1</v>
          </cell>
          <cell r="M140">
            <v>43.13</v>
          </cell>
        </row>
        <row r="141">
          <cell r="C141" t="str">
            <v>6165</v>
          </cell>
          <cell r="D141" t="str">
            <v>JACK DANIEL'S OLD NO.7</v>
          </cell>
          <cell r="E141" t="str">
            <v>BROWN-FORMAN BEVERAGES</v>
          </cell>
          <cell r="F141" t="str">
            <v>1750</v>
          </cell>
          <cell r="G141">
            <v>40</v>
          </cell>
          <cell r="H141">
            <v>6</v>
          </cell>
          <cell r="I141" t="str">
            <v>1230</v>
          </cell>
          <cell r="L141">
            <v>1</v>
          </cell>
          <cell r="M141">
            <v>61.49</v>
          </cell>
        </row>
        <row r="142">
          <cell r="C142" t="str">
            <v>7822</v>
          </cell>
          <cell r="D142" t="str">
            <v>JACK DANIEL'S OLD NO.7 BRAND</v>
          </cell>
          <cell r="E142" t="str">
            <v>BROWN-FORMAN BEVERAGES</v>
          </cell>
          <cell r="F142" t="str">
            <v>3000</v>
          </cell>
          <cell r="G142">
            <v>40</v>
          </cell>
          <cell r="H142">
            <v>1</v>
          </cell>
          <cell r="I142" t="str">
            <v>1230</v>
          </cell>
          <cell r="L142">
            <v>1</v>
          </cell>
          <cell r="M142">
            <v>120.03</v>
          </cell>
        </row>
        <row r="143">
          <cell r="C143" t="str">
            <v>22159</v>
          </cell>
          <cell r="D143" t="str">
            <v>JACK DANIEL'S TENNESSEE FIRE</v>
          </cell>
          <cell r="E143" t="str">
            <v>BROWN-FORMAN BEVERAGES</v>
          </cell>
          <cell r="F143" t="str">
            <v>750</v>
          </cell>
          <cell r="G143">
            <v>35</v>
          </cell>
          <cell r="H143">
            <v>12</v>
          </cell>
          <cell r="I143" t="str">
            <v>1230</v>
          </cell>
          <cell r="L143">
            <v>1</v>
          </cell>
          <cell r="M143">
            <v>32.369999999999997</v>
          </cell>
        </row>
        <row r="144">
          <cell r="C144" t="str">
            <v>14506</v>
          </cell>
          <cell r="D144" t="str">
            <v>JACK DANIEL'S TENNESSEE HONEY</v>
          </cell>
          <cell r="E144" t="str">
            <v>BROWN-FORMAN BEVERAGES</v>
          </cell>
          <cell r="F144" t="str">
            <v>750</v>
          </cell>
          <cell r="G144">
            <v>35</v>
          </cell>
          <cell r="H144">
            <v>12</v>
          </cell>
          <cell r="I144" t="str">
            <v>1230</v>
          </cell>
          <cell r="L144">
            <v>1</v>
          </cell>
          <cell r="M144">
            <v>32.369999999999997</v>
          </cell>
        </row>
        <row r="145">
          <cell r="C145" t="str">
            <v>35310</v>
          </cell>
          <cell r="D145" t="str">
            <v>JIM BEAM WHITE LABEL BOURBON</v>
          </cell>
          <cell r="E145" t="str">
            <v>JIM BEAM BRANDS CO.</v>
          </cell>
          <cell r="F145" t="str">
            <v>1750</v>
          </cell>
          <cell r="G145">
            <v>40</v>
          </cell>
          <cell r="H145">
            <v>6</v>
          </cell>
          <cell r="I145" t="str">
            <v>3242</v>
          </cell>
          <cell r="L145">
            <v>1</v>
          </cell>
          <cell r="M145">
            <v>54.49</v>
          </cell>
        </row>
        <row r="146">
          <cell r="C146" t="str">
            <v>22360</v>
          </cell>
          <cell r="D146" t="str">
            <v>MICHTER'S US*1 KENTUCKY STRAIGHT BOURBON</v>
          </cell>
          <cell r="E146" t="str">
            <v>MICHTER'S DISTILLERY</v>
          </cell>
          <cell r="F146" t="str">
            <v>750</v>
          </cell>
          <cell r="G146">
            <v>45.7</v>
          </cell>
          <cell r="H146">
            <v>6</v>
          </cell>
          <cell r="I146" t="str">
            <v>1535</v>
          </cell>
          <cell r="L146">
            <v>1</v>
          </cell>
          <cell r="M146">
            <v>76.790000000000006</v>
          </cell>
        </row>
        <row r="147">
          <cell r="C147" t="str">
            <v>36766</v>
          </cell>
          <cell r="D147" t="str">
            <v>REDEMPTION BOURBON</v>
          </cell>
          <cell r="E147" t="str">
            <v>DEUTSCH FAMILY WINE &amp; SPIRITS LTD</v>
          </cell>
          <cell r="F147" t="str">
            <v>750</v>
          </cell>
          <cell r="G147">
            <v>42</v>
          </cell>
          <cell r="H147">
            <v>12</v>
          </cell>
          <cell r="I147" t="str">
            <v>3245</v>
          </cell>
          <cell r="L147">
            <v>1</v>
          </cell>
          <cell r="M147">
            <v>41.58</v>
          </cell>
        </row>
        <row r="148">
          <cell r="C148" t="str">
            <v>40820</v>
          </cell>
          <cell r="D148" t="str">
            <v>YELLOWSTONE SELECT</v>
          </cell>
          <cell r="E148" t="str">
            <v>LUXCO INC</v>
          </cell>
          <cell r="F148" t="str">
            <v>750</v>
          </cell>
          <cell r="G148">
            <v>46.5</v>
          </cell>
          <cell r="H148">
            <v>6</v>
          </cell>
          <cell r="I148" t="str">
            <v>194112</v>
          </cell>
          <cell r="L148">
            <v>1</v>
          </cell>
          <cell r="M148">
            <v>56.06</v>
          </cell>
        </row>
        <row r="149">
          <cell r="C149" t="str">
            <v>15025</v>
          </cell>
          <cell r="D149" t="str">
            <v>WHITE OWL SPICED WHISKY</v>
          </cell>
          <cell r="E149" t="str">
            <v>CENTURY DISTILLERS</v>
          </cell>
          <cell r="F149" t="str">
            <v>750</v>
          </cell>
          <cell r="G149">
            <v>40</v>
          </cell>
          <cell r="H149">
            <v>6</v>
          </cell>
          <cell r="I149" t="str">
            <v>1021</v>
          </cell>
          <cell r="L149">
            <v>1</v>
          </cell>
          <cell r="M149">
            <v>28.66</v>
          </cell>
        </row>
        <row r="150">
          <cell r="C150" t="str">
            <v>16035</v>
          </cell>
          <cell r="D150" t="str">
            <v>CANADIAN CLUB DOCK NO 57 BLACKBERRY WHIS</v>
          </cell>
          <cell r="E150" t="str">
            <v>BEAM SUNTORY UK ltd</v>
          </cell>
          <cell r="F150" t="str">
            <v>750</v>
          </cell>
          <cell r="G150">
            <v>40</v>
          </cell>
          <cell r="H150">
            <v>12</v>
          </cell>
          <cell r="I150" t="str">
            <v>3242</v>
          </cell>
          <cell r="L150">
            <v>1</v>
          </cell>
          <cell r="M150">
            <v>25.62</v>
          </cell>
        </row>
        <row r="151">
          <cell r="C151" t="str">
            <v>21444</v>
          </cell>
          <cell r="D151" t="str">
            <v>CROWN ROYAL APPLE</v>
          </cell>
          <cell r="E151" t="str">
            <v>THE CROWN ROYAL DISTILLING COMPANY</v>
          </cell>
          <cell r="F151" t="str">
            <v>750</v>
          </cell>
          <cell r="G151">
            <v>35</v>
          </cell>
          <cell r="H151">
            <v>12</v>
          </cell>
          <cell r="I151" t="str">
            <v>3224</v>
          </cell>
          <cell r="L151">
            <v>1</v>
          </cell>
          <cell r="M151">
            <v>25.49</v>
          </cell>
        </row>
        <row r="152">
          <cell r="C152" t="str">
            <v>43344</v>
          </cell>
          <cell r="D152" t="str">
            <v>CROWN ROYAL BLACKBERRY</v>
          </cell>
          <cell r="E152" t="str">
            <v>DIAGEO CANADA INC.</v>
          </cell>
          <cell r="F152" t="str">
            <v>750</v>
          </cell>
          <cell r="G152">
            <v>35</v>
          </cell>
          <cell r="H152">
            <v>12</v>
          </cell>
          <cell r="I152" t="str">
            <v>3224</v>
          </cell>
          <cell r="L152">
            <v>1</v>
          </cell>
          <cell r="M152">
            <v>25.49</v>
          </cell>
        </row>
        <row r="153">
          <cell r="C153" t="str">
            <v>30803</v>
          </cell>
          <cell r="D153" t="str">
            <v>CROWN ROYAL PEACH</v>
          </cell>
          <cell r="E153" t="str">
            <v>DIAGEO CANADA INC.</v>
          </cell>
          <cell r="F153" t="str">
            <v>750</v>
          </cell>
          <cell r="G153">
            <v>35</v>
          </cell>
          <cell r="H153">
            <v>12</v>
          </cell>
          <cell r="I153" t="str">
            <v>3224</v>
          </cell>
          <cell r="L153">
            <v>1</v>
          </cell>
          <cell r="M153">
            <v>25.51</v>
          </cell>
        </row>
        <row r="154">
          <cell r="C154" t="str">
            <v>25152</v>
          </cell>
          <cell r="D154" t="str">
            <v>CROWN ROYAL VANILLA</v>
          </cell>
          <cell r="E154" t="str">
            <v>THE CROWN ROYAL DISTILLING COMPANY</v>
          </cell>
          <cell r="F154" t="str">
            <v>750</v>
          </cell>
          <cell r="G154">
            <v>35</v>
          </cell>
          <cell r="H154">
            <v>12</v>
          </cell>
          <cell r="I154" t="str">
            <v>3224</v>
          </cell>
          <cell r="L154">
            <v>1</v>
          </cell>
          <cell r="M154">
            <v>25.49</v>
          </cell>
        </row>
        <row r="155">
          <cell r="C155" t="str">
            <v>22909</v>
          </cell>
          <cell r="D155" t="str">
            <v>FORTY CREEK HONEY SPICED</v>
          </cell>
          <cell r="E155" t="str">
            <v>FORTY CREEK DISTILLERY</v>
          </cell>
          <cell r="F155" t="str">
            <v>750</v>
          </cell>
          <cell r="G155">
            <v>40</v>
          </cell>
          <cell r="H155">
            <v>12</v>
          </cell>
          <cell r="I155" t="str">
            <v>1041</v>
          </cell>
          <cell r="L155">
            <v>1</v>
          </cell>
          <cell r="M155">
            <v>24</v>
          </cell>
        </row>
        <row r="156">
          <cell r="C156" t="str">
            <v>25154</v>
          </cell>
          <cell r="D156" t="str">
            <v>J.P WISER'S APPLE WHISKY</v>
          </cell>
          <cell r="E156" t="str">
            <v>HIRAM WALKER &amp; SONS LTD</v>
          </cell>
          <cell r="F156" t="str">
            <v>750</v>
          </cell>
          <cell r="G156">
            <v>35</v>
          </cell>
          <cell r="H156">
            <v>12</v>
          </cell>
          <cell r="I156" t="str">
            <v>3237</v>
          </cell>
          <cell r="L156">
            <v>1</v>
          </cell>
          <cell r="M156">
            <v>23.82</v>
          </cell>
        </row>
        <row r="157">
          <cell r="C157" t="str">
            <v>25066</v>
          </cell>
          <cell r="D157" t="str">
            <v>J.P. WISER'S VANILLA WHISKY</v>
          </cell>
          <cell r="E157" t="str">
            <v>CORBY SPIRIT AND WINE LIMITED</v>
          </cell>
          <cell r="F157" t="str">
            <v>750</v>
          </cell>
          <cell r="G157">
            <v>35</v>
          </cell>
          <cell r="H157">
            <v>12</v>
          </cell>
          <cell r="I157" t="str">
            <v>3237</v>
          </cell>
          <cell r="L157">
            <v>1</v>
          </cell>
          <cell r="M157">
            <v>23.82</v>
          </cell>
        </row>
        <row r="158">
          <cell r="C158" t="str">
            <v>13845</v>
          </cell>
          <cell r="D158" t="str">
            <v>SPICEBOX SPICED WHISKY</v>
          </cell>
          <cell r="E158" t="str">
            <v>MAISON DES FUTAILLES</v>
          </cell>
          <cell r="F158" t="str">
            <v>750</v>
          </cell>
          <cell r="G158">
            <v>35</v>
          </cell>
          <cell r="H158">
            <v>12</v>
          </cell>
          <cell r="I158" t="str">
            <v>205873</v>
          </cell>
          <cell r="L158">
            <v>1</v>
          </cell>
          <cell r="M158">
            <v>23.99</v>
          </cell>
        </row>
        <row r="159">
          <cell r="C159" t="str">
            <v>35079</v>
          </cell>
          <cell r="D159" t="str">
            <v>WAYNE GRETZKY MAPLE CASK WHISKY</v>
          </cell>
          <cell r="E159" t="str">
            <v>ANDREW PELLER LIMITED</v>
          </cell>
          <cell r="F159" t="str">
            <v>750</v>
          </cell>
          <cell r="G159">
            <v>40</v>
          </cell>
          <cell r="H159">
            <v>6</v>
          </cell>
          <cell r="I159" t="str">
            <v>4095</v>
          </cell>
          <cell r="L159">
            <v>1</v>
          </cell>
          <cell r="M159">
            <v>32.01</v>
          </cell>
        </row>
        <row r="160">
          <cell r="C160" t="str">
            <v>45264</v>
          </cell>
          <cell r="D160" t="str">
            <v>WAYNE GRETZKY WHISKY SOUR</v>
          </cell>
          <cell r="E160" t="str">
            <v>ANDREW PELLER LIMITED</v>
          </cell>
          <cell r="F160" t="str">
            <v>750</v>
          </cell>
          <cell r="G160">
            <v>30</v>
          </cell>
          <cell r="H160">
            <v>6</v>
          </cell>
          <cell r="I160" t="str">
            <v>4095</v>
          </cell>
          <cell r="L160">
            <v>1</v>
          </cell>
          <cell r="M160">
            <v>28.02</v>
          </cell>
        </row>
        <row r="161">
          <cell r="C161" t="str">
            <v>43022</v>
          </cell>
          <cell r="D161" t="str">
            <v>REVEL STOKE SON OF A PEACH</v>
          </cell>
          <cell r="E161" t="str">
            <v>PHILLIPS DISTILLING COMPANY</v>
          </cell>
          <cell r="F161" t="str">
            <v>750</v>
          </cell>
          <cell r="G161">
            <v>35</v>
          </cell>
          <cell r="H161">
            <v>12</v>
          </cell>
          <cell r="I161" t="str">
            <v>1338</v>
          </cell>
          <cell r="L161">
            <v>1</v>
          </cell>
          <cell r="M161">
            <v>24.48</v>
          </cell>
        </row>
        <row r="162">
          <cell r="C162" t="str">
            <v>34753</v>
          </cell>
          <cell r="D162" t="str">
            <v>JACK DANIEL'S TENNESSEE APPLE</v>
          </cell>
          <cell r="E162" t="str">
            <v>BROWN-FORMAN BEVERAGES</v>
          </cell>
          <cell r="F162" t="str">
            <v>750</v>
          </cell>
          <cell r="G162">
            <v>35</v>
          </cell>
          <cell r="H162">
            <v>12</v>
          </cell>
          <cell r="I162" t="str">
            <v>1230</v>
          </cell>
          <cell r="L162">
            <v>1</v>
          </cell>
          <cell r="M162">
            <v>32.369999999999997</v>
          </cell>
        </row>
        <row r="163">
          <cell r="C163" t="str">
            <v>33438</v>
          </cell>
          <cell r="D163" t="str">
            <v>REVEL STOKE PEANUT BUTTER WHISKY</v>
          </cell>
          <cell r="E163" t="str">
            <v>PHILLIPS DISTILLING COMPANY</v>
          </cell>
          <cell r="F163" t="str">
            <v>750</v>
          </cell>
          <cell r="G163">
            <v>35</v>
          </cell>
          <cell r="H163">
            <v>12</v>
          </cell>
          <cell r="I163" t="str">
            <v>1338</v>
          </cell>
          <cell r="L163">
            <v>1</v>
          </cell>
          <cell r="M163">
            <v>21.91</v>
          </cell>
        </row>
        <row r="164">
          <cell r="C164" t="str">
            <v>21005</v>
          </cell>
          <cell r="D164" t="str">
            <v>REVEL STOKE ROASTED PECAN WHISKEY</v>
          </cell>
          <cell r="E164" t="str">
            <v>PHILLIPS DISTILLING COMPANY</v>
          </cell>
          <cell r="F164" t="str">
            <v>750</v>
          </cell>
          <cell r="G164">
            <v>35</v>
          </cell>
          <cell r="H164">
            <v>12</v>
          </cell>
          <cell r="I164" t="str">
            <v>1338</v>
          </cell>
          <cell r="L164">
            <v>1</v>
          </cell>
          <cell r="M164">
            <v>21.91</v>
          </cell>
        </row>
        <row r="165">
          <cell r="C165" t="str">
            <v>25936</v>
          </cell>
          <cell r="D165" t="str">
            <v>REVEL STOKE ROOT OF EVIL</v>
          </cell>
          <cell r="E165" t="str">
            <v>PHILLIPS DISTILLING COMPANY</v>
          </cell>
          <cell r="F165" t="str">
            <v>750</v>
          </cell>
          <cell r="G165">
            <v>35</v>
          </cell>
          <cell r="H165">
            <v>12</v>
          </cell>
          <cell r="I165" t="str">
            <v>1338</v>
          </cell>
          <cell r="L165">
            <v>1</v>
          </cell>
          <cell r="M165">
            <v>23.98</v>
          </cell>
        </row>
        <row r="166">
          <cell r="C166" t="str">
            <v>37416</v>
          </cell>
          <cell r="D166" t="str">
            <v>SKREWBALL PEANUT BUTTER WHISKEY</v>
          </cell>
          <cell r="E166" t="str">
            <v>INFINIUM</v>
          </cell>
          <cell r="F166" t="str">
            <v>750</v>
          </cell>
          <cell r="G166">
            <v>35</v>
          </cell>
          <cell r="H166">
            <v>12</v>
          </cell>
          <cell r="I166" t="str">
            <v>3237</v>
          </cell>
          <cell r="L166">
            <v>1</v>
          </cell>
          <cell r="M166">
            <v>37.21</v>
          </cell>
        </row>
        <row r="167">
          <cell r="C167" t="str">
            <v>40884</v>
          </cell>
          <cell r="D167" t="str">
            <v>REVEL STOKE S'MOREGASM</v>
          </cell>
          <cell r="E167" t="str">
            <v>PHILLIPS DISTILLING COMPANY</v>
          </cell>
          <cell r="F167" t="str">
            <v>750</v>
          </cell>
          <cell r="G167">
            <v>35</v>
          </cell>
          <cell r="H167">
            <v>12</v>
          </cell>
          <cell r="I167" t="str">
            <v>1338</v>
          </cell>
          <cell r="L167">
            <v>1</v>
          </cell>
          <cell r="M167">
            <v>21.91</v>
          </cell>
        </row>
        <row r="168">
          <cell r="C168" t="str">
            <v>17995</v>
          </cell>
          <cell r="D168" t="str">
            <v>BASIL HAYDEN'S KENTUCKY BOURBON</v>
          </cell>
          <cell r="E168" t="str">
            <v>JIM BEAM BRANDS CO.</v>
          </cell>
          <cell r="F168" t="str">
            <v>750</v>
          </cell>
          <cell r="G168">
            <v>40</v>
          </cell>
          <cell r="H168">
            <v>6</v>
          </cell>
          <cell r="I168" t="str">
            <v>3242</v>
          </cell>
          <cell r="L168">
            <v>1</v>
          </cell>
          <cell r="M168">
            <v>57.03</v>
          </cell>
        </row>
        <row r="169">
          <cell r="C169" t="str">
            <v>15109</v>
          </cell>
          <cell r="D169" t="str">
            <v>BUFFALO TRACE  BOURBON</v>
          </cell>
          <cell r="E169" t="str">
            <v>BUFFALO TRACE DIST</v>
          </cell>
          <cell r="F169" t="str">
            <v>750</v>
          </cell>
          <cell r="G169">
            <v>45</v>
          </cell>
          <cell r="H169">
            <v>12</v>
          </cell>
          <cell r="I169" t="str">
            <v>1537</v>
          </cell>
          <cell r="L169">
            <v>1</v>
          </cell>
          <cell r="M169">
            <v>36.229999999999997</v>
          </cell>
        </row>
        <row r="170">
          <cell r="C170" t="str">
            <v>7501</v>
          </cell>
          <cell r="D170" t="str">
            <v>BULLEIT BOURBON FRONTIER WHISKEY</v>
          </cell>
          <cell r="E170" t="str">
            <v>BULLEIT DISTILLING COMPANY</v>
          </cell>
          <cell r="F170" t="str">
            <v>750</v>
          </cell>
          <cell r="G170">
            <v>45</v>
          </cell>
          <cell r="H170">
            <v>12</v>
          </cell>
          <cell r="I170" t="str">
            <v>3224</v>
          </cell>
          <cell r="L170">
            <v>1</v>
          </cell>
          <cell r="M170">
            <v>37.01</v>
          </cell>
        </row>
        <row r="171">
          <cell r="C171" t="str">
            <v>2816</v>
          </cell>
          <cell r="D171" t="str">
            <v>KNOB CREEK BOURBON</v>
          </cell>
          <cell r="E171" t="str">
            <v>JIM BEAM BRANDS CO.</v>
          </cell>
          <cell r="F171" t="str">
            <v>750</v>
          </cell>
          <cell r="G171">
            <v>50</v>
          </cell>
          <cell r="H171">
            <v>6</v>
          </cell>
          <cell r="I171" t="str">
            <v>3242</v>
          </cell>
          <cell r="L171">
            <v>1</v>
          </cell>
          <cell r="M171">
            <v>46.68</v>
          </cell>
        </row>
        <row r="172">
          <cell r="C172" t="str">
            <v>21080</v>
          </cell>
          <cell r="D172" t="str">
            <v>KNOB CREEK SMOKED MAPLE BOURBON</v>
          </cell>
          <cell r="E172" t="str">
            <v>JIM BEAM BRANDS CO.</v>
          </cell>
          <cell r="F172" t="str">
            <v>750</v>
          </cell>
          <cell r="G172">
            <v>45</v>
          </cell>
          <cell r="H172">
            <v>6</v>
          </cell>
          <cell r="I172" t="str">
            <v>3242</v>
          </cell>
          <cell r="L172">
            <v>1</v>
          </cell>
          <cell r="M172">
            <v>46.67</v>
          </cell>
        </row>
        <row r="173">
          <cell r="C173" t="str">
            <v>31101</v>
          </cell>
          <cell r="D173" t="str">
            <v>LEGENT BOURBON</v>
          </cell>
          <cell r="E173" t="str">
            <v>JIM BEAM BRANDS CO.</v>
          </cell>
          <cell r="F173" t="str">
            <v>750</v>
          </cell>
          <cell r="G173">
            <v>47</v>
          </cell>
          <cell r="H173">
            <v>6</v>
          </cell>
          <cell r="I173" t="str">
            <v>3242</v>
          </cell>
          <cell r="L173">
            <v>1</v>
          </cell>
          <cell r="M173">
            <v>50.17</v>
          </cell>
        </row>
        <row r="174">
          <cell r="C174" t="str">
            <v>27565</v>
          </cell>
          <cell r="D174" t="str">
            <v>MAKER'S MARK</v>
          </cell>
          <cell r="E174" t="str">
            <v>JIM BEAM BRANDS CO.</v>
          </cell>
          <cell r="F174" t="str">
            <v>375</v>
          </cell>
          <cell r="G174">
            <v>45</v>
          </cell>
          <cell r="H174">
            <v>12</v>
          </cell>
          <cell r="I174" t="str">
            <v>3242</v>
          </cell>
          <cell r="L174">
            <v>1</v>
          </cell>
          <cell r="M174">
            <v>19.11</v>
          </cell>
        </row>
        <row r="175">
          <cell r="C175" t="str">
            <v>8471</v>
          </cell>
          <cell r="D175" t="str">
            <v>MAKER'S MARK KENTUCKY STRAIGHT BOURBON</v>
          </cell>
          <cell r="E175" t="str">
            <v>MAKER'S MARK INC</v>
          </cell>
          <cell r="F175" t="str">
            <v>750</v>
          </cell>
          <cell r="G175">
            <v>45</v>
          </cell>
          <cell r="H175">
            <v>12</v>
          </cell>
          <cell r="I175" t="str">
            <v>3242</v>
          </cell>
          <cell r="L175">
            <v>1</v>
          </cell>
          <cell r="M175">
            <v>36.729999999999997</v>
          </cell>
        </row>
        <row r="176">
          <cell r="C176" t="str">
            <v>4561</v>
          </cell>
          <cell r="D176" t="str">
            <v>WILD TURKEY BOURBON 101</v>
          </cell>
          <cell r="E176" t="str">
            <v>CAMPARI AMERICA LLC</v>
          </cell>
          <cell r="F176" t="str">
            <v>750</v>
          </cell>
          <cell r="G176">
            <v>50.5</v>
          </cell>
          <cell r="H176">
            <v>12</v>
          </cell>
          <cell r="I176" t="str">
            <v>1041</v>
          </cell>
          <cell r="L176">
            <v>1</v>
          </cell>
          <cell r="M176">
            <v>36.51</v>
          </cell>
        </row>
        <row r="177">
          <cell r="C177" t="str">
            <v>29779</v>
          </cell>
          <cell r="D177" t="str">
            <v>WILD TURKEY LONGBRANCH</v>
          </cell>
          <cell r="E177" t="str">
            <v>CAMPARI AMERICA LLC</v>
          </cell>
          <cell r="F177" t="str">
            <v>750</v>
          </cell>
          <cell r="G177">
            <v>43</v>
          </cell>
          <cell r="H177">
            <v>6</v>
          </cell>
          <cell r="I177" t="str">
            <v>1041</v>
          </cell>
          <cell r="L177">
            <v>1</v>
          </cell>
          <cell r="M177">
            <v>47.01</v>
          </cell>
        </row>
        <row r="178">
          <cell r="C178" t="str">
            <v>23291</v>
          </cell>
          <cell r="D178" t="str">
            <v>1792 SMALL BATCH KENTUCKY BOURBON</v>
          </cell>
          <cell r="E178" t="str">
            <v>SAZERAC OF CANADA INC.</v>
          </cell>
          <cell r="F178" t="str">
            <v>750</v>
          </cell>
          <cell r="G178">
            <v>48.5</v>
          </cell>
          <cell r="H178">
            <v>6</v>
          </cell>
          <cell r="I178" t="str">
            <v>1537</v>
          </cell>
          <cell r="L178">
            <v>1</v>
          </cell>
          <cell r="M178">
            <v>46.14</v>
          </cell>
        </row>
        <row r="179">
          <cell r="C179" t="str">
            <v>43319</v>
          </cell>
          <cell r="D179" t="str">
            <v>ANGEL'S ENVY BOURBON</v>
          </cell>
          <cell r="E179" t="str">
            <v>LOUISVILLE DISTILLING COMPANY</v>
          </cell>
          <cell r="F179" t="str">
            <v>375</v>
          </cell>
          <cell r="G179">
            <v>43.3</v>
          </cell>
          <cell r="H179">
            <v>12</v>
          </cell>
          <cell r="I179" t="str">
            <v>3233</v>
          </cell>
          <cell r="L179">
            <v>1</v>
          </cell>
          <cell r="M179">
            <v>34.79</v>
          </cell>
        </row>
        <row r="180">
          <cell r="C180" t="str">
            <v>36897</v>
          </cell>
          <cell r="D180" t="str">
            <v>ANGEL'S ENVY BOURBON</v>
          </cell>
          <cell r="E180" t="str">
            <v>LOUISVILLE DISTILLING COMPANY</v>
          </cell>
          <cell r="F180" t="str">
            <v>750</v>
          </cell>
          <cell r="G180">
            <v>43.3</v>
          </cell>
          <cell r="H180">
            <v>6</v>
          </cell>
          <cell r="I180" t="str">
            <v>3233</v>
          </cell>
          <cell r="L180">
            <v>1</v>
          </cell>
          <cell r="M180">
            <v>64.58</v>
          </cell>
        </row>
        <row r="181">
          <cell r="C181" t="str">
            <v>38271</v>
          </cell>
          <cell r="D181" t="str">
            <v>BLACKENED WHISKEY</v>
          </cell>
          <cell r="E181" t="str">
            <v>SWEET AMBER DISTILLING COMPANY</v>
          </cell>
          <cell r="F181" t="str">
            <v>750</v>
          </cell>
          <cell r="G181">
            <v>45</v>
          </cell>
          <cell r="H181">
            <v>6</v>
          </cell>
          <cell r="I181" t="str">
            <v>205871</v>
          </cell>
          <cell r="L181">
            <v>1</v>
          </cell>
          <cell r="M181">
            <v>64.11</v>
          </cell>
        </row>
        <row r="182">
          <cell r="C182" t="str">
            <v>39716</v>
          </cell>
          <cell r="D182" t="str">
            <v>BROTHER'S BOND STRAIGHT BOURBON</v>
          </cell>
          <cell r="E182" t="str">
            <v>BROTHER'S BOND DISTILLING COMPANY LLC</v>
          </cell>
          <cell r="F182" t="str">
            <v>750</v>
          </cell>
          <cell r="G182">
            <v>40</v>
          </cell>
          <cell r="H182">
            <v>6</v>
          </cell>
          <cell r="I182" t="str">
            <v>87388</v>
          </cell>
          <cell r="L182">
            <v>1</v>
          </cell>
          <cell r="M182">
            <v>59.09</v>
          </cell>
        </row>
        <row r="183">
          <cell r="C183" t="str">
            <v>36906</v>
          </cell>
          <cell r="D183" t="str">
            <v>BULLEIT BOURBON FRONTIER WHISKEY</v>
          </cell>
          <cell r="E183" t="str">
            <v>BULLEIT DISTILLING COMPANY</v>
          </cell>
          <cell r="F183" t="str">
            <v>1750</v>
          </cell>
          <cell r="G183">
            <v>45</v>
          </cell>
          <cell r="H183">
            <v>6</v>
          </cell>
          <cell r="I183" t="str">
            <v>3224</v>
          </cell>
          <cell r="L183">
            <v>1</v>
          </cell>
          <cell r="M183">
            <v>62.04</v>
          </cell>
        </row>
        <row r="184">
          <cell r="C184" t="str">
            <v>18737</v>
          </cell>
          <cell r="D184" t="str">
            <v>FOUR ROSES 80 PROOF BOURBON</v>
          </cell>
          <cell r="E184" t="str">
            <v>FOUR ROSES DISTILLERY</v>
          </cell>
          <cell r="F184" t="str">
            <v>750</v>
          </cell>
          <cell r="G184">
            <v>40</v>
          </cell>
          <cell r="H184">
            <v>12</v>
          </cell>
          <cell r="I184" t="str">
            <v>140473</v>
          </cell>
          <cell r="L184">
            <v>1</v>
          </cell>
          <cell r="M184">
            <v>33.43</v>
          </cell>
        </row>
        <row r="185">
          <cell r="C185" t="str">
            <v>37586</v>
          </cell>
          <cell r="D185" t="str">
            <v>HOWLER HEAD KENTUCKY STRAIGHT BOURBON</v>
          </cell>
          <cell r="E185" t="str">
            <v>CATALYST SPIRITS</v>
          </cell>
          <cell r="F185" t="str">
            <v>750</v>
          </cell>
          <cell r="G185">
            <v>40</v>
          </cell>
          <cell r="H185">
            <v>12</v>
          </cell>
          <cell r="I185" t="str">
            <v>140473</v>
          </cell>
          <cell r="L185">
            <v>1</v>
          </cell>
          <cell r="M185">
            <v>38.090000000000003</v>
          </cell>
        </row>
        <row r="186">
          <cell r="C186" t="str">
            <v>6703</v>
          </cell>
          <cell r="D186" t="str">
            <v>JIM BEAM BLACK 7 YEAR OLD</v>
          </cell>
          <cell r="E186" t="str">
            <v>JIM BEAM BRANDS CO.</v>
          </cell>
          <cell r="F186" t="str">
            <v>750</v>
          </cell>
          <cell r="G186">
            <v>43</v>
          </cell>
          <cell r="H186">
            <v>12</v>
          </cell>
          <cell r="I186" t="str">
            <v>3242</v>
          </cell>
          <cell r="L186">
            <v>1</v>
          </cell>
          <cell r="M186">
            <v>32.450000000000003</v>
          </cell>
        </row>
        <row r="187">
          <cell r="C187" t="str">
            <v>15358</v>
          </cell>
          <cell r="D187" t="str">
            <v>JIM BEAM DEVIL'S CUT BOURBON</v>
          </cell>
          <cell r="E187" t="str">
            <v>JIM BEAM BRANDS CO.</v>
          </cell>
          <cell r="F187" t="str">
            <v>750</v>
          </cell>
          <cell r="G187">
            <v>45</v>
          </cell>
          <cell r="H187">
            <v>12</v>
          </cell>
          <cell r="I187" t="str">
            <v>3242</v>
          </cell>
          <cell r="L187">
            <v>1</v>
          </cell>
          <cell r="M187">
            <v>33.39</v>
          </cell>
        </row>
        <row r="188">
          <cell r="C188" t="str">
            <v>37094</v>
          </cell>
          <cell r="D188" t="str">
            <v>MAKER'S MARK</v>
          </cell>
          <cell r="E188" t="str">
            <v>JIM BEAM BRANDS CO.</v>
          </cell>
          <cell r="F188" t="str">
            <v>1140</v>
          </cell>
          <cell r="G188">
            <v>45</v>
          </cell>
          <cell r="H188">
            <v>6</v>
          </cell>
          <cell r="I188" t="str">
            <v>3242</v>
          </cell>
          <cell r="L188">
            <v>1</v>
          </cell>
          <cell r="M188">
            <v>44.86</v>
          </cell>
        </row>
        <row r="189">
          <cell r="C189" t="str">
            <v>30713</v>
          </cell>
          <cell r="D189" t="str">
            <v>OLD FORESTER</v>
          </cell>
          <cell r="E189" t="str">
            <v>BROWN-FORMAN BEVERAGES</v>
          </cell>
          <cell r="F189" t="str">
            <v>750</v>
          </cell>
          <cell r="G189">
            <v>43</v>
          </cell>
          <cell r="H189">
            <v>12</v>
          </cell>
          <cell r="I189" t="str">
            <v>1230</v>
          </cell>
          <cell r="L189">
            <v>1</v>
          </cell>
          <cell r="M189">
            <v>30.95</v>
          </cell>
        </row>
        <row r="190">
          <cell r="C190" t="str">
            <v>40214</v>
          </cell>
          <cell r="D190" t="str">
            <v>RABBIT HOLE CAVEHILL BOURBON WHISKEY</v>
          </cell>
          <cell r="E190" t="str">
            <v>PERNOD INTERNATIONAL DIVISION</v>
          </cell>
          <cell r="F190" t="str">
            <v>750</v>
          </cell>
          <cell r="G190">
            <v>47.5</v>
          </cell>
          <cell r="H190">
            <v>6</v>
          </cell>
          <cell r="I190" t="str">
            <v>3237</v>
          </cell>
          <cell r="L190">
            <v>1</v>
          </cell>
          <cell r="M190">
            <v>56.4</v>
          </cell>
        </row>
        <row r="191">
          <cell r="C191" t="str">
            <v>4563</v>
          </cell>
          <cell r="D191" t="str">
            <v>WILD TURKEY KENTUCKY STRAIGHT BOURBON</v>
          </cell>
          <cell r="E191" t="str">
            <v>CAMPARI AMERICA LLC</v>
          </cell>
          <cell r="F191" t="str">
            <v>750</v>
          </cell>
          <cell r="G191">
            <v>40.5</v>
          </cell>
          <cell r="H191">
            <v>12</v>
          </cell>
          <cell r="I191" t="str">
            <v>1041</v>
          </cell>
          <cell r="L191">
            <v>1</v>
          </cell>
          <cell r="M191">
            <v>31.5</v>
          </cell>
        </row>
        <row r="192">
          <cell r="C192" t="str">
            <v>21751</v>
          </cell>
          <cell r="D192" t="str">
            <v>EVAN WILLIAMS BLACK LABEL BOURBON</v>
          </cell>
          <cell r="E192" t="str">
            <v>HEAVEN HILL INC.</v>
          </cell>
          <cell r="F192" t="str">
            <v>750</v>
          </cell>
          <cell r="G192">
            <v>43</v>
          </cell>
          <cell r="H192">
            <v>12</v>
          </cell>
          <cell r="I192" t="str">
            <v>194112</v>
          </cell>
          <cell r="L192">
            <v>1</v>
          </cell>
          <cell r="M192">
            <v>24.21</v>
          </cell>
        </row>
        <row r="193">
          <cell r="C193" t="str">
            <v>12642</v>
          </cell>
          <cell r="D193" t="str">
            <v>JIM BEAM BLACK CHERRY</v>
          </cell>
          <cell r="E193" t="str">
            <v>JIM BEAM BRANDS CO.</v>
          </cell>
          <cell r="F193" t="str">
            <v>750</v>
          </cell>
          <cell r="G193">
            <v>32.5</v>
          </cell>
          <cell r="H193">
            <v>12</v>
          </cell>
          <cell r="I193" t="str">
            <v>3242</v>
          </cell>
          <cell r="L193">
            <v>1</v>
          </cell>
          <cell r="M193">
            <v>26.17</v>
          </cell>
        </row>
        <row r="194">
          <cell r="C194" t="str">
            <v>28206</v>
          </cell>
          <cell r="D194" t="str">
            <v>JIM BEAM WHITE LABEL BOURBON</v>
          </cell>
          <cell r="E194" t="str">
            <v>JIM BEAM BRANDS CO.</v>
          </cell>
          <cell r="F194" t="str">
            <v>375</v>
          </cell>
          <cell r="G194">
            <v>40</v>
          </cell>
          <cell r="H194">
            <v>24</v>
          </cell>
          <cell r="I194" t="str">
            <v>3242</v>
          </cell>
          <cell r="L194">
            <v>1</v>
          </cell>
          <cell r="M194">
            <v>15.62</v>
          </cell>
        </row>
        <row r="195">
          <cell r="C195" t="str">
            <v>2749</v>
          </cell>
          <cell r="D195" t="str">
            <v>JIM BEAM WHITE LABEL BOURBON</v>
          </cell>
          <cell r="E195" t="str">
            <v>JIM BEAM BRANDS CO.</v>
          </cell>
          <cell r="F195" t="str">
            <v>750</v>
          </cell>
          <cell r="G195">
            <v>40</v>
          </cell>
          <cell r="H195">
            <v>12</v>
          </cell>
          <cell r="I195" t="str">
            <v>3242</v>
          </cell>
          <cell r="L195">
            <v>1</v>
          </cell>
          <cell r="M195">
            <v>26.21</v>
          </cell>
        </row>
        <row r="196">
          <cell r="C196" t="str">
            <v>2750</v>
          </cell>
          <cell r="D196" t="str">
            <v>JIM BEAM WHITE LABEL BOURBON</v>
          </cell>
          <cell r="E196" t="str">
            <v>JIM BEAM BRANDS CO.</v>
          </cell>
          <cell r="F196" t="str">
            <v>1140</v>
          </cell>
          <cell r="G196">
            <v>40</v>
          </cell>
          <cell r="H196">
            <v>8</v>
          </cell>
          <cell r="I196" t="str">
            <v>3242</v>
          </cell>
          <cell r="L196">
            <v>1</v>
          </cell>
          <cell r="M196">
            <v>36.32</v>
          </cell>
        </row>
        <row r="197">
          <cell r="C197" t="str">
            <v>23187</v>
          </cell>
          <cell r="D197" t="str">
            <v>JIM BEAM HONEY</v>
          </cell>
          <cell r="E197" t="str">
            <v>JIM BEAM BRANDS CO.</v>
          </cell>
          <cell r="F197" t="str">
            <v>750</v>
          </cell>
          <cell r="G197">
            <v>32.5</v>
          </cell>
          <cell r="H197">
            <v>12</v>
          </cell>
          <cell r="I197" t="str">
            <v>3242</v>
          </cell>
          <cell r="L197">
            <v>1</v>
          </cell>
          <cell r="M197">
            <v>30.31</v>
          </cell>
        </row>
        <row r="198">
          <cell r="C198" t="str">
            <v>45741</v>
          </cell>
          <cell r="D198" t="str">
            <v>JAMESON TRIPLE TRIPLE</v>
          </cell>
          <cell r="E198" t="str">
            <v>IRISH DISTILLERS INTERNATIONAL</v>
          </cell>
          <cell r="F198" t="str">
            <v>750</v>
          </cell>
          <cell r="G198">
            <v>40</v>
          </cell>
          <cell r="H198">
            <v>12</v>
          </cell>
          <cell r="I198" t="str">
            <v>3237</v>
          </cell>
          <cell r="L198">
            <v>1</v>
          </cell>
          <cell r="M198">
            <v>40.200000000000003</v>
          </cell>
        </row>
        <row r="199">
          <cell r="C199" t="str">
            <v>31549</v>
          </cell>
          <cell r="D199" t="str">
            <v>PROPER NO. TWELVE IRISH WHISKEY</v>
          </cell>
          <cell r="E199" t="str">
            <v>THE OLD BUSHMILLS DISTLLERY</v>
          </cell>
          <cell r="F199" t="str">
            <v>750</v>
          </cell>
          <cell r="G199">
            <v>40</v>
          </cell>
          <cell r="H199">
            <v>12</v>
          </cell>
          <cell r="I199" t="str">
            <v>128699</v>
          </cell>
          <cell r="L199">
            <v>1</v>
          </cell>
          <cell r="M199">
            <v>34.61</v>
          </cell>
        </row>
        <row r="200">
          <cell r="C200" t="str">
            <v>39022</v>
          </cell>
          <cell r="D200" t="str">
            <v>PROPER NO. TWELVE IRISH WHISKEY</v>
          </cell>
          <cell r="E200" t="str">
            <v>THE OLD BUSHMILLS DISTLLERY</v>
          </cell>
          <cell r="F200" t="str">
            <v>1750</v>
          </cell>
          <cell r="G200">
            <v>40</v>
          </cell>
          <cell r="H200">
            <v>6</v>
          </cell>
          <cell r="I200" t="str">
            <v>128699</v>
          </cell>
          <cell r="L200">
            <v>1</v>
          </cell>
          <cell r="M200">
            <v>66.03</v>
          </cell>
        </row>
        <row r="201">
          <cell r="C201" t="str">
            <v>37263</v>
          </cell>
          <cell r="D201" t="str">
            <v>ROE &amp; COE BLENDED IRISH WHISKEY</v>
          </cell>
          <cell r="E201" t="str">
            <v>DIAGEO CANADA INC.</v>
          </cell>
          <cell r="F201" t="str">
            <v>750</v>
          </cell>
          <cell r="G201">
            <v>45</v>
          </cell>
          <cell r="H201">
            <v>6</v>
          </cell>
          <cell r="I201" t="str">
            <v>3224</v>
          </cell>
          <cell r="L201">
            <v>1</v>
          </cell>
          <cell r="M201">
            <v>38</v>
          </cell>
        </row>
        <row r="202">
          <cell r="C202" t="str">
            <v>32310</v>
          </cell>
          <cell r="D202" t="str">
            <v>TEELING SMALL BATCH IRISH WHISKEY</v>
          </cell>
          <cell r="E202" t="str">
            <v>TEELING WHISKEY COMPANY</v>
          </cell>
          <cell r="F202" t="str">
            <v>750</v>
          </cell>
          <cell r="G202">
            <v>46</v>
          </cell>
          <cell r="H202">
            <v>6</v>
          </cell>
          <cell r="I202" t="str">
            <v>3233</v>
          </cell>
          <cell r="L202">
            <v>1</v>
          </cell>
          <cell r="M202">
            <v>45.25</v>
          </cell>
        </row>
        <row r="203">
          <cell r="C203" t="str">
            <v>40206</v>
          </cell>
          <cell r="D203" t="str">
            <v>ANGEL'S ENVY RYE CASK</v>
          </cell>
          <cell r="E203" t="str">
            <v>LOUISVILLE DISTILLING COMPANY</v>
          </cell>
          <cell r="F203" t="str">
            <v>750</v>
          </cell>
          <cell r="G203">
            <v>50</v>
          </cell>
          <cell r="H203">
            <v>6</v>
          </cell>
          <cell r="I203" t="str">
            <v>3233</v>
          </cell>
          <cell r="L203">
            <v>1</v>
          </cell>
          <cell r="M203">
            <v>73.75</v>
          </cell>
        </row>
        <row r="204">
          <cell r="C204" t="str">
            <v>34594</v>
          </cell>
          <cell r="D204" t="str">
            <v>JOHNNIE WALKER BLACK LABEL</v>
          </cell>
          <cell r="E204" t="str">
            <v>W H MALCOLMS</v>
          </cell>
          <cell r="F204" t="str">
            <v>1140</v>
          </cell>
          <cell r="G204">
            <v>40</v>
          </cell>
          <cell r="H204">
            <v>6</v>
          </cell>
          <cell r="I204" t="str">
            <v>3224</v>
          </cell>
          <cell r="L204">
            <v>1</v>
          </cell>
          <cell r="M204">
            <v>63.02</v>
          </cell>
        </row>
        <row r="205">
          <cell r="C205" t="str">
            <v>43395</v>
          </cell>
          <cell r="D205" t="str">
            <v>TRAVELLER BLEND NO. 40</v>
          </cell>
          <cell r="E205" t="str">
            <v>SAZERAC COMPANY INC</v>
          </cell>
          <cell r="F205" t="str">
            <v>750</v>
          </cell>
          <cell r="G205">
            <v>45</v>
          </cell>
          <cell r="H205">
            <v>12</v>
          </cell>
          <cell r="I205" t="str">
            <v>1537</v>
          </cell>
          <cell r="L205">
            <v>1</v>
          </cell>
          <cell r="M205">
            <v>45.77</v>
          </cell>
        </row>
        <row r="206">
          <cell r="C206" t="str">
            <v>23062</v>
          </cell>
          <cell r="D206" t="str">
            <v>AUCHENTOSHAN AMERICAN OAK</v>
          </cell>
          <cell r="E206" t="str">
            <v>MORRISON BOWMORE DISTILLERS</v>
          </cell>
          <cell r="F206" t="str">
            <v>750</v>
          </cell>
          <cell r="G206">
            <v>40</v>
          </cell>
          <cell r="H206">
            <v>6</v>
          </cell>
          <cell r="I206" t="str">
            <v>3242</v>
          </cell>
          <cell r="L206">
            <v>1</v>
          </cell>
          <cell r="M206">
            <v>44.34</v>
          </cell>
        </row>
        <row r="207">
          <cell r="C207" t="str">
            <v>46738</v>
          </cell>
          <cell r="D207" t="str">
            <v>CLYNELISH 18 YEAR OLD SPECIAL RELEASE 25</v>
          </cell>
          <cell r="E207" t="str">
            <v>DIAGEO CANADA INC.</v>
          </cell>
          <cell r="F207" t="str">
            <v>750</v>
          </cell>
          <cell r="G207">
            <v>51.6</v>
          </cell>
          <cell r="H207">
            <v>6</v>
          </cell>
          <cell r="I207" t="str">
            <v>3224</v>
          </cell>
          <cell r="L207">
            <v>1</v>
          </cell>
          <cell r="M207">
            <v>261.01</v>
          </cell>
        </row>
        <row r="208">
          <cell r="C208" t="str">
            <v>46742</v>
          </cell>
          <cell r="D208" t="str">
            <v>ROSEISLE 14 YEAR OLD SPECIAL RELEASE 25</v>
          </cell>
          <cell r="E208" t="str">
            <v>DIAGEO CANADA INC.</v>
          </cell>
          <cell r="F208" t="str">
            <v>750</v>
          </cell>
          <cell r="G208">
            <v>55.9</v>
          </cell>
          <cell r="H208">
            <v>6</v>
          </cell>
          <cell r="I208" t="str">
            <v>3224</v>
          </cell>
          <cell r="L208">
            <v>1</v>
          </cell>
          <cell r="M208">
            <v>172.01</v>
          </cell>
        </row>
        <row r="209">
          <cell r="C209" t="str">
            <v>46743</v>
          </cell>
          <cell r="D209" t="str">
            <v>SINGLETON OF GLEN ORD 17 YEAR OLD</v>
          </cell>
          <cell r="E209" t="str">
            <v>DIAGEO CANADA INC.</v>
          </cell>
          <cell r="F209" t="str">
            <v>750</v>
          </cell>
          <cell r="G209">
            <v>55.5</v>
          </cell>
          <cell r="H209">
            <v>6</v>
          </cell>
          <cell r="I209" t="str">
            <v>3224</v>
          </cell>
          <cell r="L209">
            <v>1</v>
          </cell>
          <cell r="M209">
            <v>217.01</v>
          </cell>
        </row>
        <row r="210">
          <cell r="C210" t="str">
            <v>37685</v>
          </cell>
          <cell r="D210" t="str">
            <v>SMOKEHEAD ISLAY SINGLE MALT SCOTCH</v>
          </cell>
          <cell r="E210" t="str">
            <v>IAN MacLEOD &amp; CO LTD</v>
          </cell>
          <cell r="F210" t="str">
            <v>700</v>
          </cell>
          <cell r="G210">
            <v>43</v>
          </cell>
          <cell r="H210">
            <v>6</v>
          </cell>
          <cell r="I210" t="str">
            <v>1382</v>
          </cell>
          <cell r="L210">
            <v>1</v>
          </cell>
          <cell r="M210">
            <v>57.91</v>
          </cell>
        </row>
        <row r="211">
          <cell r="C211" t="str">
            <v>12722</v>
          </cell>
          <cell r="D211" t="str">
            <v>ABERFELDY 12 YEAR OLD</v>
          </cell>
          <cell r="E211" t="str">
            <v>JOHN DEWAR &amp; SONS LTD</v>
          </cell>
          <cell r="F211" t="str">
            <v>750</v>
          </cell>
          <cell r="G211">
            <v>40</v>
          </cell>
          <cell r="H211">
            <v>6</v>
          </cell>
          <cell r="I211" t="str">
            <v>3233</v>
          </cell>
          <cell r="L211">
            <v>1</v>
          </cell>
          <cell r="M211">
            <v>70</v>
          </cell>
        </row>
        <row r="212">
          <cell r="C212" t="str">
            <v>6179</v>
          </cell>
          <cell r="D212" t="str">
            <v>ANCNOC 12 YEAR OLD SCOTCH</v>
          </cell>
          <cell r="E212" t="str">
            <v>INVER HOUSE DISTILLERS LTD</v>
          </cell>
          <cell r="F212" t="str">
            <v>700</v>
          </cell>
          <cell r="G212">
            <v>40</v>
          </cell>
          <cell r="H212">
            <v>6</v>
          </cell>
          <cell r="I212" t="str">
            <v>3245</v>
          </cell>
          <cell r="L212">
            <v>1</v>
          </cell>
          <cell r="M212">
            <v>54.9</v>
          </cell>
        </row>
        <row r="213">
          <cell r="C213" t="str">
            <v>7371</v>
          </cell>
          <cell r="D213" t="str">
            <v>AUCHENTOSHAN 12 YEAR OLD  LOWLAND</v>
          </cell>
          <cell r="E213" t="str">
            <v>MORRISON BOWMORE DISTILLERS</v>
          </cell>
          <cell r="F213" t="str">
            <v>750</v>
          </cell>
          <cell r="G213">
            <v>40</v>
          </cell>
          <cell r="H213">
            <v>6</v>
          </cell>
          <cell r="I213" t="str">
            <v>3242</v>
          </cell>
          <cell r="L213">
            <v>1</v>
          </cell>
          <cell r="M213">
            <v>49.39</v>
          </cell>
        </row>
        <row r="214">
          <cell r="C214" t="str">
            <v>4328</v>
          </cell>
          <cell r="D214" t="str">
            <v>BALVENIE DOUBLEWOOD 12 YR-WM GRANT</v>
          </cell>
          <cell r="E214" t="str">
            <v>WILLIAM GRANT &amp; SONS LTD UK</v>
          </cell>
          <cell r="F214" t="str">
            <v>750</v>
          </cell>
          <cell r="G214">
            <v>40</v>
          </cell>
          <cell r="H214">
            <v>6</v>
          </cell>
          <cell r="I214" t="str">
            <v>3243</v>
          </cell>
          <cell r="L214">
            <v>1</v>
          </cell>
          <cell r="M214">
            <v>86.94</v>
          </cell>
        </row>
        <row r="215">
          <cell r="C215" t="str">
            <v>1445</v>
          </cell>
          <cell r="D215" t="str">
            <v>BOWMORE 12 YEAR OLD ISLAY</v>
          </cell>
          <cell r="E215" t="str">
            <v>MORRISON BOWMORE DISTILLERS</v>
          </cell>
          <cell r="F215" t="str">
            <v>750</v>
          </cell>
          <cell r="G215">
            <v>40</v>
          </cell>
          <cell r="H215">
            <v>6</v>
          </cell>
          <cell r="I215" t="str">
            <v>3242</v>
          </cell>
          <cell r="L215">
            <v>1</v>
          </cell>
          <cell r="M215">
            <v>60.62</v>
          </cell>
        </row>
        <row r="216">
          <cell r="C216" t="str">
            <v>7407</v>
          </cell>
          <cell r="D216" t="str">
            <v>BOWMORE 15 YEAR OLD ISLAY</v>
          </cell>
          <cell r="E216" t="str">
            <v>MORRISON BOWMORE DISTILLERS</v>
          </cell>
          <cell r="F216" t="str">
            <v>750</v>
          </cell>
          <cell r="G216">
            <v>43</v>
          </cell>
          <cell r="H216">
            <v>6</v>
          </cell>
          <cell r="I216" t="str">
            <v>3242</v>
          </cell>
          <cell r="L216">
            <v>1</v>
          </cell>
          <cell r="M216">
            <v>93.13</v>
          </cell>
        </row>
        <row r="217">
          <cell r="C217" t="str">
            <v>2045</v>
          </cell>
          <cell r="D217" t="str">
            <v>CHIVAS REGAL 12 YEAR OLD</v>
          </cell>
          <cell r="E217" t="str">
            <v>CHIVAS AND GLENLIVET GROUP</v>
          </cell>
          <cell r="F217" t="str">
            <v>750</v>
          </cell>
          <cell r="G217">
            <v>40</v>
          </cell>
          <cell r="H217">
            <v>12</v>
          </cell>
          <cell r="I217" t="str">
            <v>3237</v>
          </cell>
          <cell r="L217">
            <v>1</v>
          </cell>
          <cell r="M217">
            <v>47.02</v>
          </cell>
        </row>
        <row r="218">
          <cell r="C218" t="str">
            <v>2046</v>
          </cell>
          <cell r="D218" t="str">
            <v>CHIVAS REGAL 12 YEAR OLD</v>
          </cell>
          <cell r="E218" t="str">
            <v>CHIVAS AND GLENLIVET GROUP</v>
          </cell>
          <cell r="F218" t="str">
            <v>1140</v>
          </cell>
          <cell r="G218">
            <v>40</v>
          </cell>
          <cell r="H218">
            <v>6</v>
          </cell>
          <cell r="I218" t="str">
            <v>3237</v>
          </cell>
          <cell r="L218">
            <v>1</v>
          </cell>
          <cell r="M218">
            <v>63.02</v>
          </cell>
        </row>
        <row r="219">
          <cell r="C219" t="str">
            <v>2189</v>
          </cell>
          <cell r="D219" t="str">
            <v>DALWHINNIE 15YR HIGH</v>
          </cell>
          <cell r="E219" t="str">
            <v>JAMES BUCHANAN &amp; CO LTD</v>
          </cell>
          <cell r="F219" t="str">
            <v>750</v>
          </cell>
          <cell r="G219">
            <v>43</v>
          </cell>
          <cell r="H219">
            <v>6</v>
          </cell>
          <cell r="I219" t="str">
            <v>3224</v>
          </cell>
          <cell r="L219">
            <v>1</v>
          </cell>
          <cell r="M219">
            <v>96.01</v>
          </cell>
        </row>
        <row r="220">
          <cell r="C220" t="str">
            <v>6786</v>
          </cell>
          <cell r="D220" t="str">
            <v>GLENFARCLAS 15 YEAR OLD</v>
          </cell>
          <cell r="E220" t="str">
            <v>GLENFARCLAS DISTILLERY</v>
          </cell>
          <cell r="F220" t="str">
            <v>700</v>
          </cell>
          <cell r="G220">
            <v>46</v>
          </cell>
          <cell r="H220">
            <v>6</v>
          </cell>
          <cell r="I220" t="str">
            <v>3238</v>
          </cell>
          <cell r="L220">
            <v>1</v>
          </cell>
          <cell r="M220">
            <v>108.59</v>
          </cell>
        </row>
        <row r="221">
          <cell r="C221" t="str">
            <v>2450</v>
          </cell>
          <cell r="D221" t="str">
            <v>GLENFIDDICH 12 YEAR OLD</v>
          </cell>
          <cell r="E221" t="str">
            <v>WILLIAM GRANT &amp; SONS LTD UK</v>
          </cell>
          <cell r="F221" t="str">
            <v>375</v>
          </cell>
          <cell r="G221">
            <v>40</v>
          </cell>
          <cell r="H221">
            <v>24</v>
          </cell>
          <cell r="I221" t="str">
            <v>3243</v>
          </cell>
          <cell r="L221">
            <v>1</v>
          </cell>
          <cell r="M221">
            <v>31.99</v>
          </cell>
        </row>
        <row r="222">
          <cell r="C222" t="str">
            <v>2451</v>
          </cell>
          <cell r="D222" t="str">
            <v>GLENFIDDICH 12 YEAR OLD</v>
          </cell>
          <cell r="E222" t="str">
            <v>WILLIAM GRANT &amp; SONS LTD UK</v>
          </cell>
          <cell r="F222" t="str">
            <v>750</v>
          </cell>
          <cell r="G222">
            <v>40</v>
          </cell>
          <cell r="H222">
            <v>12</v>
          </cell>
          <cell r="I222" t="str">
            <v>3243</v>
          </cell>
          <cell r="L222">
            <v>1</v>
          </cell>
          <cell r="M222">
            <v>57.4</v>
          </cell>
        </row>
        <row r="223">
          <cell r="C223" t="str">
            <v>12338</v>
          </cell>
          <cell r="D223" t="str">
            <v>GLENFIDDICH 12 YEAR OLD</v>
          </cell>
          <cell r="E223" t="str">
            <v>WILLIAM GRANT &amp; SONS LTD UK</v>
          </cell>
          <cell r="F223" t="str">
            <v>1140</v>
          </cell>
          <cell r="G223">
            <v>40</v>
          </cell>
          <cell r="H223">
            <v>6</v>
          </cell>
          <cell r="I223" t="str">
            <v>3243</v>
          </cell>
          <cell r="L223">
            <v>1</v>
          </cell>
          <cell r="M223">
            <v>78.510000000000005</v>
          </cell>
        </row>
        <row r="224">
          <cell r="C224" t="str">
            <v>2459</v>
          </cell>
          <cell r="D224" t="str">
            <v>GLENFIDDICH SOLERA RESERVE</v>
          </cell>
          <cell r="E224" t="str">
            <v>WILLIAM GRANT &amp; SONS LTD UK</v>
          </cell>
          <cell r="F224" t="str">
            <v>750</v>
          </cell>
          <cell r="G224">
            <v>40</v>
          </cell>
          <cell r="H224">
            <v>6</v>
          </cell>
          <cell r="I224" t="str">
            <v>3243</v>
          </cell>
          <cell r="L224">
            <v>1</v>
          </cell>
          <cell r="M224">
            <v>78.38</v>
          </cell>
        </row>
        <row r="225">
          <cell r="C225" t="str">
            <v>22239</v>
          </cell>
          <cell r="D225" t="str">
            <v>GLENLIVET FOUNDERS RESERVE SCOTCH WHISKY</v>
          </cell>
          <cell r="E225" t="str">
            <v>CHIVAS BROTHERS LIMITED</v>
          </cell>
          <cell r="F225" t="str">
            <v>750</v>
          </cell>
          <cell r="G225">
            <v>40</v>
          </cell>
          <cell r="H225">
            <v>12</v>
          </cell>
          <cell r="I225" t="str">
            <v>3237</v>
          </cell>
          <cell r="L225">
            <v>1</v>
          </cell>
          <cell r="M225">
            <v>54.5</v>
          </cell>
        </row>
        <row r="226">
          <cell r="C226" t="str">
            <v>26045</v>
          </cell>
          <cell r="D226" t="str">
            <v>GLENLIVET FOUNDERS RESERVE SCOTCH WHISKY</v>
          </cell>
          <cell r="E226" t="str">
            <v>CHIVAS BROTHERS LIMITED</v>
          </cell>
          <cell r="F226" t="str">
            <v>1140</v>
          </cell>
          <cell r="G226">
            <v>40</v>
          </cell>
          <cell r="H226">
            <v>6</v>
          </cell>
          <cell r="I226" t="str">
            <v>3237</v>
          </cell>
          <cell r="L226">
            <v>1</v>
          </cell>
          <cell r="M226">
            <v>74.010000000000005</v>
          </cell>
        </row>
        <row r="227">
          <cell r="C227" t="str">
            <v>6007</v>
          </cell>
          <cell r="D227" t="str">
            <v>GLENLIVET FRENCH OAK RSV 15 YR</v>
          </cell>
          <cell r="E227" t="str">
            <v>CHIVAS BROTHERS LIMITED</v>
          </cell>
          <cell r="F227" t="str">
            <v>750</v>
          </cell>
          <cell r="G227">
            <v>40</v>
          </cell>
          <cell r="H227">
            <v>6</v>
          </cell>
          <cell r="I227" t="str">
            <v>3237</v>
          </cell>
          <cell r="L227">
            <v>1</v>
          </cell>
          <cell r="M227">
            <v>81.540000000000006</v>
          </cell>
        </row>
        <row r="228">
          <cell r="C228" t="str">
            <v>2641</v>
          </cell>
          <cell r="D228" t="str">
            <v>HIGHLAND PARK 12 YEAR OLD</v>
          </cell>
          <cell r="E228" t="str">
            <v>HIGHLAND DISTILLERS LTD</v>
          </cell>
          <cell r="F228" t="str">
            <v>750</v>
          </cell>
          <cell r="G228">
            <v>43</v>
          </cell>
          <cell r="H228">
            <v>6</v>
          </cell>
          <cell r="I228" t="str">
            <v>3242</v>
          </cell>
          <cell r="L228">
            <v>1</v>
          </cell>
          <cell r="M228">
            <v>70.48</v>
          </cell>
        </row>
        <row r="229">
          <cell r="C229" t="str">
            <v>2760</v>
          </cell>
          <cell r="D229" t="str">
            <v>JOHNNIE WALKER BLACK LABEL - 12 YO</v>
          </cell>
          <cell r="E229" t="str">
            <v>JOHN WALKER &amp; SONS LTD</v>
          </cell>
          <cell r="F229" t="str">
            <v>750</v>
          </cell>
          <cell r="G229">
            <v>40</v>
          </cell>
          <cell r="H229">
            <v>12</v>
          </cell>
          <cell r="I229" t="str">
            <v>3224</v>
          </cell>
          <cell r="L229">
            <v>1</v>
          </cell>
          <cell r="M229">
            <v>47.01</v>
          </cell>
        </row>
        <row r="230">
          <cell r="C230" t="str">
            <v>2761</v>
          </cell>
          <cell r="D230" t="str">
            <v>JOHNNIE WALKER BLUE LABEL</v>
          </cell>
          <cell r="E230" t="str">
            <v>JOHN WALKER &amp; SONS LTD</v>
          </cell>
          <cell r="F230" t="str">
            <v>750</v>
          </cell>
          <cell r="G230">
            <v>40</v>
          </cell>
          <cell r="H230">
            <v>6</v>
          </cell>
          <cell r="I230" t="str">
            <v>3224</v>
          </cell>
          <cell r="L230">
            <v>1</v>
          </cell>
          <cell r="M230">
            <v>275.01</v>
          </cell>
        </row>
        <row r="231">
          <cell r="C231" t="str">
            <v>21940</v>
          </cell>
          <cell r="D231" t="str">
            <v>JOHNNIE WALKER GREEN LABEL</v>
          </cell>
          <cell r="E231" t="str">
            <v>JOHN WALKER &amp; SONS LTD</v>
          </cell>
          <cell r="F231" t="str">
            <v>750</v>
          </cell>
          <cell r="G231">
            <v>43</v>
          </cell>
          <cell r="H231">
            <v>6</v>
          </cell>
          <cell r="I231" t="str">
            <v>3224</v>
          </cell>
          <cell r="L231">
            <v>1</v>
          </cell>
          <cell r="M231">
            <v>80.010000000000005</v>
          </cell>
        </row>
        <row r="232">
          <cell r="C232" t="str">
            <v>22339</v>
          </cell>
          <cell r="D232" t="str">
            <v>JURA ORIGIN 10 YEAR OLD</v>
          </cell>
          <cell r="E232" t="str">
            <v>WHYTE AND MACKAY LTD.</v>
          </cell>
          <cell r="F232" t="str">
            <v>750</v>
          </cell>
          <cell r="G232">
            <v>43</v>
          </cell>
          <cell r="H232">
            <v>6</v>
          </cell>
          <cell r="I232" t="str">
            <v>1009</v>
          </cell>
          <cell r="L232">
            <v>1</v>
          </cell>
          <cell r="M232">
            <v>61.51</v>
          </cell>
        </row>
        <row r="233">
          <cell r="C233" t="str">
            <v>2923</v>
          </cell>
          <cell r="D233" t="str">
            <v>LAGAVULIN 16 YEAR OLD</v>
          </cell>
          <cell r="E233" t="str">
            <v>WHITE HORSE DISTILLERS LTD</v>
          </cell>
          <cell r="F233" t="str">
            <v>750</v>
          </cell>
          <cell r="G233">
            <v>43</v>
          </cell>
          <cell r="H233">
            <v>6</v>
          </cell>
          <cell r="I233" t="str">
            <v>3224</v>
          </cell>
          <cell r="L233">
            <v>1</v>
          </cell>
          <cell r="M233">
            <v>130.01</v>
          </cell>
        </row>
        <row r="234">
          <cell r="C234" t="str">
            <v>2949</v>
          </cell>
          <cell r="D234" t="str">
            <v>LAPHROAIG ISLAY 10 YEAR OLD</v>
          </cell>
          <cell r="E234" t="str">
            <v>LAPHROAIG DISTILLERY</v>
          </cell>
          <cell r="F234" t="str">
            <v>750</v>
          </cell>
          <cell r="G234">
            <v>40</v>
          </cell>
          <cell r="H234">
            <v>12</v>
          </cell>
          <cell r="I234" t="str">
            <v>3242</v>
          </cell>
          <cell r="L234">
            <v>1</v>
          </cell>
          <cell r="M234">
            <v>72.23</v>
          </cell>
        </row>
        <row r="235">
          <cell r="C235" t="str">
            <v>6962</v>
          </cell>
          <cell r="D235" t="str">
            <v>LAPHROAIG ISLAY QUARTER CASK</v>
          </cell>
          <cell r="E235" t="str">
            <v>LAPHROAIG DISTILLERY</v>
          </cell>
          <cell r="F235" t="str">
            <v>750</v>
          </cell>
          <cell r="G235">
            <v>48</v>
          </cell>
          <cell r="H235">
            <v>6</v>
          </cell>
          <cell r="I235" t="str">
            <v>3242</v>
          </cell>
          <cell r="L235">
            <v>1</v>
          </cell>
          <cell r="M235">
            <v>78.650000000000006</v>
          </cell>
        </row>
        <row r="236">
          <cell r="C236" t="str">
            <v>26188</v>
          </cell>
          <cell r="D236" t="str">
            <v>LAPHROAIG SELECT</v>
          </cell>
          <cell r="E236" t="str">
            <v>MORRISON BOWMORE DISTILLERS</v>
          </cell>
          <cell r="F236" t="str">
            <v>750</v>
          </cell>
          <cell r="G236">
            <v>40</v>
          </cell>
          <cell r="H236">
            <v>6</v>
          </cell>
          <cell r="I236" t="str">
            <v>3242</v>
          </cell>
          <cell r="L236">
            <v>1</v>
          </cell>
          <cell r="M236">
            <v>58.15</v>
          </cell>
        </row>
        <row r="237">
          <cell r="C237" t="str">
            <v>3419</v>
          </cell>
          <cell r="D237" t="str">
            <v>OBAN 14 YEAR OLD</v>
          </cell>
          <cell r="E237" t="str">
            <v>UNITED DISTILLERS GROUP</v>
          </cell>
          <cell r="F237" t="str">
            <v>750</v>
          </cell>
          <cell r="G237">
            <v>43</v>
          </cell>
          <cell r="H237">
            <v>6</v>
          </cell>
          <cell r="I237" t="str">
            <v>3224</v>
          </cell>
          <cell r="L237">
            <v>1</v>
          </cell>
          <cell r="M237">
            <v>130.01</v>
          </cell>
        </row>
        <row r="238">
          <cell r="C238" t="str">
            <v>32365</v>
          </cell>
          <cell r="D238" t="str">
            <v>OLD PULTENEY 12 YEAR OLD</v>
          </cell>
          <cell r="E238" t="str">
            <v>INVER HOUSE DISTILLERS LTD</v>
          </cell>
          <cell r="F238" t="str">
            <v>750</v>
          </cell>
          <cell r="G238">
            <v>40</v>
          </cell>
          <cell r="H238">
            <v>6</v>
          </cell>
          <cell r="I238" t="str">
            <v>3245</v>
          </cell>
          <cell r="L238">
            <v>1</v>
          </cell>
          <cell r="M238">
            <v>58.1</v>
          </cell>
        </row>
        <row r="239">
          <cell r="C239" t="str">
            <v>22181</v>
          </cell>
          <cell r="D239" t="str">
            <v>THE SINGLETON OF DUFFTOWN 12 YEAR OLD</v>
          </cell>
          <cell r="E239" t="str">
            <v>DIAGEO SCOTLAND</v>
          </cell>
          <cell r="F239" t="str">
            <v>750</v>
          </cell>
          <cell r="G239">
            <v>40</v>
          </cell>
          <cell r="H239">
            <v>6</v>
          </cell>
          <cell r="I239" t="str">
            <v>3224</v>
          </cell>
          <cell r="L239">
            <v>1</v>
          </cell>
          <cell r="M239">
            <v>47</v>
          </cell>
        </row>
        <row r="240">
          <cell r="C240" t="str">
            <v>45738</v>
          </cell>
          <cell r="D240" t="str">
            <v>BOWMORE SHERRY OAK 12 YEAR OLD</v>
          </cell>
          <cell r="E240" t="str">
            <v>ALBERTA DISTILLERS LTD</v>
          </cell>
          <cell r="F240" t="str">
            <v>700</v>
          </cell>
          <cell r="G240">
            <v>40</v>
          </cell>
          <cell r="H240">
            <v>6</v>
          </cell>
          <cell r="I240" t="str">
            <v>3242</v>
          </cell>
          <cell r="L240">
            <v>1</v>
          </cell>
          <cell r="M240">
            <v>77.290000000000006</v>
          </cell>
        </row>
        <row r="241">
          <cell r="C241" t="str">
            <v>14905</v>
          </cell>
          <cell r="D241" t="str">
            <v>ISLAY MIST 8 YEAR OLD</v>
          </cell>
          <cell r="E241" t="str">
            <v>MACDUFF INTERNATIONAL</v>
          </cell>
          <cell r="F241" t="str">
            <v>750</v>
          </cell>
          <cell r="G241">
            <v>40</v>
          </cell>
          <cell r="H241">
            <v>12</v>
          </cell>
          <cell r="I241" t="str">
            <v>1382</v>
          </cell>
          <cell r="L241">
            <v>1</v>
          </cell>
          <cell r="M241">
            <v>35.54</v>
          </cell>
        </row>
        <row r="242">
          <cell r="C242" t="str">
            <v>2767</v>
          </cell>
          <cell r="D242" t="str">
            <v>JOHNNIE WALKER RED LABEL</v>
          </cell>
          <cell r="E242" t="str">
            <v>JOHN WALKER &amp; SONS LTD</v>
          </cell>
          <cell r="F242" t="str">
            <v>750</v>
          </cell>
          <cell r="G242">
            <v>40</v>
          </cell>
          <cell r="H242">
            <v>12</v>
          </cell>
          <cell r="I242" t="str">
            <v>3224</v>
          </cell>
          <cell r="L242">
            <v>1</v>
          </cell>
          <cell r="M242">
            <v>28.02</v>
          </cell>
        </row>
        <row r="243">
          <cell r="C243" t="str">
            <v>2769</v>
          </cell>
          <cell r="D243" t="str">
            <v>JOHNNIE WALKER RED LABEL</v>
          </cell>
          <cell r="E243" t="str">
            <v>JOHN WALKER &amp; SONS LTD</v>
          </cell>
          <cell r="F243" t="str">
            <v>1140</v>
          </cell>
          <cell r="G243">
            <v>40</v>
          </cell>
          <cell r="H243">
            <v>6</v>
          </cell>
          <cell r="I243" t="str">
            <v>3224</v>
          </cell>
          <cell r="L243">
            <v>1</v>
          </cell>
          <cell r="M243">
            <v>37.53</v>
          </cell>
        </row>
        <row r="244">
          <cell r="C244" t="str">
            <v>27786</v>
          </cell>
          <cell r="D244" t="str">
            <v>JOHNNIE WALKER RED LABEL</v>
          </cell>
          <cell r="E244" t="str">
            <v>W H MALCOLMS</v>
          </cell>
          <cell r="F244" t="str">
            <v>1750</v>
          </cell>
          <cell r="G244">
            <v>40</v>
          </cell>
          <cell r="H244">
            <v>6</v>
          </cell>
          <cell r="I244" t="str">
            <v>3224</v>
          </cell>
          <cell r="L244">
            <v>1</v>
          </cell>
          <cell r="M244">
            <v>56.04</v>
          </cell>
        </row>
        <row r="245">
          <cell r="C245" t="str">
            <v>1236</v>
          </cell>
          <cell r="D245" t="str">
            <v>BALLANTINE'S FINEST</v>
          </cell>
          <cell r="E245" t="str">
            <v>ALLIED DISTILLERS LIMITED</v>
          </cell>
          <cell r="F245" t="str">
            <v>375</v>
          </cell>
          <cell r="G245">
            <v>40</v>
          </cell>
          <cell r="H245">
            <v>24</v>
          </cell>
          <cell r="I245" t="str">
            <v>3237</v>
          </cell>
          <cell r="L245">
            <v>1</v>
          </cell>
          <cell r="M245">
            <v>15.61</v>
          </cell>
        </row>
        <row r="246">
          <cell r="C246" t="str">
            <v>1237</v>
          </cell>
          <cell r="D246" t="str">
            <v>BALLANTINE'S FINEST</v>
          </cell>
          <cell r="E246" t="str">
            <v>ALLIED DISTILLERS LIMITED</v>
          </cell>
          <cell r="F246" t="str">
            <v>750</v>
          </cell>
          <cell r="G246">
            <v>40</v>
          </cell>
          <cell r="H246">
            <v>12</v>
          </cell>
          <cell r="I246" t="str">
            <v>3237</v>
          </cell>
          <cell r="L246">
            <v>1</v>
          </cell>
          <cell r="M246">
            <v>28.32</v>
          </cell>
        </row>
        <row r="247">
          <cell r="C247" t="str">
            <v>1239</v>
          </cell>
          <cell r="D247" t="str">
            <v>BALLANTINE'S FINEST</v>
          </cell>
          <cell r="E247" t="str">
            <v>ALLIED DISTILLERS LIMITED</v>
          </cell>
          <cell r="F247" t="str">
            <v>1140</v>
          </cell>
          <cell r="G247">
            <v>40</v>
          </cell>
          <cell r="H247">
            <v>6</v>
          </cell>
          <cell r="I247" t="str">
            <v>3237</v>
          </cell>
          <cell r="L247">
            <v>1</v>
          </cell>
          <cell r="M247">
            <v>38.04</v>
          </cell>
        </row>
        <row r="248">
          <cell r="C248" t="str">
            <v>1835</v>
          </cell>
          <cell r="D248" t="str">
            <v>CATTO'S RARE OLD</v>
          </cell>
          <cell r="E248" t="str">
            <v>INVER HOUSE DISTILLERS LTD</v>
          </cell>
          <cell r="F248" t="str">
            <v>1140</v>
          </cell>
          <cell r="G248">
            <v>40</v>
          </cell>
          <cell r="H248">
            <v>6</v>
          </cell>
          <cell r="I248" t="str">
            <v>3245</v>
          </cell>
          <cell r="L248">
            <v>1</v>
          </cell>
          <cell r="M248">
            <v>36.93</v>
          </cell>
        </row>
        <row r="249">
          <cell r="C249" t="str">
            <v>2206</v>
          </cell>
          <cell r="D249" t="str">
            <v>DEWAR'S WHITE LABEL</v>
          </cell>
          <cell r="E249" t="str">
            <v>JOHN DEWAR &amp; SONS LTD</v>
          </cell>
          <cell r="F249" t="str">
            <v>750</v>
          </cell>
          <cell r="G249">
            <v>40</v>
          </cell>
          <cell r="H249">
            <v>12</v>
          </cell>
          <cell r="I249" t="str">
            <v>3233</v>
          </cell>
          <cell r="L249">
            <v>1</v>
          </cell>
          <cell r="M249">
            <v>26</v>
          </cell>
        </row>
        <row r="250">
          <cell r="C250" t="str">
            <v>2207</v>
          </cell>
          <cell r="D250" t="str">
            <v>DEWAR'S WHITE LABEL</v>
          </cell>
          <cell r="E250" t="str">
            <v>JOHN DEWAR &amp; SONS LTD</v>
          </cell>
          <cell r="F250" t="str">
            <v>1140</v>
          </cell>
          <cell r="G250">
            <v>40</v>
          </cell>
          <cell r="H250">
            <v>6</v>
          </cell>
          <cell r="I250" t="str">
            <v>3233</v>
          </cell>
          <cell r="L250">
            <v>1</v>
          </cell>
          <cell r="M250">
            <v>37</v>
          </cell>
        </row>
        <row r="251">
          <cell r="C251" t="str">
            <v>2515</v>
          </cell>
          <cell r="D251" t="str">
            <v>GRANT'S FAMILY RESERVE</v>
          </cell>
          <cell r="E251" t="str">
            <v>WILLIAM GRANT &amp; SONS LTD UK</v>
          </cell>
          <cell r="F251" t="str">
            <v>750</v>
          </cell>
          <cell r="G251">
            <v>40</v>
          </cell>
          <cell r="H251">
            <v>12</v>
          </cell>
          <cell r="I251" t="str">
            <v>3243</v>
          </cell>
          <cell r="L251">
            <v>1</v>
          </cell>
          <cell r="M251">
            <v>25.97</v>
          </cell>
        </row>
        <row r="252">
          <cell r="C252" t="str">
            <v>2516</v>
          </cell>
          <cell r="D252" t="str">
            <v>GRANT'S FAMILY RESERVE</v>
          </cell>
          <cell r="E252" t="str">
            <v>WILLIAM GRANT &amp; SONS LTD UK</v>
          </cell>
          <cell r="F252" t="str">
            <v>1140</v>
          </cell>
          <cell r="G252">
            <v>40</v>
          </cell>
          <cell r="H252">
            <v>6</v>
          </cell>
          <cell r="I252" t="str">
            <v>3243</v>
          </cell>
          <cell r="L252">
            <v>1</v>
          </cell>
          <cell r="M252">
            <v>37.17</v>
          </cell>
        </row>
        <row r="253">
          <cell r="C253" t="str">
            <v>2714</v>
          </cell>
          <cell r="D253" t="str">
            <v>J &amp; B RARE</v>
          </cell>
          <cell r="E253" t="str">
            <v>DIAGEO CANADA INC.</v>
          </cell>
          <cell r="F253" t="str">
            <v>750</v>
          </cell>
          <cell r="G253">
            <v>40</v>
          </cell>
          <cell r="H253">
            <v>12</v>
          </cell>
          <cell r="I253" t="str">
            <v>3224</v>
          </cell>
          <cell r="L253">
            <v>1</v>
          </cell>
          <cell r="M253">
            <v>25.01</v>
          </cell>
        </row>
        <row r="254">
          <cell r="C254" t="str">
            <v>2716</v>
          </cell>
          <cell r="D254" t="str">
            <v>J &amp; B RARE</v>
          </cell>
          <cell r="E254" t="str">
            <v>DIAGEO CANADA INC.</v>
          </cell>
          <cell r="F254" t="str">
            <v>1140</v>
          </cell>
          <cell r="G254">
            <v>40</v>
          </cell>
          <cell r="H254">
            <v>6</v>
          </cell>
          <cell r="I254" t="str">
            <v>3224</v>
          </cell>
          <cell r="L254">
            <v>1</v>
          </cell>
          <cell r="M254">
            <v>35</v>
          </cell>
        </row>
        <row r="255">
          <cell r="C255" t="str">
            <v>11563</v>
          </cell>
          <cell r="D255" t="str">
            <v>AUCHENTOSHAN THREE WOOD</v>
          </cell>
          <cell r="E255" t="str">
            <v>MORRISON BOWMORE DISTILLERS</v>
          </cell>
          <cell r="F255" t="str">
            <v>750</v>
          </cell>
          <cell r="G255">
            <v>43</v>
          </cell>
          <cell r="H255">
            <v>6</v>
          </cell>
          <cell r="I255" t="str">
            <v>3242</v>
          </cell>
          <cell r="L255">
            <v>1</v>
          </cell>
          <cell r="M255">
            <v>69.430000000000007</v>
          </cell>
        </row>
        <row r="256">
          <cell r="C256" t="str">
            <v>22449</v>
          </cell>
          <cell r="D256" t="str">
            <v>GLENMORANGIE THE ORIGINAL</v>
          </cell>
          <cell r="E256" t="str">
            <v>GLENMORANGIE PLC</v>
          </cell>
          <cell r="F256" t="str">
            <v>750</v>
          </cell>
          <cell r="G256">
            <v>40</v>
          </cell>
          <cell r="H256">
            <v>6</v>
          </cell>
          <cell r="I256" t="str">
            <v>1535</v>
          </cell>
          <cell r="L256">
            <v>1</v>
          </cell>
          <cell r="M256">
            <v>64.989999999999995</v>
          </cell>
        </row>
        <row r="257">
          <cell r="C257" t="str">
            <v>26178</v>
          </cell>
          <cell r="D257" t="str">
            <v>MACALLAN 12 YEAR OLD DOUBLE CASK</v>
          </cell>
          <cell r="E257" t="str">
            <v>THE EDRINGTON GROUP</v>
          </cell>
          <cell r="F257" t="str">
            <v>750</v>
          </cell>
          <cell r="G257">
            <v>43</v>
          </cell>
          <cell r="H257">
            <v>12</v>
          </cell>
          <cell r="I257" t="str">
            <v>3242</v>
          </cell>
          <cell r="L257">
            <v>1</v>
          </cell>
          <cell r="M257">
            <v>100.88</v>
          </cell>
        </row>
        <row r="258">
          <cell r="C258" t="str">
            <v>24372</v>
          </cell>
          <cell r="D258" t="str">
            <v>MCCLELLAND HIGHLAND</v>
          </cell>
          <cell r="E258" t="str">
            <v>MORRISON BOWMORE DISTILLERS</v>
          </cell>
          <cell r="F258" t="str">
            <v>750</v>
          </cell>
          <cell r="G258">
            <v>40</v>
          </cell>
          <cell r="H258">
            <v>12</v>
          </cell>
          <cell r="I258" t="str">
            <v>3242</v>
          </cell>
          <cell r="L258">
            <v>1</v>
          </cell>
          <cell r="M258">
            <v>37.21</v>
          </cell>
        </row>
        <row r="259">
          <cell r="C259" t="str">
            <v>37236</v>
          </cell>
          <cell r="D259" t="str">
            <v>THE GLENLIVET CARIBBEAN RESERVE</v>
          </cell>
          <cell r="E259" t="str">
            <v>CHIVAS BROTHERS LIMITED</v>
          </cell>
          <cell r="F259" t="str">
            <v>750</v>
          </cell>
          <cell r="G259">
            <v>40</v>
          </cell>
          <cell r="H259">
            <v>6</v>
          </cell>
          <cell r="I259" t="str">
            <v>3237</v>
          </cell>
          <cell r="L259">
            <v>1</v>
          </cell>
          <cell r="M259">
            <v>54.5</v>
          </cell>
        </row>
        <row r="260">
          <cell r="C260" t="str">
            <v>14826</v>
          </cell>
          <cell r="D260" t="str">
            <v>DEANSTON VIRGIN OAK SCOTCH MALT</v>
          </cell>
          <cell r="E260" t="str">
            <v>CVH SPIRITS LTD</v>
          </cell>
          <cell r="F260" t="str">
            <v>750</v>
          </cell>
          <cell r="G260">
            <v>46.3</v>
          </cell>
          <cell r="H260">
            <v>6</v>
          </cell>
          <cell r="I260" t="str">
            <v>3243</v>
          </cell>
          <cell r="L260">
            <v>1</v>
          </cell>
          <cell r="M260">
            <v>48.93</v>
          </cell>
        </row>
        <row r="261">
          <cell r="C261" t="str">
            <v>43602</v>
          </cell>
          <cell r="D261" t="str">
            <v>GLENFIDDICH 18 YEAR OLD</v>
          </cell>
          <cell r="E261" t="str">
            <v>WILLIAM GRANT &amp; SONS LTD UK</v>
          </cell>
          <cell r="F261" t="str">
            <v>750</v>
          </cell>
          <cell r="G261">
            <v>40</v>
          </cell>
          <cell r="H261">
            <v>6</v>
          </cell>
          <cell r="I261" t="str">
            <v>3243</v>
          </cell>
          <cell r="L261">
            <v>1</v>
          </cell>
          <cell r="M261">
            <v>150.59</v>
          </cell>
        </row>
        <row r="262">
          <cell r="C262" t="str">
            <v>47486</v>
          </cell>
          <cell r="D262" t="str">
            <v>GLENMORANGIE NECTAR 16 YEAR OLD</v>
          </cell>
          <cell r="E262" t="str">
            <v>GLENMORANGIE PLC</v>
          </cell>
          <cell r="F262" t="str">
            <v>750</v>
          </cell>
          <cell r="G262">
            <v>46</v>
          </cell>
          <cell r="H262">
            <v>6</v>
          </cell>
          <cell r="I262" t="str">
            <v>1535</v>
          </cell>
          <cell r="L262">
            <v>1</v>
          </cell>
          <cell r="M262">
            <v>97.99</v>
          </cell>
        </row>
        <row r="263">
          <cell r="C263" t="str">
            <v>44578</v>
          </cell>
          <cell r="D263" t="str">
            <v>MORTLACH NAD</v>
          </cell>
          <cell r="E263" t="str">
            <v>DIAGEO CANADA INC.</v>
          </cell>
          <cell r="F263" t="str">
            <v>750</v>
          </cell>
          <cell r="G263">
            <v>57.5</v>
          </cell>
          <cell r="H263">
            <v>6</v>
          </cell>
          <cell r="I263" t="str">
            <v>3224</v>
          </cell>
          <cell r="L263">
            <v>1</v>
          </cell>
          <cell r="M263">
            <v>336.97</v>
          </cell>
        </row>
        <row r="264">
          <cell r="C264" t="str">
            <v>44100</v>
          </cell>
          <cell r="D264" t="str">
            <v>THE GLENLIVET 12 YEAR OLD</v>
          </cell>
          <cell r="E264" t="str">
            <v>CHIVAS BROTHERS LIMITED</v>
          </cell>
          <cell r="F264" t="str">
            <v>1750</v>
          </cell>
          <cell r="G264">
            <v>40</v>
          </cell>
          <cell r="H264">
            <v>6</v>
          </cell>
          <cell r="I264" t="str">
            <v>3237</v>
          </cell>
          <cell r="L264">
            <v>1</v>
          </cell>
          <cell r="M264">
            <v>119.33</v>
          </cell>
        </row>
        <row r="265">
          <cell r="C265" t="str">
            <v>32508</v>
          </cell>
          <cell r="D265" t="str">
            <v>GLENFIDDICH 14 YR BOURBON BARREL RESERVE</v>
          </cell>
          <cell r="E265" t="str">
            <v>WILLIAM GRANT &amp; SONS LTD UK</v>
          </cell>
          <cell r="F265" t="str">
            <v>750</v>
          </cell>
          <cell r="G265">
            <v>43</v>
          </cell>
          <cell r="H265">
            <v>6</v>
          </cell>
          <cell r="I265" t="str">
            <v>3243</v>
          </cell>
          <cell r="L265">
            <v>1</v>
          </cell>
          <cell r="M265">
            <v>64.430000000000007</v>
          </cell>
        </row>
        <row r="266">
          <cell r="C266" t="str">
            <v>27063</v>
          </cell>
          <cell r="D266" t="str">
            <v>GLENFIDDICH PROJECT XX</v>
          </cell>
          <cell r="E266" t="str">
            <v>WILLIAM GRANT &amp; SONS LTD UK</v>
          </cell>
          <cell r="F266" t="str">
            <v>750</v>
          </cell>
          <cell r="G266">
            <v>47</v>
          </cell>
          <cell r="H266">
            <v>6</v>
          </cell>
          <cell r="I266" t="str">
            <v>3243</v>
          </cell>
          <cell r="L266">
            <v>1</v>
          </cell>
          <cell r="M266">
            <v>77.33</v>
          </cell>
        </row>
        <row r="267">
          <cell r="C267" t="str">
            <v>25962</v>
          </cell>
          <cell r="D267" t="str">
            <v>LAGAVULIN 8 YEAR OLD</v>
          </cell>
          <cell r="E267" t="str">
            <v>W H MALCOLMS</v>
          </cell>
          <cell r="F267" t="str">
            <v>750</v>
          </cell>
          <cell r="G267">
            <v>48</v>
          </cell>
          <cell r="H267">
            <v>6</v>
          </cell>
          <cell r="I267" t="str">
            <v>3224</v>
          </cell>
          <cell r="L267">
            <v>1</v>
          </cell>
          <cell r="M267">
            <v>81.010000000000005</v>
          </cell>
        </row>
        <row r="268">
          <cell r="C268" t="str">
            <v>4284</v>
          </cell>
          <cell r="D268" t="str">
            <v>TALISKER SKYE 10 YEAR OLD</v>
          </cell>
          <cell r="E268" t="str">
            <v>DIAGEO CANADA  INC</v>
          </cell>
          <cell r="F268" t="str">
            <v>750</v>
          </cell>
          <cell r="G268">
            <v>45.8</v>
          </cell>
          <cell r="H268">
            <v>6</v>
          </cell>
          <cell r="I268" t="str">
            <v>3224</v>
          </cell>
          <cell r="L268">
            <v>1</v>
          </cell>
          <cell r="M268">
            <v>80.989999999999995</v>
          </cell>
        </row>
        <row r="269">
          <cell r="C269" t="str">
            <v>4343</v>
          </cell>
          <cell r="D269" t="str">
            <v>THE GLENLIVET 12 YEAR OLD</v>
          </cell>
          <cell r="E269" t="str">
            <v>CHIVAS BROTHERS LIMITED</v>
          </cell>
          <cell r="F269" t="str">
            <v>750</v>
          </cell>
          <cell r="G269">
            <v>40</v>
          </cell>
          <cell r="H269">
            <v>12</v>
          </cell>
          <cell r="I269" t="str">
            <v>3237</v>
          </cell>
          <cell r="L269">
            <v>1</v>
          </cell>
          <cell r="M269">
            <v>59.33</v>
          </cell>
        </row>
        <row r="270">
          <cell r="C270" t="str">
            <v>20627</v>
          </cell>
          <cell r="D270" t="str">
            <v>THE GLENLIVET 12 YEAR OLD</v>
          </cell>
          <cell r="E270" t="str">
            <v>CHIVAS BROTHERS LIMITED</v>
          </cell>
          <cell r="F270" t="str">
            <v>1140</v>
          </cell>
          <cell r="G270">
            <v>40</v>
          </cell>
          <cell r="H270">
            <v>6</v>
          </cell>
          <cell r="I270" t="str">
            <v>3237</v>
          </cell>
          <cell r="L270">
            <v>1</v>
          </cell>
          <cell r="M270">
            <v>81.540000000000006</v>
          </cell>
        </row>
        <row r="271">
          <cell r="C271" t="str">
            <v>24115</v>
          </cell>
          <cell r="D271" t="str">
            <v>ARDMORE LEGACY</v>
          </cell>
          <cell r="E271" t="str">
            <v>ARDMORE DISTILLERY</v>
          </cell>
          <cell r="F271" t="str">
            <v>750</v>
          </cell>
          <cell r="G271">
            <v>40</v>
          </cell>
          <cell r="H271">
            <v>6</v>
          </cell>
          <cell r="I271" t="str">
            <v>3242</v>
          </cell>
          <cell r="L271">
            <v>1</v>
          </cell>
          <cell r="M271">
            <v>38.200000000000003</v>
          </cell>
        </row>
        <row r="272">
          <cell r="C272" t="str">
            <v>44576</v>
          </cell>
          <cell r="D272" t="str">
            <v>JOHNNIE WALKER BLUE LABEL ICE CHALET</v>
          </cell>
          <cell r="E272" t="str">
            <v>DIAGEO CANADA INC.</v>
          </cell>
          <cell r="F272" t="str">
            <v>750</v>
          </cell>
          <cell r="G272">
            <v>43</v>
          </cell>
          <cell r="H272">
            <v>3</v>
          </cell>
          <cell r="I272" t="str">
            <v>3224</v>
          </cell>
          <cell r="L272">
            <v>1</v>
          </cell>
          <cell r="M272">
            <v>499.99</v>
          </cell>
        </row>
        <row r="273">
          <cell r="C273" t="str">
            <v>44575</v>
          </cell>
          <cell r="D273" t="str">
            <v>JOHNNIE WALKER BLUE LABEL LUNAR NEW YEAR</v>
          </cell>
          <cell r="E273" t="str">
            <v>DIAGEO CANADA INC.</v>
          </cell>
          <cell r="F273" t="str">
            <v>750</v>
          </cell>
          <cell r="G273">
            <v>46</v>
          </cell>
          <cell r="H273">
            <v>4</v>
          </cell>
          <cell r="I273" t="str">
            <v>3224</v>
          </cell>
          <cell r="L273">
            <v>1</v>
          </cell>
          <cell r="M273">
            <v>321.45999999999998</v>
          </cell>
        </row>
        <row r="274">
          <cell r="C274" t="str">
            <v>27785</v>
          </cell>
          <cell r="D274" t="str">
            <v>JOHNNIE WALKER BLACK LABEL</v>
          </cell>
          <cell r="E274" t="str">
            <v>W H MALCOLMS</v>
          </cell>
          <cell r="F274" t="str">
            <v>1750</v>
          </cell>
          <cell r="G274">
            <v>40</v>
          </cell>
          <cell r="H274">
            <v>6</v>
          </cell>
          <cell r="I274" t="str">
            <v>3224</v>
          </cell>
          <cell r="L274">
            <v>1</v>
          </cell>
          <cell r="M274">
            <v>85.54</v>
          </cell>
        </row>
        <row r="275">
          <cell r="C275" t="str">
            <v>37330</v>
          </cell>
          <cell r="D275" t="str">
            <v>DEWAR'S WHITE LABEL</v>
          </cell>
          <cell r="E275" t="str">
            <v>JOHN DEWAR &amp; SONS LTD</v>
          </cell>
          <cell r="F275" t="str">
            <v>1750</v>
          </cell>
          <cell r="G275">
            <v>40</v>
          </cell>
          <cell r="H275">
            <v>6</v>
          </cell>
          <cell r="I275" t="str">
            <v>3233</v>
          </cell>
          <cell r="L275">
            <v>1</v>
          </cell>
          <cell r="M275">
            <v>52.5</v>
          </cell>
        </row>
        <row r="276">
          <cell r="C276" t="str">
            <v>38674</v>
          </cell>
          <cell r="D276" t="str">
            <v>GRANT'S 12 YEAR OLD</v>
          </cell>
          <cell r="E276" t="str">
            <v>WILLIAM GRANT &amp; SONS LTD UK</v>
          </cell>
          <cell r="F276" t="str">
            <v>750</v>
          </cell>
          <cell r="G276">
            <v>40</v>
          </cell>
          <cell r="H276">
            <v>6</v>
          </cell>
          <cell r="I276" t="str">
            <v>3243</v>
          </cell>
          <cell r="L276">
            <v>1</v>
          </cell>
          <cell r="M276">
            <v>46.3</v>
          </cell>
        </row>
        <row r="277">
          <cell r="C277" t="str">
            <v>35525</v>
          </cell>
          <cell r="D277" t="str">
            <v>GRANT'S 8 YEAR OLD SHERRY CASK</v>
          </cell>
          <cell r="E277" t="str">
            <v>WILLIAM GRANT &amp; SONS LTD UK</v>
          </cell>
          <cell r="F277" t="str">
            <v>750</v>
          </cell>
          <cell r="G277">
            <v>40</v>
          </cell>
          <cell r="H277">
            <v>12</v>
          </cell>
          <cell r="I277" t="str">
            <v>3243</v>
          </cell>
          <cell r="L277">
            <v>1</v>
          </cell>
          <cell r="M277">
            <v>37.67</v>
          </cell>
        </row>
        <row r="278">
          <cell r="C278" t="str">
            <v>24037</v>
          </cell>
          <cell r="D278" t="str">
            <v>MONKEY SHOULDER</v>
          </cell>
          <cell r="E278" t="str">
            <v>WILLIAM GRANT &amp; SONS LTD UK</v>
          </cell>
          <cell r="F278" t="str">
            <v>750</v>
          </cell>
          <cell r="G278">
            <v>43</v>
          </cell>
          <cell r="H278">
            <v>6</v>
          </cell>
          <cell r="I278" t="str">
            <v>3243</v>
          </cell>
          <cell r="L278">
            <v>1</v>
          </cell>
          <cell r="M278">
            <v>44.31</v>
          </cell>
        </row>
        <row r="279">
          <cell r="C279" t="str">
            <v>11926</v>
          </cell>
          <cell r="D279" t="str">
            <v>THE BLACK GROUSE SMOKY BLACK</v>
          </cell>
          <cell r="E279" t="str">
            <v>HIGHLAND DISTILLERS LTD</v>
          </cell>
          <cell r="F279" t="str">
            <v>750</v>
          </cell>
          <cell r="G279">
            <v>40</v>
          </cell>
          <cell r="H279">
            <v>12</v>
          </cell>
          <cell r="I279" t="str">
            <v>3243</v>
          </cell>
          <cell r="L279">
            <v>1</v>
          </cell>
          <cell r="M279">
            <v>29.84</v>
          </cell>
        </row>
        <row r="280">
          <cell r="C280" t="str">
            <v>4336</v>
          </cell>
          <cell r="D280" t="str">
            <v>THE FAMOUS GROUSE</v>
          </cell>
          <cell r="E280" t="str">
            <v>HIGHLAND DISTILLERS LTD</v>
          </cell>
          <cell r="F280" t="str">
            <v>750</v>
          </cell>
          <cell r="G280">
            <v>40</v>
          </cell>
          <cell r="H280">
            <v>12</v>
          </cell>
          <cell r="I280" t="str">
            <v>3243</v>
          </cell>
          <cell r="L280">
            <v>1</v>
          </cell>
          <cell r="M280">
            <v>27.34</v>
          </cell>
        </row>
        <row r="281">
          <cell r="C281" t="str">
            <v>2178</v>
          </cell>
          <cell r="D281" t="str">
            <v>D'EAUBONNE VSOP</v>
          </cell>
          <cell r="E281" t="str">
            <v>HIRAM WALKER &amp; SONS LTD</v>
          </cell>
          <cell r="F281" t="str">
            <v>375</v>
          </cell>
          <cell r="G281">
            <v>40</v>
          </cell>
          <cell r="H281">
            <v>24</v>
          </cell>
          <cell r="I281" t="str">
            <v>1537</v>
          </cell>
          <cell r="L281">
            <v>1</v>
          </cell>
          <cell r="M281">
            <v>11.57</v>
          </cell>
        </row>
        <row r="282">
          <cell r="C282" t="str">
            <v>2179</v>
          </cell>
          <cell r="D282" t="str">
            <v>D'EAUBONNE VSOP</v>
          </cell>
          <cell r="E282" t="str">
            <v>HIRAM WALKER &amp; SONS LTD</v>
          </cell>
          <cell r="F282" t="str">
            <v>750</v>
          </cell>
          <cell r="G282">
            <v>40</v>
          </cell>
          <cell r="H282">
            <v>12</v>
          </cell>
          <cell r="I282" t="str">
            <v>1537</v>
          </cell>
          <cell r="L282">
            <v>1</v>
          </cell>
          <cell r="M282">
            <v>22.2</v>
          </cell>
        </row>
        <row r="283">
          <cell r="C283" t="str">
            <v>2180</v>
          </cell>
          <cell r="D283" t="str">
            <v>D'EAUBONNE VSOP</v>
          </cell>
          <cell r="E283" t="str">
            <v>HIRAM WALKER &amp; SONS LTD</v>
          </cell>
          <cell r="F283" t="str">
            <v>1140</v>
          </cell>
          <cell r="G283">
            <v>40</v>
          </cell>
          <cell r="H283">
            <v>8</v>
          </cell>
          <cell r="I283" t="str">
            <v>1535</v>
          </cell>
          <cell r="L283">
            <v>1</v>
          </cell>
          <cell r="M283">
            <v>32.32</v>
          </cell>
        </row>
        <row r="284">
          <cell r="C284" t="str">
            <v>16224</v>
          </cell>
          <cell r="D284" t="str">
            <v>ST. REMY XO - CLS REMY COINTREAU</v>
          </cell>
          <cell r="E284" t="str">
            <v>CLS REMY-COINTREAU</v>
          </cell>
          <cell r="F284" t="str">
            <v>750</v>
          </cell>
          <cell r="G284">
            <v>40</v>
          </cell>
          <cell r="H284">
            <v>12</v>
          </cell>
          <cell r="I284" t="str">
            <v>194112</v>
          </cell>
          <cell r="L284">
            <v>1</v>
          </cell>
          <cell r="M284">
            <v>34.75</v>
          </cell>
        </row>
        <row r="285">
          <cell r="C285" t="str">
            <v>44700</v>
          </cell>
          <cell r="D285" t="str">
            <v>D'USSE VSOP</v>
          </cell>
          <cell r="E285" t="str">
            <v>BACARDI CANADA INC</v>
          </cell>
          <cell r="F285" t="str">
            <v>375</v>
          </cell>
          <cell r="G285">
            <v>40</v>
          </cell>
          <cell r="H285">
            <v>12</v>
          </cell>
          <cell r="I285" t="str">
            <v>3233</v>
          </cell>
          <cell r="L285">
            <v>1</v>
          </cell>
          <cell r="M285">
            <v>39.01</v>
          </cell>
        </row>
        <row r="286">
          <cell r="C286" t="str">
            <v>4230</v>
          </cell>
          <cell r="D286" t="str">
            <v>ST. REMY VSOP</v>
          </cell>
          <cell r="E286" t="str">
            <v>CLS REMY-COINTREAU</v>
          </cell>
          <cell r="F286" t="str">
            <v>375</v>
          </cell>
          <cell r="G286">
            <v>40</v>
          </cell>
          <cell r="H286">
            <v>24</v>
          </cell>
          <cell r="I286" t="str">
            <v>194112</v>
          </cell>
          <cell r="L286">
            <v>1</v>
          </cell>
          <cell r="M286">
            <v>15.34</v>
          </cell>
        </row>
        <row r="287">
          <cell r="C287" t="str">
            <v>4231</v>
          </cell>
          <cell r="D287" t="str">
            <v>ST. REMY VSOP</v>
          </cell>
          <cell r="E287" t="str">
            <v>CLS REMY-COINTREAU</v>
          </cell>
          <cell r="F287" t="str">
            <v>750</v>
          </cell>
          <cell r="G287">
            <v>40</v>
          </cell>
          <cell r="H287">
            <v>12</v>
          </cell>
          <cell r="I287" t="str">
            <v>194112</v>
          </cell>
          <cell r="L287">
            <v>1</v>
          </cell>
          <cell r="M287">
            <v>25.28</v>
          </cell>
        </row>
        <row r="288">
          <cell r="C288" t="str">
            <v>2252</v>
          </cell>
          <cell r="D288" t="str">
            <v>DUJARDIN V.S.O.P.</v>
          </cell>
          <cell r="E288" t="str">
            <v>RACKE GMBH + CO. KG</v>
          </cell>
          <cell r="F288" t="str">
            <v>750</v>
          </cell>
          <cell r="G288">
            <v>39.9</v>
          </cell>
          <cell r="H288">
            <v>12</v>
          </cell>
          <cell r="I288" t="str">
            <v>3243</v>
          </cell>
          <cell r="L288">
            <v>1</v>
          </cell>
          <cell r="M288">
            <v>22.32</v>
          </cell>
        </row>
        <row r="289">
          <cell r="C289" t="str">
            <v>44738</v>
          </cell>
          <cell r="D289" t="str">
            <v>METAXA 7 STAR</v>
          </cell>
          <cell r="E289" t="str">
            <v>CLS REMY-COINTREAU</v>
          </cell>
          <cell r="F289" t="str">
            <v>700</v>
          </cell>
          <cell r="G289">
            <v>40</v>
          </cell>
          <cell r="H289">
            <v>12</v>
          </cell>
          <cell r="I289" t="str">
            <v>194112</v>
          </cell>
          <cell r="L289">
            <v>1</v>
          </cell>
          <cell r="M289">
            <v>26.54</v>
          </cell>
        </row>
        <row r="290">
          <cell r="C290" t="str">
            <v>2381</v>
          </cell>
          <cell r="D290" t="str">
            <v>FUNDADOR</v>
          </cell>
          <cell r="E290" t="str">
            <v>BODEGAS FUNDADOR S.L.</v>
          </cell>
          <cell r="F290" t="str">
            <v>750</v>
          </cell>
          <cell r="G290">
            <v>40</v>
          </cell>
          <cell r="H290">
            <v>12</v>
          </cell>
          <cell r="I290" t="str">
            <v>194112</v>
          </cell>
          <cell r="L290">
            <v>1</v>
          </cell>
          <cell r="M290">
            <v>35.96</v>
          </cell>
        </row>
        <row r="291">
          <cell r="C291" t="str">
            <v>7191</v>
          </cell>
          <cell r="D291" t="str">
            <v>TORRES 10 YEAR CLASSIC BRANDY</v>
          </cell>
          <cell r="E291" t="str">
            <v>MIGUEL TORRES SA</v>
          </cell>
          <cell r="F291" t="str">
            <v>750</v>
          </cell>
          <cell r="G291">
            <v>40</v>
          </cell>
          <cell r="H291">
            <v>12</v>
          </cell>
          <cell r="I291" t="str">
            <v>1537</v>
          </cell>
          <cell r="L291">
            <v>1</v>
          </cell>
          <cell r="M291">
            <v>28.45</v>
          </cell>
        </row>
        <row r="292">
          <cell r="C292" t="str">
            <v>2147</v>
          </cell>
          <cell r="D292" t="str">
            <v>COURVOISIER V.S.</v>
          </cell>
          <cell r="E292" t="str">
            <v>COURVOISIER SA</v>
          </cell>
          <cell r="F292" t="str">
            <v>750</v>
          </cell>
          <cell r="G292">
            <v>40</v>
          </cell>
          <cell r="H292">
            <v>12</v>
          </cell>
          <cell r="I292" t="str">
            <v>1041</v>
          </cell>
          <cell r="L292">
            <v>1</v>
          </cell>
          <cell r="M292">
            <v>57.32</v>
          </cell>
        </row>
        <row r="293">
          <cell r="C293" t="str">
            <v>25242</v>
          </cell>
          <cell r="D293" t="str">
            <v>D'USSE VSOP</v>
          </cell>
          <cell r="E293" t="str">
            <v>BACARDI CANADA INC</v>
          </cell>
          <cell r="F293" t="str">
            <v>750</v>
          </cell>
          <cell r="G293">
            <v>40</v>
          </cell>
          <cell r="H293">
            <v>6</v>
          </cell>
          <cell r="I293" t="str">
            <v>3233</v>
          </cell>
          <cell r="L293">
            <v>1</v>
          </cell>
          <cell r="M293">
            <v>71.25</v>
          </cell>
        </row>
        <row r="294">
          <cell r="C294" t="str">
            <v>2631</v>
          </cell>
          <cell r="D294" t="str">
            <v>HENNESSY V.S.</v>
          </cell>
          <cell r="E294" t="str">
            <v>JAMES HENNESSY &amp; CO</v>
          </cell>
          <cell r="F294" t="str">
            <v>375</v>
          </cell>
          <cell r="G294">
            <v>40</v>
          </cell>
          <cell r="H294">
            <v>12</v>
          </cell>
          <cell r="I294" t="str">
            <v>1535</v>
          </cell>
          <cell r="L294">
            <v>1</v>
          </cell>
          <cell r="M294">
            <v>35</v>
          </cell>
        </row>
        <row r="295">
          <cell r="C295" t="str">
            <v>2632</v>
          </cell>
          <cell r="D295" t="str">
            <v>HENNESSY V.S.</v>
          </cell>
          <cell r="E295" t="str">
            <v>JAMES HENNESSY &amp; CO</v>
          </cell>
          <cell r="F295" t="str">
            <v>750</v>
          </cell>
          <cell r="G295">
            <v>40</v>
          </cell>
          <cell r="H295">
            <v>12</v>
          </cell>
          <cell r="I295" t="str">
            <v>1535</v>
          </cell>
          <cell r="L295">
            <v>1</v>
          </cell>
          <cell r="M295">
            <v>62.99</v>
          </cell>
        </row>
        <row r="296">
          <cell r="C296" t="str">
            <v>2633</v>
          </cell>
          <cell r="D296" t="str">
            <v>HENNESSY X.O.</v>
          </cell>
          <cell r="E296" t="str">
            <v>JAMES HENNESSY &amp; CO</v>
          </cell>
          <cell r="F296" t="str">
            <v>750</v>
          </cell>
          <cell r="G296">
            <v>40</v>
          </cell>
          <cell r="H296">
            <v>6</v>
          </cell>
          <cell r="I296" t="str">
            <v>1535</v>
          </cell>
          <cell r="L296">
            <v>1</v>
          </cell>
          <cell r="M296">
            <v>275.39</v>
          </cell>
        </row>
        <row r="297">
          <cell r="C297" t="str">
            <v>3797</v>
          </cell>
          <cell r="D297" t="str">
            <v>REMY MARTIN VSOP</v>
          </cell>
          <cell r="E297" t="str">
            <v>CLS REMY-COINTREAU</v>
          </cell>
          <cell r="F297" t="str">
            <v>750</v>
          </cell>
          <cell r="G297">
            <v>40</v>
          </cell>
          <cell r="H297">
            <v>12</v>
          </cell>
          <cell r="I297" t="str">
            <v>194112</v>
          </cell>
          <cell r="L297">
            <v>1</v>
          </cell>
          <cell r="M297">
            <v>84.71</v>
          </cell>
        </row>
        <row r="298">
          <cell r="C298" t="str">
            <v>3801</v>
          </cell>
          <cell r="D298" t="str">
            <v>REMY MARTIN XO EXCEL</v>
          </cell>
          <cell r="E298" t="str">
            <v>CLS REMY-COINTREAU</v>
          </cell>
          <cell r="F298" t="str">
            <v>750</v>
          </cell>
          <cell r="G298">
            <v>40</v>
          </cell>
          <cell r="H298">
            <v>6</v>
          </cell>
          <cell r="I298" t="str">
            <v>194112</v>
          </cell>
          <cell r="L298">
            <v>1</v>
          </cell>
          <cell r="M298">
            <v>262.2</v>
          </cell>
        </row>
        <row r="299">
          <cell r="C299" t="str">
            <v>27692</v>
          </cell>
          <cell r="D299" t="str">
            <v>EMPRESS 1908 INDIGO GIN</v>
          </cell>
          <cell r="E299" t="str">
            <v>VICTORIA DISTILLERS</v>
          </cell>
          <cell r="F299" t="str">
            <v>750</v>
          </cell>
          <cell r="G299">
            <v>42.5</v>
          </cell>
          <cell r="H299">
            <v>6</v>
          </cell>
          <cell r="I299" t="str">
            <v>87388</v>
          </cell>
          <cell r="L299">
            <v>1</v>
          </cell>
          <cell r="M299">
            <v>42.05</v>
          </cell>
        </row>
        <row r="300">
          <cell r="C300" t="str">
            <v>23328</v>
          </cell>
          <cell r="D300" t="str">
            <v>UNGAVA CANADIAN PREMIUM GIN</v>
          </cell>
          <cell r="E300" t="str">
            <v>DOMAINE PINNACLE INC.</v>
          </cell>
          <cell r="F300" t="str">
            <v>750</v>
          </cell>
          <cell r="G300">
            <v>43.1</v>
          </cell>
          <cell r="H300">
            <v>6</v>
          </cell>
          <cell r="I300" t="str">
            <v>3237</v>
          </cell>
          <cell r="L300">
            <v>1</v>
          </cell>
          <cell r="M300">
            <v>31.8</v>
          </cell>
        </row>
        <row r="301">
          <cell r="C301" t="str">
            <v>40431</v>
          </cell>
          <cell r="D301" t="str">
            <v>BOMBAY PRESSE</v>
          </cell>
          <cell r="E301" t="str">
            <v>G&amp;J GREENALL</v>
          </cell>
          <cell r="F301" t="str">
            <v>750</v>
          </cell>
          <cell r="G301">
            <v>40</v>
          </cell>
          <cell r="H301">
            <v>6</v>
          </cell>
          <cell r="I301" t="str">
            <v>3233</v>
          </cell>
          <cell r="L301">
            <v>1</v>
          </cell>
          <cell r="M301">
            <v>25.5</v>
          </cell>
        </row>
        <row r="302">
          <cell r="C302" t="str">
            <v>40699</v>
          </cell>
          <cell r="D302" t="str">
            <v>EMPRESS INDIGO 1908 GIN</v>
          </cell>
          <cell r="E302" t="str">
            <v>VICTORIA DISTILLERS</v>
          </cell>
          <cell r="F302" t="str">
            <v>375</v>
          </cell>
          <cell r="G302">
            <v>42.5</v>
          </cell>
          <cell r="H302">
            <v>12</v>
          </cell>
          <cell r="I302" t="str">
            <v>87388</v>
          </cell>
          <cell r="L302">
            <v>1</v>
          </cell>
          <cell r="M302">
            <v>22.72</v>
          </cell>
        </row>
        <row r="303">
          <cell r="C303" t="str">
            <v>2483</v>
          </cell>
          <cell r="D303" t="str">
            <v>GORDON'S LONDON DRY GIN</v>
          </cell>
          <cell r="E303" t="str">
            <v>DIAGEO CANADA  INC</v>
          </cell>
          <cell r="F303" t="str">
            <v>1140</v>
          </cell>
          <cell r="G303">
            <v>40</v>
          </cell>
          <cell r="H303">
            <v>9</v>
          </cell>
          <cell r="I303" t="str">
            <v>3224</v>
          </cell>
          <cell r="L303">
            <v>1</v>
          </cell>
          <cell r="M303">
            <v>33</v>
          </cell>
        </row>
        <row r="304">
          <cell r="C304" t="str">
            <v>2426</v>
          </cell>
          <cell r="D304" t="str">
            <v>GILBEY'S LONDON DRY GIN</v>
          </cell>
          <cell r="E304" t="str">
            <v>DIAGEO CANADA INC</v>
          </cell>
          <cell r="F304" t="str">
            <v>750</v>
          </cell>
          <cell r="G304">
            <v>40</v>
          </cell>
          <cell r="H304">
            <v>12</v>
          </cell>
          <cell r="I304" t="str">
            <v>3224</v>
          </cell>
          <cell r="L304">
            <v>1</v>
          </cell>
          <cell r="M304">
            <v>22</v>
          </cell>
        </row>
        <row r="305">
          <cell r="C305" t="str">
            <v>28113</v>
          </cell>
          <cell r="D305" t="str">
            <v>POTTER'S LONDON DRY GIN</v>
          </cell>
          <cell r="E305" t="str">
            <v>HIGHWOOD DISTILLERS</v>
          </cell>
          <cell r="F305" t="str">
            <v>1140</v>
          </cell>
          <cell r="G305">
            <v>40</v>
          </cell>
          <cell r="H305">
            <v>12</v>
          </cell>
          <cell r="I305" t="str">
            <v>1021</v>
          </cell>
          <cell r="L305">
            <v>1</v>
          </cell>
          <cell r="M305">
            <v>31.53</v>
          </cell>
        </row>
        <row r="306">
          <cell r="C306" t="str">
            <v>30802</v>
          </cell>
          <cell r="D306" t="str">
            <v>DRUMSHANBO GUNPOWDER IRISH GIN</v>
          </cell>
          <cell r="E306" t="str">
            <v>THE SHED DISTILLERY OF PJ RIGNEY</v>
          </cell>
          <cell r="F306" t="str">
            <v>750</v>
          </cell>
          <cell r="G306">
            <v>43</v>
          </cell>
          <cell r="H306">
            <v>6</v>
          </cell>
          <cell r="I306" t="str">
            <v>205949</v>
          </cell>
          <cell r="L306">
            <v>1</v>
          </cell>
          <cell r="M306">
            <v>43.67</v>
          </cell>
        </row>
        <row r="307">
          <cell r="C307" t="str">
            <v>31103</v>
          </cell>
          <cell r="D307" t="str">
            <v>ROKU GIN</v>
          </cell>
          <cell r="E307" t="str">
            <v>SUNTORY INTERNATIONAL CORP.</v>
          </cell>
          <cell r="F307" t="str">
            <v>750</v>
          </cell>
          <cell r="G307">
            <v>43</v>
          </cell>
          <cell r="H307">
            <v>6</v>
          </cell>
          <cell r="I307" t="str">
            <v>3242</v>
          </cell>
          <cell r="L307">
            <v>1</v>
          </cell>
          <cell r="M307">
            <v>40.01</v>
          </cell>
        </row>
        <row r="308">
          <cell r="C308" t="str">
            <v>46278</v>
          </cell>
          <cell r="D308" t="str">
            <v>ROKU SAKURA BLOOM</v>
          </cell>
          <cell r="E308" t="str">
            <v>SUNTORY YAMAZAKI DISTILLERY</v>
          </cell>
          <cell r="F308" t="str">
            <v>700</v>
          </cell>
          <cell r="G308">
            <v>43</v>
          </cell>
          <cell r="H308">
            <v>6</v>
          </cell>
          <cell r="I308" t="str">
            <v>3242</v>
          </cell>
          <cell r="L308">
            <v>1</v>
          </cell>
          <cell r="M308">
            <v>44.01</v>
          </cell>
        </row>
        <row r="309">
          <cell r="C309" t="str">
            <v>6230</v>
          </cell>
          <cell r="D309" t="str">
            <v>HENDRICK'S GIN</v>
          </cell>
          <cell r="E309" t="str">
            <v>WILLIAM GRANT &amp; SONS LTD UK</v>
          </cell>
          <cell r="F309" t="str">
            <v>750</v>
          </cell>
          <cell r="G309">
            <v>44</v>
          </cell>
          <cell r="H309">
            <v>12</v>
          </cell>
          <cell r="I309" t="str">
            <v>3243</v>
          </cell>
          <cell r="L309">
            <v>1</v>
          </cell>
          <cell r="M309">
            <v>42.42</v>
          </cell>
        </row>
        <row r="310">
          <cell r="C310" t="str">
            <v>4291</v>
          </cell>
          <cell r="D310" t="str">
            <v>TANQUERAY NO. 10</v>
          </cell>
          <cell r="E310" t="str">
            <v>DIAGEO SCOTLAND</v>
          </cell>
          <cell r="F310" t="str">
            <v>750</v>
          </cell>
          <cell r="G310">
            <v>47.3</v>
          </cell>
          <cell r="H310">
            <v>12</v>
          </cell>
          <cell r="I310" t="str">
            <v>3224</v>
          </cell>
          <cell r="L310">
            <v>1</v>
          </cell>
          <cell r="M310">
            <v>40.96</v>
          </cell>
        </row>
        <row r="311">
          <cell r="C311" t="str">
            <v>1302</v>
          </cell>
          <cell r="D311" t="str">
            <v>BEEFEATER</v>
          </cell>
          <cell r="E311" t="str">
            <v>JAMES BURROUGH DISTILLERS PLC</v>
          </cell>
          <cell r="F311" t="str">
            <v>750</v>
          </cell>
          <cell r="G311">
            <v>40</v>
          </cell>
          <cell r="H311">
            <v>12</v>
          </cell>
          <cell r="I311" t="str">
            <v>3237</v>
          </cell>
          <cell r="L311">
            <v>1</v>
          </cell>
          <cell r="M311">
            <v>23.8</v>
          </cell>
        </row>
        <row r="312">
          <cell r="C312" t="str">
            <v>1304</v>
          </cell>
          <cell r="D312" t="str">
            <v>BEEFEATER</v>
          </cell>
          <cell r="E312" t="str">
            <v>JAMES BURROUGH DISTILLERS PLC</v>
          </cell>
          <cell r="F312" t="str">
            <v>1140</v>
          </cell>
          <cell r="G312">
            <v>40</v>
          </cell>
          <cell r="H312">
            <v>6</v>
          </cell>
          <cell r="I312" t="str">
            <v>3237</v>
          </cell>
          <cell r="L312">
            <v>1</v>
          </cell>
          <cell r="M312">
            <v>35.21</v>
          </cell>
        </row>
        <row r="313">
          <cell r="C313" t="str">
            <v>36412</v>
          </cell>
          <cell r="D313" t="str">
            <v>BOMBAY BRAMBLE</v>
          </cell>
          <cell r="E313" t="str">
            <v>G&amp;J GREENALL</v>
          </cell>
          <cell r="F313" t="str">
            <v>750</v>
          </cell>
          <cell r="G313">
            <v>43</v>
          </cell>
          <cell r="H313">
            <v>6</v>
          </cell>
          <cell r="I313" t="str">
            <v>3233</v>
          </cell>
          <cell r="L313">
            <v>1</v>
          </cell>
          <cell r="M313">
            <v>25.5</v>
          </cell>
        </row>
        <row r="314">
          <cell r="C314" t="str">
            <v>1418</v>
          </cell>
          <cell r="D314" t="str">
            <v>BOMBAY SAPPHIRE</v>
          </cell>
          <cell r="E314" t="str">
            <v>BOMBAY SPIRITS CO LTD</v>
          </cell>
          <cell r="F314" t="str">
            <v>375</v>
          </cell>
          <cell r="G314">
            <v>40</v>
          </cell>
          <cell r="H314">
            <v>12</v>
          </cell>
          <cell r="I314" t="str">
            <v>3233</v>
          </cell>
          <cell r="L314">
            <v>1</v>
          </cell>
          <cell r="M314">
            <v>13.5</v>
          </cell>
        </row>
        <row r="315">
          <cell r="C315" t="str">
            <v>1419</v>
          </cell>
          <cell r="D315" t="str">
            <v>BOMBAY SAPPHIRE</v>
          </cell>
          <cell r="E315" t="str">
            <v>BOMBAY SPIRITS CO LTD</v>
          </cell>
          <cell r="F315" t="str">
            <v>750</v>
          </cell>
          <cell r="G315">
            <v>40</v>
          </cell>
          <cell r="H315">
            <v>12</v>
          </cell>
          <cell r="I315" t="str">
            <v>3233</v>
          </cell>
          <cell r="L315">
            <v>1</v>
          </cell>
          <cell r="M315">
            <v>25</v>
          </cell>
        </row>
        <row r="316">
          <cell r="C316" t="str">
            <v>1420</v>
          </cell>
          <cell r="D316" t="str">
            <v>BOMBAY SAPPHIRE</v>
          </cell>
          <cell r="E316" t="str">
            <v>BOMBAY SPIRITS CO LTD</v>
          </cell>
          <cell r="F316" t="str">
            <v>1140</v>
          </cell>
          <cell r="G316">
            <v>40</v>
          </cell>
          <cell r="H316">
            <v>6</v>
          </cell>
          <cell r="I316" t="str">
            <v>3233</v>
          </cell>
          <cell r="L316">
            <v>1</v>
          </cell>
          <cell r="M316">
            <v>37.25</v>
          </cell>
        </row>
        <row r="317">
          <cell r="C317" t="str">
            <v>5331</v>
          </cell>
          <cell r="D317" t="str">
            <v>BOMBAY SAPPHIRE</v>
          </cell>
          <cell r="E317" t="str">
            <v>BOMBAY SPIRITS CO LTD</v>
          </cell>
          <cell r="F317" t="str">
            <v>1750</v>
          </cell>
          <cell r="G317">
            <v>40</v>
          </cell>
          <cell r="H317">
            <v>6</v>
          </cell>
          <cell r="I317" t="str">
            <v>3233</v>
          </cell>
          <cell r="L317">
            <v>1</v>
          </cell>
          <cell r="M317">
            <v>52.75</v>
          </cell>
        </row>
        <row r="318">
          <cell r="C318" t="str">
            <v>22232</v>
          </cell>
          <cell r="D318" t="str">
            <v>BOODLES BRITISH GIN</v>
          </cell>
          <cell r="E318" t="str">
            <v>HG &amp; CO LTD - HAYMAN</v>
          </cell>
          <cell r="F318" t="str">
            <v>750</v>
          </cell>
          <cell r="G318">
            <v>45.2</v>
          </cell>
          <cell r="H318">
            <v>12</v>
          </cell>
          <cell r="I318" t="str">
            <v>128699</v>
          </cell>
          <cell r="L318">
            <v>1</v>
          </cell>
          <cell r="M318">
            <v>23.61</v>
          </cell>
        </row>
        <row r="319">
          <cell r="C319" t="str">
            <v>29001</v>
          </cell>
          <cell r="D319" t="str">
            <v>TANQUERAY FLOR DE SEVILLA</v>
          </cell>
          <cell r="E319" t="str">
            <v>DIAGEO CANADA  INC</v>
          </cell>
          <cell r="F319" t="str">
            <v>750</v>
          </cell>
          <cell r="G319">
            <v>41.3</v>
          </cell>
          <cell r="H319">
            <v>12</v>
          </cell>
          <cell r="I319" t="str">
            <v>3224</v>
          </cell>
          <cell r="L319">
            <v>1</v>
          </cell>
          <cell r="M319">
            <v>24.99</v>
          </cell>
        </row>
        <row r="320">
          <cell r="C320" t="str">
            <v>4288</v>
          </cell>
          <cell r="D320" t="str">
            <v>TANQUERAY LONDON DRY GIN</v>
          </cell>
          <cell r="E320" t="str">
            <v>DIAGEO SCOTLAND</v>
          </cell>
          <cell r="F320" t="str">
            <v>375</v>
          </cell>
          <cell r="G320">
            <v>40</v>
          </cell>
          <cell r="H320">
            <v>24</v>
          </cell>
          <cell r="I320" t="str">
            <v>3224</v>
          </cell>
          <cell r="L320">
            <v>1</v>
          </cell>
          <cell r="M320">
            <v>13</v>
          </cell>
        </row>
        <row r="321">
          <cell r="C321" t="str">
            <v>4289</v>
          </cell>
          <cell r="D321" t="str">
            <v>TANQUERAY LONDON DRY GIN</v>
          </cell>
          <cell r="E321" t="str">
            <v>DIAGEO SCOTLAND</v>
          </cell>
          <cell r="F321" t="str">
            <v>750</v>
          </cell>
          <cell r="G321">
            <v>40</v>
          </cell>
          <cell r="H321">
            <v>12</v>
          </cell>
          <cell r="I321" t="str">
            <v>3224</v>
          </cell>
          <cell r="L321">
            <v>1</v>
          </cell>
          <cell r="M321">
            <v>24.48</v>
          </cell>
        </row>
        <row r="322">
          <cell r="C322" t="str">
            <v>4290</v>
          </cell>
          <cell r="D322" t="str">
            <v>TANQUERAY LONDON DRY GIN</v>
          </cell>
          <cell r="E322" t="str">
            <v>DIAGEO SCOTLAND</v>
          </cell>
          <cell r="F322" t="str">
            <v>1140</v>
          </cell>
          <cell r="G322">
            <v>40</v>
          </cell>
          <cell r="H322">
            <v>6</v>
          </cell>
          <cell r="I322" t="str">
            <v>3224</v>
          </cell>
          <cell r="L322">
            <v>1</v>
          </cell>
          <cell r="M322">
            <v>36.450000000000003</v>
          </cell>
        </row>
        <row r="323">
          <cell r="C323" t="str">
            <v>13216</v>
          </cell>
          <cell r="D323" t="str">
            <v>TANQUERAY LONDON DRY GIN</v>
          </cell>
          <cell r="E323" t="str">
            <v>DIAGEO SCOTLAND</v>
          </cell>
          <cell r="F323" t="str">
            <v>1750</v>
          </cell>
          <cell r="G323">
            <v>40</v>
          </cell>
          <cell r="H323">
            <v>6</v>
          </cell>
          <cell r="I323" t="str">
            <v>3224</v>
          </cell>
          <cell r="L323">
            <v>1</v>
          </cell>
          <cell r="M323">
            <v>52.01</v>
          </cell>
        </row>
        <row r="324">
          <cell r="C324" t="str">
            <v>19434</v>
          </cell>
          <cell r="D324" t="str">
            <v>TANQUERAY RANGPUR</v>
          </cell>
          <cell r="E324" t="str">
            <v>DIAGEO SCOTLAND</v>
          </cell>
          <cell r="F324" t="str">
            <v>750</v>
          </cell>
          <cell r="G324">
            <v>41.3</v>
          </cell>
          <cell r="H324">
            <v>12</v>
          </cell>
          <cell r="I324" t="str">
            <v>3224</v>
          </cell>
          <cell r="L324">
            <v>1</v>
          </cell>
          <cell r="M324">
            <v>24.96</v>
          </cell>
        </row>
        <row r="325">
          <cell r="C325" t="str">
            <v>45568</v>
          </cell>
          <cell r="D325" t="str">
            <v>THE BOTANIST RESTED</v>
          </cell>
          <cell r="E325" t="str">
            <v>CLS REMY-COINTREAU</v>
          </cell>
          <cell r="F325" t="str">
            <v>700</v>
          </cell>
          <cell r="G325">
            <v>46</v>
          </cell>
          <cell r="H325">
            <v>6</v>
          </cell>
          <cell r="I325" t="str">
            <v>194112</v>
          </cell>
          <cell r="L325">
            <v>1</v>
          </cell>
          <cell r="M325">
            <v>55.75</v>
          </cell>
        </row>
        <row r="326">
          <cell r="C326" t="str">
            <v>27724</v>
          </cell>
          <cell r="D326" t="str">
            <v>AVIATION GIN</v>
          </cell>
          <cell r="E326" t="str">
            <v>AVIATION GIN</v>
          </cell>
          <cell r="F326" t="str">
            <v>750</v>
          </cell>
          <cell r="G326">
            <v>42</v>
          </cell>
          <cell r="H326">
            <v>6</v>
          </cell>
          <cell r="I326" t="str">
            <v>3224</v>
          </cell>
          <cell r="L326">
            <v>1</v>
          </cell>
          <cell r="M326">
            <v>39.76</v>
          </cell>
        </row>
        <row r="327">
          <cell r="C327" t="str">
            <v>39554</v>
          </cell>
          <cell r="D327" t="str">
            <v>DIXON'S WICKED BLUEBERRY GIN</v>
          </cell>
          <cell r="E327" t="str">
            <v>DIXON'S DISTILLED SPIRITS</v>
          </cell>
          <cell r="F327" t="str">
            <v>750</v>
          </cell>
          <cell r="G327">
            <v>40</v>
          </cell>
          <cell r="H327">
            <v>6</v>
          </cell>
          <cell r="I327" t="str">
            <v>206141</v>
          </cell>
          <cell r="L327">
            <v>1</v>
          </cell>
          <cell r="M327">
            <v>31.25</v>
          </cell>
        </row>
        <row r="328">
          <cell r="C328" t="str">
            <v>41099</v>
          </cell>
          <cell r="D328" t="str">
            <v>DIXON'S WICKED RASPBERRY GIN</v>
          </cell>
          <cell r="E328" t="str">
            <v>DIXON'S DISTILLED SPIRITS</v>
          </cell>
          <cell r="F328" t="str">
            <v>750</v>
          </cell>
          <cell r="G328">
            <v>40</v>
          </cell>
          <cell r="H328">
            <v>6</v>
          </cell>
          <cell r="I328" t="str">
            <v>206141</v>
          </cell>
          <cell r="L328">
            <v>1</v>
          </cell>
          <cell r="M328">
            <v>31.25</v>
          </cell>
        </row>
        <row r="329">
          <cell r="C329" t="str">
            <v>43851</v>
          </cell>
          <cell r="D329" t="str">
            <v>EMPRESS 1908 CUCUMBER LEMON GIN</v>
          </cell>
          <cell r="E329" t="str">
            <v>VICTORIA DISTILLERS</v>
          </cell>
          <cell r="F329" t="str">
            <v>750</v>
          </cell>
          <cell r="G329">
            <v>42.5</v>
          </cell>
          <cell r="H329">
            <v>6</v>
          </cell>
          <cell r="I329" t="str">
            <v>87388</v>
          </cell>
          <cell r="L329">
            <v>1</v>
          </cell>
          <cell r="M329">
            <v>42.05</v>
          </cell>
        </row>
        <row r="330">
          <cell r="C330" t="str">
            <v>41177</v>
          </cell>
          <cell r="D330" t="str">
            <v>EMPRESS 1908 ELDERFLOWER ROSE GIN</v>
          </cell>
          <cell r="E330" t="str">
            <v>VICTORIA DISTILLERS</v>
          </cell>
          <cell r="F330" t="str">
            <v>750</v>
          </cell>
          <cell r="G330">
            <v>42.5</v>
          </cell>
          <cell r="H330">
            <v>6</v>
          </cell>
          <cell r="I330" t="str">
            <v>87388</v>
          </cell>
          <cell r="L330">
            <v>1</v>
          </cell>
          <cell r="M330">
            <v>42.05</v>
          </cell>
        </row>
        <row r="331">
          <cell r="C331" t="str">
            <v>30813</v>
          </cell>
          <cell r="D331" t="str">
            <v>GORDON'S PREMIUM PINK GIN</v>
          </cell>
          <cell r="E331" t="str">
            <v>DIAGEO CANADA  INC</v>
          </cell>
          <cell r="F331" t="str">
            <v>750</v>
          </cell>
          <cell r="G331">
            <v>37.5</v>
          </cell>
          <cell r="H331">
            <v>12</v>
          </cell>
          <cell r="I331" t="str">
            <v>3224</v>
          </cell>
          <cell r="L331">
            <v>1</v>
          </cell>
          <cell r="M331">
            <v>22</v>
          </cell>
        </row>
        <row r="332">
          <cell r="C332" t="str">
            <v>45259</v>
          </cell>
          <cell r="D332" t="str">
            <v>DRUMSHANBO GUNPOWDER BRAZILIAN PINEAPPLE</v>
          </cell>
          <cell r="E332" t="str">
            <v>THE SHED DISTILLERY OF PJ RIGNEY</v>
          </cell>
          <cell r="F332" t="str">
            <v>700</v>
          </cell>
          <cell r="G332">
            <v>43</v>
          </cell>
          <cell r="H332">
            <v>6</v>
          </cell>
          <cell r="I332" t="str">
            <v>140473</v>
          </cell>
          <cell r="L332">
            <v>1</v>
          </cell>
          <cell r="M332">
            <v>43.66</v>
          </cell>
        </row>
        <row r="333">
          <cell r="C333" t="str">
            <v>31097</v>
          </cell>
          <cell r="D333" t="str">
            <v>BEEFEATER PINK</v>
          </cell>
          <cell r="E333" t="str">
            <v>CHIVAS BROTHERS LIMITED</v>
          </cell>
          <cell r="F333" t="str">
            <v>750</v>
          </cell>
          <cell r="G333">
            <v>37.5</v>
          </cell>
          <cell r="H333">
            <v>12</v>
          </cell>
          <cell r="I333" t="str">
            <v>3237</v>
          </cell>
          <cell r="L333">
            <v>1</v>
          </cell>
          <cell r="M333">
            <v>23.8</v>
          </cell>
        </row>
        <row r="334">
          <cell r="C334" t="str">
            <v>43388</v>
          </cell>
          <cell r="D334" t="str">
            <v>BOMBAY SUNSET</v>
          </cell>
          <cell r="E334" t="str">
            <v>G&amp;J GREENALL</v>
          </cell>
          <cell r="F334" t="str">
            <v>750</v>
          </cell>
          <cell r="G334">
            <v>43</v>
          </cell>
          <cell r="H334">
            <v>6</v>
          </cell>
          <cell r="I334" t="str">
            <v>3233</v>
          </cell>
          <cell r="L334">
            <v>1</v>
          </cell>
          <cell r="M334">
            <v>25.49</v>
          </cell>
        </row>
        <row r="335">
          <cell r="C335" t="str">
            <v>45261</v>
          </cell>
          <cell r="D335" t="str">
            <v>HENDRICK'S OASIUM</v>
          </cell>
          <cell r="E335" t="str">
            <v>WILLIAM GRANT &amp; SONS LTD UK</v>
          </cell>
          <cell r="F335" t="str">
            <v>750</v>
          </cell>
          <cell r="G335">
            <v>43.4</v>
          </cell>
          <cell r="H335">
            <v>6</v>
          </cell>
          <cell r="I335" t="str">
            <v>3243</v>
          </cell>
          <cell r="L335">
            <v>1</v>
          </cell>
          <cell r="M335">
            <v>44.5</v>
          </cell>
        </row>
        <row r="336">
          <cell r="C336" t="str">
            <v>31561</v>
          </cell>
          <cell r="D336" t="str">
            <v>WHITLEY NEILL RHUBARB &amp; GINGER GIN</v>
          </cell>
          <cell r="E336" t="str">
            <v>HALEWOOD WINE &amp; SPIRITS INTERNATIONAL</v>
          </cell>
          <cell r="F336" t="str">
            <v>750</v>
          </cell>
          <cell r="G336">
            <v>43</v>
          </cell>
          <cell r="H336">
            <v>6</v>
          </cell>
          <cell r="I336" t="str">
            <v>194112</v>
          </cell>
          <cell r="L336">
            <v>1</v>
          </cell>
          <cell r="M336">
            <v>43.68</v>
          </cell>
        </row>
        <row r="337">
          <cell r="C337" t="str">
            <v>29450</v>
          </cell>
          <cell r="D337" t="str">
            <v>APPLETON ESTATE 15 YEAR OLD</v>
          </cell>
          <cell r="E337" t="str">
            <v>FORTY CREEK DISTILLERY</v>
          </cell>
          <cell r="F337" t="str">
            <v>750</v>
          </cell>
          <cell r="G337">
            <v>43</v>
          </cell>
          <cell r="H337">
            <v>6</v>
          </cell>
          <cell r="I337" t="str">
            <v>1041</v>
          </cell>
          <cell r="L337">
            <v>1</v>
          </cell>
          <cell r="M337">
            <v>55.72</v>
          </cell>
        </row>
        <row r="338">
          <cell r="C338" t="str">
            <v>3877</v>
          </cell>
          <cell r="D338" t="str">
            <v>RON CARIOCA WHITE</v>
          </cell>
          <cell r="E338" t="str">
            <v>SCHENLEY DISTILLERS INC</v>
          </cell>
          <cell r="F338" t="str">
            <v>1750</v>
          </cell>
          <cell r="G338">
            <v>40</v>
          </cell>
          <cell r="H338">
            <v>6</v>
          </cell>
          <cell r="I338" t="str">
            <v>3224</v>
          </cell>
          <cell r="L338">
            <v>1</v>
          </cell>
          <cell r="M338">
            <v>42.55</v>
          </cell>
        </row>
        <row r="339">
          <cell r="C339" t="str">
            <v>1199</v>
          </cell>
          <cell r="D339" t="str">
            <v>BACARDI SUPERIOR</v>
          </cell>
          <cell r="E339" t="str">
            <v>BACARDI CANADA  INC</v>
          </cell>
          <cell r="F339" t="str">
            <v>50</v>
          </cell>
          <cell r="G339">
            <v>40</v>
          </cell>
          <cell r="H339">
            <v>120</v>
          </cell>
          <cell r="I339" t="str">
            <v>3233</v>
          </cell>
          <cell r="L339">
            <v>1</v>
          </cell>
          <cell r="M339">
            <v>3.25</v>
          </cell>
        </row>
        <row r="340">
          <cell r="C340" t="str">
            <v>1201</v>
          </cell>
          <cell r="D340" t="str">
            <v>BACARDI SUPERIOR</v>
          </cell>
          <cell r="E340" t="str">
            <v>BACARDI CANADA  INC</v>
          </cell>
          <cell r="F340" t="str">
            <v>375</v>
          </cell>
          <cell r="G340">
            <v>40</v>
          </cell>
          <cell r="H340">
            <v>24</v>
          </cell>
          <cell r="I340" t="str">
            <v>3233</v>
          </cell>
          <cell r="L340">
            <v>1</v>
          </cell>
          <cell r="M340">
            <v>14.5</v>
          </cell>
        </row>
        <row r="341">
          <cell r="C341" t="str">
            <v>17248</v>
          </cell>
          <cell r="D341" t="str">
            <v>BACARDI SUPERIOR</v>
          </cell>
          <cell r="E341" t="str">
            <v>BACARDI CANADA  INC</v>
          </cell>
          <cell r="F341" t="str">
            <v>1140</v>
          </cell>
          <cell r="G341">
            <v>40</v>
          </cell>
          <cell r="H341">
            <v>12</v>
          </cell>
          <cell r="I341" t="str">
            <v>3233</v>
          </cell>
          <cell r="L341">
            <v>1</v>
          </cell>
          <cell r="M341">
            <v>32</v>
          </cell>
        </row>
        <row r="342">
          <cell r="C342" t="str">
            <v>26946</v>
          </cell>
          <cell r="D342" t="str">
            <v>BACARDI SUPERIOR (IMPORT)</v>
          </cell>
          <cell r="E342" t="str">
            <v>BACARDI BOTTLING CORP</v>
          </cell>
          <cell r="F342" t="str">
            <v>750</v>
          </cell>
          <cell r="G342">
            <v>40</v>
          </cell>
          <cell r="H342">
            <v>12</v>
          </cell>
          <cell r="I342" t="str">
            <v>3233</v>
          </cell>
          <cell r="L342">
            <v>1</v>
          </cell>
          <cell r="M342">
            <v>23</v>
          </cell>
        </row>
        <row r="343">
          <cell r="C343" t="str">
            <v>1762</v>
          </cell>
          <cell r="D343" t="str">
            <v>CAPTAIN MORGAN DARK</v>
          </cell>
          <cell r="E343" t="str">
            <v>DIAGEO  CANADA INC</v>
          </cell>
          <cell r="F343" t="str">
            <v>375</v>
          </cell>
          <cell r="G343">
            <v>40</v>
          </cell>
          <cell r="H343">
            <v>24</v>
          </cell>
          <cell r="I343" t="str">
            <v>3224</v>
          </cell>
          <cell r="L343">
            <v>1</v>
          </cell>
          <cell r="M343">
            <v>12.49</v>
          </cell>
        </row>
        <row r="344">
          <cell r="C344" t="str">
            <v>1763</v>
          </cell>
          <cell r="D344" t="str">
            <v>CAPTAIN MORGAN DARK</v>
          </cell>
          <cell r="E344" t="str">
            <v>DIAGEO  CANADA INC</v>
          </cell>
          <cell r="F344" t="str">
            <v>750</v>
          </cell>
          <cell r="G344">
            <v>40</v>
          </cell>
          <cell r="H344">
            <v>12</v>
          </cell>
          <cell r="I344" t="str">
            <v>3224</v>
          </cell>
          <cell r="L344">
            <v>1</v>
          </cell>
          <cell r="M344">
            <v>22</v>
          </cell>
        </row>
        <row r="345">
          <cell r="C345" t="str">
            <v>1764</v>
          </cell>
          <cell r="D345" t="str">
            <v>CAPTAIN MORGAN DARK</v>
          </cell>
          <cell r="E345" t="str">
            <v>DIAGEO  CANADA INC</v>
          </cell>
          <cell r="F345" t="str">
            <v>1140</v>
          </cell>
          <cell r="G345">
            <v>40</v>
          </cell>
          <cell r="H345">
            <v>8</v>
          </cell>
          <cell r="I345" t="str">
            <v>3224</v>
          </cell>
          <cell r="L345">
            <v>1</v>
          </cell>
          <cell r="M345">
            <v>30.5</v>
          </cell>
        </row>
        <row r="346">
          <cell r="C346" t="str">
            <v>34032</v>
          </cell>
          <cell r="D346" t="str">
            <v>CAPTAIN MORGAN DARK</v>
          </cell>
          <cell r="E346" t="str">
            <v>DIAGEO  CANADA INC</v>
          </cell>
          <cell r="F346" t="str">
            <v>1750</v>
          </cell>
          <cell r="G346">
            <v>40</v>
          </cell>
          <cell r="H346">
            <v>6</v>
          </cell>
          <cell r="I346" t="str">
            <v>3224</v>
          </cell>
          <cell r="L346">
            <v>1</v>
          </cell>
          <cell r="M346">
            <v>45.01</v>
          </cell>
        </row>
        <row r="347">
          <cell r="C347" t="str">
            <v>1765</v>
          </cell>
          <cell r="D347" t="str">
            <v>CAPTAIN MORGAN DELUXE DARK</v>
          </cell>
          <cell r="E347" t="str">
            <v>DIAGEO  CANADA INC</v>
          </cell>
          <cell r="F347" t="str">
            <v>750</v>
          </cell>
          <cell r="G347">
            <v>40</v>
          </cell>
          <cell r="H347">
            <v>12</v>
          </cell>
          <cell r="I347" t="str">
            <v>3224</v>
          </cell>
          <cell r="L347">
            <v>1</v>
          </cell>
          <cell r="M347">
            <v>22.99</v>
          </cell>
        </row>
        <row r="348">
          <cell r="C348" t="str">
            <v>12949</v>
          </cell>
          <cell r="D348" t="str">
            <v>CAPTAIN MORGAN GOLD</v>
          </cell>
          <cell r="E348" t="str">
            <v>DIAGEO  CANADA INC</v>
          </cell>
          <cell r="F348" t="str">
            <v>750</v>
          </cell>
          <cell r="G348">
            <v>40</v>
          </cell>
          <cell r="H348">
            <v>12</v>
          </cell>
          <cell r="I348" t="str">
            <v>3224</v>
          </cell>
          <cell r="L348">
            <v>1</v>
          </cell>
          <cell r="M348">
            <v>22</v>
          </cell>
        </row>
        <row r="349">
          <cell r="C349" t="str">
            <v>8985</v>
          </cell>
          <cell r="D349" t="str">
            <v>CAPTAIN MORGAN GOLD</v>
          </cell>
          <cell r="E349" t="str">
            <v>DIAGEO  CANADA INC</v>
          </cell>
          <cell r="F349" t="str">
            <v>1140</v>
          </cell>
          <cell r="G349">
            <v>40</v>
          </cell>
          <cell r="H349">
            <v>8</v>
          </cell>
          <cell r="I349" t="str">
            <v>3224</v>
          </cell>
          <cell r="L349">
            <v>1</v>
          </cell>
          <cell r="M349">
            <v>30.5</v>
          </cell>
        </row>
        <row r="350">
          <cell r="C350" t="str">
            <v>34593</v>
          </cell>
          <cell r="D350" t="str">
            <v>CAPTAIN MORGAN GOLD</v>
          </cell>
          <cell r="E350" t="str">
            <v>DIAGEO  CANADA INC</v>
          </cell>
          <cell r="F350" t="str">
            <v>1750</v>
          </cell>
          <cell r="G350">
            <v>40</v>
          </cell>
          <cell r="H350">
            <v>6</v>
          </cell>
          <cell r="I350" t="str">
            <v>3224</v>
          </cell>
          <cell r="L350">
            <v>1</v>
          </cell>
          <cell r="M350">
            <v>45</v>
          </cell>
        </row>
        <row r="351">
          <cell r="C351" t="str">
            <v>8480</v>
          </cell>
          <cell r="D351" t="str">
            <v>CAPTAIN MORGAN WHITE</v>
          </cell>
          <cell r="E351" t="str">
            <v>DIAGEO  CANADA INC</v>
          </cell>
          <cell r="F351" t="str">
            <v>375</v>
          </cell>
          <cell r="G351">
            <v>40</v>
          </cell>
          <cell r="H351">
            <v>24</v>
          </cell>
          <cell r="I351" t="str">
            <v>3224</v>
          </cell>
          <cell r="L351">
            <v>1</v>
          </cell>
          <cell r="M351">
            <v>12.5</v>
          </cell>
        </row>
        <row r="352">
          <cell r="C352" t="str">
            <v>1779</v>
          </cell>
          <cell r="D352" t="str">
            <v>CAPTAIN MORGAN WHITE</v>
          </cell>
          <cell r="E352" t="str">
            <v>DIAGEO  CANADA INC</v>
          </cell>
          <cell r="F352" t="str">
            <v>750</v>
          </cell>
          <cell r="G352">
            <v>40</v>
          </cell>
          <cell r="H352">
            <v>12</v>
          </cell>
          <cell r="I352" t="str">
            <v>3224</v>
          </cell>
          <cell r="L352">
            <v>1</v>
          </cell>
          <cell r="M352">
            <v>22.01</v>
          </cell>
        </row>
        <row r="353">
          <cell r="C353" t="str">
            <v>1780</v>
          </cell>
          <cell r="D353" t="str">
            <v>CAPTAIN MORGAN WHITE</v>
          </cell>
          <cell r="E353" t="str">
            <v>DIAGEO  CANADA INC</v>
          </cell>
          <cell r="F353" t="str">
            <v>1140</v>
          </cell>
          <cell r="G353">
            <v>40</v>
          </cell>
          <cell r="H353">
            <v>8</v>
          </cell>
          <cell r="I353" t="str">
            <v>3224</v>
          </cell>
          <cell r="L353">
            <v>1</v>
          </cell>
          <cell r="M353">
            <v>30.5</v>
          </cell>
        </row>
        <row r="354">
          <cell r="C354" t="str">
            <v>1781</v>
          </cell>
          <cell r="D354" t="str">
            <v>CAPTAIN MORGAN WHITE</v>
          </cell>
          <cell r="E354" t="str">
            <v>DIAGEO  CANADA INC</v>
          </cell>
          <cell r="F354" t="str">
            <v>1750</v>
          </cell>
          <cell r="G354">
            <v>40</v>
          </cell>
          <cell r="H354">
            <v>6</v>
          </cell>
          <cell r="I354" t="str">
            <v>3224</v>
          </cell>
          <cell r="L354">
            <v>1</v>
          </cell>
          <cell r="M354">
            <v>43.61</v>
          </cell>
        </row>
        <row r="355">
          <cell r="C355" t="str">
            <v>29967</v>
          </cell>
          <cell r="D355" t="str">
            <v>GOSLING'S BLACK SEAL RUM</v>
          </cell>
          <cell r="E355" t="str">
            <v>GOSLING-CASTLE PARTNERS INC</v>
          </cell>
          <cell r="F355" t="str">
            <v>750</v>
          </cell>
          <cell r="G355">
            <v>40</v>
          </cell>
          <cell r="H355">
            <v>12</v>
          </cell>
          <cell r="I355" t="str">
            <v>3243</v>
          </cell>
          <cell r="L355">
            <v>1</v>
          </cell>
          <cell r="M355">
            <v>24.82</v>
          </cell>
        </row>
        <row r="356">
          <cell r="C356" t="str">
            <v>44899</v>
          </cell>
          <cell r="D356" t="str">
            <v>LAMB'S BLACK SPICED RUM</v>
          </cell>
          <cell r="E356" t="str">
            <v>HIRAM WALKER &amp; SONS LTD</v>
          </cell>
          <cell r="F356" t="str">
            <v>750</v>
          </cell>
          <cell r="G356">
            <v>40</v>
          </cell>
          <cell r="H356">
            <v>12</v>
          </cell>
          <cell r="I356" t="str">
            <v>3237</v>
          </cell>
          <cell r="L356">
            <v>1</v>
          </cell>
          <cell r="M356">
            <v>26</v>
          </cell>
        </row>
        <row r="357">
          <cell r="C357" t="str">
            <v>2927</v>
          </cell>
          <cell r="D357" t="str">
            <v>LAMB'S NAVY</v>
          </cell>
          <cell r="E357" t="str">
            <v>CORBY SPIRIT AND WINE LIMITED</v>
          </cell>
          <cell r="F357" t="str">
            <v>375</v>
          </cell>
          <cell r="G357">
            <v>40</v>
          </cell>
          <cell r="H357">
            <v>24</v>
          </cell>
          <cell r="I357" t="str">
            <v>3237</v>
          </cell>
          <cell r="L357">
            <v>1</v>
          </cell>
          <cell r="M357">
            <v>13.4</v>
          </cell>
        </row>
        <row r="358">
          <cell r="C358" t="str">
            <v>2928</v>
          </cell>
          <cell r="D358" t="str">
            <v>LAMB'S NAVY</v>
          </cell>
          <cell r="E358" t="str">
            <v>CORBY SPIRIT AND WINE LIMITED</v>
          </cell>
          <cell r="F358" t="str">
            <v>750</v>
          </cell>
          <cell r="G358">
            <v>40</v>
          </cell>
          <cell r="H358">
            <v>12</v>
          </cell>
          <cell r="I358" t="str">
            <v>3237</v>
          </cell>
          <cell r="L358">
            <v>1</v>
          </cell>
          <cell r="M358">
            <v>23.5</v>
          </cell>
        </row>
        <row r="359">
          <cell r="C359" t="str">
            <v>2930</v>
          </cell>
          <cell r="D359" t="str">
            <v>LAMB'S NAVY</v>
          </cell>
          <cell r="E359" t="str">
            <v>CORBY SPIRIT AND WINE LIMITED</v>
          </cell>
          <cell r="F359" t="str">
            <v>1140</v>
          </cell>
          <cell r="G359">
            <v>40</v>
          </cell>
          <cell r="H359">
            <v>12</v>
          </cell>
          <cell r="I359" t="str">
            <v>3237</v>
          </cell>
          <cell r="L359">
            <v>1</v>
          </cell>
          <cell r="M359">
            <v>33.32</v>
          </cell>
        </row>
        <row r="360">
          <cell r="C360" t="str">
            <v>2931</v>
          </cell>
          <cell r="D360" t="str">
            <v>LAMB'S NAVY</v>
          </cell>
          <cell r="E360" t="str">
            <v>CORBY SPIRIT AND WINE LIMITED</v>
          </cell>
          <cell r="F360" t="str">
            <v>1750</v>
          </cell>
          <cell r="G360">
            <v>40</v>
          </cell>
          <cell r="H360">
            <v>6</v>
          </cell>
          <cell r="I360" t="str">
            <v>3237</v>
          </cell>
          <cell r="L360">
            <v>1</v>
          </cell>
          <cell r="M360">
            <v>48.82</v>
          </cell>
        </row>
        <row r="361">
          <cell r="C361" t="str">
            <v>2934</v>
          </cell>
          <cell r="D361" t="str">
            <v>LAMB'S PALM BREEZE</v>
          </cell>
          <cell r="E361" t="str">
            <v>CORBY SPIRIT AND WINE LIMITED</v>
          </cell>
          <cell r="F361" t="str">
            <v>375</v>
          </cell>
          <cell r="G361">
            <v>40</v>
          </cell>
          <cell r="H361">
            <v>24</v>
          </cell>
          <cell r="I361" t="str">
            <v>3237</v>
          </cell>
          <cell r="L361">
            <v>1</v>
          </cell>
          <cell r="M361">
            <v>13.4</v>
          </cell>
        </row>
        <row r="362">
          <cell r="C362" t="str">
            <v>2935</v>
          </cell>
          <cell r="D362" t="str">
            <v>LAMB'S PALM BREEZE</v>
          </cell>
          <cell r="E362" t="str">
            <v>CORBY SPIRIT AND WINE LIMITED</v>
          </cell>
          <cell r="F362" t="str">
            <v>750</v>
          </cell>
          <cell r="G362">
            <v>40</v>
          </cell>
          <cell r="H362">
            <v>12</v>
          </cell>
          <cell r="I362" t="str">
            <v>3237</v>
          </cell>
          <cell r="L362">
            <v>1</v>
          </cell>
          <cell r="M362">
            <v>22.7</v>
          </cell>
        </row>
        <row r="363">
          <cell r="C363" t="str">
            <v>2937</v>
          </cell>
          <cell r="D363" t="str">
            <v>LAMB'S PALM BREEZE</v>
          </cell>
          <cell r="E363" t="str">
            <v>CORBY SPIRIT AND WINE LIMITED</v>
          </cell>
          <cell r="F363" t="str">
            <v>1140</v>
          </cell>
          <cell r="G363">
            <v>40</v>
          </cell>
          <cell r="H363">
            <v>12</v>
          </cell>
          <cell r="I363" t="str">
            <v>3237</v>
          </cell>
          <cell r="L363">
            <v>1</v>
          </cell>
          <cell r="M363">
            <v>33.32</v>
          </cell>
        </row>
        <row r="364">
          <cell r="C364" t="str">
            <v>2938</v>
          </cell>
          <cell r="D364" t="str">
            <v>LAMB'S PALM BREEZE</v>
          </cell>
          <cell r="E364" t="str">
            <v>CORBY SPIRIT AND WINE LIMITED</v>
          </cell>
          <cell r="F364" t="str">
            <v>1750</v>
          </cell>
          <cell r="G364">
            <v>40</v>
          </cell>
          <cell r="H364">
            <v>6</v>
          </cell>
          <cell r="I364" t="str">
            <v>3237</v>
          </cell>
          <cell r="L364">
            <v>1</v>
          </cell>
          <cell r="M364">
            <v>48.82</v>
          </cell>
        </row>
        <row r="365">
          <cell r="C365" t="str">
            <v>3399</v>
          </cell>
          <cell r="D365" t="str">
            <v>NEWFOUNDLAND SCREECH RUM</v>
          </cell>
          <cell r="E365" t="str">
            <v>NFLD &amp; LABRADOR LIQUOR CORP</v>
          </cell>
          <cell r="F365" t="str">
            <v>750</v>
          </cell>
          <cell r="G365">
            <v>40</v>
          </cell>
          <cell r="H365">
            <v>12</v>
          </cell>
          <cell r="I365" t="str">
            <v>87388</v>
          </cell>
          <cell r="L365">
            <v>1</v>
          </cell>
          <cell r="M365">
            <v>23.5</v>
          </cell>
        </row>
        <row r="366">
          <cell r="C366" t="str">
            <v>25598</v>
          </cell>
          <cell r="D366" t="str">
            <v>POTTER'S IMPORTED SPICED RUM</v>
          </cell>
          <cell r="E366" t="str">
            <v>HIGHWOOD DISTILLERS</v>
          </cell>
          <cell r="F366" t="str">
            <v>1140</v>
          </cell>
          <cell r="G366">
            <v>35</v>
          </cell>
          <cell r="H366">
            <v>12</v>
          </cell>
          <cell r="I366" t="str">
            <v>1021</v>
          </cell>
          <cell r="L366">
            <v>1</v>
          </cell>
          <cell r="M366">
            <v>32.53</v>
          </cell>
        </row>
        <row r="367">
          <cell r="C367" t="str">
            <v>27061</v>
          </cell>
          <cell r="D367" t="str">
            <v>LAMB'S CLASSIC WHITE</v>
          </cell>
          <cell r="E367" t="str">
            <v>HIRAM WALKER &amp; SONS LTD</v>
          </cell>
          <cell r="F367" t="str">
            <v>750</v>
          </cell>
          <cell r="G367">
            <v>40</v>
          </cell>
          <cell r="H367">
            <v>12</v>
          </cell>
          <cell r="I367" t="str">
            <v>3237</v>
          </cell>
          <cell r="L367">
            <v>1</v>
          </cell>
          <cell r="M367">
            <v>22.3</v>
          </cell>
        </row>
        <row r="368">
          <cell r="C368" t="str">
            <v>2944</v>
          </cell>
          <cell r="D368" t="str">
            <v>LAMB'S CLASSIC WHITE</v>
          </cell>
          <cell r="E368" t="str">
            <v>CORBY SPIRIT AND WINE LIMITED</v>
          </cell>
          <cell r="F368" t="str">
            <v>1140</v>
          </cell>
          <cell r="G368">
            <v>40</v>
          </cell>
          <cell r="H368">
            <v>12</v>
          </cell>
          <cell r="I368" t="str">
            <v>3237</v>
          </cell>
          <cell r="L368">
            <v>1</v>
          </cell>
          <cell r="M368">
            <v>32.119999999999997</v>
          </cell>
        </row>
        <row r="369">
          <cell r="C369" t="str">
            <v>2945</v>
          </cell>
          <cell r="D369" t="str">
            <v>LAMB'S CLASSIC WHITE</v>
          </cell>
          <cell r="E369" t="str">
            <v>CORBY SPIRIT AND WINE LIMITED</v>
          </cell>
          <cell r="F369" t="str">
            <v>1750</v>
          </cell>
          <cell r="G369">
            <v>40</v>
          </cell>
          <cell r="H369">
            <v>6</v>
          </cell>
          <cell r="I369" t="str">
            <v>3237</v>
          </cell>
          <cell r="L369">
            <v>1</v>
          </cell>
          <cell r="M369">
            <v>47.52</v>
          </cell>
        </row>
        <row r="370">
          <cell r="C370" t="str">
            <v>25961</v>
          </cell>
          <cell r="D370" t="str">
            <v>BUMBU CRAFT RUM</v>
          </cell>
          <cell r="E370" t="str">
            <v>BUMBU RUM CO</v>
          </cell>
          <cell r="F370" t="str">
            <v>750</v>
          </cell>
          <cell r="G370">
            <v>35</v>
          </cell>
          <cell r="H370">
            <v>6</v>
          </cell>
          <cell r="I370" t="str">
            <v>3237</v>
          </cell>
          <cell r="L370">
            <v>1</v>
          </cell>
          <cell r="M370">
            <v>46.97</v>
          </cell>
        </row>
        <row r="371">
          <cell r="C371" t="str">
            <v>13788</v>
          </cell>
          <cell r="D371" t="str">
            <v>PLANTERAY 5 YEAR OLD BARBADOS AMBER RUM</v>
          </cell>
          <cell r="E371" t="str">
            <v>CHATEAU DE BONBONNET</v>
          </cell>
          <cell r="F371" t="str">
            <v>750</v>
          </cell>
          <cell r="G371">
            <v>40</v>
          </cell>
          <cell r="H371">
            <v>12</v>
          </cell>
          <cell r="I371" t="str">
            <v>3295</v>
          </cell>
          <cell r="L371">
            <v>1</v>
          </cell>
          <cell r="M371">
            <v>32.89</v>
          </cell>
        </row>
        <row r="372">
          <cell r="C372" t="str">
            <v>40019</v>
          </cell>
          <cell r="D372" t="str">
            <v>BUMBU CRAFT RUM</v>
          </cell>
          <cell r="E372" t="str">
            <v>BUMBU RUM CO</v>
          </cell>
          <cell r="F372" t="str">
            <v>375</v>
          </cell>
          <cell r="G372">
            <v>35</v>
          </cell>
          <cell r="H372">
            <v>12</v>
          </cell>
          <cell r="I372" t="str">
            <v>3237</v>
          </cell>
          <cell r="L372">
            <v>1</v>
          </cell>
          <cell r="M372">
            <v>25.51</v>
          </cell>
        </row>
        <row r="373">
          <cell r="C373" t="str">
            <v>3348</v>
          </cell>
          <cell r="D373" t="str">
            <v>MOUNT GAY ECLIPSE</v>
          </cell>
          <cell r="E373" t="str">
            <v>MOUNT GAY DISTILLERIES LIMITED</v>
          </cell>
          <cell r="F373" t="str">
            <v>750</v>
          </cell>
          <cell r="G373">
            <v>40</v>
          </cell>
          <cell r="H373">
            <v>12</v>
          </cell>
          <cell r="I373" t="str">
            <v>194112</v>
          </cell>
          <cell r="L373">
            <v>1</v>
          </cell>
          <cell r="M373">
            <v>27.7</v>
          </cell>
        </row>
        <row r="374">
          <cell r="C374" t="str">
            <v>2610</v>
          </cell>
          <cell r="D374" t="str">
            <v>HAVANA CLUB 7 YEAR OLD</v>
          </cell>
          <cell r="E374" t="str">
            <v>HAVANA CLUB INTERNATIONAL</v>
          </cell>
          <cell r="F374" t="str">
            <v>750</v>
          </cell>
          <cell r="G374">
            <v>40</v>
          </cell>
          <cell r="H374">
            <v>12</v>
          </cell>
          <cell r="I374" t="str">
            <v>3237</v>
          </cell>
          <cell r="L374">
            <v>1</v>
          </cell>
          <cell r="M374">
            <v>31.2</v>
          </cell>
        </row>
        <row r="375">
          <cell r="C375" t="str">
            <v>17165</v>
          </cell>
          <cell r="D375" t="str">
            <v>HAVANA CLUB ANEJO 3 ANOS</v>
          </cell>
          <cell r="E375" t="str">
            <v>HAVANA CLUB INTERNATIONAL</v>
          </cell>
          <cell r="F375" t="str">
            <v>750</v>
          </cell>
          <cell r="G375">
            <v>40</v>
          </cell>
          <cell r="H375">
            <v>12</v>
          </cell>
          <cell r="I375" t="str">
            <v>3237</v>
          </cell>
          <cell r="L375">
            <v>1</v>
          </cell>
          <cell r="M375">
            <v>27.2</v>
          </cell>
        </row>
        <row r="376">
          <cell r="C376" t="str">
            <v>2611</v>
          </cell>
          <cell r="D376" t="str">
            <v>HAVANA CLUB ANEJO RESERVA</v>
          </cell>
          <cell r="E376" t="str">
            <v>HAVANA CLUB INTERNATIONAL</v>
          </cell>
          <cell r="F376" t="str">
            <v>750</v>
          </cell>
          <cell r="G376">
            <v>40</v>
          </cell>
          <cell r="H376">
            <v>12</v>
          </cell>
          <cell r="I376" t="str">
            <v>3237</v>
          </cell>
          <cell r="L376">
            <v>1</v>
          </cell>
          <cell r="M376">
            <v>28.7</v>
          </cell>
        </row>
        <row r="377">
          <cell r="C377" t="str">
            <v>47462</v>
          </cell>
          <cell r="D377" t="str">
            <v>HAVANA CLUB ESPECIAL</v>
          </cell>
          <cell r="E377" t="str">
            <v>HIRAM WALKER &amp; SONS LTD</v>
          </cell>
          <cell r="F377" t="str">
            <v>750</v>
          </cell>
          <cell r="G377">
            <v>37.5</v>
          </cell>
          <cell r="H377">
            <v>12</v>
          </cell>
          <cell r="I377" t="str">
            <v>3237</v>
          </cell>
          <cell r="L377">
            <v>1</v>
          </cell>
          <cell r="M377">
            <v>29.99</v>
          </cell>
        </row>
        <row r="378">
          <cell r="C378" t="str">
            <v>5276</v>
          </cell>
          <cell r="D378" t="str">
            <v>RON MATUSALEM GRAN RESERVA 15YO</v>
          </cell>
          <cell r="E378" t="str">
            <v>MATUSALEM &amp; CO.</v>
          </cell>
          <cell r="F378" t="str">
            <v>750</v>
          </cell>
          <cell r="G378">
            <v>40</v>
          </cell>
          <cell r="H378">
            <v>6</v>
          </cell>
          <cell r="I378" t="str">
            <v>128699</v>
          </cell>
          <cell r="L378">
            <v>1</v>
          </cell>
          <cell r="M378">
            <v>31.21</v>
          </cell>
        </row>
        <row r="379">
          <cell r="C379" t="str">
            <v>8156</v>
          </cell>
          <cell r="D379" t="str">
            <v>BRUGAL ANEJO RUM</v>
          </cell>
          <cell r="E379" t="str">
            <v>BRUGAL &amp; CO</v>
          </cell>
          <cell r="F379" t="str">
            <v>750</v>
          </cell>
          <cell r="G379">
            <v>40</v>
          </cell>
          <cell r="H379">
            <v>12</v>
          </cell>
          <cell r="I379" t="str">
            <v>3242</v>
          </cell>
          <cell r="L379">
            <v>1</v>
          </cell>
          <cell r="M379">
            <v>22.22</v>
          </cell>
        </row>
        <row r="380">
          <cell r="C380" t="str">
            <v>1200</v>
          </cell>
          <cell r="D380" t="str">
            <v>BACARDI SUPERIOR</v>
          </cell>
          <cell r="E380" t="str">
            <v>BACARDI CANADA  INC</v>
          </cell>
          <cell r="F380" t="str">
            <v>3000</v>
          </cell>
          <cell r="G380">
            <v>40</v>
          </cell>
          <cell r="H380">
            <v>1</v>
          </cell>
          <cell r="I380" t="str">
            <v>3233</v>
          </cell>
          <cell r="L380">
            <v>1</v>
          </cell>
          <cell r="M380">
            <v>94.99</v>
          </cell>
        </row>
        <row r="381">
          <cell r="C381" t="str">
            <v>12756</v>
          </cell>
          <cell r="D381" t="str">
            <v>RON ZACAPA CENTENARIO 23 YEAR OLD</v>
          </cell>
          <cell r="E381" t="str">
            <v>DIAGEO  CANADA INC</v>
          </cell>
          <cell r="F381" t="str">
            <v>750</v>
          </cell>
          <cell r="G381">
            <v>40</v>
          </cell>
          <cell r="H381">
            <v>6</v>
          </cell>
          <cell r="I381" t="str">
            <v>3224</v>
          </cell>
          <cell r="L381">
            <v>1</v>
          </cell>
          <cell r="M381">
            <v>63</v>
          </cell>
        </row>
        <row r="382">
          <cell r="C382" t="str">
            <v>13510</v>
          </cell>
          <cell r="D382" t="str">
            <v>EL DORADO 12 YEAR OLD</v>
          </cell>
          <cell r="E382" t="str">
            <v>DEMERARA DISTILLERS LIMITED</v>
          </cell>
          <cell r="F382" t="str">
            <v>750</v>
          </cell>
          <cell r="G382">
            <v>40</v>
          </cell>
          <cell r="H382">
            <v>6</v>
          </cell>
          <cell r="I382" t="str">
            <v>205851</v>
          </cell>
          <cell r="L382">
            <v>1</v>
          </cell>
          <cell r="M382">
            <v>36.4</v>
          </cell>
        </row>
        <row r="383">
          <cell r="C383" t="str">
            <v>2966</v>
          </cell>
          <cell r="D383" t="str">
            <v>LEMON HART</v>
          </cell>
          <cell r="E383" t="str">
            <v>NFLD &amp; LABRADOR LIQUOR CORP</v>
          </cell>
          <cell r="F383" t="str">
            <v>750</v>
          </cell>
          <cell r="G383">
            <v>40</v>
          </cell>
          <cell r="H383">
            <v>12</v>
          </cell>
          <cell r="I383" t="str">
            <v>4202</v>
          </cell>
          <cell r="L383">
            <v>1</v>
          </cell>
          <cell r="M383">
            <v>26.33</v>
          </cell>
        </row>
        <row r="384">
          <cell r="C384" t="str">
            <v>2967</v>
          </cell>
          <cell r="D384" t="str">
            <v>LEMON HART</v>
          </cell>
          <cell r="E384" t="str">
            <v>NFLD &amp; LABRADOR LIQUOR CORP</v>
          </cell>
          <cell r="F384" t="str">
            <v>1140</v>
          </cell>
          <cell r="G384">
            <v>40</v>
          </cell>
          <cell r="H384">
            <v>10</v>
          </cell>
          <cell r="I384" t="str">
            <v>4202</v>
          </cell>
          <cell r="L384">
            <v>1</v>
          </cell>
          <cell r="M384">
            <v>37.25</v>
          </cell>
        </row>
        <row r="385">
          <cell r="C385" t="str">
            <v>2968</v>
          </cell>
          <cell r="D385" t="str">
            <v>LEMON HART</v>
          </cell>
          <cell r="E385" t="str">
            <v>NFLD &amp; LABRADOR LIQUOR CORP</v>
          </cell>
          <cell r="F385" t="str">
            <v>1750</v>
          </cell>
          <cell r="G385">
            <v>40</v>
          </cell>
          <cell r="H385">
            <v>6</v>
          </cell>
          <cell r="I385" t="str">
            <v>4202</v>
          </cell>
          <cell r="L385">
            <v>1</v>
          </cell>
          <cell r="M385">
            <v>56.07</v>
          </cell>
        </row>
        <row r="386">
          <cell r="C386" t="str">
            <v>1122</v>
          </cell>
          <cell r="D386" t="str">
            <v>APPLETON ESTATE 21 YEAR OLD</v>
          </cell>
          <cell r="E386" t="str">
            <v>J WRAY &amp; NEPHEW LTD</v>
          </cell>
          <cell r="F386" t="str">
            <v>750</v>
          </cell>
          <cell r="G386">
            <v>43</v>
          </cell>
          <cell r="H386">
            <v>6</v>
          </cell>
          <cell r="I386" t="str">
            <v>1041</v>
          </cell>
          <cell r="L386">
            <v>1</v>
          </cell>
          <cell r="M386">
            <v>139.99</v>
          </cell>
        </row>
        <row r="387">
          <cell r="C387" t="str">
            <v>43640</v>
          </cell>
          <cell r="D387" t="str">
            <v>APPLETON ESTATE 8YO DOUBLE CASK</v>
          </cell>
          <cell r="E387" t="str">
            <v>J WRAY &amp; NEPHEW LTD</v>
          </cell>
          <cell r="F387" t="str">
            <v>750</v>
          </cell>
          <cell r="G387">
            <v>43</v>
          </cell>
          <cell r="H387">
            <v>6</v>
          </cell>
          <cell r="I387" t="str">
            <v>1041</v>
          </cell>
          <cell r="L387">
            <v>1</v>
          </cell>
          <cell r="M387">
            <v>41.23</v>
          </cell>
        </row>
        <row r="388">
          <cell r="C388" t="str">
            <v>6041</v>
          </cell>
          <cell r="D388" t="str">
            <v>WRAY &amp; NEPHEW WHITE OVER PROOF RUM</v>
          </cell>
          <cell r="E388" t="str">
            <v>WRAY &amp; NEPHEW CANADA LIMITED</v>
          </cell>
          <cell r="F388" t="str">
            <v>750</v>
          </cell>
          <cell r="G388">
            <v>63</v>
          </cell>
          <cell r="H388">
            <v>12</v>
          </cell>
          <cell r="I388" t="str">
            <v>1041</v>
          </cell>
          <cell r="L388">
            <v>1</v>
          </cell>
          <cell r="M388">
            <v>35.340000000000003</v>
          </cell>
        </row>
        <row r="389">
          <cell r="C389" t="str">
            <v>33458</v>
          </cell>
          <cell r="D389" t="str">
            <v>APPLETON ESTATE 12 YEAR OLD RARE CASKS</v>
          </cell>
          <cell r="E389" t="str">
            <v>J WRAY &amp; NEPHEW LTD</v>
          </cell>
          <cell r="F389" t="str">
            <v>750</v>
          </cell>
          <cell r="G389">
            <v>43</v>
          </cell>
          <cell r="H389">
            <v>12</v>
          </cell>
          <cell r="I389" t="str">
            <v>1041</v>
          </cell>
          <cell r="L389">
            <v>1</v>
          </cell>
          <cell r="M389">
            <v>42.53</v>
          </cell>
        </row>
        <row r="390">
          <cell r="C390" t="str">
            <v>33434</v>
          </cell>
          <cell r="D390" t="str">
            <v>APPLETON ESTATE 8 YEAR OLD RESERVE</v>
          </cell>
          <cell r="E390" t="str">
            <v>J WRAY &amp; NEPHEW LTD</v>
          </cell>
          <cell r="F390" t="str">
            <v>750</v>
          </cell>
          <cell r="G390">
            <v>43</v>
          </cell>
          <cell r="H390">
            <v>12</v>
          </cell>
          <cell r="I390" t="str">
            <v>1041</v>
          </cell>
          <cell r="L390">
            <v>1</v>
          </cell>
          <cell r="M390">
            <v>33.29</v>
          </cell>
        </row>
        <row r="391">
          <cell r="C391" t="str">
            <v>1123</v>
          </cell>
          <cell r="D391" t="str">
            <v>APPLETON ESTATE SIGNATURE BLEND</v>
          </cell>
          <cell r="E391" t="str">
            <v>J WRAY &amp; NEPHEW LTD</v>
          </cell>
          <cell r="F391" t="str">
            <v>375</v>
          </cell>
          <cell r="G391">
            <v>40</v>
          </cell>
          <cell r="H391">
            <v>20</v>
          </cell>
          <cell r="I391" t="str">
            <v>1041</v>
          </cell>
          <cell r="L391">
            <v>1</v>
          </cell>
          <cell r="M391">
            <v>15</v>
          </cell>
        </row>
        <row r="392">
          <cell r="C392" t="str">
            <v>1124</v>
          </cell>
          <cell r="D392" t="str">
            <v>APPLETON ESTATE SIGNATURE BLEND</v>
          </cell>
          <cell r="E392" t="str">
            <v>J WRAY &amp; NEPHEW LTD</v>
          </cell>
          <cell r="F392" t="str">
            <v>750</v>
          </cell>
          <cell r="G392">
            <v>40</v>
          </cell>
          <cell r="H392">
            <v>12</v>
          </cell>
          <cell r="I392" t="str">
            <v>1041</v>
          </cell>
          <cell r="L392">
            <v>1</v>
          </cell>
          <cell r="M392">
            <v>25</v>
          </cell>
        </row>
        <row r="393">
          <cell r="C393" t="str">
            <v>1125</v>
          </cell>
          <cell r="D393" t="str">
            <v>APPLETON ESTATE SIGNATURE BLEND</v>
          </cell>
          <cell r="E393" t="str">
            <v>J WRAY &amp; NEPHEW LTD</v>
          </cell>
          <cell r="F393" t="str">
            <v>1140</v>
          </cell>
          <cell r="G393">
            <v>40</v>
          </cell>
          <cell r="H393">
            <v>6</v>
          </cell>
          <cell r="I393" t="str">
            <v>1041</v>
          </cell>
          <cell r="L393">
            <v>1</v>
          </cell>
          <cell r="M393">
            <v>35.01</v>
          </cell>
        </row>
        <row r="394">
          <cell r="C394" t="str">
            <v>1126</v>
          </cell>
          <cell r="D394" t="str">
            <v>APPLETON ESTATE SIGNATURE BLEND</v>
          </cell>
          <cell r="E394" t="str">
            <v>J WRAY &amp; NEPHEW LTD</v>
          </cell>
          <cell r="F394" t="str">
            <v>1750</v>
          </cell>
          <cell r="G394">
            <v>40</v>
          </cell>
          <cell r="H394">
            <v>6</v>
          </cell>
          <cell r="I394" t="str">
            <v>1041</v>
          </cell>
          <cell r="L394">
            <v>1</v>
          </cell>
          <cell r="M394">
            <v>50.52</v>
          </cell>
        </row>
        <row r="395">
          <cell r="C395" t="str">
            <v>39920</v>
          </cell>
          <cell r="D395" t="str">
            <v>SMITH &amp; CROSS RUM</v>
          </cell>
          <cell r="E395" t="str">
            <v>HG &amp; CO LTD - HAYMAN</v>
          </cell>
          <cell r="F395" t="str">
            <v>750</v>
          </cell>
          <cell r="G395">
            <v>57</v>
          </cell>
          <cell r="H395">
            <v>12</v>
          </cell>
          <cell r="I395" t="str">
            <v>1009</v>
          </cell>
          <cell r="L395">
            <v>1</v>
          </cell>
          <cell r="M395">
            <v>46.04</v>
          </cell>
        </row>
        <row r="396">
          <cell r="C396" t="str">
            <v>5982</v>
          </cell>
          <cell r="D396" t="str">
            <v>FLOR DE CANA CENTENARIO 12 YO</v>
          </cell>
          <cell r="E396" t="str">
            <v>COMPANIA LICORERA DE NICARAGUA SA</v>
          </cell>
          <cell r="F396" t="str">
            <v>750</v>
          </cell>
          <cell r="G396">
            <v>40</v>
          </cell>
          <cell r="H396">
            <v>12</v>
          </cell>
          <cell r="I396" t="str">
            <v>1009</v>
          </cell>
          <cell r="L396">
            <v>1</v>
          </cell>
          <cell r="M396">
            <v>35.020000000000003</v>
          </cell>
        </row>
        <row r="397">
          <cell r="C397" t="str">
            <v>6887</v>
          </cell>
          <cell r="D397" t="str">
            <v>FLOR DE CANA CENTENARIO 18 YEAR OLD</v>
          </cell>
          <cell r="E397" t="str">
            <v>COMPANIA LICORERA DE NICARAGUA SA</v>
          </cell>
          <cell r="F397" t="str">
            <v>750</v>
          </cell>
          <cell r="G397">
            <v>40</v>
          </cell>
          <cell r="H397">
            <v>6</v>
          </cell>
          <cell r="I397" t="str">
            <v>1009</v>
          </cell>
          <cell r="L397">
            <v>1</v>
          </cell>
          <cell r="M397">
            <v>62.12</v>
          </cell>
        </row>
        <row r="398">
          <cell r="C398" t="str">
            <v>6888</v>
          </cell>
          <cell r="D398" t="str">
            <v>FLOR DE CANA GRAND RESERVE 7 YEAR OLD</v>
          </cell>
          <cell r="E398" t="str">
            <v>COMPANIA LICORERA DE NICARAGUA SA</v>
          </cell>
          <cell r="F398" t="str">
            <v>750</v>
          </cell>
          <cell r="G398">
            <v>40</v>
          </cell>
          <cell r="H398">
            <v>12</v>
          </cell>
          <cell r="I398" t="str">
            <v>1009</v>
          </cell>
          <cell r="L398">
            <v>1</v>
          </cell>
          <cell r="M398">
            <v>30.01</v>
          </cell>
        </row>
        <row r="399">
          <cell r="C399" t="str">
            <v>5981</v>
          </cell>
          <cell r="D399" t="str">
            <v>FLOR DE CANA BLACK LABEL 5 YR</v>
          </cell>
          <cell r="E399" t="str">
            <v>COMPANIA LICORERA DE NICARAGUA SA</v>
          </cell>
          <cell r="F399" t="str">
            <v>750</v>
          </cell>
          <cell r="G399">
            <v>40</v>
          </cell>
          <cell r="H399">
            <v>12</v>
          </cell>
          <cell r="I399" t="str">
            <v>1009</v>
          </cell>
          <cell r="L399">
            <v>1</v>
          </cell>
          <cell r="M399">
            <v>24.01</v>
          </cell>
        </row>
        <row r="400">
          <cell r="C400" t="str">
            <v>30950</v>
          </cell>
          <cell r="D400" t="str">
            <v>BUMBU XO</v>
          </cell>
          <cell r="E400" t="str">
            <v>BUMBU RUM CO</v>
          </cell>
          <cell r="F400" t="str">
            <v>750</v>
          </cell>
          <cell r="G400">
            <v>40</v>
          </cell>
          <cell r="H400">
            <v>6</v>
          </cell>
          <cell r="I400" t="str">
            <v>3237</v>
          </cell>
          <cell r="L400">
            <v>1</v>
          </cell>
          <cell r="M400">
            <v>55.97</v>
          </cell>
        </row>
        <row r="401">
          <cell r="C401" t="str">
            <v>47460</v>
          </cell>
          <cell r="D401" t="str">
            <v>DEMON'S SHARE 3 YEAR OLD RUM</v>
          </cell>
          <cell r="E401" t="str">
            <v>BODEGAS DE AMERICA</v>
          </cell>
          <cell r="F401" t="str">
            <v>700</v>
          </cell>
          <cell r="G401">
            <v>40</v>
          </cell>
          <cell r="H401">
            <v>6</v>
          </cell>
          <cell r="I401" t="str">
            <v>140473</v>
          </cell>
          <cell r="L401">
            <v>1</v>
          </cell>
          <cell r="M401">
            <v>45.5</v>
          </cell>
        </row>
        <row r="402">
          <cell r="C402" t="str">
            <v>6235</v>
          </cell>
          <cell r="D402" t="str">
            <v>CAPTAIN MORGAN PRIVATE STOCK RUM</v>
          </cell>
          <cell r="E402" t="str">
            <v>DIAGEO NORTH AMERICA</v>
          </cell>
          <cell r="F402" t="str">
            <v>750</v>
          </cell>
          <cell r="G402">
            <v>40</v>
          </cell>
          <cell r="H402">
            <v>12</v>
          </cell>
          <cell r="I402" t="str">
            <v>3224</v>
          </cell>
          <cell r="L402">
            <v>1</v>
          </cell>
          <cell r="M402">
            <v>36.75</v>
          </cell>
        </row>
        <row r="403">
          <cell r="C403" t="str">
            <v>1160</v>
          </cell>
          <cell r="D403" t="str">
            <v>BACARDI 8</v>
          </cell>
          <cell r="E403" t="str">
            <v>BACARDI CANADA  INC</v>
          </cell>
          <cell r="F403" t="str">
            <v>750</v>
          </cell>
          <cell r="G403">
            <v>40</v>
          </cell>
          <cell r="H403">
            <v>12</v>
          </cell>
          <cell r="I403" t="str">
            <v>3233</v>
          </cell>
          <cell r="L403">
            <v>1</v>
          </cell>
          <cell r="M403">
            <v>33.5</v>
          </cell>
        </row>
        <row r="404">
          <cell r="C404" t="str">
            <v>43387</v>
          </cell>
          <cell r="D404" t="str">
            <v>BACARDI CARIBBEAN SPICED RUM</v>
          </cell>
          <cell r="E404" t="str">
            <v>BACARDI BOTTLING CORP</v>
          </cell>
          <cell r="F404" t="str">
            <v>700</v>
          </cell>
          <cell r="G404">
            <v>40</v>
          </cell>
          <cell r="H404">
            <v>6</v>
          </cell>
          <cell r="I404" t="str">
            <v>3233</v>
          </cell>
          <cell r="L404">
            <v>1</v>
          </cell>
          <cell r="M404">
            <v>29.86</v>
          </cell>
        </row>
        <row r="405">
          <cell r="C405" t="str">
            <v>1184</v>
          </cell>
          <cell r="D405" t="str">
            <v>BACARDI GOLD</v>
          </cell>
          <cell r="E405" t="str">
            <v>BACARDI BOTTLING CORP</v>
          </cell>
          <cell r="F405" t="str">
            <v>375</v>
          </cell>
          <cell r="G405">
            <v>40</v>
          </cell>
          <cell r="H405">
            <v>24</v>
          </cell>
          <cell r="I405" t="str">
            <v>3233</v>
          </cell>
          <cell r="L405">
            <v>1</v>
          </cell>
          <cell r="M405">
            <v>14.5</v>
          </cell>
        </row>
        <row r="406">
          <cell r="C406" t="str">
            <v>41275</v>
          </cell>
          <cell r="D406" t="str">
            <v>THE KRAKEN GOLD SPICED RUM</v>
          </cell>
          <cell r="E406" t="str">
            <v>PROXIMO SPIRITS Kentucky</v>
          </cell>
          <cell r="F406" t="str">
            <v>750</v>
          </cell>
          <cell r="G406">
            <v>35</v>
          </cell>
          <cell r="H406">
            <v>12</v>
          </cell>
          <cell r="I406" t="str">
            <v>128699</v>
          </cell>
          <cell r="L406">
            <v>1</v>
          </cell>
          <cell r="M406">
            <v>26.31</v>
          </cell>
        </row>
        <row r="407">
          <cell r="C407" t="str">
            <v>41003</v>
          </cell>
          <cell r="D407" t="str">
            <v>DEAD MAN'S FINGERS PASSION FRUIT RUM</v>
          </cell>
          <cell r="E407" t="str">
            <v>HALEWOOD WINE &amp; SPIRITS INTERNATIONAL</v>
          </cell>
          <cell r="F407" t="str">
            <v>750</v>
          </cell>
          <cell r="G407">
            <v>43</v>
          </cell>
          <cell r="H407">
            <v>6</v>
          </cell>
          <cell r="I407" t="str">
            <v>194112</v>
          </cell>
          <cell r="L407">
            <v>1</v>
          </cell>
          <cell r="M407">
            <v>31.25</v>
          </cell>
        </row>
        <row r="408">
          <cell r="C408" t="str">
            <v>26979</v>
          </cell>
          <cell r="D408" t="str">
            <v>BACARDI BLACK (IMPORT)</v>
          </cell>
          <cell r="E408" t="str">
            <v>BACARDI BOTTLING CORP</v>
          </cell>
          <cell r="F408" t="str">
            <v>750</v>
          </cell>
          <cell r="G408">
            <v>40</v>
          </cell>
          <cell r="H408">
            <v>12</v>
          </cell>
          <cell r="I408" t="str">
            <v>3233</v>
          </cell>
          <cell r="L408">
            <v>1</v>
          </cell>
          <cell r="M408">
            <v>23</v>
          </cell>
        </row>
        <row r="409">
          <cell r="C409" t="str">
            <v>26990</v>
          </cell>
          <cell r="D409" t="str">
            <v>BACARDI BLACK (IMPORT)</v>
          </cell>
          <cell r="E409" t="str">
            <v>BACARDI BOTTLING CORP</v>
          </cell>
          <cell r="F409" t="str">
            <v>1140</v>
          </cell>
          <cell r="G409">
            <v>40</v>
          </cell>
          <cell r="H409">
            <v>6</v>
          </cell>
          <cell r="I409" t="str">
            <v>3233</v>
          </cell>
          <cell r="L409">
            <v>1</v>
          </cell>
          <cell r="M409">
            <v>32</v>
          </cell>
        </row>
        <row r="410">
          <cell r="C410" t="str">
            <v>26992</v>
          </cell>
          <cell r="D410" t="str">
            <v>BACARDI GOLD (IMPORT)</v>
          </cell>
          <cell r="E410" t="str">
            <v>BACARDI BOTTLING CORP</v>
          </cell>
          <cell r="F410" t="str">
            <v>750</v>
          </cell>
          <cell r="G410">
            <v>40</v>
          </cell>
          <cell r="H410">
            <v>12</v>
          </cell>
          <cell r="I410" t="str">
            <v>3233</v>
          </cell>
          <cell r="L410">
            <v>1</v>
          </cell>
          <cell r="M410">
            <v>23</v>
          </cell>
        </row>
        <row r="411">
          <cell r="C411" t="str">
            <v>26993</v>
          </cell>
          <cell r="D411" t="str">
            <v>BACARDI GOLD (IMPORT)</v>
          </cell>
          <cell r="E411" t="str">
            <v>BACARDI BOTTLING CORP</v>
          </cell>
          <cell r="F411" t="str">
            <v>1140</v>
          </cell>
          <cell r="G411">
            <v>40</v>
          </cell>
          <cell r="H411">
            <v>6</v>
          </cell>
          <cell r="I411" t="str">
            <v>3233</v>
          </cell>
          <cell r="L411">
            <v>1</v>
          </cell>
          <cell r="M411">
            <v>32</v>
          </cell>
        </row>
        <row r="412">
          <cell r="C412" t="str">
            <v>26995</v>
          </cell>
          <cell r="D412" t="str">
            <v>BACARDI GOLD (IMPORT)</v>
          </cell>
          <cell r="E412" t="str">
            <v>BACARDI BOTTLING CORP</v>
          </cell>
          <cell r="F412" t="str">
            <v>1750</v>
          </cell>
          <cell r="G412">
            <v>40</v>
          </cell>
          <cell r="H412">
            <v>6</v>
          </cell>
          <cell r="I412" t="str">
            <v>3233</v>
          </cell>
          <cell r="L412">
            <v>1</v>
          </cell>
          <cell r="M412">
            <v>46.5</v>
          </cell>
        </row>
        <row r="413">
          <cell r="C413" t="str">
            <v>26977</v>
          </cell>
          <cell r="D413" t="str">
            <v>BACARDI SUPERIOR (IMPORT)</v>
          </cell>
          <cell r="E413" t="str">
            <v>BACARDI BOTTLING CORP</v>
          </cell>
          <cell r="F413" t="str">
            <v>1140</v>
          </cell>
          <cell r="G413">
            <v>40</v>
          </cell>
          <cell r="H413">
            <v>6</v>
          </cell>
          <cell r="I413" t="str">
            <v>3233</v>
          </cell>
          <cell r="L413">
            <v>1</v>
          </cell>
          <cell r="M413">
            <v>32</v>
          </cell>
        </row>
        <row r="414">
          <cell r="C414" t="str">
            <v>26971</v>
          </cell>
          <cell r="D414" t="str">
            <v>BACARDI SUPERIOR (IMPORT)</v>
          </cell>
          <cell r="E414" t="str">
            <v>BACARDI BOTTLING CORP</v>
          </cell>
          <cell r="F414" t="str">
            <v>1750</v>
          </cell>
          <cell r="G414">
            <v>40</v>
          </cell>
          <cell r="H414">
            <v>6</v>
          </cell>
          <cell r="I414" t="str">
            <v>3233</v>
          </cell>
          <cell r="L414">
            <v>1</v>
          </cell>
          <cell r="M414">
            <v>46.5</v>
          </cell>
        </row>
        <row r="415">
          <cell r="C415" t="str">
            <v>11807</v>
          </cell>
          <cell r="D415" t="str">
            <v>DIPLOMATICO MANTUANO</v>
          </cell>
          <cell r="E415" t="str">
            <v>DISTILERIAS UNIDAS S.A.</v>
          </cell>
          <cell r="F415" t="str">
            <v>750</v>
          </cell>
          <cell r="G415">
            <v>40</v>
          </cell>
          <cell r="H415">
            <v>6</v>
          </cell>
          <cell r="I415" t="str">
            <v>1230</v>
          </cell>
          <cell r="L415">
            <v>1</v>
          </cell>
          <cell r="M415">
            <v>41.57</v>
          </cell>
        </row>
        <row r="416">
          <cell r="C416" t="str">
            <v>11809</v>
          </cell>
          <cell r="D416" t="str">
            <v>DIPLOMATICO RESERVA EXCLUSIVA</v>
          </cell>
          <cell r="E416" t="str">
            <v>DISTILERIAS UNIDAS S.A.</v>
          </cell>
          <cell r="F416" t="str">
            <v>750</v>
          </cell>
          <cell r="G416">
            <v>40</v>
          </cell>
          <cell r="H416">
            <v>6</v>
          </cell>
          <cell r="I416" t="str">
            <v>1230</v>
          </cell>
          <cell r="L416">
            <v>1</v>
          </cell>
          <cell r="M416">
            <v>55.55</v>
          </cell>
        </row>
        <row r="417">
          <cell r="C417" t="str">
            <v>9738</v>
          </cell>
          <cell r="D417" t="str">
            <v>CRUZAN SINGLE BARREL 12 YR OLD</v>
          </cell>
          <cell r="E417" t="str">
            <v>CRUZAN RUM DISTILLERY</v>
          </cell>
          <cell r="F417" t="str">
            <v>750</v>
          </cell>
          <cell r="G417">
            <v>40</v>
          </cell>
          <cell r="H417">
            <v>6</v>
          </cell>
          <cell r="I417" t="str">
            <v>3242</v>
          </cell>
          <cell r="L417">
            <v>1</v>
          </cell>
          <cell r="M417">
            <v>33.71</v>
          </cell>
        </row>
        <row r="418">
          <cell r="C418" t="str">
            <v>8482</v>
          </cell>
          <cell r="D418" t="str">
            <v>CAPTAIN MORGAN BOLD</v>
          </cell>
          <cell r="E418" t="str">
            <v>DIAGEO  CANADA INC</v>
          </cell>
          <cell r="F418" t="str">
            <v>750</v>
          </cell>
          <cell r="G418">
            <v>50</v>
          </cell>
          <cell r="H418">
            <v>12</v>
          </cell>
          <cell r="I418" t="str">
            <v>3224</v>
          </cell>
          <cell r="L418">
            <v>1</v>
          </cell>
          <cell r="M418">
            <v>24.97</v>
          </cell>
        </row>
        <row r="419">
          <cell r="C419" t="str">
            <v>24491</v>
          </cell>
          <cell r="D419" t="str">
            <v>CAPTAIN MORGAN COCONUT FLAVOURED RUM</v>
          </cell>
          <cell r="E419" t="str">
            <v>DIAGEO  CANADA INC</v>
          </cell>
          <cell r="F419" t="str">
            <v>750</v>
          </cell>
          <cell r="G419">
            <v>35</v>
          </cell>
          <cell r="H419">
            <v>12</v>
          </cell>
          <cell r="I419" t="str">
            <v>3224</v>
          </cell>
          <cell r="L419">
            <v>1</v>
          </cell>
          <cell r="M419">
            <v>22.49</v>
          </cell>
        </row>
        <row r="420">
          <cell r="C420" t="str">
            <v>30142</v>
          </cell>
          <cell r="D420" t="str">
            <v>CAPTAIN MORGAN ORIGINAL SPICED RUM</v>
          </cell>
          <cell r="E420" t="str">
            <v>DIAGEO CANADA  INC</v>
          </cell>
          <cell r="F420" t="str">
            <v>200</v>
          </cell>
          <cell r="G420">
            <v>35</v>
          </cell>
          <cell r="H420">
            <v>48</v>
          </cell>
          <cell r="I420" t="str">
            <v>3224</v>
          </cell>
          <cell r="L420">
            <v>1</v>
          </cell>
          <cell r="M420">
            <v>7.99</v>
          </cell>
        </row>
        <row r="421">
          <cell r="C421" t="str">
            <v>24490</v>
          </cell>
          <cell r="D421" t="str">
            <v>CAPTAIN MORGAN PINEAPPLE FLAVOURED RUM</v>
          </cell>
          <cell r="E421" t="str">
            <v>DIAGEO  CANADA INC</v>
          </cell>
          <cell r="F421" t="str">
            <v>750</v>
          </cell>
          <cell r="G421">
            <v>35</v>
          </cell>
          <cell r="H421">
            <v>12</v>
          </cell>
          <cell r="I421" t="str">
            <v>3224</v>
          </cell>
          <cell r="L421">
            <v>1</v>
          </cell>
          <cell r="M421">
            <v>22.49</v>
          </cell>
        </row>
        <row r="422">
          <cell r="C422" t="str">
            <v>34748</v>
          </cell>
          <cell r="D422" t="str">
            <v>CAPTAIN MORGAN SLICED APPLE</v>
          </cell>
          <cell r="E422" t="str">
            <v>DIAGEO  CANADA INC</v>
          </cell>
          <cell r="F422" t="str">
            <v>750</v>
          </cell>
          <cell r="G422">
            <v>35</v>
          </cell>
          <cell r="H422">
            <v>12</v>
          </cell>
          <cell r="I422" t="str">
            <v>3224</v>
          </cell>
          <cell r="L422">
            <v>1</v>
          </cell>
          <cell r="M422">
            <v>25.61</v>
          </cell>
        </row>
        <row r="423">
          <cell r="C423" t="str">
            <v>7468</v>
          </cell>
          <cell r="D423" t="str">
            <v>CAPTAIN MORGAN SPICED</v>
          </cell>
          <cell r="E423" t="str">
            <v>DIAGEO  CANADA INC</v>
          </cell>
          <cell r="F423" t="str">
            <v>50</v>
          </cell>
          <cell r="G423">
            <v>35</v>
          </cell>
          <cell r="H423">
            <v>120</v>
          </cell>
          <cell r="I423" t="str">
            <v>3224</v>
          </cell>
          <cell r="L423">
            <v>1</v>
          </cell>
          <cell r="M423">
            <v>3.79</v>
          </cell>
        </row>
        <row r="424">
          <cell r="C424" t="str">
            <v>1768</v>
          </cell>
          <cell r="D424" t="str">
            <v>CAPTAIN MORGAN SPICED</v>
          </cell>
          <cell r="E424" t="str">
            <v>DIAGEO  CANADA INC</v>
          </cell>
          <cell r="F424" t="str">
            <v>375</v>
          </cell>
          <cell r="G424">
            <v>35</v>
          </cell>
          <cell r="H424">
            <v>24</v>
          </cell>
          <cell r="I424" t="str">
            <v>3224</v>
          </cell>
          <cell r="L424">
            <v>1</v>
          </cell>
          <cell r="M424">
            <v>14.6</v>
          </cell>
        </row>
        <row r="425">
          <cell r="C425" t="str">
            <v>1769</v>
          </cell>
          <cell r="D425" t="str">
            <v>CAPTAIN MORGAN SPICED</v>
          </cell>
          <cell r="E425" t="str">
            <v>DIAGEO  CANADA INC</v>
          </cell>
          <cell r="F425" t="str">
            <v>750</v>
          </cell>
          <cell r="G425">
            <v>35</v>
          </cell>
          <cell r="H425">
            <v>12</v>
          </cell>
          <cell r="I425" t="str">
            <v>3224</v>
          </cell>
          <cell r="L425">
            <v>1</v>
          </cell>
          <cell r="M425">
            <v>25.71</v>
          </cell>
        </row>
        <row r="426">
          <cell r="C426" t="str">
            <v>1770</v>
          </cell>
          <cell r="D426" t="str">
            <v>CAPTAIN MORGAN SPICED</v>
          </cell>
          <cell r="E426" t="str">
            <v>DIAGEO  CANADA INC</v>
          </cell>
          <cell r="F426" t="str">
            <v>1140</v>
          </cell>
          <cell r="G426">
            <v>35</v>
          </cell>
          <cell r="H426">
            <v>8</v>
          </cell>
          <cell r="I426" t="str">
            <v>3224</v>
          </cell>
          <cell r="L426">
            <v>1</v>
          </cell>
          <cell r="M426">
            <v>36.03</v>
          </cell>
        </row>
        <row r="427">
          <cell r="C427" t="str">
            <v>5944</v>
          </cell>
          <cell r="D427" t="str">
            <v>CAPTAIN MORGAN SPICED</v>
          </cell>
          <cell r="E427" t="str">
            <v>DIAGEO  CANADA INC</v>
          </cell>
          <cell r="F427" t="str">
            <v>1750</v>
          </cell>
          <cell r="G427">
            <v>35</v>
          </cell>
          <cell r="H427">
            <v>6</v>
          </cell>
          <cell r="I427" t="str">
            <v>3224</v>
          </cell>
          <cell r="L427">
            <v>1</v>
          </cell>
          <cell r="M427">
            <v>50.01</v>
          </cell>
        </row>
        <row r="428">
          <cell r="C428" t="str">
            <v>17152</v>
          </cell>
          <cell r="D428" t="str">
            <v>CAPTAIN MORGAN SPICED PET</v>
          </cell>
          <cell r="E428" t="str">
            <v>DIAGEO  CANADA INC</v>
          </cell>
          <cell r="F428" t="str">
            <v>750</v>
          </cell>
          <cell r="G428">
            <v>35</v>
          </cell>
          <cell r="H428">
            <v>12</v>
          </cell>
          <cell r="I428" t="str">
            <v>3224</v>
          </cell>
          <cell r="L428">
            <v>1</v>
          </cell>
          <cell r="M428">
            <v>25.69</v>
          </cell>
        </row>
        <row r="429">
          <cell r="C429" t="str">
            <v>30143</v>
          </cell>
          <cell r="D429" t="str">
            <v>CAPTAIN MORGAN SPICED PET</v>
          </cell>
          <cell r="E429" t="str">
            <v>DIAGEO CANADA  INC</v>
          </cell>
          <cell r="F429" t="str">
            <v>1140</v>
          </cell>
          <cell r="G429">
            <v>35</v>
          </cell>
          <cell r="H429">
            <v>12</v>
          </cell>
          <cell r="I429" t="str">
            <v>3224</v>
          </cell>
          <cell r="L429">
            <v>1</v>
          </cell>
          <cell r="M429">
            <v>36.020000000000003</v>
          </cell>
        </row>
        <row r="430">
          <cell r="C430" t="str">
            <v>11761</v>
          </cell>
          <cell r="D430" t="str">
            <v>CAPTAIN MORGAN WHITE SPICED RUM</v>
          </cell>
          <cell r="E430" t="str">
            <v>DIAGEO CANADA  INC</v>
          </cell>
          <cell r="F430" t="str">
            <v>750</v>
          </cell>
          <cell r="G430">
            <v>35</v>
          </cell>
          <cell r="H430">
            <v>12</v>
          </cell>
          <cell r="I430" t="str">
            <v>3224</v>
          </cell>
          <cell r="L430">
            <v>1</v>
          </cell>
          <cell r="M430">
            <v>24.51</v>
          </cell>
        </row>
        <row r="431">
          <cell r="C431" t="str">
            <v>23990</v>
          </cell>
          <cell r="D431" t="str">
            <v>LAMB'S SPICED RUM</v>
          </cell>
          <cell r="E431" t="str">
            <v>HIRAM WALKER &amp; SONS LTD</v>
          </cell>
          <cell r="F431" t="str">
            <v>750</v>
          </cell>
          <cell r="G431">
            <v>35</v>
          </cell>
          <cell r="H431">
            <v>12</v>
          </cell>
          <cell r="I431" t="str">
            <v>3237</v>
          </cell>
          <cell r="L431">
            <v>1</v>
          </cell>
          <cell r="M431">
            <v>23.7</v>
          </cell>
        </row>
        <row r="432">
          <cell r="C432" t="str">
            <v>23992</v>
          </cell>
          <cell r="D432" t="str">
            <v>LAMB'S SPICED RUM</v>
          </cell>
          <cell r="E432" t="str">
            <v>HIRAM WALKER &amp; SONS LTD</v>
          </cell>
          <cell r="F432" t="str">
            <v>1140</v>
          </cell>
          <cell r="G432">
            <v>35</v>
          </cell>
          <cell r="H432">
            <v>12</v>
          </cell>
          <cell r="I432" t="str">
            <v>3237</v>
          </cell>
          <cell r="L432">
            <v>1</v>
          </cell>
          <cell r="M432">
            <v>35.61</v>
          </cell>
        </row>
        <row r="433">
          <cell r="C433" t="str">
            <v>44962</v>
          </cell>
          <cell r="D433" t="str">
            <v>MOONLIGHT BY MATT LANG SPICED RUM</v>
          </cell>
          <cell r="E433" t="str">
            <v>APLHA TANGO SPIRITS</v>
          </cell>
          <cell r="F433" t="str">
            <v>700</v>
          </cell>
          <cell r="G433">
            <v>35</v>
          </cell>
          <cell r="H433">
            <v>12</v>
          </cell>
          <cell r="I433" t="str">
            <v>3278</v>
          </cell>
          <cell r="L433">
            <v>1</v>
          </cell>
          <cell r="M433">
            <v>37.42</v>
          </cell>
        </row>
        <row r="434">
          <cell r="C434" t="str">
            <v>25202</v>
          </cell>
          <cell r="D434" t="str">
            <v>CAPTAIN MORGAN WHITE SPICED RUM</v>
          </cell>
          <cell r="E434" t="str">
            <v>DIAGEO CANADA INC.</v>
          </cell>
          <cell r="F434" t="str">
            <v>1140</v>
          </cell>
          <cell r="G434">
            <v>35</v>
          </cell>
          <cell r="H434">
            <v>8</v>
          </cell>
          <cell r="I434" t="str">
            <v>3224</v>
          </cell>
          <cell r="L434">
            <v>1</v>
          </cell>
          <cell r="M434">
            <v>33</v>
          </cell>
        </row>
        <row r="435">
          <cell r="C435" t="str">
            <v>16655</v>
          </cell>
          <cell r="D435" t="str">
            <v>LEMON HART BLACKPOOL SPICED</v>
          </cell>
          <cell r="E435" t="str">
            <v>NFLD &amp; LABRADOR LIQUOR CORP</v>
          </cell>
          <cell r="F435" t="str">
            <v>750</v>
          </cell>
          <cell r="G435">
            <v>43</v>
          </cell>
          <cell r="H435">
            <v>12</v>
          </cell>
          <cell r="I435" t="str">
            <v>4202</v>
          </cell>
          <cell r="L435">
            <v>1</v>
          </cell>
          <cell r="M435">
            <v>29.47</v>
          </cell>
        </row>
        <row r="436">
          <cell r="C436" t="str">
            <v>42104</v>
          </cell>
          <cell r="D436" t="str">
            <v>BACARDI SPICED RUM</v>
          </cell>
          <cell r="E436" t="str">
            <v>BACARDI BOTTLING CORP</v>
          </cell>
          <cell r="F436" t="str">
            <v>1750</v>
          </cell>
          <cell r="G436">
            <v>35</v>
          </cell>
          <cell r="H436">
            <v>6</v>
          </cell>
          <cell r="I436" t="str">
            <v>3233</v>
          </cell>
          <cell r="L436">
            <v>1</v>
          </cell>
          <cell r="M436">
            <v>49.5</v>
          </cell>
        </row>
        <row r="437">
          <cell r="C437" t="str">
            <v>22938</v>
          </cell>
          <cell r="D437" t="str">
            <v>THE KRAKEN BLACK SPICED RUM</v>
          </cell>
          <cell r="E437" t="str">
            <v>PROXIMO SPIRITS Kentucky</v>
          </cell>
          <cell r="F437" t="str">
            <v>50</v>
          </cell>
          <cell r="G437">
            <v>47</v>
          </cell>
          <cell r="H437">
            <v>60</v>
          </cell>
          <cell r="I437" t="str">
            <v>128699</v>
          </cell>
          <cell r="L437">
            <v>1</v>
          </cell>
          <cell r="M437">
            <v>4</v>
          </cell>
        </row>
        <row r="438">
          <cell r="C438" t="str">
            <v>17071</v>
          </cell>
          <cell r="D438" t="str">
            <v>THE KRAKEN BLACK SPICED RUM</v>
          </cell>
          <cell r="E438" t="str">
            <v>PROXIMO SPIRITS Kentucky</v>
          </cell>
          <cell r="F438" t="str">
            <v>375</v>
          </cell>
          <cell r="G438">
            <v>47</v>
          </cell>
          <cell r="H438">
            <v>12</v>
          </cell>
          <cell r="I438" t="str">
            <v>128699</v>
          </cell>
          <cell r="L438">
            <v>1</v>
          </cell>
          <cell r="M438">
            <v>15.4</v>
          </cell>
        </row>
        <row r="439">
          <cell r="C439" t="str">
            <v>10710</v>
          </cell>
          <cell r="D439" t="str">
            <v>THE KRAKEN BLACK SPICED RUM</v>
          </cell>
          <cell r="E439" t="str">
            <v>PROXIMO SPIRITS Kentucky</v>
          </cell>
          <cell r="F439" t="str">
            <v>750</v>
          </cell>
          <cell r="G439">
            <v>47</v>
          </cell>
          <cell r="H439">
            <v>12</v>
          </cell>
          <cell r="I439" t="str">
            <v>128699</v>
          </cell>
          <cell r="L439">
            <v>1</v>
          </cell>
          <cell r="M439">
            <v>27.3</v>
          </cell>
        </row>
        <row r="440">
          <cell r="C440" t="str">
            <v>16038</v>
          </cell>
          <cell r="D440" t="str">
            <v>THE KRAKEN BLACK SPICED RUM</v>
          </cell>
          <cell r="E440" t="str">
            <v>PROXIMO SPIRITS Kentucky</v>
          </cell>
          <cell r="F440" t="str">
            <v>1140</v>
          </cell>
          <cell r="G440">
            <v>47</v>
          </cell>
          <cell r="H440">
            <v>6</v>
          </cell>
          <cell r="I440" t="str">
            <v>128699</v>
          </cell>
          <cell r="L440">
            <v>1</v>
          </cell>
          <cell r="M440">
            <v>37.409999999999997</v>
          </cell>
        </row>
        <row r="441">
          <cell r="C441" t="str">
            <v>27707</v>
          </cell>
          <cell r="D441" t="str">
            <v>THE KRAKEN BLACK SPICED RUM</v>
          </cell>
          <cell r="E441" t="str">
            <v>PROXIMO SPIRITS Kentucky</v>
          </cell>
          <cell r="F441" t="str">
            <v>1750</v>
          </cell>
          <cell r="G441">
            <v>47</v>
          </cell>
          <cell r="H441">
            <v>6</v>
          </cell>
          <cell r="I441" t="str">
            <v>128699</v>
          </cell>
          <cell r="L441">
            <v>1</v>
          </cell>
          <cell r="M441">
            <v>51.03</v>
          </cell>
        </row>
        <row r="442">
          <cell r="C442" t="str">
            <v>36646</v>
          </cell>
          <cell r="D442" t="str">
            <v>DEAD MAN'S FINGERS PINEAPPLE RUM</v>
          </cell>
          <cell r="E442" t="str">
            <v>HALEWOOD WINE &amp; SPIRITS INTERNATIONAL</v>
          </cell>
          <cell r="F442" t="str">
            <v>750</v>
          </cell>
          <cell r="G442">
            <v>43</v>
          </cell>
          <cell r="H442">
            <v>6</v>
          </cell>
          <cell r="I442" t="str">
            <v>194112</v>
          </cell>
          <cell r="L442">
            <v>1</v>
          </cell>
          <cell r="M442">
            <v>31.26</v>
          </cell>
        </row>
        <row r="443">
          <cell r="C443" t="str">
            <v>7598</v>
          </cell>
          <cell r="D443" t="str">
            <v>SAILOR JERRY SPICED NAVY RUM</v>
          </cell>
          <cell r="E443" t="str">
            <v>WILLIAM GRANT &amp; SONS USA</v>
          </cell>
          <cell r="F443" t="str">
            <v>750</v>
          </cell>
          <cell r="G443">
            <v>46</v>
          </cell>
          <cell r="H443">
            <v>12</v>
          </cell>
          <cell r="I443" t="str">
            <v>3243</v>
          </cell>
          <cell r="L443">
            <v>1</v>
          </cell>
          <cell r="M443">
            <v>25.97</v>
          </cell>
        </row>
        <row r="444">
          <cell r="C444" t="str">
            <v>12862</v>
          </cell>
          <cell r="D444" t="str">
            <v>SAILOR JERRY SPICED NAVY RUM</v>
          </cell>
          <cell r="E444" t="str">
            <v>WILLIAM GRANT &amp; SONS USA</v>
          </cell>
          <cell r="F444" t="str">
            <v>1140</v>
          </cell>
          <cell r="G444">
            <v>46</v>
          </cell>
          <cell r="H444">
            <v>8</v>
          </cell>
          <cell r="I444" t="str">
            <v>3243</v>
          </cell>
          <cell r="L444">
            <v>1</v>
          </cell>
          <cell r="M444">
            <v>36.78</v>
          </cell>
        </row>
        <row r="445">
          <cell r="C445" t="str">
            <v>33873</v>
          </cell>
          <cell r="D445" t="str">
            <v>SAILOR JERRY SPICED RUM</v>
          </cell>
          <cell r="E445" t="str">
            <v>WILLIAM GRANT &amp; SONS USA</v>
          </cell>
          <cell r="F445" t="str">
            <v>1750</v>
          </cell>
          <cell r="G445">
            <v>46</v>
          </cell>
          <cell r="H445">
            <v>6</v>
          </cell>
          <cell r="I445" t="str">
            <v>3243</v>
          </cell>
          <cell r="L445">
            <v>1</v>
          </cell>
          <cell r="M445">
            <v>61.96</v>
          </cell>
        </row>
        <row r="446">
          <cell r="C446" t="str">
            <v>36342</v>
          </cell>
          <cell r="D446" t="str">
            <v>BACARDI LIME</v>
          </cell>
          <cell r="E446" t="str">
            <v>BACARDI CANADA  INC</v>
          </cell>
          <cell r="F446" t="str">
            <v>750</v>
          </cell>
          <cell r="G446">
            <v>35</v>
          </cell>
          <cell r="H446">
            <v>12</v>
          </cell>
          <cell r="I446" t="str">
            <v>3233</v>
          </cell>
          <cell r="L446">
            <v>1</v>
          </cell>
          <cell r="M446">
            <v>23</v>
          </cell>
        </row>
        <row r="447">
          <cell r="C447" t="str">
            <v>1191</v>
          </cell>
          <cell r="D447" t="str">
            <v>BACARDI LIMON</v>
          </cell>
          <cell r="E447" t="str">
            <v>BACARDI BOTTLING CORP</v>
          </cell>
          <cell r="F447" t="str">
            <v>750</v>
          </cell>
          <cell r="G447">
            <v>35</v>
          </cell>
          <cell r="H447">
            <v>12</v>
          </cell>
          <cell r="I447" t="str">
            <v>3233</v>
          </cell>
          <cell r="L447">
            <v>1</v>
          </cell>
          <cell r="M447">
            <v>23</v>
          </cell>
        </row>
        <row r="448">
          <cell r="C448" t="str">
            <v>24871</v>
          </cell>
          <cell r="D448" t="str">
            <v>BACARDI RASPBERRY</v>
          </cell>
          <cell r="E448" t="str">
            <v>BACARDI CANADA  INC</v>
          </cell>
          <cell r="F448" t="str">
            <v>750</v>
          </cell>
          <cell r="G448">
            <v>35</v>
          </cell>
          <cell r="H448">
            <v>12</v>
          </cell>
          <cell r="I448" t="str">
            <v>3233</v>
          </cell>
          <cell r="L448">
            <v>1</v>
          </cell>
          <cell r="M448">
            <v>23</v>
          </cell>
        </row>
        <row r="449">
          <cell r="C449" t="str">
            <v>32061</v>
          </cell>
          <cell r="D449" t="str">
            <v>BACARDI SPICED RUM</v>
          </cell>
          <cell r="E449" t="str">
            <v>BACARDI BOTTLING CORP</v>
          </cell>
          <cell r="F449" t="str">
            <v>375</v>
          </cell>
          <cell r="G449">
            <v>35</v>
          </cell>
          <cell r="H449">
            <v>24</v>
          </cell>
          <cell r="I449" t="str">
            <v>3233</v>
          </cell>
          <cell r="L449">
            <v>1</v>
          </cell>
          <cell r="M449">
            <v>14.75</v>
          </cell>
        </row>
        <row r="450">
          <cell r="C450" t="str">
            <v>32062</v>
          </cell>
          <cell r="D450" t="str">
            <v>BACARDI SPICED RUM</v>
          </cell>
          <cell r="E450" t="str">
            <v>BACARDI BOTTLING CORP</v>
          </cell>
          <cell r="F450" t="str">
            <v>750</v>
          </cell>
          <cell r="G450">
            <v>35</v>
          </cell>
          <cell r="H450">
            <v>12</v>
          </cell>
          <cell r="I450" t="str">
            <v>3233</v>
          </cell>
          <cell r="L450">
            <v>1</v>
          </cell>
          <cell r="M450">
            <v>25</v>
          </cell>
        </row>
        <row r="451">
          <cell r="C451" t="str">
            <v>32063</v>
          </cell>
          <cell r="D451" t="str">
            <v>BACARDI SPICED RUM</v>
          </cell>
          <cell r="E451" t="str">
            <v>BACARDI BOTTLING CORP</v>
          </cell>
          <cell r="F451" t="str">
            <v>1140</v>
          </cell>
          <cell r="G451">
            <v>35</v>
          </cell>
          <cell r="H451">
            <v>6</v>
          </cell>
          <cell r="I451" t="str">
            <v>3233</v>
          </cell>
          <cell r="L451">
            <v>1</v>
          </cell>
          <cell r="M451">
            <v>35</v>
          </cell>
        </row>
        <row r="452">
          <cell r="C452" t="str">
            <v>43645</v>
          </cell>
          <cell r="D452" t="str">
            <v>RONDIAZ GRAN RESERVA SPICED RUM</v>
          </cell>
          <cell r="E452" t="str">
            <v>1820 SPIRITS</v>
          </cell>
          <cell r="F452" t="str">
            <v>750</v>
          </cell>
          <cell r="G452">
            <v>35</v>
          </cell>
          <cell r="H452">
            <v>6</v>
          </cell>
          <cell r="I452" t="str">
            <v>206239</v>
          </cell>
          <cell r="L452">
            <v>1</v>
          </cell>
          <cell r="M452">
            <v>37.61</v>
          </cell>
        </row>
        <row r="453">
          <cell r="C453" t="str">
            <v>5328</v>
          </cell>
          <cell r="D453" t="str">
            <v>BACARDI COCONUT RUM</v>
          </cell>
          <cell r="E453" t="str">
            <v>BACARDI BOTTLING CORP</v>
          </cell>
          <cell r="F453" t="str">
            <v>750</v>
          </cell>
          <cell r="G453">
            <v>35</v>
          </cell>
          <cell r="H453">
            <v>12</v>
          </cell>
          <cell r="I453" t="str">
            <v>3233</v>
          </cell>
          <cell r="L453">
            <v>1</v>
          </cell>
          <cell r="M453">
            <v>23</v>
          </cell>
        </row>
        <row r="454">
          <cell r="C454" t="str">
            <v>33481</v>
          </cell>
          <cell r="D454" t="str">
            <v>ADICTIVO TEQUILA EXTRA ANEJO</v>
          </cell>
          <cell r="E454" t="str">
            <v>VITRO TEQUILERA SA DE CV</v>
          </cell>
          <cell r="F454" t="str">
            <v>750</v>
          </cell>
          <cell r="G454">
            <v>40</v>
          </cell>
          <cell r="H454">
            <v>6</v>
          </cell>
          <cell r="I454" t="str">
            <v>3245</v>
          </cell>
          <cell r="L454">
            <v>1</v>
          </cell>
          <cell r="M454">
            <v>108.69</v>
          </cell>
        </row>
        <row r="455">
          <cell r="C455" t="str">
            <v>27744</v>
          </cell>
          <cell r="D455" t="str">
            <v>CABO WABO BLANCO</v>
          </cell>
          <cell r="E455" t="str">
            <v>CAMPARI MEXICO SA DE CV</v>
          </cell>
          <cell r="F455" t="str">
            <v>750</v>
          </cell>
          <cell r="G455">
            <v>40</v>
          </cell>
          <cell r="H455">
            <v>6</v>
          </cell>
          <cell r="I455" t="str">
            <v>1041</v>
          </cell>
          <cell r="L455">
            <v>1</v>
          </cell>
          <cell r="M455">
            <v>52.14</v>
          </cell>
        </row>
        <row r="456">
          <cell r="C456" t="str">
            <v>8870</v>
          </cell>
          <cell r="D456" t="str">
            <v>CABO WABO REPOSADO</v>
          </cell>
          <cell r="E456" t="str">
            <v>CAMPARI MEXICO SA DE CV</v>
          </cell>
          <cell r="F456" t="str">
            <v>750</v>
          </cell>
          <cell r="G456">
            <v>40</v>
          </cell>
          <cell r="H456">
            <v>6</v>
          </cell>
          <cell r="I456" t="str">
            <v>1041</v>
          </cell>
          <cell r="L456">
            <v>1</v>
          </cell>
          <cell r="M456">
            <v>57</v>
          </cell>
        </row>
        <row r="457">
          <cell r="C457" t="str">
            <v>21114</v>
          </cell>
          <cell r="D457" t="str">
            <v>CASAMIGOS BLANCO TEQUILA</v>
          </cell>
          <cell r="E457" t="str">
            <v>CASAMIGOS TEQUILA</v>
          </cell>
          <cell r="F457" t="str">
            <v>750</v>
          </cell>
          <cell r="G457">
            <v>40</v>
          </cell>
          <cell r="H457">
            <v>6</v>
          </cell>
          <cell r="I457" t="str">
            <v>3224</v>
          </cell>
          <cell r="L457">
            <v>1</v>
          </cell>
          <cell r="M457">
            <v>64.989999999999995</v>
          </cell>
        </row>
        <row r="458">
          <cell r="C458" t="str">
            <v>21113</v>
          </cell>
          <cell r="D458" t="str">
            <v>CASAMIGOS REPOSADO TEQUILA</v>
          </cell>
          <cell r="E458" t="str">
            <v>CASAMIGOS TEQUILA</v>
          </cell>
          <cell r="F458" t="str">
            <v>750</v>
          </cell>
          <cell r="G458">
            <v>40</v>
          </cell>
          <cell r="H458">
            <v>6</v>
          </cell>
          <cell r="I458" t="str">
            <v>3224</v>
          </cell>
          <cell r="L458">
            <v>1</v>
          </cell>
          <cell r="M458">
            <v>70.989999999999995</v>
          </cell>
        </row>
        <row r="459">
          <cell r="C459" t="str">
            <v>11907</v>
          </cell>
          <cell r="D459" t="str">
            <v>CAZADORES ANEJO</v>
          </cell>
          <cell r="E459" t="str">
            <v>FABRICA DE TEQUILAS FINOS SA DE CV</v>
          </cell>
          <cell r="F459" t="str">
            <v>750</v>
          </cell>
          <cell r="G459">
            <v>40</v>
          </cell>
          <cell r="H459">
            <v>6</v>
          </cell>
          <cell r="I459" t="str">
            <v>3233</v>
          </cell>
          <cell r="L459">
            <v>1</v>
          </cell>
          <cell r="M459">
            <v>43.5</v>
          </cell>
        </row>
        <row r="460">
          <cell r="C460" t="str">
            <v>11526</v>
          </cell>
          <cell r="D460" t="str">
            <v>DON JULIO 1942 TEQUILA</v>
          </cell>
          <cell r="E460" t="str">
            <v>TEQUILA DON JULIO, SA DE CV</v>
          </cell>
          <cell r="F460" t="str">
            <v>750</v>
          </cell>
          <cell r="G460">
            <v>40</v>
          </cell>
          <cell r="H460">
            <v>6</v>
          </cell>
          <cell r="I460" t="str">
            <v>3224</v>
          </cell>
          <cell r="L460">
            <v>1</v>
          </cell>
          <cell r="M460">
            <v>249.99</v>
          </cell>
        </row>
        <row r="461">
          <cell r="C461" t="str">
            <v>39555</v>
          </cell>
          <cell r="D461" t="str">
            <v>DON JULIO 70</v>
          </cell>
          <cell r="E461" t="str">
            <v>TEQUILA DON JULIO, SA DE CV</v>
          </cell>
          <cell r="F461" t="str">
            <v>750</v>
          </cell>
          <cell r="G461">
            <v>40</v>
          </cell>
          <cell r="H461">
            <v>6</v>
          </cell>
          <cell r="I461" t="str">
            <v>3224</v>
          </cell>
          <cell r="L461">
            <v>1</v>
          </cell>
          <cell r="M461">
            <v>96.49</v>
          </cell>
        </row>
        <row r="462">
          <cell r="C462" t="str">
            <v>14190</v>
          </cell>
          <cell r="D462" t="str">
            <v>DON JULIO BLANCO</v>
          </cell>
          <cell r="E462" t="str">
            <v>TEQUILA DON JULIO, SA DE CV</v>
          </cell>
          <cell r="F462" t="str">
            <v>750</v>
          </cell>
          <cell r="G462">
            <v>40</v>
          </cell>
          <cell r="H462">
            <v>6</v>
          </cell>
          <cell r="I462" t="str">
            <v>3224</v>
          </cell>
          <cell r="L462">
            <v>1</v>
          </cell>
          <cell r="M462">
            <v>77.010000000000005</v>
          </cell>
        </row>
        <row r="463">
          <cell r="C463" t="str">
            <v>7241</v>
          </cell>
          <cell r="D463" t="str">
            <v>DON JULIO REPOSADO TEQUILA</v>
          </cell>
          <cell r="E463" t="str">
            <v>TEQUILA DON JULIO, SA DE CV</v>
          </cell>
          <cell r="F463" t="str">
            <v>750</v>
          </cell>
          <cell r="G463">
            <v>40</v>
          </cell>
          <cell r="H463">
            <v>6</v>
          </cell>
          <cell r="I463" t="str">
            <v>3224</v>
          </cell>
          <cell r="L463">
            <v>1</v>
          </cell>
          <cell r="M463">
            <v>84.01</v>
          </cell>
        </row>
        <row r="464">
          <cell r="C464" t="str">
            <v>28699</v>
          </cell>
          <cell r="D464" t="str">
            <v>HORNITOS CRISTALINO</v>
          </cell>
          <cell r="E464" t="str">
            <v>TEQUILA SAUZA S.A.</v>
          </cell>
          <cell r="F464" t="str">
            <v>750</v>
          </cell>
          <cell r="G464">
            <v>40</v>
          </cell>
          <cell r="H464">
            <v>12</v>
          </cell>
          <cell r="I464" t="str">
            <v>3242</v>
          </cell>
          <cell r="L464">
            <v>1</v>
          </cell>
          <cell r="M464">
            <v>53.86</v>
          </cell>
        </row>
        <row r="465">
          <cell r="C465" t="str">
            <v>7141</v>
          </cell>
          <cell r="D465" t="str">
            <v>PATRON ANEJO TEQUILA</v>
          </cell>
          <cell r="E465" t="str">
            <v>PATRON SPIRITS MEXICO SA DE CV</v>
          </cell>
          <cell r="F465" t="str">
            <v>750</v>
          </cell>
          <cell r="G465">
            <v>40</v>
          </cell>
          <cell r="H465">
            <v>6</v>
          </cell>
          <cell r="I465" t="str">
            <v>3233</v>
          </cell>
          <cell r="L465">
            <v>1</v>
          </cell>
          <cell r="M465">
            <v>97</v>
          </cell>
        </row>
        <row r="466">
          <cell r="C466" t="str">
            <v>8971</v>
          </cell>
          <cell r="D466" t="str">
            <v>PATRON REPOSADO</v>
          </cell>
          <cell r="E466" t="str">
            <v>PATRON SPIRITS MEXICO SA DE CV</v>
          </cell>
          <cell r="F466" t="str">
            <v>750</v>
          </cell>
          <cell r="G466">
            <v>40</v>
          </cell>
          <cell r="H466">
            <v>6</v>
          </cell>
          <cell r="I466" t="str">
            <v>3233</v>
          </cell>
          <cell r="L466">
            <v>1</v>
          </cell>
          <cell r="M466">
            <v>82</v>
          </cell>
        </row>
        <row r="467">
          <cell r="C467" t="str">
            <v>7135</v>
          </cell>
          <cell r="D467" t="str">
            <v>PATRON SILVER TEQUILA</v>
          </cell>
          <cell r="E467" t="str">
            <v>PATRON SPIRITS MEXICO SA DE CV</v>
          </cell>
          <cell r="F467" t="str">
            <v>750</v>
          </cell>
          <cell r="G467">
            <v>40</v>
          </cell>
          <cell r="H467">
            <v>6</v>
          </cell>
          <cell r="I467" t="str">
            <v>3233</v>
          </cell>
          <cell r="L467">
            <v>1</v>
          </cell>
          <cell r="M467">
            <v>75</v>
          </cell>
        </row>
        <row r="468">
          <cell r="C468" t="str">
            <v>26629</v>
          </cell>
          <cell r="D468" t="str">
            <v>1800 ANEJO TEQUILA</v>
          </cell>
          <cell r="E468" t="str">
            <v>CASA CUERVO S.A. de C.V</v>
          </cell>
          <cell r="F468" t="str">
            <v>750</v>
          </cell>
          <cell r="G468">
            <v>40</v>
          </cell>
          <cell r="H468">
            <v>6</v>
          </cell>
          <cell r="I468" t="str">
            <v>128699</v>
          </cell>
          <cell r="L468">
            <v>1</v>
          </cell>
          <cell r="M468">
            <v>43.71</v>
          </cell>
        </row>
        <row r="469">
          <cell r="C469" t="str">
            <v>46532</v>
          </cell>
          <cell r="D469" t="str">
            <v>1800 BLANCO TEQUILA</v>
          </cell>
          <cell r="E469" t="str">
            <v>CASA CUERVO S.A. de C.V</v>
          </cell>
          <cell r="F469" t="str">
            <v>375</v>
          </cell>
          <cell r="G469">
            <v>40</v>
          </cell>
          <cell r="H469">
            <v>12</v>
          </cell>
          <cell r="I469" t="str">
            <v>128699</v>
          </cell>
          <cell r="L469">
            <v>1</v>
          </cell>
          <cell r="M469">
            <v>21.49</v>
          </cell>
        </row>
        <row r="470">
          <cell r="C470" t="str">
            <v>15515</v>
          </cell>
          <cell r="D470" t="str">
            <v>1800 BLANCO TEQUILA</v>
          </cell>
          <cell r="E470" t="str">
            <v>CASA CUERVO S.A. de C.V</v>
          </cell>
          <cell r="F470" t="str">
            <v>750</v>
          </cell>
          <cell r="G470">
            <v>40</v>
          </cell>
          <cell r="H470">
            <v>12</v>
          </cell>
          <cell r="I470" t="str">
            <v>128699</v>
          </cell>
          <cell r="L470">
            <v>1</v>
          </cell>
          <cell r="M470">
            <v>37.31</v>
          </cell>
        </row>
        <row r="471">
          <cell r="C471" t="str">
            <v>41164</v>
          </cell>
          <cell r="D471" t="str">
            <v>1800 CRISTALINO TEQUILA</v>
          </cell>
          <cell r="E471" t="str">
            <v>CASA CUERVO S.A. de C.V</v>
          </cell>
          <cell r="F471" t="str">
            <v>750</v>
          </cell>
          <cell r="G471">
            <v>40</v>
          </cell>
          <cell r="H471">
            <v>6</v>
          </cell>
          <cell r="I471" t="str">
            <v>128699</v>
          </cell>
          <cell r="L471">
            <v>1</v>
          </cell>
          <cell r="M471">
            <v>53.7</v>
          </cell>
        </row>
        <row r="472">
          <cell r="C472" t="str">
            <v>14569</v>
          </cell>
          <cell r="D472" t="str">
            <v>1800 REPOSADO TEQUILA</v>
          </cell>
          <cell r="E472" t="str">
            <v>CASA CUERVO S.A. de C.V</v>
          </cell>
          <cell r="F472" t="str">
            <v>750</v>
          </cell>
          <cell r="G472">
            <v>40</v>
          </cell>
          <cell r="H472">
            <v>12</v>
          </cell>
          <cell r="I472" t="str">
            <v>128699</v>
          </cell>
          <cell r="L472">
            <v>1</v>
          </cell>
          <cell r="M472">
            <v>38.31</v>
          </cell>
        </row>
        <row r="473">
          <cell r="C473" t="str">
            <v>33900</v>
          </cell>
          <cell r="D473" t="str">
            <v>400 CONEJOS MEZCAL</v>
          </cell>
          <cell r="E473" t="str">
            <v>CASA CUERVO S.A. de C.V</v>
          </cell>
          <cell r="F473" t="str">
            <v>750</v>
          </cell>
          <cell r="G473">
            <v>40</v>
          </cell>
          <cell r="H473">
            <v>6</v>
          </cell>
          <cell r="I473" t="str">
            <v>128699</v>
          </cell>
          <cell r="L473">
            <v>1</v>
          </cell>
          <cell r="M473">
            <v>46.01</v>
          </cell>
        </row>
        <row r="474">
          <cell r="C474" t="str">
            <v>33204</v>
          </cell>
          <cell r="D474" t="str">
            <v>ADICTIVO ANEJO</v>
          </cell>
          <cell r="E474" t="str">
            <v>VITRO TEQUILERA SA DE CV</v>
          </cell>
          <cell r="F474" t="str">
            <v>750</v>
          </cell>
          <cell r="G474">
            <v>40</v>
          </cell>
          <cell r="H474">
            <v>6</v>
          </cell>
          <cell r="I474" t="str">
            <v>3245</v>
          </cell>
          <cell r="L474">
            <v>1</v>
          </cell>
          <cell r="M474">
            <v>90.1</v>
          </cell>
        </row>
        <row r="475">
          <cell r="C475" t="str">
            <v>24900</v>
          </cell>
          <cell r="D475" t="str">
            <v>CASAMIGOS ANEJO</v>
          </cell>
          <cell r="E475" t="str">
            <v>CASAMIGOS TEQUILA</v>
          </cell>
          <cell r="F475" t="str">
            <v>750</v>
          </cell>
          <cell r="G475">
            <v>40</v>
          </cell>
          <cell r="H475">
            <v>6</v>
          </cell>
          <cell r="I475" t="str">
            <v>3224</v>
          </cell>
          <cell r="L475">
            <v>1</v>
          </cell>
          <cell r="M475">
            <v>81.99</v>
          </cell>
        </row>
        <row r="476">
          <cell r="C476" t="str">
            <v>46533</v>
          </cell>
          <cell r="D476" t="str">
            <v>CASAMIGOS BLANCO TEQUILA</v>
          </cell>
          <cell r="E476" t="str">
            <v>CASAMIGOS TEQUILA</v>
          </cell>
          <cell r="F476" t="str">
            <v>1750</v>
          </cell>
          <cell r="G476">
            <v>40</v>
          </cell>
          <cell r="H476">
            <v>3</v>
          </cell>
          <cell r="I476" t="str">
            <v>3224</v>
          </cell>
          <cell r="L476">
            <v>1</v>
          </cell>
          <cell r="M476">
            <v>146.99</v>
          </cell>
        </row>
        <row r="477">
          <cell r="C477" t="str">
            <v>30796</v>
          </cell>
          <cell r="D477" t="str">
            <v>CASAMIGOS MEZCAL</v>
          </cell>
          <cell r="E477" t="str">
            <v>CASAMIGOS TEQUILA</v>
          </cell>
          <cell r="F477" t="str">
            <v>750</v>
          </cell>
          <cell r="G477">
            <v>40</v>
          </cell>
          <cell r="H477">
            <v>6</v>
          </cell>
          <cell r="I477" t="str">
            <v>3224</v>
          </cell>
          <cell r="L477">
            <v>1</v>
          </cell>
          <cell r="M477">
            <v>77.989999999999995</v>
          </cell>
        </row>
        <row r="478">
          <cell r="C478" t="str">
            <v>46534</v>
          </cell>
          <cell r="D478" t="str">
            <v>CASAMIGOS REPOSADO TEQUILA</v>
          </cell>
          <cell r="E478" t="str">
            <v>CASAMIGOS TEQUILA</v>
          </cell>
          <cell r="F478" t="str">
            <v>1750</v>
          </cell>
          <cell r="G478">
            <v>40</v>
          </cell>
          <cell r="H478">
            <v>3</v>
          </cell>
          <cell r="I478" t="str">
            <v>3224</v>
          </cell>
          <cell r="L478">
            <v>1</v>
          </cell>
          <cell r="M478">
            <v>152.99</v>
          </cell>
        </row>
        <row r="479">
          <cell r="C479" t="str">
            <v>28344</v>
          </cell>
          <cell r="D479" t="str">
            <v>CAZADORES BLANCO</v>
          </cell>
          <cell r="E479" t="str">
            <v>TEQUILA CAZADORES DE ARANDAS</v>
          </cell>
          <cell r="F479" t="str">
            <v>750</v>
          </cell>
          <cell r="G479">
            <v>40</v>
          </cell>
          <cell r="H479">
            <v>12</v>
          </cell>
          <cell r="I479" t="str">
            <v>3233</v>
          </cell>
          <cell r="L479">
            <v>1</v>
          </cell>
          <cell r="M479">
            <v>37</v>
          </cell>
        </row>
        <row r="480">
          <cell r="C480" t="str">
            <v>9415</v>
          </cell>
          <cell r="D480" t="str">
            <v>CAZADORES REPOSADO</v>
          </cell>
          <cell r="E480" t="str">
            <v>BACARDI CANADA  INC</v>
          </cell>
          <cell r="F480" t="str">
            <v>750</v>
          </cell>
          <cell r="G480">
            <v>40</v>
          </cell>
          <cell r="H480">
            <v>12</v>
          </cell>
          <cell r="I480" t="str">
            <v>3233</v>
          </cell>
          <cell r="L480">
            <v>1</v>
          </cell>
          <cell r="M480">
            <v>38</v>
          </cell>
        </row>
        <row r="481">
          <cell r="C481" t="str">
            <v>46535</v>
          </cell>
          <cell r="D481" t="str">
            <v>CORAZON ANEJO TEQUILA</v>
          </cell>
          <cell r="E481" t="str">
            <v>SAZERAC COMPANY INC</v>
          </cell>
          <cell r="F481" t="str">
            <v>750</v>
          </cell>
          <cell r="G481">
            <v>40</v>
          </cell>
          <cell r="H481">
            <v>6</v>
          </cell>
          <cell r="I481" t="str">
            <v>1537</v>
          </cell>
          <cell r="L481">
            <v>1</v>
          </cell>
          <cell r="M481">
            <v>58.58</v>
          </cell>
        </row>
        <row r="482">
          <cell r="C482" t="str">
            <v>21876</v>
          </cell>
          <cell r="D482" t="str">
            <v>DON JULIO ANEJO</v>
          </cell>
          <cell r="E482" t="str">
            <v>TEQUILA DON JULIO, SA DE CV</v>
          </cell>
          <cell r="F482" t="str">
            <v>750</v>
          </cell>
          <cell r="G482">
            <v>40</v>
          </cell>
          <cell r="H482">
            <v>6</v>
          </cell>
          <cell r="I482" t="str">
            <v>3224</v>
          </cell>
          <cell r="L482">
            <v>1</v>
          </cell>
          <cell r="M482">
            <v>97.01</v>
          </cell>
        </row>
        <row r="483">
          <cell r="C483" t="str">
            <v>34342</v>
          </cell>
          <cell r="D483" t="str">
            <v>DON JULIO BLANCO</v>
          </cell>
          <cell r="E483" t="str">
            <v>TEQUILA DON JULIO, SA DE CV</v>
          </cell>
          <cell r="F483" t="str">
            <v>375</v>
          </cell>
          <cell r="G483">
            <v>40</v>
          </cell>
          <cell r="H483">
            <v>12</v>
          </cell>
          <cell r="I483" t="str">
            <v>3224</v>
          </cell>
          <cell r="L483">
            <v>1</v>
          </cell>
          <cell r="M483">
            <v>40</v>
          </cell>
        </row>
        <row r="484">
          <cell r="C484" t="str">
            <v>34343</v>
          </cell>
          <cell r="D484" t="str">
            <v>DON JULIO REPOSADO</v>
          </cell>
          <cell r="E484" t="str">
            <v>TEQUILA DON JULIO, SA DE CV</v>
          </cell>
          <cell r="F484" t="str">
            <v>375</v>
          </cell>
          <cell r="G484">
            <v>40</v>
          </cell>
          <cell r="H484">
            <v>12</v>
          </cell>
          <cell r="I484" t="str">
            <v>3224</v>
          </cell>
          <cell r="L484">
            <v>1</v>
          </cell>
          <cell r="M484">
            <v>45</v>
          </cell>
        </row>
        <row r="485">
          <cell r="C485" t="str">
            <v>43391</v>
          </cell>
          <cell r="D485" t="str">
            <v>DON JULIO ROSADO</v>
          </cell>
          <cell r="E485" t="str">
            <v>TEQUILA DON JULIO, SA DE CV</v>
          </cell>
          <cell r="F485" t="str">
            <v>750</v>
          </cell>
          <cell r="G485">
            <v>40</v>
          </cell>
          <cell r="H485">
            <v>6</v>
          </cell>
          <cell r="I485" t="str">
            <v>3224</v>
          </cell>
          <cell r="L485">
            <v>1</v>
          </cell>
          <cell r="M485">
            <v>161.01</v>
          </cell>
        </row>
        <row r="486">
          <cell r="C486" t="str">
            <v>13777</v>
          </cell>
          <cell r="D486" t="str">
            <v>EL JIMADOR BLANCO</v>
          </cell>
          <cell r="E486" t="str">
            <v>CASA HERRADURA</v>
          </cell>
          <cell r="F486" t="str">
            <v>750</v>
          </cell>
          <cell r="G486">
            <v>40</v>
          </cell>
          <cell r="H486">
            <v>12</v>
          </cell>
          <cell r="I486" t="str">
            <v>1230</v>
          </cell>
          <cell r="L486">
            <v>1</v>
          </cell>
          <cell r="M486">
            <v>35.92</v>
          </cell>
        </row>
        <row r="487">
          <cell r="C487" t="str">
            <v>6175</v>
          </cell>
          <cell r="D487" t="str">
            <v>EL JIMADOR REPOSADO TEQUILA</v>
          </cell>
          <cell r="E487" t="str">
            <v>CASA HERRADURA</v>
          </cell>
          <cell r="F487" t="str">
            <v>750</v>
          </cell>
          <cell r="G487">
            <v>40</v>
          </cell>
          <cell r="H487">
            <v>12</v>
          </cell>
          <cell r="I487" t="str">
            <v>1230</v>
          </cell>
          <cell r="L487">
            <v>1</v>
          </cell>
          <cell r="M487">
            <v>36.619999999999997</v>
          </cell>
        </row>
        <row r="488">
          <cell r="C488" t="str">
            <v>42124</v>
          </cell>
          <cell r="D488" t="str">
            <v>EL TEQUILENO BLANCO</v>
          </cell>
          <cell r="E488" t="str">
            <v>JORGE SALLES CUERVO y SUCESORES, SA de C</v>
          </cell>
          <cell r="F488" t="str">
            <v>750</v>
          </cell>
          <cell r="G488">
            <v>40</v>
          </cell>
          <cell r="H488">
            <v>12</v>
          </cell>
          <cell r="I488" t="str">
            <v>205871</v>
          </cell>
          <cell r="L488">
            <v>1</v>
          </cell>
          <cell r="M488">
            <v>36.97</v>
          </cell>
        </row>
        <row r="489">
          <cell r="C489" t="str">
            <v>31029</v>
          </cell>
          <cell r="D489" t="str">
            <v>EL TEQUILENO PLATINUM</v>
          </cell>
          <cell r="E489" t="str">
            <v>JORGE SALLES CUERVO y SUCESORES, SA de C</v>
          </cell>
          <cell r="F489" t="str">
            <v>750</v>
          </cell>
          <cell r="G489">
            <v>40</v>
          </cell>
          <cell r="H489">
            <v>6</v>
          </cell>
          <cell r="I489" t="str">
            <v>205871</v>
          </cell>
          <cell r="L489">
            <v>1</v>
          </cell>
          <cell r="M489">
            <v>63.39</v>
          </cell>
        </row>
        <row r="490">
          <cell r="C490" t="str">
            <v>31028</v>
          </cell>
          <cell r="D490" t="str">
            <v>EL TEQUILENO REPOSADO GRAN RESE</v>
          </cell>
          <cell r="E490" t="str">
            <v>JORGE SALLES CUERVO y SUCESORES, SA de C</v>
          </cell>
          <cell r="F490" t="str">
            <v>750</v>
          </cell>
          <cell r="G490">
            <v>40</v>
          </cell>
          <cell r="H490">
            <v>6</v>
          </cell>
          <cell r="I490" t="str">
            <v>205871</v>
          </cell>
          <cell r="L490">
            <v>1</v>
          </cell>
          <cell r="M490">
            <v>84.96</v>
          </cell>
        </row>
        <row r="491">
          <cell r="C491" t="str">
            <v>24980</v>
          </cell>
          <cell r="D491" t="str">
            <v>ENMASCARADO 45 MEZCAL JOVEN</v>
          </cell>
          <cell r="E491" t="str">
            <v>MEZCALES MILAGRITO SA DE CV</v>
          </cell>
          <cell r="F491" t="str">
            <v>750</v>
          </cell>
          <cell r="G491">
            <v>45</v>
          </cell>
          <cell r="H491">
            <v>8</v>
          </cell>
          <cell r="I491" t="str">
            <v>192206</v>
          </cell>
          <cell r="L491">
            <v>1</v>
          </cell>
          <cell r="M491">
            <v>64.88</v>
          </cell>
        </row>
        <row r="492">
          <cell r="C492" t="str">
            <v>25605</v>
          </cell>
          <cell r="D492" t="str">
            <v>ESPOLON BLANCO</v>
          </cell>
          <cell r="E492" t="str">
            <v>CAMPARI MEXICO SA DE CV</v>
          </cell>
          <cell r="F492" t="str">
            <v>750</v>
          </cell>
          <cell r="G492">
            <v>40</v>
          </cell>
          <cell r="H492">
            <v>6</v>
          </cell>
          <cell r="I492" t="str">
            <v>1041</v>
          </cell>
          <cell r="L492">
            <v>1</v>
          </cell>
          <cell r="M492">
            <v>38.01</v>
          </cell>
        </row>
        <row r="493">
          <cell r="C493" t="str">
            <v>24228</v>
          </cell>
          <cell r="D493" t="str">
            <v>ESPOLON REPOSADO</v>
          </cell>
          <cell r="E493" t="str">
            <v>CAMPARI MEXICO SA DE CV</v>
          </cell>
          <cell r="F493" t="str">
            <v>750</v>
          </cell>
          <cell r="G493">
            <v>40</v>
          </cell>
          <cell r="H493">
            <v>6</v>
          </cell>
          <cell r="I493" t="str">
            <v>1041</v>
          </cell>
          <cell r="L493">
            <v>1</v>
          </cell>
          <cell r="M493">
            <v>40</v>
          </cell>
        </row>
        <row r="494">
          <cell r="C494" t="str">
            <v>15119</v>
          </cell>
          <cell r="D494" t="str">
            <v>FAMILIA CAMARENA REPOSADO TEQUILA</v>
          </cell>
          <cell r="E494" t="str">
            <v>TEQUILA SUPREMO, S.A. DE C.V.</v>
          </cell>
          <cell r="F494" t="str">
            <v>750</v>
          </cell>
          <cell r="G494">
            <v>40</v>
          </cell>
          <cell r="H494">
            <v>12</v>
          </cell>
          <cell r="I494" t="str">
            <v>206245</v>
          </cell>
          <cell r="L494">
            <v>1</v>
          </cell>
          <cell r="M494">
            <v>47.19</v>
          </cell>
        </row>
        <row r="495">
          <cell r="C495" t="str">
            <v>20364</v>
          </cell>
          <cell r="D495" t="str">
            <v>HORNITOS BLACK BARREL TEQUILA - SAUZA</v>
          </cell>
          <cell r="E495" t="str">
            <v>TEQUILA SAUZA S.A.</v>
          </cell>
          <cell r="F495" t="str">
            <v>750</v>
          </cell>
          <cell r="G495">
            <v>40</v>
          </cell>
          <cell r="H495">
            <v>9</v>
          </cell>
          <cell r="I495" t="str">
            <v>3242</v>
          </cell>
          <cell r="L495">
            <v>1</v>
          </cell>
          <cell r="M495">
            <v>44.86</v>
          </cell>
        </row>
        <row r="496">
          <cell r="C496" t="str">
            <v>27047</v>
          </cell>
          <cell r="D496" t="str">
            <v>HORNITOS PLATA</v>
          </cell>
          <cell r="E496" t="str">
            <v>TEQUILA SAUZA S.A.</v>
          </cell>
          <cell r="F496" t="str">
            <v>750</v>
          </cell>
          <cell r="G496">
            <v>40</v>
          </cell>
          <cell r="H496">
            <v>12</v>
          </cell>
          <cell r="I496" t="str">
            <v>3242</v>
          </cell>
          <cell r="L496">
            <v>1</v>
          </cell>
          <cell r="M496">
            <v>37.229999999999997</v>
          </cell>
        </row>
        <row r="497">
          <cell r="C497" t="str">
            <v>3989</v>
          </cell>
          <cell r="D497" t="str">
            <v>HORNITOS REPOSADO - SAUZA</v>
          </cell>
          <cell r="E497" t="str">
            <v>TEQUILA SAUZA S.A.</v>
          </cell>
          <cell r="F497" t="str">
            <v>750</v>
          </cell>
          <cell r="G497">
            <v>40</v>
          </cell>
          <cell r="H497">
            <v>12</v>
          </cell>
          <cell r="I497" t="str">
            <v>3242</v>
          </cell>
          <cell r="L497">
            <v>1</v>
          </cell>
          <cell r="M497">
            <v>38.229999999999997</v>
          </cell>
        </row>
        <row r="498">
          <cell r="C498" t="str">
            <v>30775</v>
          </cell>
          <cell r="D498" t="str">
            <v>JOSE CUERVO ESPECIAL GOLD</v>
          </cell>
          <cell r="E498" t="str">
            <v>PROXIMO SPIRITS Kentucky</v>
          </cell>
          <cell r="F498" t="str">
            <v>200</v>
          </cell>
          <cell r="G498">
            <v>40</v>
          </cell>
          <cell r="H498">
            <v>24</v>
          </cell>
          <cell r="I498" t="str">
            <v>128699</v>
          </cell>
          <cell r="L498">
            <v>1</v>
          </cell>
          <cell r="M498">
            <v>9.3000000000000007</v>
          </cell>
        </row>
        <row r="499">
          <cell r="C499" t="str">
            <v>2162</v>
          </cell>
          <cell r="D499" t="str">
            <v>JOSE CUERVO ESPECIAL GOLD</v>
          </cell>
          <cell r="E499" t="str">
            <v>CASA CUERVO S.A. de C.V</v>
          </cell>
          <cell r="F499" t="str">
            <v>375</v>
          </cell>
          <cell r="G499">
            <v>40</v>
          </cell>
          <cell r="H499">
            <v>12</v>
          </cell>
          <cell r="I499" t="str">
            <v>128699</v>
          </cell>
          <cell r="L499">
            <v>1</v>
          </cell>
          <cell r="M499">
            <v>17.2</v>
          </cell>
        </row>
        <row r="500">
          <cell r="C500" t="str">
            <v>2163</v>
          </cell>
          <cell r="D500" t="str">
            <v>JOSE CUERVO ESPECIAL GOLD</v>
          </cell>
          <cell r="E500" t="str">
            <v>CASA CUERVO S.A. de C.V</v>
          </cell>
          <cell r="F500" t="str">
            <v>750</v>
          </cell>
          <cell r="G500">
            <v>40</v>
          </cell>
          <cell r="H500">
            <v>12</v>
          </cell>
          <cell r="I500" t="str">
            <v>128699</v>
          </cell>
          <cell r="L500">
            <v>1</v>
          </cell>
          <cell r="M500">
            <v>32.81</v>
          </cell>
        </row>
        <row r="501">
          <cell r="C501" t="str">
            <v>2164</v>
          </cell>
          <cell r="D501" t="str">
            <v>JOSE CUERVO ESPECIAL GOLD</v>
          </cell>
          <cell r="E501" t="str">
            <v>CASA CUERVO S.A. de C.V</v>
          </cell>
          <cell r="F501" t="str">
            <v>1140</v>
          </cell>
          <cell r="G501">
            <v>40</v>
          </cell>
          <cell r="H501">
            <v>6</v>
          </cell>
          <cell r="I501" t="str">
            <v>128699</v>
          </cell>
          <cell r="L501">
            <v>1</v>
          </cell>
          <cell r="M501">
            <v>46.92</v>
          </cell>
        </row>
        <row r="502">
          <cell r="C502" t="str">
            <v>9422</v>
          </cell>
          <cell r="D502" t="str">
            <v>JOSE CUERVO ESPECIAL SILVER</v>
          </cell>
          <cell r="E502" t="str">
            <v>CASA CUERVO S.A. de C.V</v>
          </cell>
          <cell r="F502" t="str">
            <v>750</v>
          </cell>
          <cell r="G502">
            <v>40</v>
          </cell>
          <cell r="H502">
            <v>12</v>
          </cell>
          <cell r="I502" t="str">
            <v>128699</v>
          </cell>
          <cell r="L502">
            <v>1</v>
          </cell>
          <cell r="M502">
            <v>32.81</v>
          </cell>
        </row>
        <row r="503">
          <cell r="C503" t="str">
            <v>23557</v>
          </cell>
          <cell r="D503" t="str">
            <v>JOSE CUERVO TRADICIONAL PLATA</v>
          </cell>
          <cell r="E503" t="str">
            <v>PROXIMO SPIRITS INC LLC</v>
          </cell>
          <cell r="F503" t="str">
            <v>750</v>
          </cell>
          <cell r="G503">
            <v>40</v>
          </cell>
          <cell r="H503">
            <v>12</v>
          </cell>
          <cell r="I503" t="str">
            <v>128699</v>
          </cell>
          <cell r="L503">
            <v>1</v>
          </cell>
          <cell r="M503">
            <v>34.81</v>
          </cell>
        </row>
        <row r="504">
          <cell r="C504" t="str">
            <v>23380</v>
          </cell>
          <cell r="D504" t="str">
            <v>JOSE CUERVO TRADICIONAL REPOSADO</v>
          </cell>
          <cell r="E504" t="str">
            <v>PROXIMO SPIRITS INC LLC</v>
          </cell>
          <cell r="F504" t="str">
            <v>750</v>
          </cell>
          <cell r="G504">
            <v>40</v>
          </cell>
          <cell r="H504">
            <v>12</v>
          </cell>
          <cell r="I504" t="str">
            <v>128699</v>
          </cell>
          <cell r="L504">
            <v>1</v>
          </cell>
          <cell r="M504">
            <v>35.81</v>
          </cell>
        </row>
        <row r="505">
          <cell r="C505" t="str">
            <v>42288</v>
          </cell>
          <cell r="D505" t="str">
            <v>PATRON EL CIELO</v>
          </cell>
          <cell r="E505" t="str">
            <v>PATRON SPIRITS MEXICO SA DE CV</v>
          </cell>
          <cell r="F505" t="str">
            <v>700</v>
          </cell>
          <cell r="G505">
            <v>40</v>
          </cell>
          <cell r="H505">
            <v>6</v>
          </cell>
          <cell r="I505" t="str">
            <v>3233</v>
          </cell>
          <cell r="L505">
            <v>1</v>
          </cell>
          <cell r="M505">
            <v>94.75</v>
          </cell>
        </row>
        <row r="506">
          <cell r="C506" t="str">
            <v>24496</v>
          </cell>
          <cell r="D506" t="str">
            <v>PATRON SILVER TEQUILA</v>
          </cell>
          <cell r="E506" t="str">
            <v>PATRON SPIRITS MEXICO SA DE CV</v>
          </cell>
          <cell r="F506" t="str">
            <v>50</v>
          </cell>
          <cell r="G506">
            <v>40</v>
          </cell>
          <cell r="H506">
            <v>60</v>
          </cell>
          <cell r="I506" t="str">
            <v>3233</v>
          </cell>
          <cell r="L506">
            <v>1</v>
          </cell>
          <cell r="M506">
            <v>7</v>
          </cell>
        </row>
        <row r="507">
          <cell r="C507" t="str">
            <v>42424</v>
          </cell>
          <cell r="D507" t="str">
            <v>PATRON SILVER TEQUILA</v>
          </cell>
          <cell r="E507" t="str">
            <v>PATRON SPIRITS MEXICO SA DE CV</v>
          </cell>
          <cell r="F507" t="str">
            <v>375</v>
          </cell>
          <cell r="G507">
            <v>40</v>
          </cell>
          <cell r="H507">
            <v>12</v>
          </cell>
          <cell r="I507" t="str">
            <v>3233</v>
          </cell>
          <cell r="L507">
            <v>1</v>
          </cell>
          <cell r="M507">
            <v>40.200000000000003</v>
          </cell>
        </row>
        <row r="508">
          <cell r="C508" t="str">
            <v>44818</v>
          </cell>
          <cell r="D508" t="str">
            <v>TEREMANA TEQUILA ANEJO</v>
          </cell>
          <cell r="E508" t="str">
            <v>SIETE BUCKS SPIRITS LLC</v>
          </cell>
          <cell r="F508" t="str">
            <v>750</v>
          </cell>
          <cell r="G508">
            <v>40</v>
          </cell>
          <cell r="H508">
            <v>6</v>
          </cell>
          <cell r="I508" t="str">
            <v>194112</v>
          </cell>
          <cell r="L508">
            <v>1</v>
          </cell>
          <cell r="M508">
            <v>64.489999999999995</v>
          </cell>
        </row>
        <row r="509">
          <cell r="C509" t="str">
            <v>44701</v>
          </cell>
          <cell r="D509" t="str">
            <v>TEREMANA TEQUILA BLANCO</v>
          </cell>
          <cell r="E509" t="str">
            <v>SIETE BUCKS SPIRITS LLC</v>
          </cell>
          <cell r="F509" t="str">
            <v>375</v>
          </cell>
          <cell r="G509">
            <v>40</v>
          </cell>
          <cell r="H509">
            <v>12</v>
          </cell>
          <cell r="I509" t="str">
            <v>194112</v>
          </cell>
          <cell r="L509">
            <v>1</v>
          </cell>
          <cell r="M509">
            <v>25.09</v>
          </cell>
        </row>
        <row r="510">
          <cell r="C510" t="str">
            <v>35484</v>
          </cell>
          <cell r="D510" t="str">
            <v>TEREMANA TEQUILA BLANCO</v>
          </cell>
          <cell r="E510" t="str">
            <v>SIETE BUCKS SPIRITS LLC</v>
          </cell>
          <cell r="F510" t="str">
            <v>750</v>
          </cell>
          <cell r="G510">
            <v>40</v>
          </cell>
          <cell r="H510">
            <v>6</v>
          </cell>
          <cell r="I510" t="str">
            <v>194112</v>
          </cell>
          <cell r="L510">
            <v>1</v>
          </cell>
          <cell r="M510">
            <v>47.99</v>
          </cell>
        </row>
        <row r="511">
          <cell r="C511" t="str">
            <v>44702</v>
          </cell>
          <cell r="D511" t="str">
            <v>TEREMANA TEQUILA REPOSADO</v>
          </cell>
          <cell r="E511" t="str">
            <v>SIETE BUCKS SPIRITS LLC</v>
          </cell>
          <cell r="F511" t="str">
            <v>375</v>
          </cell>
          <cell r="G511">
            <v>40</v>
          </cell>
          <cell r="H511">
            <v>12</v>
          </cell>
          <cell r="I511" t="str">
            <v>194112</v>
          </cell>
          <cell r="L511">
            <v>1</v>
          </cell>
          <cell r="M511">
            <v>27.39</v>
          </cell>
        </row>
        <row r="512">
          <cell r="C512" t="str">
            <v>35485</v>
          </cell>
          <cell r="D512" t="str">
            <v>TEREMANA TEQUILA REPOSADO</v>
          </cell>
          <cell r="E512" t="str">
            <v>SIETE BUCKS SPIRITS LLC</v>
          </cell>
          <cell r="F512" t="str">
            <v>750</v>
          </cell>
          <cell r="G512">
            <v>40</v>
          </cell>
          <cell r="H512">
            <v>6</v>
          </cell>
          <cell r="I512" t="str">
            <v>194112</v>
          </cell>
          <cell r="L512">
            <v>1</v>
          </cell>
          <cell r="M512">
            <v>51.39</v>
          </cell>
        </row>
        <row r="513">
          <cell r="C513" t="str">
            <v>33987</v>
          </cell>
          <cell r="D513" t="str">
            <v>TRES GENERACIONES REPOSADO</v>
          </cell>
          <cell r="E513" t="str">
            <v>TEQUILA SAUZA S.A.</v>
          </cell>
          <cell r="F513" t="str">
            <v>750</v>
          </cell>
          <cell r="G513">
            <v>40</v>
          </cell>
          <cell r="H513">
            <v>6</v>
          </cell>
          <cell r="I513" t="str">
            <v>3242</v>
          </cell>
          <cell r="L513">
            <v>1</v>
          </cell>
          <cell r="M513">
            <v>61.61</v>
          </cell>
        </row>
        <row r="514">
          <cell r="C514" t="str">
            <v>45518</v>
          </cell>
          <cell r="D514" t="str">
            <v>MI CAMPO BLANCO TEQUILA</v>
          </cell>
          <cell r="E514" t="str">
            <v>CONSTELLATION WINES US</v>
          </cell>
          <cell r="F514" t="str">
            <v>750</v>
          </cell>
          <cell r="G514">
            <v>40</v>
          </cell>
          <cell r="H514">
            <v>12</v>
          </cell>
          <cell r="I514" t="str">
            <v>206223</v>
          </cell>
          <cell r="L514">
            <v>1</v>
          </cell>
          <cell r="M514">
            <v>34.96</v>
          </cell>
        </row>
        <row r="515">
          <cell r="C515" t="str">
            <v>43527</v>
          </cell>
          <cell r="D515" t="str">
            <v>MI CAMPO REPOSADO TEQUILA</v>
          </cell>
          <cell r="E515" t="str">
            <v>CONSTELLATION WINES US</v>
          </cell>
          <cell r="F515" t="str">
            <v>750</v>
          </cell>
          <cell r="G515">
            <v>40</v>
          </cell>
          <cell r="H515">
            <v>12</v>
          </cell>
          <cell r="I515" t="str">
            <v>206223</v>
          </cell>
          <cell r="L515">
            <v>1</v>
          </cell>
          <cell r="M515">
            <v>36.03</v>
          </cell>
        </row>
        <row r="516">
          <cell r="C516" t="str">
            <v>24879</v>
          </cell>
          <cell r="D516" t="str">
            <v>OLMECA ALTOS TEQUILA PLATA</v>
          </cell>
          <cell r="E516" t="str">
            <v>PERNOD RICARD MEXICO</v>
          </cell>
          <cell r="F516" t="str">
            <v>750</v>
          </cell>
          <cell r="G516">
            <v>40</v>
          </cell>
          <cell r="H516">
            <v>6</v>
          </cell>
          <cell r="I516" t="str">
            <v>3237</v>
          </cell>
          <cell r="L516">
            <v>1</v>
          </cell>
          <cell r="M516">
            <v>37</v>
          </cell>
        </row>
        <row r="517">
          <cell r="C517" t="str">
            <v>5832</v>
          </cell>
          <cell r="D517" t="str">
            <v>OLMECA GOLD TEQUILA</v>
          </cell>
          <cell r="E517" t="str">
            <v>PERNOD RICARD MEXICO</v>
          </cell>
          <cell r="F517" t="str">
            <v>750</v>
          </cell>
          <cell r="G517">
            <v>40</v>
          </cell>
          <cell r="H517">
            <v>6</v>
          </cell>
          <cell r="I517" t="str">
            <v>3237</v>
          </cell>
          <cell r="L517">
            <v>1</v>
          </cell>
          <cell r="M517">
            <v>32.200000000000003</v>
          </cell>
        </row>
        <row r="518">
          <cell r="C518" t="str">
            <v>3986</v>
          </cell>
          <cell r="D518" t="str">
            <v>SAUZA GOLD</v>
          </cell>
          <cell r="E518" t="str">
            <v>TEQUILA SAUZA S.A.</v>
          </cell>
          <cell r="F518" t="str">
            <v>750</v>
          </cell>
          <cell r="G518">
            <v>40</v>
          </cell>
          <cell r="H518">
            <v>12</v>
          </cell>
          <cell r="I518" t="str">
            <v>3242</v>
          </cell>
          <cell r="L518">
            <v>1</v>
          </cell>
          <cell r="M518">
            <v>32.21</v>
          </cell>
        </row>
        <row r="519">
          <cell r="C519" t="str">
            <v>8533</v>
          </cell>
          <cell r="D519" t="str">
            <v>SAUZA GOLD</v>
          </cell>
          <cell r="E519" t="str">
            <v>TEQUILA SAUZA S.A.</v>
          </cell>
          <cell r="F519" t="str">
            <v>1140</v>
          </cell>
          <cell r="G519">
            <v>40</v>
          </cell>
          <cell r="H519">
            <v>9</v>
          </cell>
          <cell r="I519" t="str">
            <v>3242</v>
          </cell>
          <cell r="L519">
            <v>1</v>
          </cell>
          <cell r="M519">
            <v>46.32</v>
          </cell>
        </row>
        <row r="520">
          <cell r="C520" t="str">
            <v>3996</v>
          </cell>
          <cell r="D520" t="str">
            <v>SAUZA SILVER</v>
          </cell>
          <cell r="E520" t="str">
            <v>TEQUILA SAUZA S.A.</v>
          </cell>
          <cell r="F520" t="str">
            <v>375</v>
          </cell>
          <cell r="G520">
            <v>40</v>
          </cell>
          <cell r="H520">
            <v>24</v>
          </cell>
          <cell r="I520" t="str">
            <v>3242</v>
          </cell>
          <cell r="L520">
            <v>1</v>
          </cell>
          <cell r="M520">
            <v>17.079999999999998</v>
          </cell>
        </row>
        <row r="521">
          <cell r="C521" t="str">
            <v>3995</v>
          </cell>
          <cell r="D521" t="str">
            <v>SAUZA SILVER</v>
          </cell>
          <cell r="E521" t="str">
            <v>TEQUILA SAUZA S.A.</v>
          </cell>
          <cell r="F521" t="str">
            <v>750</v>
          </cell>
          <cell r="G521">
            <v>40</v>
          </cell>
          <cell r="H521">
            <v>12</v>
          </cell>
          <cell r="I521" t="str">
            <v>3242</v>
          </cell>
          <cell r="L521">
            <v>1</v>
          </cell>
          <cell r="M521">
            <v>32.21</v>
          </cell>
        </row>
        <row r="522">
          <cell r="C522" t="str">
            <v>3993</v>
          </cell>
          <cell r="D522" t="str">
            <v>SAUZA SILVER</v>
          </cell>
          <cell r="E522" t="str">
            <v>TEQUILA SAUZA S.A.</v>
          </cell>
          <cell r="F522" t="str">
            <v>1140</v>
          </cell>
          <cell r="G522">
            <v>40</v>
          </cell>
          <cell r="H522">
            <v>9</v>
          </cell>
          <cell r="I522" t="str">
            <v>3242</v>
          </cell>
          <cell r="L522">
            <v>1</v>
          </cell>
          <cell r="M522">
            <v>46.32</v>
          </cell>
        </row>
        <row r="523">
          <cell r="C523" t="str">
            <v>28208</v>
          </cell>
          <cell r="D523" t="str">
            <v>HORNITOS REPOSADO</v>
          </cell>
          <cell r="E523" t="str">
            <v>TEQUILA SAUZA S.A.</v>
          </cell>
          <cell r="F523" t="str">
            <v>375</v>
          </cell>
          <cell r="G523">
            <v>40</v>
          </cell>
          <cell r="H523">
            <v>12</v>
          </cell>
          <cell r="I523" t="str">
            <v>3242</v>
          </cell>
          <cell r="L523">
            <v>1</v>
          </cell>
          <cell r="M523">
            <v>18.559999999999999</v>
          </cell>
        </row>
        <row r="524">
          <cell r="C524" t="str">
            <v>18865</v>
          </cell>
          <cell r="D524" t="str">
            <v>1800 COCONUT TEQUILA</v>
          </cell>
          <cell r="E524" t="str">
            <v>CASA CUERVO S.A. de C.V</v>
          </cell>
          <cell r="F524" t="str">
            <v>750</v>
          </cell>
          <cell r="G524">
            <v>35</v>
          </cell>
          <cell r="H524">
            <v>12</v>
          </cell>
          <cell r="I524" t="str">
            <v>128699</v>
          </cell>
          <cell r="L524">
            <v>1</v>
          </cell>
          <cell r="M524">
            <v>37.31</v>
          </cell>
        </row>
        <row r="525">
          <cell r="C525" t="str">
            <v>45311</v>
          </cell>
          <cell r="D525" t="str">
            <v>JOSE CUERVO DEVIL'S RESERVE</v>
          </cell>
          <cell r="E525" t="str">
            <v>CASA CUERVO S.A. de C.V</v>
          </cell>
          <cell r="F525" t="str">
            <v>750</v>
          </cell>
          <cell r="G525">
            <v>30</v>
          </cell>
          <cell r="H525">
            <v>12</v>
          </cell>
          <cell r="I525" t="str">
            <v>128699</v>
          </cell>
          <cell r="L525">
            <v>1</v>
          </cell>
          <cell r="M525">
            <v>29.01</v>
          </cell>
        </row>
        <row r="526">
          <cell r="C526" t="str">
            <v>31425</v>
          </cell>
          <cell r="D526" t="str">
            <v>EL TEQUILENO REPOSADO</v>
          </cell>
          <cell r="E526" t="str">
            <v>JORGE SALLES CUERVO y SUCESORES, SA de C</v>
          </cell>
          <cell r="F526" t="str">
            <v>750</v>
          </cell>
          <cell r="G526">
            <v>40</v>
          </cell>
          <cell r="H526">
            <v>12</v>
          </cell>
          <cell r="I526" t="str">
            <v>205871</v>
          </cell>
          <cell r="L526">
            <v>1</v>
          </cell>
          <cell r="M526">
            <v>40.85</v>
          </cell>
        </row>
        <row r="527">
          <cell r="C527" t="str">
            <v>7570</v>
          </cell>
          <cell r="D527" t="str">
            <v>CRYSTAL HEAD VODKA</v>
          </cell>
          <cell r="E527" t="str">
            <v>GLOBEFILL INC</v>
          </cell>
          <cell r="F527" t="str">
            <v>750</v>
          </cell>
          <cell r="G527">
            <v>40</v>
          </cell>
          <cell r="H527">
            <v>6</v>
          </cell>
          <cell r="I527" t="str">
            <v>3243</v>
          </cell>
          <cell r="L527">
            <v>1</v>
          </cell>
          <cell r="M527">
            <v>46.15</v>
          </cell>
        </row>
        <row r="528">
          <cell r="C528" t="str">
            <v>23200</v>
          </cell>
          <cell r="D528" t="str">
            <v>PROVINCIAL VODKA - KOSHER</v>
          </cell>
          <cell r="E528" t="str">
            <v>RADOUGA DISTILLERIES</v>
          </cell>
          <cell r="F528" t="str">
            <v>750</v>
          </cell>
          <cell r="G528">
            <v>40</v>
          </cell>
          <cell r="H528">
            <v>12</v>
          </cell>
          <cell r="I528" t="str">
            <v>205892</v>
          </cell>
          <cell r="L528">
            <v>1</v>
          </cell>
          <cell r="M528">
            <v>19.03</v>
          </cell>
        </row>
        <row r="529">
          <cell r="C529" t="str">
            <v>26372</v>
          </cell>
          <cell r="D529" t="str">
            <v>PROVINCIAL VODKA - KOSHER</v>
          </cell>
          <cell r="E529" t="str">
            <v>RADOUGA DISTILLERIES</v>
          </cell>
          <cell r="F529" t="str">
            <v>1140</v>
          </cell>
          <cell r="G529">
            <v>40</v>
          </cell>
          <cell r="H529">
            <v>12</v>
          </cell>
          <cell r="I529" t="str">
            <v>205892</v>
          </cell>
          <cell r="L529">
            <v>1</v>
          </cell>
          <cell r="M529">
            <v>27.8</v>
          </cell>
        </row>
        <row r="530">
          <cell r="C530" t="str">
            <v>23477</v>
          </cell>
          <cell r="D530" t="str">
            <v>PROVINCIAL VODKA - KOSHER</v>
          </cell>
          <cell r="E530" t="str">
            <v>RADOUGA DISTILLERIES</v>
          </cell>
          <cell r="F530" t="str">
            <v>1750</v>
          </cell>
          <cell r="G530">
            <v>40</v>
          </cell>
          <cell r="H530">
            <v>6</v>
          </cell>
          <cell r="I530" t="str">
            <v>205892</v>
          </cell>
          <cell r="L530">
            <v>1</v>
          </cell>
          <cell r="M530">
            <v>41.37</v>
          </cell>
        </row>
        <row r="531">
          <cell r="C531" t="str">
            <v>23807</v>
          </cell>
          <cell r="D531" t="str">
            <v>FOOTHILLS PREMIUM VODKA</v>
          </cell>
          <cell r="E531" t="str">
            <v>CALDERA DISTILLING</v>
          </cell>
          <cell r="F531" t="str">
            <v>750</v>
          </cell>
          <cell r="G531">
            <v>40</v>
          </cell>
          <cell r="H531">
            <v>6</v>
          </cell>
          <cell r="I531" t="str">
            <v>1021</v>
          </cell>
          <cell r="L531">
            <v>1</v>
          </cell>
          <cell r="M531">
            <v>21.85</v>
          </cell>
        </row>
        <row r="532">
          <cell r="C532" t="str">
            <v>4697</v>
          </cell>
          <cell r="D532" t="str">
            <v>ICEBERG VODKA</v>
          </cell>
          <cell r="E532" t="str">
            <v>CANADIAN ICEBERG VODKA CORP</v>
          </cell>
          <cell r="F532" t="str">
            <v>750</v>
          </cell>
          <cell r="G532">
            <v>40</v>
          </cell>
          <cell r="H532">
            <v>12</v>
          </cell>
          <cell r="I532" t="str">
            <v>3841</v>
          </cell>
          <cell r="L532">
            <v>1</v>
          </cell>
          <cell r="M532">
            <v>20.91</v>
          </cell>
        </row>
        <row r="533">
          <cell r="C533" t="str">
            <v>6234</v>
          </cell>
          <cell r="D533" t="str">
            <v>ICEBERG VODKA</v>
          </cell>
          <cell r="E533" t="str">
            <v>CANADIAN ICEBERG VODKA CORP</v>
          </cell>
          <cell r="F533" t="str">
            <v>1140</v>
          </cell>
          <cell r="G533">
            <v>40</v>
          </cell>
          <cell r="H533">
            <v>9</v>
          </cell>
          <cell r="I533" t="str">
            <v>3841</v>
          </cell>
          <cell r="L533">
            <v>1</v>
          </cell>
          <cell r="M533">
            <v>30.29</v>
          </cell>
        </row>
        <row r="534">
          <cell r="C534" t="str">
            <v>48378</v>
          </cell>
          <cell r="D534" t="str">
            <v>POLAR ICE STRAWBERRY BLIZZARD</v>
          </cell>
          <cell r="E534" t="str">
            <v>HIRAM WALKER &amp; SONS LTD</v>
          </cell>
          <cell r="F534" t="str">
            <v>375</v>
          </cell>
          <cell r="G534">
            <v>30</v>
          </cell>
          <cell r="H534">
            <v>24</v>
          </cell>
          <cell r="I534" t="str">
            <v>3237</v>
          </cell>
          <cell r="L534">
            <v>1</v>
          </cell>
          <cell r="M534">
            <v>12.11</v>
          </cell>
        </row>
        <row r="535">
          <cell r="C535" t="str">
            <v>22499</v>
          </cell>
          <cell r="D535" t="str">
            <v>PROVINCIAL VODKA - KOSHER</v>
          </cell>
          <cell r="E535" t="str">
            <v>RADOUGA DISTILLERIES</v>
          </cell>
          <cell r="F535" t="str">
            <v>375</v>
          </cell>
          <cell r="G535">
            <v>40</v>
          </cell>
          <cell r="H535">
            <v>24</v>
          </cell>
          <cell r="I535" t="str">
            <v>205892</v>
          </cell>
          <cell r="L535">
            <v>1</v>
          </cell>
          <cell r="M535">
            <v>10.65</v>
          </cell>
        </row>
        <row r="536">
          <cell r="C536" t="str">
            <v>46181</v>
          </cell>
          <cell r="D536" t="str">
            <v>RED TASSEL OVERPROOF</v>
          </cell>
          <cell r="E536" t="str">
            <v>SAZERAC OF CANADA INC.</v>
          </cell>
          <cell r="F536" t="str">
            <v>1750</v>
          </cell>
          <cell r="G536">
            <v>50</v>
          </cell>
          <cell r="H536">
            <v>6</v>
          </cell>
          <cell r="I536" t="str">
            <v>1537</v>
          </cell>
          <cell r="L536">
            <v>1</v>
          </cell>
          <cell r="M536">
            <v>45.14</v>
          </cell>
        </row>
        <row r="537">
          <cell r="C537" t="str">
            <v>43086</v>
          </cell>
          <cell r="D537" t="str">
            <v>SILENT SAM VODKA</v>
          </cell>
          <cell r="E537" t="str">
            <v>DIAGEO CANADA INC.</v>
          </cell>
          <cell r="F537" t="str">
            <v>750</v>
          </cell>
          <cell r="G537">
            <v>40</v>
          </cell>
          <cell r="H537">
            <v>12</v>
          </cell>
          <cell r="I537" t="str">
            <v>3224</v>
          </cell>
          <cell r="L537">
            <v>1</v>
          </cell>
          <cell r="M537">
            <v>19.5</v>
          </cell>
        </row>
        <row r="538">
          <cell r="C538" t="str">
            <v>43087</v>
          </cell>
          <cell r="D538" t="str">
            <v>SILENT SAM VODKA</v>
          </cell>
          <cell r="E538" t="str">
            <v>DIAGEO CANADA INC.</v>
          </cell>
          <cell r="F538" t="str">
            <v>1750</v>
          </cell>
          <cell r="G538">
            <v>40</v>
          </cell>
          <cell r="H538">
            <v>6</v>
          </cell>
          <cell r="I538" t="str">
            <v>3224</v>
          </cell>
          <cell r="L538">
            <v>1</v>
          </cell>
          <cell r="M538">
            <v>41.99</v>
          </cell>
        </row>
        <row r="539">
          <cell r="C539" t="str">
            <v>32996</v>
          </cell>
          <cell r="D539" t="str">
            <v>SKYY VODKA</v>
          </cell>
          <cell r="E539" t="str">
            <v>FORTY CREEK DISTILLERY</v>
          </cell>
          <cell r="F539" t="str">
            <v>750</v>
          </cell>
          <cell r="G539">
            <v>40</v>
          </cell>
          <cell r="H539">
            <v>12</v>
          </cell>
          <cell r="I539" t="str">
            <v>1041</v>
          </cell>
          <cell r="L539">
            <v>1</v>
          </cell>
          <cell r="M539">
            <v>19.61</v>
          </cell>
        </row>
        <row r="540">
          <cell r="C540" t="str">
            <v>32997</v>
          </cell>
          <cell r="D540" t="str">
            <v>SKYY VODKA</v>
          </cell>
          <cell r="E540" t="str">
            <v>FORTY CREEK DISTILLERY</v>
          </cell>
          <cell r="F540" t="str">
            <v>1140</v>
          </cell>
          <cell r="G540">
            <v>40</v>
          </cell>
          <cell r="H540">
            <v>8</v>
          </cell>
          <cell r="I540" t="str">
            <v>1041</v>
          </cell>
          <cell r="L540">
            <v>1</v>
          </cell>
          <cell r="M540">
            <v>28.66</v>
          </cell>
        </row>
        <row r="541">
          <cell r="C541" t="str">
            <v>4179</v>
          </cell>
          <cell r="D541" t="str">
            <v>SMIRNOFF RED</v>
          </cell>
          <cell r="E541" t="str">
            <v>THE SMIRNOFF CO</v>
          </cell>
          <cell r="F541" t="str">
            <v>50</v>
          </cell>
          <cell r="G541">
            <v>40</v>
          </cell>
          <cell r="H541">
            <v>120</v>
          </cell>
          <cell r="I541" t="str">
            <v>3224</v>
          </cell>
          <cell r="L541">
            <v>1</v>
          </cell>
          <cell r="M541">
            <v>3</v>
          </cell>
        </row>
        <row r="542">
          <cell r="C542" t="str">
            <v>30145</v>
          </cell>
          <cell r="D542" t="str">
            <v>SMIRNOFF RED</v>
          </cell>
          <cell r="E542" t="str">
            <v>DIAGEO CANADA  INC</v>
          </cell>
          <cell r="F542" t="str">
            <v>200</v>
          </cell>
          <cell r="G542">
            <v>40</v>
          </cell>
          <cell r="H542">
            <v>48</v>
          </cell>
          <cell r="I542" t="str">
            <v>3224</v>
          </cell>
          <cell r="L542">
            <v>1</v>
          </cell>
          <cell r="M542">
            <v>7.29</v>
          </cell>
        </row>
        <row r="543">
          <cell r="C543" t="str">
            <v>4180</v>
          </cell>
          <cell r="D543" t="str">
            <v>SMIRNOFF RED</v>
          </cell>
          <cell r="E543" t="str">
            <v>THE SMIRNOFF CO</v>
          </cell>
          <cell r="F543" t="str">
            <v>375</v>
          </cell>
          <cell r="G543">
            <v>40</v>
          </cell>
          <cell r="H543">
            <v>24</v>
          </cell>
          <cell r="I543" t="str">
            <v>3224</v>
          </cell>
          <cell r="L543">
            <v>1</v>
          </cell>
          <cell r="M543">
            <v>13.09</v>
          </cell>
        </row>
        <row r="544">
          <cell r="C544" t="str">
            <v>4181</v>
          </cell>
          <cell r="D544" t="str">
            <v>SMIRNOFF RED</v>
          </cell>
          <cell r="E544" t="str">
            <v>THE SMIRNOFF CO</v>
          </cell>
          <cell r="F544" t="str">
            <v>750</v>
          </cell>
          <cell r="G544">
            <v>40</v>
          </cell>
          <cell r="H544">
            <v>12</v>
          </cell>
          <cell r="I544" t="str">
            <v>3224</v>
          </cell>
          <cell r="L544">
            <v>1</v>
          </cell>
          <cell r="M544">
            <v>22</v>
          </cell>
        </row>
        <row r="545">
          <cell r="C545" t="str">
            <v>4182</v>
          </cell>
          <cell r="D545" t="str">
            <v>SMIRNOFF RED</v>
          </cell>
          <cell r="E545" t="str">
            <v>THE SMIRNOFF CO</v>
          </cell>
          <cell r="F545" t="str">
            <v>1140</v>
          </cell>
          <cell r="G545">
            <v>40</v>
          </cell>
          <cell r="H545">
            <v>8</v>
          </cell>
          <cell r="I545" t="str">
            <v>3224</v>
          </cell>
          <cell r="L545">
            <v>1</v>
          </cell>
          <cell r="M545">
            <v>31.02</v>
          </cell>
        </row>
        <row r="546">
          <cell r="C546" t="str">
            <v>4183</v>
          </cell>
          <cell r="D546" t="str">
            <v>SMIRNOFF RED</v>
          </cell>
          <cell r="E546" t="str">
            <v>THE SMIRNOFF CO</v>
          </cell>
          <cell r="F546" t="str">
            <v>1750</v>
          </cell>
          <cell r="G546">
            <v>40</v>
          </cell>
          <cell r="H546">
            <v>6</v>
          </cell>
          <cell r="I546" t="str">
            <v>3224</v>
          </cell>
          <cell r="L546">
            <v>1</v>
          </cell>
          <cell r="M546">
            <v>43.5</v>
          </cell>
        </row>
        <row r="547">
          <cell r="C547" t="str">
            <v>33896</v>
          </cell>
          <cell r="D547" t="str">
            <v>SMIRNOFF RED PET</v>
          </cell>
          <cell r="E547" t="str">
            <v>THE SMIRNOFF CO</v>
          </cell>
          <cell r="F547" t="str">
            <v>750</v>
          </cell>
          <cell r="G547">
            <v>40</v>
          </cell>
          <cell r="H547">
            <v>12</v>
          </cell>
          <cell r="I547" t="str">
            <v>3224</v>
          </cell>
          <cell r="L547">
            <v>1</v>
          </cell>
          <cell r="M547">
            <v>22</v>
          </cell>
        </row>
        <row r="548">
          <cell r="C548" t="str">
            <v>15126</v>
          </cell>
          <cell r="D548" t="str">
            <v>SMIRNOFF RED PET</v>
          </cell>
          <cell r="E548" t="str">
            <v>THE SMIRNOFF CO</v>
          </cell>
          <cell r="F548" t="str">
            <v>1140</v>
          </cell>
          <cell r="G548">
            <v>40</v>
          </cell>
          <cell r="H548">
            <v>12</v>
          </cell>
          <cell r="I548" t="str">
            <v>3224</v>
          </cell>
          <cell r="L548">
            <v>1</v>
          </cell>
          <cell r="M548">
            <v>31.02</v>
          </cell>
        </row>
        <row r="549">
          <cell r="C549" t="str">
            <v>46389</v>
          </cell>
          <cell r="D549" t="str">
            <v>WAYNE GRETZKY NO.99 ICE STORM</v>
          </cell>
          <cell r="E549" t="str">
            <v>ANDREW PELLER LIMITED</v>
          </cell>
          <cell r="F549" t="str">
            <v>50</v>
          </cell>
          <cell r="G549">
            <v>40</v>
          </cell>
          <cell r="H549">
            <v>48</v>
          </cell>
          <cell r="I549" t="str">
            <v>4095</v>
          </cell>
          <cell r="L549">
            <v>1</v>
          </cell>
          <cell r="M549">
            <v>3.29</v>
          </cell>
        </row>
        <row r="550">
          <cell r="C550" t="str">
            <v>30626</v>
          </cell>
          <cell r="D550" t="str">
            <v>ALBERTA PURE VODKA</v>
          </cell>
          <cell r="E550" t="str">
            <v>ALBERTA DISTILLERS LTD</v>
          </cell>
          <cell r="F550" t="str">
            <v>200</v>
          </cell>
          <cell r="G550">
            <v>40</v>
          </cell>
          <cell r="H550">
            <v>48</v>
          </cell>
          <cell r="I550" t="str">
            <v>3242</v>
          </cell>
          <cell r="L550">
            <v>1</v>
          </cell>
          <cell r="M550">
            <v>6.69</v>
          </cell>
        </row>
        <row r="551">
          <cell r="C551" t="str">
            <v>1061</v>
          </cell>
          <cell r="D551" t="str">
            <v>ALBERTA PURE VODKA</v>
          </cell>
          <cell r="E551" t="str">
            <v>ALBERTA DISTILLERS LTD</v>
          </cell>
          <cell r="F551" t="str">
            <v>375</v>
          </cell>
          <cell r="G551">
            <v>40</v>
          </cell>
          <cell r="H551">
            <v>24</v>
          </cell>
          <cell r="I551" t="str">
            <v>3242</v>
          </cell>
          <cell r="L551">
            <v>1</v>
          </cell>
          <cell r="M551">
            <v>11</v>
          </cell>
        </row>
        <row r="552">
          <cell r="C552" t="str">
            <v>35482</v>
          </cell>
          <cell r="D552" t="str">
            <v>ALBERTA PURE VODKA</v>
          </cell>
          <cell r="E552" t="str">
            <v>ALBERTA DISTILLERS LTD</v>
          </cell>
          <cell r="F552" t="str">
            <v>750</v>
          </cell>
          <cell r="G552">
            <v>40</v>
          </cell>
          <cell r="H552">
            <v>12</v>
          </cell>
          <cell r="I552" t="str">
            <v>3242</v>
          </cell>
          <cell r="L552">
            <v>1</v>
          </cell>
          <cell r="M552">
            <v>19.510000000000002</v>
          </cell>
        </row>
        <row r="553">
          <cell r="C553" t="str">
            <v>1062</v>
          </cell>
          <cell r="D553" t="str">
            <v>ALBERTA PURE VODKA</v>
          </cell>
          <cell r="E553" t="str">
            <v>ALBERTA DISTILLERS LTD</v>
          </cell>
          <cell r="F553" t="str">
            <v>1140</v>
          </cell>
          <cell r="G553">
            <v>40</v>
          </cell>
          <cell r="H553">
            <v>12</v>
          </cell>
          <cell r="I553" t="str">
            <v>3242</v>
          </cell>
          <cell r="L553">
            <v>1</v>
          </cell>
          <cell r="M553">
            <v>28.51</v>
          </cell>
        </row>
        <row r="554">
          <cell r="C554" t="str">
            <v>1063</v>
          </cell>
          <cell r="D554" t="str">
            <v>ALBERTA PURE VODKA</v>
          </cell>
          <cell r="E554" t="str">
            <v>ALBERTA DISTILLERS LTD</v>
          </cell>
          <cell r="F554" t="str">
            <v>1750</v>
          </cell>
          <cell r="G554">
            <v>40</v>
          </cell>
          <cell r="H554">
            <v>6</v>
          </cell>
          <cell r="I554" t="str">
            <v>3242</v>
          </cell>
          <cell r="L554">
            <v>1</v>
          </cell>
          <cell r="M554">
            <v>41.52</v>
          </cell>
        </row>
        <row r="555">
          <cell r="C555" t="str">
            <v>1064</v>
          </cell>
          <cell r="D555" t="str">
            <v>ALBERTA PURE VODKA PET</v>
          </cell>
          <cell r="E555" t="str">
            <v>ALBERTA DISTILLERS LTD</v>
          </cell>
          <cell r="F555" t="str">
            <v>750</v>
          </cell>
          <cell r="G555">
            <v>40</v>
          </cell>
          <cell r="H555">
            <v>12</v>
          </cell>
          <cell r="I555" t="str">
            <v>3242</v>
          </cell>
          <cell r="L555">
            <v>1</v>
          </cell>
          <cell r="M555">
            <v>19.510000000000002</v>
          </cell>
        </row>
        <row r="556">
          <cell r="C556" t="str">
            <v>1243</v>
          </cell>
          <cell r="D556" t="str">
            <v>BANFF ICE VODKA</v>
          </cell>
          <cell r="E556" t="str">
            <v>ALBERTA DISTILLERS LTD</v>
          </cell>
          <cell r="F556" t="str">
            <v>750</v>
          </cell>
          <cell r="G556">
            <v>40</v>
          </cell>
          <cell r="H556">
            <v>12</v>
          </cell>
          <cell r="I556" t="str">
            <v>3242</v>
          </cell>
          <cell r="L556">
            <v>1</v>
          </cell>
          <cell r="M556">
            <v>20.62</v>
          </cell>
        </row>
        <row r="557">
          <cell r="C557" t="str">
            <v>1244</v>
          </cell>
          <cell r="D557" t="str">
            <v>BANFF ICE VODKA</v>
          </cell>
          <cell r="E557" t="str">
            <v>ALBERTA DISTILLERS LTD</v>
          </cell>
          <cell r="F557" t="str">
            <v>1140</v>
          </cell>
          <cell r="G557">
            <v>40</v>
          </cell>
          <cell r="H557">
            <v>8</v>
          </cell>
          <cell r="I557" t="str">
            <v>3242</v>
          </cell>
          <cell r="L557">
            <v>1</v>
          </cell>
          <cell r="M557">
            <v>29.69</v>
          </cell>
        </row>
        <row r="558">
          <cell r="C558" t="str">
            <v>1245</v>
          </cell>
          <cell r="D558" t="str">
            <v>BANFF ICE VODKA</v>
          </cell>
          <cell r="E558" t="str">
            <v>ALBERTA DISTILLERS LTD</v>
          </cell>
          <cell r="F558" t="str">
            <v>1750</v>
          </cell>
          <cell r="G558">
            <v>40</v>
          </cell>
          <cell r="H558">
            <v>6</v>
          </cell>
          <cell r="I558" t="str">
            <v>3242</v>
          </cell>
          <cell r="L558">
            <v>1</v>
          </cell>
          <cell r="M558">
            <v>44.79</v>
          </cell>
        </row>
        <row r="559">
          <cell r="C559" t="str">
            <v>46183</v>
          </cell>
          <cell r="D559" t="str">
            <v>BIGFOOT VODKA</v>
          </cell>
          <cell r="E559" t="str">
            <v>SO SO BEVERAGE CO (m)</v>
          </cell>
          <cell r="F559" t="str">
            <v>375</v>
          </cell>
          <cell r="G559">
            <v>40</v>
          </cell>
          <cell r="H559">
            <v>24</v>
          </cell>
          <cell r="I559" t="str">
            <v>206286</v>
          </cell>
          <cell r="L559">
            <v>1</v>
          </cell>
          <cell r="M559">
            <v>8.59</v>
          </cell>
        </row>
        <row r="560">
          <cell r="C560" t="str">
            <v>46184</v>
          </cell>
          <cell r="D560" t="str">
            <v>BIGFOOT VODKA</v>
          </cell>
          <cell r="E560" t="str">
            <v>SO SO BEVERAGE CO (m)</v>
          </cell>
          <cell r="F560" t="str">
            <v>750</v>
          </cell>
          <cell r="G560">
            <v>40</v>
          </cell>
          <cell r="H560">
            <v>12</v>
          </cell>
          <cell r="I560" t="str">
            <v>206286</v>
          </cell>
          <cell r="L560">
            <v>1</v>
          </cell>
          <cell r="M560">
            <v>16</v>
          </cell>
        </row>
        <row r="561">
          <cell r="C561" t="str">
            <v>46185</v>
          </cell>
          <cell r="D561" t="str">
            <v>BIGFOOT VODKA</v>
          </cell>
          <cell r="E561" t="str">
            <v>SO SO BEVERAGE CO (m)</v>
          </cell>
          <cell r="F561" t="str">
            <v>1140</v>
          </cell>
          <cell r="G561">
            <v>40</v>
          </cell>
          <cell r="H561">
            <v>12</v>
          </cell>
          <cell r="I561" t="str">
            <v>206286</v>
          </cell>
          <cell r="L561">
            <v>1</v>
          </cell>
          <cell r="M561">
            <v>23.52</v>
          </cell>
        </row>
        <row r="562">
          <cell r="C562" t="str">
            <v>46186</v>
          </cell>
          <cell r="D562" t="str">
            <v>BIGFOOT VODKA</v>
          </cell>
          <cell r="E562" t="str">
            <v>SO SO BEVERAGE CO (m)</v>
          </cell>
          <cell r="F562" t="str">
            <v>1750</v>
          </cell>
          <cell r="G562">
            <v>40</v>
          </cell>
          <cell r="H562">
            <v>6</v>
          </cell>
          <cell r="I562" t="str">
            <v>206286</v>
          </cell>
          <cell r="L562">
            <v>1</v>
          </cell>
          <cell r="M562">
            <v>35.46</v>
          </cell>
        </row>
        <row r="563">
          <cell r="C563" t="str">
            <v>2300</v>
          </cell>
          <cell r="D563" t="str">
            <v>FBM RUSSIAN PRINCE</v>
          </cell>
          <cell r="E563" t="str">
            <v>BACARDI CANADA  INC</v>
          </cell>
          <cell r="F563" t="str">
            <v>375</v>
          </cell>
          <cell r="G563">
            <v>40</v>
          </cell>
          <cell r="H563">
            <v>24</v>
          </cell>
          <cell r="I563" t="str">
            <v>3233</v>
          </cell>
          <cell r="L563">
            <v>1</v>
          </cell>
          <cell r="M563">
            <v>10.5</v>
          </cell>
        </row>
        <row r="564">
          <cell r="C564" t="str">
            <v>2301</v>
          </cell>
          <cell r="D564" t="str">
            <v>FBM RUSSIAN PRINCE</v>
          </cell>
          <cell r="E564" t="str">
            <v>BACARDI CANADA  INC</v>
          </cell>
          <cell r="F564" t="str">
            <v>750</v>
          </cell>
          <cell r="G564">
            <v>40</v>
          </cell>
          <cell r="H564">
            <v>12</v>
          </cell>
          <cell r="I564" t="str">
            <v>3233</v>
          </cell>
          <cell r="L564">
            <v>1</v>
          </cell>
          <cell r="M564">
            <v>18.25</v>
          </cell>
        </row>
        <row r="565">
          <cell r="C565" t="str">
            <v>2302</v>
          </cell>
          <cell r="D565" t="str">
            <v>FBM RUSSIAN PRINCE</v>
          </cell>
          <cell r="E565" t="str">
            <v>BACARDI CANADA  INC</v>
          </cell>
          <cell r="F565" t="str">
            <v>1140</v>
          </cell>
          <cell r="G565">
            <v>40</v>
          </cell>
          <cell r="H565">
            <v>12</v>
          </cell>
          <cell r="I565" t="str">
            <v>3233</v>
          </cell>
          <cell r="L565">
            <v>1</v>
          </cell>
          <cell r="M565">
            <v>26.25</v>
          </cell>
        </row>
        <row r="566">
          <cell r="C566" t="str">
            <v>2303</v>
          </cell>
          <cell r="D566" t="str">
            <v>FBM RUSSIAN PRINCE</v>
          </cell>
          <cell r="E566" t="str">
            <v>BACARDI CANADA  INC</v>
          </cell>
          <cell r="F566" t="str">
            <v>1750</v>
          </cell>
          <cell r="G566">
            <v>40</v>
          </cell>
          <cell r="H566">
            <v>6</v>
          </cell>
          <cell r="I566" t="str">
            <v>3233</v>
          </cell>
          <cell r="L566">
            <v>1</v>
          </cell>
          <cell r="M566">
            <v>39</v>
          </cell>
        </row>
        <row r="567">
          <cell r="C567" t="str">
            <v>6586</v>
          </cell>
          <cell r="D567" t="str">
            <v>HIGHWOOD PURE CANADIAN VODKA</v>
          </cell>
          <cell r="E567" t="str">
            <v>HIGHWOOD DISTILLERS</v>
          </cell>
          <cell r="F567" t="str">
            <v>1750</v>
          </cell>
          <cell r="G567">
            <v>40</v>
          </cell>
          <cell r="H567">
            <v>6</v>
          </cell>
          <cell r="I567" t="str">
            <v>1021</v>
          </cell>
          <cell r="L567">
            <v>1</v>
          </cell>
          <cell r="M567">
            <v>39.04</v>
          </cell>
        </row>
        <row r="568">
          <cell r="C568" t="str">
            <v>40695</v>
          </cell>
          <cell r="D568" t="str">
            <v>LAST CALL VODKA</v>
          </cell>
          <cell r="E568" t="str">
            <v>RADOUGA DISTILLERIES</v>
          </cell>
          <cell r="F568" t="str">
            <v>375</v>
          </cell>
          <cell r="G568">
            <v>40</v>
          </cell>
          <cell r="H568">
            <v>24</v>
          </cell>
          <cell r="I568" t="str">
            <v>205892</v>
          </cell>
          <cell r="L568">
            <v>1</v>
          </cell>
          <cell r="M568">
            <v>9.91</v>
          </cell>
        </row>
        <row r="569">
          <cell r="C569" t="str">
            <v>40696</v>
          </cell>
          <cell r="D569" t="str">
            <v>LAST CALL VODKA</v>
          </cell>
          <cell r="E569" t="str">
            <v>RADOUGA DISTILLERIES</v>
          </cell>
          <cell r="F569" t="str">
            <v>750</v>
          </cell>
          <cell r="G569">
            <v>40</v>
          </cell>
          <cell r="H569">
            <v>18</v>
          </cell>
          <cell r="I569" t="str">
            <v>205892</v>
          </cell>
          <cell r="L569">
            <v>1</v>
          </cell>
          <cell r="M569">
            <v>16.920000000000002</v>
          </cell>
        </row>
        <row r="570">
          <cell r="C570" t="str">
            <v>40697</v>
          </cell>
          <cell r="D570" t="str">
            <v>LAST CALL VODKA</v>
          </cell>
          <cell r="E570" t="str">
            <v>RADOUGA DISTILLERIES</v>
          </cell>
          <cell r="F570" t="str">
            <v>1140</v>
          </cell>
          <cell r="G570">
            <v>40</v>
          </cell>
          <cell r="H570">
            <v>12</v>
          </cell>
          <cell r="I570" t="str">
            <v>205892</v>
          </cell>
          <cell r="L570">
            <v>1</v>
          </cell>
          <cell r="M570">
            <v>24.93</v>
          </cell>
        </row>
        <row r="571">
          <cell r="C571" t="str">
            <v>40698</v>
          </cell>
          <cell r="D571" t="str">
            <v>LAST CALL VODKA</v>
          </cell>
          <cell r="E571" t="str">
            <v>RADOUGA DISTILLERIES</v>
          </cell>
          <cell r="F571" t="str">
            <v>1750</v>
          </cell>
          <cell r="G571">
            <v>40</v>
          </cell>
          <cell r="H571">
            <v>6</v>
          </cell>
          <cell r="I571" t="str">
            <v>205892</v>
          </cell>
          <cell r="L571">
            <v>1</v>
          </cell>
          <cell r="M571">
            <v>37.479999999999997</v>
          </cell>
        </row>
        <row r="572">
          <cell r="C572" t="str">
            <v>3090</v>
          </cell>
          <cell r="D572" t="str">
            <v>McGUINNESS RED TASSEL</v>
          </cell>
          <cell r="E572" t="str">
            <v>HIRAM WALKER &amp; SONS LTD</v>
          </cell>
          <cell r="F572" t="str">
            <v>375</v>
          </cell>
          <cell r="G572">
            <v>40</v>
          </cell>
          <cell r="H572">
            <v>24</v>
          </cell>
          <cell r="I572" t="str">
            <v>1537</v>
          </cell>
          <cell r="L572">
            <v>1</v>
          </cell>
          <cell r="M572">
            <v>11</v>
          </cell>
        </row>
        <row r="573">
          <cell r="C573" t="str">
            <v>3091</v>
          </cell>
          <cell r="D573" t="str">
            <v>McGUINNESS RED TASSEL</v>
          </cell>
          <cell r="E573" t="str">
            <v>HIRAM WALKER &amp; SONS LTD</v>
          </cell>
          <cell r="F573" t="str">
            <v>750</v>
          </cell>
          <cell r="G573">
            <v>40</v>
          </cell>
          <cell r="H573">
            <v>12</v>
          </cell>
          <cell r="I573" t="str">
            <v>1537</v>
          </cell>
          <cell r="L573">
            <v>1</v>
          </cell>
          <cell r="M573">
            <v>19.29</v>
          </cell>
        </row>
        <row r="574">
          <cell r="C574" t="str">
            <v>3092</v>
          </cell>
          <cell r="D574" t="str">
            <v>McGUINNESS RED TASSEL</v>
          </cell>
          <cell r="E574" t="str">
            <v>HIRAM WALKER &amp; SONS LTD</v>
          </cell>
          <cell r="F574" t="str">
            <v>1140</v>
          </cell>
          <cell r="G574">
            <v>40</v>
          </cell>
          <cell r="H574">
            <v>12</v>
          </cell>
          <cell r="I574" t="str">
            <v>1537</v>
          </cell>
          <cell r="L574">
            <v>1</v>
          </cell>
          <cell r="M574">
            <v>28.51</v>
          </cell>
        </row>
        <row r="575">
          <cell r="C575" t="str">
            <v>3093</v>
          </cell>
          <cell r="D575" t="str">
            <v>McGUINNESS RED TASSEL</v>
          </cell>
          <cell r="E575" t="str">
            <v>HIRAM WALKER &amp; SONS LTD</v>
          </cell>
          <cell r="F575" t="str">
            <v>1750</v>
          </cell>
          <cell r="G575">
            <v>40</v>
          </cell>
          <cell r="H575">
            <v>6</v>
          </cell>
          <cell r="I575" t="str">
            <v>1537</v>
          </cell>
          <cell r="L575">
            <v>1</v>
          </cell>
          <cell r="M575">
            <v>41.69</v>
          </cell>
        </row>
        <row r="576">
          <cell r="C576" t="str">
            <v>2343</v>
          </cell>
          <cell r="D576" t="str">
            <v>POLAR ICE VODKA</v>
          </cell>
          <cell r="E576" t="str">
            <v>HIRAM WALKER &amp; SONS LTD</v>
          </cell>
          <cell r="F576" t="str">
            <v>375</v>
          </cell>
          <cell r="G576">
            <v>40</v>
          </cell>
          <cell r="H576">
            <v>24</v>
          </cell>
          <cell r="I576" t="str">
            <v>3237</v>
          </cell>
          <cell r="L576">
            <v>1</v>
          </cell>
          <cell r="M576">
            <v>11.61</v>
          </cell>
        </row>
        <row r="577">
          <cell r="C577" t="str">
            <v>2345</v>
          </cell>
          <cell r="D577" t="str">
            <v>POLAR ICE VODKA</v>
          </cell>
          <cell r="E577" t="str">
            <v>HIRAM WALKER &amp; SONS LTD</v>
          </cell>
          <cell r="F577" t="str">
            <v>750</v>
          </cell>
          <cell r="G577">
            <v>40</v>
          </cell>
          <cell r="H577">
            <v>12</v>
          </cell>
          <cell r="I577" t="str">
            <v>3237</v>
          </cell>
          <cell r="L577">
            <v>1</v>
          </cell>
          <cell r="M577">
            <v>20.420000000000002</v>
          </cell>
        </row>
        <row r="578">
          <cell r="C578" t="str">
            <v>2346</v>
          </cell>
          <cell r="D578" t="str">
            <v>POLAR ICE VODKA</v>
          </cell>
          <cell r="E578" t="str">
            <v>HIRAM WALKER &amp; SONS LTD</v>
          </cell>
          <cell r="F578" t="str">
            <v>1140</v>
          </cell>
          <cell r="G578">
            <v>40</v>
          </cell>
          <cell r="H578">
            <v>9</v>
          </cell>
          <cell r="I578" t="str">
            <v>3237</v>
          </cell>
          <cell r="L578">
            <v>1</v>
          </cell>
          <cell r="M578">
            <v>29.14</v>
          </cell>
        </row>
        <row r="579">
          <cell r="C579" t="str">
            <v>2347</v>
          </cell>
          <cell r="D579" t="str">
            <v>POLAR ICE VODKA</v>
          </cell>
          <cell r="E579" t="str">
            <v>HIRAM WALKER &amp; SONS LTD</v>
          </cell>
          <cell r="F579" t="str">
            <v>1750</v>
          </cell>
          <cell r="G579">
            <v>40</v>
          </cell>
          <cell r="H579">
            <v>6</v>
          </cell>
          <cell r="I579" t="str">
            <v>3237</v>
          </cell>
          <cell r="L579">
            <v>1</v>
          </cell>
          <cell r="M579">
            <v>43.16</v>
          </cell>
        </row>
        <row r="580">
          <cell r="C580" t="str">
            <v>31545</v>
          </cell>
          <cell r="D580" t="str">
            <v>POLAR ICE VODKA PET</v>
          </cell>
          <cell r="E580" t="str">
            <v>HIRAM WALKER &amp; SONS LTD</v>
          </cell>
          <cell r="F580" t="str">
            <v>750</v>
          </cell>
          <cell r="G580">
            <v>40</v>
          </cell>
          <cell r="H580">
            <v>12</v>
          </cell>
          <cell r="I580" t="str">
            <v>3237</v>
          </cell>
          <cell r="L580">
            <v>1</v>
          </cell>
          <cell r="M580">
            <v>20.420000000000002</v>
          </cell>
        </row>
        <row r="581">
          <cell r="C581" t="str">
            <v>36077</v>
          </cell>
          <cell r="D581" t="str">
            <v>PROVINCIAL VODKA - KOSHER PET BOTTLE</v>
          </cell>
          <cell r="E581" t="str">
            <v>RADOUGA DISTILLERIES</v>
          </cell>
          <cell r="F581" t="str">
            <v>750</v>
          </cell>
          <cell r="G581">
            <v>40</v>
          </cell>
          <cell r="H581">
            <v>18</v>
          </cell>
          <cell r="I581" t="str">
            <v>205892</v>
          </cell>
          <cell r="L581">
            <v>1</v>
          </cell>
          <cell r="M581">
            <v>19.03</v>
          </cell>
        </row>
        <row r="582">
          <cell r="C582" t="str">
            <v>4155</v>
          </cell>
          <cell r="D582" t="str">
            <v>SILENT SAM</v>
          </cell>
          <cell r="E582" t="str">
            <v>SCHENLEY DISTILLERS INC</v>
          </cell>
          <cell r="F582" t="str">
            <v>375</v>
          </cell>
          <cell r="G582">
            <v>40</v>
          </cell>
          <cell r="H582">
            <v>24</v>
          </cell>
          <cell r="I582" t="str">
            <v>3224</v>
          </cell>
          <cell r="L582">
            <v>1</v>
          </cell>
          <cell r="M582">
            <v>11.2</v>
          </cell>
        </row>
        <row r="583">
          <cell r="C583" t="str">
            <v>43786</v>
          </cell>
          <cell r="D583" t="str">
            <v>SILENT SAM VODKA</v>
          </cell>
          <cell r="E583" t="str">
            <v>DIAGEO CANADA INC.</v>
          </cell>
          <cell r="F583" t="str">
            <v>1140</v>
          </cell>
          <cell r="G583">
            <v>40</v>
          </cell>
          <cell r="H583">
            <v>12</v>
          </cell>
          <cell r="I583" t="str">
            <v>3224</v>
          </cell>
          <cell r="L583">
            <v>1</v>
          </cell>
          <cell r="M583">
            <v>28.01</v>
          </cell>
        </row>
        <row r="584">
          <cell r="C584" t="str">
            <v>43214</v>
          </cell>
          <cell r="D584" t="str">
            <v>TROIKA</v>
          </cell>
          <cell r="E584" t="str">
            <v>DIAGEO CANADA INC.</v>
          </cell>
          <cell r="F584" t="str">
            <v>750</v>
          </cell>
          <cell r="G584">
            <v>40</v>
          </cell>
          <cell r="H584">
            <v>12</v>
          </cell>
          <cell r="I584" t="str">
            <v>3224</v>
          </cell>
          <cell r="L584">
            <v>1</v>
          </cell>
          <cell r="M584">
            <v>19.8</v>
          </cell>
        </row>
        <row r="585">
          <cell r="C585" t="str">
            <v>43897</v>
          </cell>
          <cell r="D585" t="str">
            <v>TROIKA</v>
          </cell>
          <cell r="E585" t="str">
            <v>DIAGEO CANADA INC.</v>
          </cell>
          <cell r="F585" t="str">
            <v>1140</v>
          </cell>
          <cell r="G585">
            <v>40</v>
          </cell>
          <cell r="H585">
            <v>12</v>
          </cell>
          <cell r="I585" t="str">
            <v>3224</v>
          </cell>
          <cell r="L585">
            <v>1</v>
          </cell>
          <cell r="M585">
            <v>28.6</v>
          </cell>
        </row>
        <row r="586">
          <cell r="C586" t="str">
            <v>4406</v>
          </cell>
          <cell r="D586" t="str">
            <v>TROIKA</v>
          </cell>
          <cell r="E586" t="str">
            <v>SCHENLEY DISTILLERS INC</v>
          </cell>
          <cell r="F586" t="str">
            <v>1750</v>
          </cell>
          <cell r="G586">
            <v>40</v>
          </cell>
          <cell r="H586">
            <v>6</v>
          </cell>
          <cell r="I586" t="str">
            <v>3224</v>
          </cell>
          <cell r="L586">
            <v>1</v>
          </cell>
          <cell r="M586">
            <v>43.55</v>
          </cell>
        </row>
        <row r="587">
          <cell r="C587" t="str">
            <v>25588</v>
          </cell>
          <cell r="D587" t="str">
            <v>TRUE NORTH VODKA</v>
          </cell>
          <cell r="E587" t="str">
            <v>HIGHWOOD DISTILLERS</v>
          </cell>
          <cell r="F587" t="str">
            <v>1750</v>
          </cell>
          <cell r="G587">
            <v>40</v>
          </cell>
          <cell r="H587">
            <v>6</v>
          </cell>
          <cell r="I587" t="str">
            <v>1021</v>
          </cell>
          <cell r="L587">
            <v>1</v>
          </cell>
          <cell r="M587">
            <v>39.53</v>
          </cell>
        </row>
        <row r="588">
          <cell r="C588" t="str">
            <v>41135</v>
          </cell>
          <cell r="D588" t="str">
            <v>WAYNE GRETZKY VODKA</v>
          </cell>
          <cell r="E588" t="str">
            <v>ANDREW PELLER LIMITED</v>
          </cell>
          <cell r="F588" t="str">
            <v>750</v>
          </cell>
          <cell r="G588">
            <v>40</v>
          </cell>
          <cell r="H588">
            <v>6</v>
          </cell>
          <cell r="I588" t="str">
            <v>4095</v>
          </cell>
          <cell r="L588">
            <v>1</v>
          </cell>
          <cell r="M588">
            <v>27.41</v>
          </cell>
        </row>
        <row r="589">
          <cell r="C589" t="str">
            <v>2309</v>
          </cell>
          <cell r="D589" t="str">
            <v>FINLANDIA</v>
          </cell>
          <cell r="E589" t="str">
            <v>FINLANDIA VODKA WORLDWIDE</v>
          </cell>
          <cell r="F589" t="str">
            <v>750</v>
          </cell>
          <cell r="G589">
            <v>40</v>
          </cell>
          <cell r="H589">
            <v>12</v>
          </cell>
          <cell r="I589" t="str">
            <v>3243</v>
          </cell>
          <cell r="L589">
            <v>1</v>
          </cell>
          <cell r="M589">
            <v>23.42</v>
          </cell>
        </row>
        <row r="590">
          <cell r="C590" t="str">
            <v>2310</v>
          </cell>
          <cell r="D590" t="str">
            <v>FINLANDIA</v>
          </cell>
          <cell r="E590" t="str">
            <v>FINLANDIA VODKA WORLDWIDE</v>
          </cell>
          <cell r="F590" t="str">
            <v>1140</v>
          </cell>
          <cell r="G590">
            <v>40</v>
          </cell>
          <cell r="H590">
            <v>6</v>
          </cell>
          <cell r="I590" t="str">
            <v>3243</v>
          </cell>
          <cell r="L590">
            <v>1</v>
          </cell>
          <cell r="M590">
            <v>33.659999999999997</v>
          </cell>
        </row>
        <row r="591">
          <cell r="C591" t="str">
            <v>22927</v>
          </cell>
          <cell r="D591" t="str">
            <v>CIROC</v>
          </cell>
          <cell r="E591" t="str">
            <v>PRINCES READY TO DRINK S.p.A.</v>
          </cell>
          <cell r="F591" t="str">
            <v>750</v>
          </cell>
          <cell r="G591">
            <v>40</v>
          </cell>
          <cell r="H591">
            <v>12</v>
          </cell>
          <cell r="I591" t="str">
            <v>3224</v>
          </cell>
          <cell r="L591">
            <v>1</v>
          </cell>
          <cell r="M591">
            <v>35.5</v>
          </cell>
        </row>
        <row r="592">
          <cell r="C592" t="str">
            <v>43932</v>
          </cell>
          <cell r="D592" t="str">
            <v>GREY GOOSE VODKA</v>
          </cell>
          <cell r="E592" t="str">
            <v>BACARDI MARTINI PRODUCTION</v>
          </cell>
          <cell r="F592" t="str">
            <v>200</v>
          </cell>
          <cell r="G592">
            <v>40</v>
          </cell>
          <cell r="H592">
            <v>12</v>
          </cell>
          <cell r="I592" t="str">
            <v>3233</v>
          </cell>
          <cell r="L592">
            <v>1</v>
          </cell>
          <cell r="M592">
            <v>11.97</v>
          </cell>
        </row>
        <row r="593">
          <cell r="C593" t="str">
            <v>7008</v>
          </cell>
          <cell r="D593" t="str">
            <v>GREY GOOSE VODKA</v>
          </cell>
          <cell r="E593" t="str">
            <v>SIDNEY FRANK IMPORTING CO</v>
          </cell>
          <cell r="F593" t="str">
            <v>375</v>
          </cell>
          <cell r="G593">
            <v>40</v>
          </cell>
          <cell r="H593">
            <v>12</v>
          </cell>
          <cell r="I593" t="str">
            <v>3233</v>
          </cell>
          <cell r="L593">
            <v>1</v>
          </cell>
          <cell r="M593">
            <v>21.5</v>
          </cell>
        </row>
        <row r="594">
          <cell r="C594" t="str">
            <v>2576</v>
          </cell>
          <cell r="D594" t="str">
            <v>GREY GOOSE VODKA</v>
          </cell>
          <cell r="E594" t="str">
            <v>SIDNEY FRANK IMPORTING CO</v>
          </cell>
          <cell r="F594" t="str">
            <v>750</v>
          </cell>
          <cell r="G594">
            <v>40</v>
          </cell>
          <cell r="H594">
            <v>12</v>
          </cell>
          <cell r="I594" t="str">
            <v>3233</v>
          </cell>
          <cell r="L594">
            <v>1</v>
          </cell>
          <cell r="M594">
            <v>42</v>
          </cell>
        </row>
        <row r="595">
          <cell r="C595" t="str">
            <v>22469</v>
          </cell>
          <cell r="D595" t="str">
            <v>GREY GOOSE VODKA</v>
          </cell>
          <cell r="E595" t="str">
            <v>SIDNEY FRANK IMPORTING CO</v>
          </cell>
          <cell r="F595" t="str">
            <v>1140</v>
          </cell>
          <cell r="G595">
            <v>40</v>
          </cell>
          <cell r="H595">
            <v>6</v>
          </cell>
          <cell r="I595" t="str">
            <v>3233</v>
          </cell>
          <cell r="L595">
            <v>1</v>
          </cell>
          <cell r="M595">
            <v>59.25</v>
          </cell>
        </row>
        <row r="596">
          <cell r="C596" t="str">
            <v>7009</v>
          </cell>
          <cell r="D596" t="str">
            <v>GREY GOOSE VODKA</v>
          </cell>
          <cell r="E596" t="str">
            <v>SIDNEY FRANK IMPORTING CO</v>
          </cell>
          <cell r="F596" t="str">
            <v>1750</v>
          </cell>
          <cell r="G596">
            <v>40</v>
          </cell>
          <cell r="H596">
            <v>6</v>
          </cell>
          <cell r="I596" t="str">
            <v>3233</v>
          </cell>
          <cell r="L596">
            <v>1</v>
          </cell>
          <cell r="M596">
            <v>87.25</v>
          </cell>
        </row>
        <row r="597">
          <cell r="C597" t="str">
            <v>6547</v>
          </cell>
          <cell r="D597" t="str">
            <v>PINNACLE VODKA</v>
          </cell>
          <cell r="E597" t="str">
            <v>BEAM SUNTORY UK ltd</v>
          </cell>
          <cell r="F597" t="str">
            <v>750</v>
          </cell>
          <cell r="G597">
            <v>40</v>
          </cell>
          <cell r="H597">
            <v>12</v>
          </cell>
          <cell r="I597" t="str">
            <v>3242</v>
          </cell>
          <cell r="L597">
            <v>1</v>
          </cell>
          <cell r="M597">
            <v>21.12</v>
          </cell>
        </row>
        <row r="598">
          <cell r="C598" t="str">
            <v>6548</v>
          </cell>
          <cell r="D598" t="str">
            <v>PINNACLE VODKA</v>
          </cell>
          <cell r="E598" t="str">
            <v>BEAM SUNTORY UK ltd</v>
          </cell>
          <cell r="F598" t="str">
            <v>1750</v>
          </cell>
          <cell r="G598">
            <v>40</v>
          </cell>
          <cell r="H598">
            <v>6</v>
          </cell>
          <cell r="I598" t="str">
            <v>3242</v>
          </cell>
          <cell r="L598">
            <v>1</v>
          </cell>
          <cell r="M598">
            <v>44.69</v>
          </cell>
        </row>
        <row r="599">
          <cell r="C599" t="str">
            <v>4249</v>
          </cell>
          <cell r="D599" t="str">
            <v>STOLI VODKA</v>
          </cell>
          <cell r="E599" t="str">
            <v>AS AMBER LATVIJAS BALZAMS</v>
          </cell>
          <cell r="F599" t="str">
            <v>750</v>
          </cell>
          <cell r="G599">
            <v>40</v>
          </cell>
          <cell r="H599">
            <v>12</v>
          </cell>
          <cell r="I599" t="str">
            <v>205873</v>
          </cell>
          <cell r="L599">
            <v>1</v>
          </cell>
          <cell r="M599">
            <v>24.51</v>
          </cell>
        </row>
        <row r="600">
          <cell r="C600" t="str">
            <v>21069</v>
          </cell>
          <cell r="D600" t="str">
            <v>STOLI VODKA</v>
          </cell>
          <cell r="E600" t="str">
            <v>AS AMBER LATVIJAS BALZAMS</v>
          </cell>
          <cell r="F600" t="str">
            <v>1140</v>
          </cell>
          <cell r="G600">
            <v>40</v>
          </cell>
          <cell r="H600">
            <v>6</v>
          </cell>
          <cell r="I600" t="str">
            <v>205873</v>
          </cell>
          <cell r="L600">
            <v>1</v>
          </cell>
          <cell r="M600">
            <v>35.97</v>
          </cell>
        </row>
        <row r="601">
          <cell r="C601" t="str">
            <v>27208</v>
          </cell>
          <cell r="D601" t="str">
            <v>STOLI VODKA</v>
          </cell>
          <cell r="E601" t="str">
            <v>AS AMBER LATVIJAS BALZAMS</v>
          </cell>
          <cell r="F601" t="str">
            <v>1750</v>
          </cell>
          <cell r="G601">
            <v>40</v>
          </cell>
          <cell r="H601">
            <v>6</v>
          </cell>
          <cell r="I601" t="str">
            <v>205873</v>
          </cell>
          <cell r="L601">
            <v>1</v>
          </cell>
          <cell r="M601">
            <v>55.17</v>
          </cell>
        </row>
        <row r="602">
          <cell r="C602" t="str">
            <v>3343</v>
          </cell>
          <cell r="D602" t="str">
            <v>MOSKOVSKAYA VODKA</v>
          </cell>
          <cell r="E602" t="str">
            <v>AS AMBER LATVIJAS BALZAMS</v>
          </cell>
          <cell r="F602" t="str">
            <v>750</v>
          </cell>
          <cell r="G602">
            <v>40</v>
          </cell>
          <cell r="H602">
            <v>12</v>
          </cell>
          <cell r="I602" t="str">
            <v>205873</v>
          </cell>
          <cell r="L602">
            <v>1</v>
          </cell>
          <cell r="M602">
            <v>21.4</v>
          </cell>
        </row>
        <row r="603">
          <cell r="C603" t="str">
            <v>5573</v>
          </cell>
          <cell r="D603" t="str">
            <v>KETEL ONE VODKA</v>
          </cell>
          <cell r="E603" t="str">
            <v>NOLET DISTILERY</v>
          </cell>
          <cell r="F603" t="str">
            <v>750</v>
          </cell>
          <cell r="G603">
            <v>40</v>
          </cell>
          <cell r="H603">
            <v>12</v>
          </cell>
          <cell r="I603" t="str">
            <v>3224</v>
          </cell>
          <cell r="L603">
            <v>1</v>
          </cell>
          <cell r="M603">
            <v>25.5</v>
          </cell>
        </row>
        <row r="604">
          <cell r="C604" t="str">
            <v>18217</v>
          </cell>
          <cell r="D604" t="str">
            <v>KETEL ONE VODKA</v>
          </cell>
          <cell r="E604" t="str">
            <v>NOLET DISTILERY</v>
          </cell>
          <cell r="F604" t="str">
            <v>1140</v>
          </cell>
          <cell r="G604">
            <v>40</v>
          </cell>
          <cell r="H604">
            <v>6</v>
          </cell>
          <cell r="I604" t="str">
            <v>3224</v>
          </cell>
          <cell r="L604">
            <v>1</v>
          </cell>
          <cell r="M604">
            <v>37.520000000000003</v>
          </cell>
        </row>
        <row r="605">
          <cell r="C605" t="str">
            <v>1310</v>
          </cell>
          <cell r="D605" t="str">
            <v>BELVEDERE VODKA</v>
          </cell>
          <cell r="E605" t="str">
            <v>POLMOS ZYRARDOW</v>
          </cell>
          <cell r="F605" t="str">
            <v>750</v>
          </cell>
          <cell r="G605">
            <v>40</v>
          </cell>
          <cell r="H605">
            <v>12</v>
          </cell>
          <cell r="I605" t="str">
            <v>1535</v>
          </cell>
          <cell r="L605">
            <v>1</v>
          </cell>
          <cell r="M605">
            <v>42.02</v>
          </cell>
        </row>
        <row r="606">
          <cell r="C606" t="str">
            <v>2993</v>
          </cell>
          <cell r="D606" t="str">
            <v>LUKSUSOWA POTATO VODKA</v>
          </cell>
          <cell r="E606" t="str">
            <v>WYBOROWA SA</v>
          </cell>
          <cell r="F606" t="str">
            <v>750</v>
          </cell>
          <cell r="G606">
            <v>40</v>
          </cell>
          <cell r="H606">
            <v>12</v>
          </cell>
          <cell r="I606" t="str">
            <v>3243</v>
          </cell>
          <cell r="L606">
            <v>1</v>
          </cell>
          <cell r="M606">
            <v>22.86</v>
          </cell>
        </row>
        <row r="607">
          <cell r="C607" t="str">
            <v>22156</v>
          </cell>
          <cell r="D607" t="str">
            <v>LUKSUSOWA POTATO VODKA</v>
          </cell>
          <cell r="E607" t="str">
            <v>WYBOROWA SA</v>
          </cell>
          <cell r="F607" t="str">
            <v>1140</v>
          </cell>
          <cell r="G607">
            <v>40</v>
          </cell>
          <cell r="H607">
            <v>6</v>
          </cell>
          <cell r="I607" t="str">
            <v>3243</v>
          </cell>
          <cell r="L607">
            <v>1</v>
          </cell>
          <cell r="M607">
            <v>32.32</v>
          </cell>
        </row>
        <row r="608">
          <cell r="C608" t="str">
            <v>4626</v>
          </cell>
          <cell r="D608" t="str">
            <v>WYBOROWA VODKA</v>
          </cell>
          <cell r="E608" t="str">
            <v>dnu WYBOROWA DISTILLERY</v>
          </cell>
          <cell r="F608" t="str">
            <v>750</v>
          </cell>
          <cell r="G608">
            <v>40</v>
          </cell>
          <cell r="H608">
            <v>12</v>
          </cell>
          <cell r="I608" t="str">
            <v>3243</v>
          </cell>
          <cell r="L608">
            <v>1</v>
          </cell>
          <cell r="M608">
            <v>22.36</v>
          </cell>
        </row>
        <row r="609">
          <cell r="C609" t="str">
            <v>8623</v>
          </cell>
          <cell r="D609" t="str">
            <v>ABSOLUT BLUE VODKA</v>
          </cell>
          <cell r="E609" t="str">
            <v>THE ABSOLUT COMPANY AB</v>
          </cell>
          <cell r="F609" t="str">
            <v>375</v>
          </cell>
          <cell r="G609">
            <v>40</v>
          </cell>
          <cell r="H609">
            <v>24</v>
          </cell>
          <cell r="I609" t="str">
            <v>3237</v>
          </cell>
          <cell r="L609">
            <v>1</v>
          </cell>
          <cell r="M609">
            <v>15.1</v>
          </cell>
        </row>
        <row r="610">
          <cell r="C610" t="str">
            <v>1038</v>
          </cell>
          <cell r="D610" t="str">
            <v>ABSOLUT BLUE VODKA</v>
          </cell>
          <cell r="E610" t="str">
            <v>THE ABSOLUT COMPANY AB</v>
          </cell>
          <cell r="F610" t="str">
            <v>750</v>
          </cell>
          <cell r="G610">
            <v>40</v>
          </cell>
          <cell r="H610">
            <v>12</v>
          </cell>
          <cell r="I610" t="str">
            <v>3237</v>
          </cell>
          <cell r="L610">
            <v>1</v>
          </cell>
          <cell r="M610">
            <v>24</v>
          </cell>
        </row>
        <row r="611">
          <cell r="C611" t="str">
            <v>5971</v>
          </cell>
          <cell r="D611" t="str">
            <v>ABSOLUT BLUE VODKA</v>
          </cell>
          <cell r="E611" t="str">
            <v>THE ABSOLUT COMPANY AB</v>
          </cell>
          <cell r="F611" t="str">
            <v>1140</v>
          </cell>
          <cell r="G611">
            <v>40</v>
          </cell>
          <cell r="H611">
            <v>6</v>
          </cell>
          <cell r="I611" t="str">
            <v>3237</v>
          </cell>
          <cell r="L611">
            <v>1</v>
          </cell>
          <cell r="M611">
            <v>35.01</v>
          </cell>
        </row>
        <row r="612">
          <cell r="C612" t="str">
            <v>8910</v>
          </cell>
          <cell r="D612" t="str">
            <v>ABSOLUT BLUE VODKA</v>
          </cell>
          <cell r="E612" t="str">
            <v>THE ABSOLUT COMPANY AB</v>
          </cell>
          <cell r="F612" t="str">
            <v>1750</v>
          </cell>
          <cell r="G612">
            <v>40</v>
          </cell>
          <cell r="H612">
            <v>6</v>
          </cell>
          <cell r="I612" t="str">
            <v>3237</v>
          </cell>
          <cell r="L612">
            <v>1</v>
          </cell>
          <cell r="M612">
            <v>51.52</v>
          </cell>
        </row>
        <row r="613">
          <cell r="C613" t="str">
            <v>33687</v>
          </cell>
          <cell r="D613" t="str">
            <v>ABSOLUT RAINBOW</v>
          </cell>
          <cell r="E613" t="str">
            <v>THE ABSOLUT COMPANY AB</v>
          </cell>
          <cell r="F613" t="str">
            <v>750</v>
          </cell>
          <cell r="G613">
            <v>40</v>
          </cell>
          <cell r="H613">
            <v>12</v>
          </cell>
          <cell r="I613" t="str">
            <v>3237</v>
          </cell>
          <cell r="L613">
            <v>1</v>
          </cell>
          <cell r="M613">
            <v>24.11</v>
          </cell>
        </row>
        <row r="614">
          <cell r="C614" t="str">
            <v>11556</v>
          </cell>
          <cell r="D614" t="str">
            <v>KHORTYTSA PLATINUM</v>
          </cell>
          <cell r="E614" t="str">
            <v>KHORTYTSA DISTILLERY</v>
          </cell>
          <cell r="F614" t="str">
            <v>750</v>
          </cell>
          <cell r="G614">
            <v>40</v>
          </cell>
          <cell r="H614">
            <v>12</v>
          </cell>
          <cell r="I614" t="str">
            <v>206316</v>
          </cell>
          <cell r="L614">
            <v>1</v>
          </cell>
          <cell r="M614">
            <v>22.53</v>
          </cell>
        </row>
        <row r="615">
          <cell r="C615" t="str">
            <v>10226</v>
          </cell>
          <cell r="D615" t="str">
            <v>SKYY VODKA</v>
          </cell>
          <cell r="E615" t="str">
            <v>CAMPARI AMERICA LLC</v>
          </cell>
          <cell r="F615" t="str">
            <v>375</v>
          </cell>
          <cell r="G615">
            <v>40</v>
          </cell>
          <cell r="H615">
            <v>12</v>
          </cell>
          <cell r="I615" t="str">
            <v>1041</v>
          </cell>
          <cell r="L615">
            <v>1</v>
          </cell>
          <cell r="M615">
            <v>12.02</v>
          </cell>
        </row>
        <row r="616">
          <cell r="C616" t="str">
            <v>15534</v>
          </cell>
          <cell r="D616" t="str">
            <v>SKYY VODKA</v>
          </cell>
          <cell r="E616" t="str">
            <v>CAMPARI AMERICA LLC</v>
          </cell>
          <cell r="F616" t="str">
            <v>1750</v>
          </cell>
          <cell r="G616">
            <v>40</v>
          </cell>
          <cell r="H616">
            <v>6</v>
          </cell>
          <cell r="I616" t="str">
            <v>1041</v>
          </cell>
          <cell r="L616">
            <v>1</v>
          </cell>
          <cell r="M616">
            <v>43.59</v>
          </cell>
        </row>
        <row r="617">
          <cell r="C617" t="str">
            <v>27742</v>
          </cell>
          <cell r="D617" t="str">
            <v>TITO'S HANDMADE VODKA</v>
          </cell>
          <cell r="E617" t="str">
            <v>FIFTH GENERATION INC</v>
          </cell>
          <cell r="F617" t="str">
            <v>375</v>
          </cell>
          <cell r="G617">
            <v>40</v>
          </cell>
          <cell r="H617">
            <v>12</v>
          </cell>
          <cell r="I617" t="str">
            <v>194112</v>
          </cell>
          <cell r="L617">
            <v>1</v>
          </cell>
          <cell r="M617">
            <v>14.33</v>
          </cell>
        </row>
        <row r="618">
          <cell r="C618" t="str">
            <v>9249</v>
          </cell>
          <cell r="D618" t="str">
            <v>TITO'S HANDMADE VODKA</v>
          </cell>
          <cell r="E618" t="str">
            <v>FIFTH GENERATION INC</v>
          </cell>
          <cell r="F618" t="str">
            <v>750</v>
          </cell>
          <cell r="G618">
            <v>40</v>
          </cell>
          <cell r="H618">
            <v>12</v>
          </cell>
          <cell r="I618" t="str">
            <v>194112</v>
          </cell>
          <cell r="L618">
            <v>1</v>
          </cell>
          <cell r="M618">
            <v>25.52</v>
          </cell>
        </row>
        <row r="619">
          <cell r="C619" t="str">
            <v>27428</v>
          </cell>
          <cell r="D619" t="str">
            <v>TITO'S HANDMADE VODKA</v>
          </cell>
          <cell r="E619" t="str">
            <v>FIFTH GENERATION INC</v>
          </cell>
          <cell r="F619" t="str">
            <v>1140</v>
          </cell>
          <cell r="G619">
            <v>40</v>
          </cell>
          <cell r="H619">
            <v>8</v>
          </cell>
          <cell r="I619" t="str">
            <v>194112</v>
          </cell>
          <cell r="L619">
            <v>1</v>
          </cell>
          <cell r="M619">
            <v>37.56</v>
          </cell>
        </row>
        <row r="620">
          <cell r="C620" t="str">
            <v>23293</v>
          </cell>
          <cell r="D620" t="str">
            <v>TITO'S HANDMADE VODKA</v>
          </cell>
          <cell r="E620" t="str">
            <v>FIFTH GENERATION INC</v>
          </cell>
          <cell r="F620" t="str">
            <v>1750</v>
          </cell>
          <cell r="G620">
            <v>40</v>
          </cell>
          <cell r="H620">
            <v>6</v>
          </cell>
          <cell r="I620" t="str">
            <v>194112</v>
          </cell>
          <cell r="L620">
            <v>1</v>
          </cell>
          <cell r="M620">
            <v>59.08</v>
          </cell>
        </row>
        <row r="621">
          <cell r="C621" t="str">
            <v>43899</v>
          </cell>
          <cell r="D621" t="str">
            <v>POLAR ICE ORANGE BLIZZARD</v>
          </cell>
          <cell r="E621" t="str">
            <v>CORBY SPIRIT AND WINE LIMITED</v>
          </cell>
          <cell r="F621" t="str">
            <v>750</v>
          </cell>
          <cell r="G621">
            <v>30</v>
          </cell>
          <cell r="H621">
            <v>12</v>
          </cell>
          <cell r="I621" t="str">
            <v>3237</v>
          </cell>
          <cell r="L621">
            <v>1</v>
          </cell>
          <cell r="M621">
            <v>21.42</v>
          </cell>
        </row>
        <row r="622">
          <cell r="C622" t="str">
            <v>48379</v>
          </cell>
          <cell r="D622" t="str">
            <v>POLAR ICE STRAWBERRY BLIZZARD</v>
          </cell>
          <cell r="E622" t="str">
            <v>HIRAM WALKER &amp; SONS LTD</v>
          </cell>
          <cell r="F622" t="str">
            <v>750</v>
          </cell>
          <cell r="G622">
            <v>30</v>
          </cell>
          <cell r="H622">
            <v>12</v>
          </cell>
          <cell r="I622" t="str">
            <v>3237</v>
          </cell>
          <cell r="L622">
            <v>1</v>
          </cell>
          <cell r="M622">
            <v>21.42</v>
          </cell>
        </row>
        <row r="623">
          <cell r="C623" t="str">
            <v>41569</v>
          </cell>
          <cell r="D623" t="str">
            <v>SMIRNOFF BERRY BLAST VODKA</v>
          </cell>
          <cell r="E623" t="str">
            <v>DIAGEO CANADA INC.</v>
          </cell>
          <cell r="F623" t="str">
            <v>750</v>
          </cell>
          <cell r="G623">
            <v>30</v>
          </cell>
          <cell r="H623">
            <v>12</v>
          </cell>
          <cell r="I623" t="str">
            <v>3224</v>
          </cell>
          <cell r="L623">
            <v>1</v>
          </cell>
          <cell r="M623">
            <v>22.71</v>
          </cell>
        </row>
        <row r="624">
          <cell r="C624" t="str">
            <v>19614</v>
          </cell>
          <cell r="D624" t="str">
            <v>SMIRNOFF BLUEBERRY VODKA</v>
          </cell>
          <cell r="E624" t="str">
            <v>THE SMIRNOFF CO</v>
          </cell>
          <cell r="F624" t="str">
            <v>750</v>
          </cell>
          <cell r="G624">
            <v>35</v>
          </cell>
          <cell r="H624">
            <v>12</v>
          </cell>
          <cell r="I624" t="str">
            <v>3224</v>
          </cell>
          <cell r="L624">
            <v>1</v>
          </cell>
          <cell r="M624">
            <v>22.69</v>
          </cell>
        </row>
        <row r="625">
          <cell r="C625" t="str">
            <v>41034</v>
          </cell>
          <cell r="D625" t="str">
            <v>SMIRNOFF CREAMSICLE BLAST</v>
          </cell>
          <cell r="E625" t="str">
            <v>DIAGEO CANADA INC.</v>
          </cell>
          <cell r="F625" t="str">
            <v>750</v>
          </cell>
          <cell r="G625">
            <v>30</v>
          </cell>
          <cell r="H625">
            <v>12</v>
          </cell>
          <cell r="I625" t="str">
            <v>3224</v>
          </cell>
          <cell r="L625">
            <v>1</v>
          </cell>
          <cell r="M625">
            <v>22.7</v>
          </cell>
        </row>
        <row r="626">
          <cell r="C626" t="str">
            <v>19781</v>
          </cell>
          <cell r="D626" t="str">
            <v>SMIRNOFF LIME VODKA</v>
          </cell>
          <cell r="E626" t="str">
            <v>THE SMIRNOFF CO</v>
          </cell>
          <cell r="F626" t="str">
            <v>750</v>
          </cell>
          <cell r="G626">
            <v>35</v>
          </cell>
          <cell r="H626">
            <v>12</v>
          </cell>
          <cell r="I626" t="str">
            <v>3224</v>
          </cell>
          <cell r="L626">
            <v>1</v>
          </cell>
          <cell r="M626">
            <v>22.7</v>
          </cell>
        </row>
        <row r="627">
          <cell r="C627" t="str">
            <v>36757</v>
          </cell>
          <cell r="D627" t="str">
            <v>SMIRNOFF PEACH</v>
          </cell>
          <cell r="E627" t="str">
            <v>DIAGEO CANADA INC.</v>
          </cell>
          <cell r="F627" t="str">
            <v>750</v>
          </cell>
          <cell r="G627">
            <v>35</v>
          </cell>
          <cell r="H627">
            <v>12</v>
          </cell>
          <cell r="I627" t="str">
            <v>3224</v>
          </cell>
          <cell r="L627">
            <v>1</v>
          </cell>
          <cell r="M627">
            <v>22.71</v>
          </cell>
        </row>
        <row r="628">
          <cell r="C628" t="str">
            <v>43787</v>
          </cell>
          <cell r="D628" t="str">
            <v>SMIRNOFF PEACH LEMONADE VODKA</v>
          </cell>
          <cell r="E628" t="str">
            <v>DIAGEO CANADA INC.</v>
          </cell>
          <cell r="F628" t="str">
            <v>750</v>
          </cell>
          <cell r="G628">
            <v>30</v>
          </cell>
          <cell r="H628">
            <v>12</v>
          </cell>
          <cell r="I628" t="str">
            <v>3224</v>
          </cell>
          <cell r="L628">
            <v>1</v>
          </cell>
          <cell r="M628">
            <v>22.71</v>
          </cell>
        </row>
        <row r="629">
          <cell r="C629" t="str">
            <v>43827</v>
          </cell>
          <cell r="D629" t="str">
            <v>SMIRNOFF PINK LEMONADE VODKA</v>
          </cell>
          <cell r="E629" t="str">
            <v>DIAGEO CANADA INC.</v>
          </cell>
          <cell r="F629" t="str">
            <v>750</v>
          </cell>
          <cell r="G629">
            <v>30</v>
          </cell>
          <cell r="H629">
            <v>12</v>
          </cell>
          <cell r="I629" t="str">
            <v>3224</v>
          </cell>
          <cell r="L629">
            <v>1</v>
          </cell>
          <cell r="M629">
            <v>22.69</v>
          </cell>
        </row>
        <row r="630">
          <cell r="C630" t="str">
            <v>40911</v>
          </cell>
          <cell r="D630" t="str">
            <v>SMIRNOFF RASPBERRY VODKA</v>
          </cell>
          <cell r="E630" t="str">
            <v>THE SMIRNOFF CO</v>
          </cell>
          <cell r="F630" t="str">
            <v>375</v>
          </cell>
          <cell r="G630">
            <v>35</v>
          </cell>
          <cell r="H630">
            <v>24</v>
          </cell>
          <cell r="I630" t="str">
            <v>3224</v>
          </cell>
          <cell r="L630">
            <v>1</v>
          </cell>
          <cell r="M630">
            <v>12.99</v>
          </cell>
        </row>
        <row r="631">
          <cell r="C631" t="str">
            <v>19784</v>
          </cell>
          <cell r="D631" t="str">
            <v>SMIRNOFF RASPBERRY VODKA</v>
          </cell>
          <cell r="E631" t="str">
            <v>THE SMIRNOFF CO</v>
          </cell>
          <cell r="F631" t="str">
            <v>750</v>
          </cell>
          <cell r="G631">
            <v>35</v>
          </cell>
          <cell r="H631">
            <v>12</v>
          </cell>
          <cell r="I631" t="str">
            <v>3224</v>
          </cell>
          <cell r="L631">
            <v>1</v>
          </cell>
          <cell r="M631">
            <v>22.69</v>
          </cell>
        </row>
        <row r="632">
          <cell r="C632" t="str">
            <v>19787</v>
          </cell>
          <cell r="D632" t="str">
            <v>SMIRNOFF VANILLA VODKA</v>
          </cell>
          <cell r="E632" t="str">
            <v>THE SMIRNOFF CO</v>
          </cell>
          <cell r="F632" t="str">
            <v>750</v>
          </cell>
          <cell r="G632">
            <v>35</v>
          </cell>
          <cell r="H632">
            <v>12</v>
          </cell>
          <cell r="I632" t="str">
            <v>3224</v>
          </cell>
          <cell r="L632">
            <v>1</v>
          </cell>
          <cell r="M632">
            <v>22.7</v>
          </cell>
        </row>
        <row r="633">
          <cell r="C633" t="str">
            <v>41107</v>
          </cell>
          <cell r="D633" t="str">
            <v>POLAR ICE BERRY BLIZZARD</v>
          </cell>
          <cell r="E633" t="str">
            <v>CORBY SPIRIT AND WINE LIMITED</v>
          </cell>
          <cell r="F633" t="str">
            <v>750</v>
          </cell>
          <cell r="G633">
            <v>30</v>
          </cell>
          <cell r="H633">
            <v>12</v>
          </cell>
          <cell r="I633" t="str">
            <v>3237</v>
          </cell>
          <cell r="L633">
            <v>1</v>
          </cell>
          <cell r="M633">
            <v>21.42</v>
          </cell>
        </row>
        <row r="634">
          <cell r="C634" t="str">
            <v>19782</v>
          </cell>
          <cell r="D634" t="str">
            <v>SMIRNOFF ORANGE TWIST</v>
          </cell>
          <cell r="E634" t="str">
            <v>THE SMIRNOFF CO</v>
          </cell>
          <cell r="F634" t="str">
            <v>750</v>
          </cell>
          <cell r="G634">
            <v>35</v>
          </cell>
          <cell r="H634">
            <v>12</v>
          </cell>
          <cell r="I634" t="str">
            <v>3224</v>
          </cell>
          <cell r="L634">
            <v>1</v>
          </cell>
          <cell r="M634">
            <v>22.69</v>
          </cell>
        </row>
        <row r="635">
          <cell r="C635" t="str">
            <v>25429</v>
          </cell>
          <cell r="D635" t="str">
            <v>CIROC APPLE</v>
          </cell>
          <cell r="E635" t="str">
            <v>PRINCES READY TO DRINK S.p.A.</v>
          </cell>
          <cell r="F635" t="str">
            <v>750</v>
          </cell>
          <cell r="G635">
            <v>35</v>
          </cell>
          <cell r="H635">
            <v>12</v>
          </cell>
          <cell r="I635" t="str">
            <v>3224</v>
          </cell>
          <cell r="L635">
            <v>1</v>
          </cell>
          <cell r="M635">
            <v>37.99</v>
          </cell>
        </row>
        <row r="636">
          <cell r="C636" t="str">
            <v>43390</v>
          </cell>
          <cell r="D636" t="str">
            <v>CIROC LIMONATA</v>
          </cell>
          <cell r="E636" t="str">
            <v>PRINCES READY TO DRINK S.p.A.</v>
          </cell>
          <cell r="F636" t="str">
            <v>750</v>
          </cell>
          <cell r="G636">
            <v>30</v>
          </cell>
          <cell r="H636">
            <v>12</v>
          </cell>
          <cell r="I636" t="str">
            <v>3224</v>
          </cell>
          <cell r="L636">
            <v>1</v>
          </cell>
          <cell r="M636">
            <v>38.14</v>
          </cell>
        </row>
        <row r="637">
          <cell r="C637" t="str">
            <v>17149</v>
          </cell>
          <cell r="D637" t="str">
            <v>CIROC PEACH</v>
          </cell>
          <cell r="E637" t="str">
            <v>PRINCES READY TO DRINK S.p.A.</v>
          </cell>
          <cell r="F637" t="str">
            <v>750</v>
          </cell>
          <cell r="G637">
            <v>35</v>
          </cell>
          <cell r="H637">
            <v>12</v>
          </cell>
          <cell r="I637" t="str">
            <v>3224</v>
          </cell>
          <cell r="L637">
            <v>1</v>
          </cell>
          <cell r="M637">
            <v>38.020000000000003</v>
          </cell>
        </row>
        <row r="638">
          <cell r="C638" t="str">
            <v>24271</v>
          </cell>
          <cell r="D638" t="str">
            <v>CIROC PINEAPPLE</v>
          </cell>
          <cell r="E638" t="str">
            <v>PRINCES READY TO DRINK S.p.A.</v>
          </cell>
          <cell r="F638" t="str">
            <v>750</v>
          </cell>
          <cell r="G638">
            <v>35</v>
          </cell>
          <cell r="H638">
            <v>12</v>
          </cell>
          <cell r="I638" t="str">
            <v>3224</v>
          </cell>
          <cell r="L638">
            <v>1</v>
          </cell>
          <cell r="M638">
            <v>37.99</v>
          </cell>
        </row>
        <row r="639">
          <cell r="C639" t="str">
            <v>19229</v>
          </cell>
          <cell r="D639" t="str">
            <v>CIROC RED BERRY</v>
          </cell>
          <cell r="E639" t="str">
            <v>PRINCES READY TO DRINK S.p.A.</v>
          </cell>
          <cell r="F639" t="str">
            <v>750</v>
          </cell>
          <cell r="G639">
            <v>35</v>
          </cell>
          <cell r="H639">
            <v>12</v>
          </cell>
          <cell r="I639" t="str">
            <v>3224</v>
          </cell>
          <cell r="L639">
            <v>1</v>
          </cell>
          <cell r="M639">
            <v>37.99</v>
          </cell>
        </row>
        <row r="640">
          <cell r="C640" t="str">
            <v>7444</v>
          </cell>
          <cell r="D640" t="str">
            <v>GREY GOOSE LA POIRE</v>
          </cell>
          <cell r="E640" t="str">
            <v>BACARDI MARTINI PRODUCTION</v>
          </cell>
          <cell r="F640" t="str">
            <v>750</v>
          </cell>
          <cell r="G640">
            <v>40</v>
          </cell>
          <cell r="H640">
            <v>6</v>
          </cell>
          <cell r="I640" t="str">
            <v>3233</v>
          </cell>
          <cell r="L640">
            <v>1</v>
          </cell>
          <cell r="M640">
            <v>42</v>
          </cell>
        </row>
        <row r="641">
          <cell r="C641" t="str">
            <v>10306</v>
          </cell>
          <cell r="D641" t="str">
            <v>GREY GOOSE LE CITRON</v>
          </cell>
          <cell r="E641" t="str">
            <v>SIDNEY FRANK IMPORTING CO</v>
          </cell>
          <cell r="F641" t="str">
            <v>750</v>
          </cell>
          <cell r="G641">
            <v>40</v>
          </cell>
          <cell r="H641">
            <v>6</v>
          </cell>
          <cell r="I641" t="str">
            <v>3233</v>
          </cell>
          <cell r="L641">
            <v>1</v>
          </cell>
          <cell r="M641">
            <v>42</v>
          </cell>
        </row>
        <row r="642">
          <cell r="C642" t="str">
            <v>12884</v>
          </cell>
          <cell r="D642" t="str">
            <v>PINNACLE WHIPPED VODKA</v>
          </cell>
          <cell r="E642" t="str">
            <v>BEAM SUNTORY UK ltd</v>
          </cell>
          <cell r="F642" t="str">
            <v>750</v>
          </cell>
          <cell r="G642">
            <v>30</v>
          </cell>
          <cell r="H642">
            <v>12</v>
          </cell>
          <cell r="I642" t="str">
            <v>3242</v>
          </cell>
          <cell r="L642">
            <v>1</v>
          </cell>
          <cell r="M642">
            <v>19.600000000000001</v>
          </cell>
        </row>
        <row r="643">
          <cell r="C643" t="str">
            <v>30740</v>
          </cell>
          <cell r="D643" t="str">
            <v>CIROC SUMMER WATERMELON</v>
          </cell>
          <cell r="E643" t="str">
            <v>PRINCES READY TO DRINK S.p.A.</v>
          </cell>
          <cell r="F643" t="str">
            <v>750</v>
          </cell>
          <cell r="G643">
            <v>35</v>
          </cell>
          <cell r="H643">
            <v>12</v>
          </cell>
          <cell r="I643" t="str">
            <v>3224</v>
          </cell>
          <cell r="L643">
            <v>1</v>
          </cell>
          <cell r="M643">
            <v>38.01</v>
          </cell>
        </row>
        <row r="644">
          <cell r="C644" t="str">
            <v>2575</v>
          </cell>
          <cell r="D644" t="str">
            <v>GREY GOOSE L'ORANGE VODKA</v>
          </cell>
          <cell r="E644" t="str">
            <v>SIDNEY FRANK IMPORTING CO</v>
          </cell>
          <cell r="F644" t="str">
            <v>750</v>
          </cell>
          <cell r="G644">
            <v>40</v>
          </cell>
          <cell r="H644">
            <v>6</v>
          </cell>
          <cell r="I644" t="str">
            <v>3233</v>
          </cell>
          <cell r="L644">
            <v>1</v>
          </cell>
          <cell r="M644">
            <v>42</v>
          </cell>
        </row>
        <row r="645">
          <cell r="C645" t="str">
            <v>33483</v>
          </cell>
          <cell r="D645" t="str">
            <v>CIROC MANGO</v>
          </cell>
          <cell r="E645" t="str">
            <v>PRINCES READY TO DRINK S.p.A.</v>
          </cell>
          <cell r="F645" t="str">
            <v>750</v>
          </cell>
          <cell r="G645">
            <v>35</v>
          </cell>
          <cell r="H645">
            <v>12</v>
          </cell>
          <cell r="I645" t="str">
            <v>3224</v>
          </cell>
          <cell r="L645">
            <v>1</v>
          </cell>
          <cell r="M645">
            <v>37.99</v>
          </cell>
        </row>
        <row r="646">
          <cell r="C646" t="str">
            <v>42101</v>
          </cell>
          <cell r="D646" t="str">
            <v>CIROC PASSION</v>
          </cell>
          <cell r="E646" t="str">
            <v>PRINCES READY TO DRINK S.p.A.</v>
          </cell>
          <cell r="F646" t="str">
            <v>750</v>
          </cell>
          <cell r="G646">
            <v>30</v>
          </cell>
          <cell r="H646">
            <v>12</v>
          </cell>
          <cell r="I646" t="str">
            <v>3224</v>
          </cell>
          <cell r="L646">
            <v>1</v>
          </cell>
          <cell r="M646">
            <v>38</v>
          </cell>
        </row>
        <row r="647">
          <cell r="C647" t="str">
            <v>16648</v>
          </cell>
          <cell r="D647" t="str">
            <v>STOLI SALTED KARAMEL VODKA</v>
          </cell>
          <cell r="E647" t="str">
            <v>AS AMBER LATVIJAS BALZAMS</v>
          </cell>
          <cell r="F647" t="str">
            <v>750</v>
          </cell>
          <cell r="G647">
            <v>37.5</v>
          </cell>
          <cell r="H647">
            <v>12</v>
          </cell>
          <cell r="I647" t="str">
            <v>205873</v>
          </cell>
          <cell r="L647">
            <v>1</v>
          </cell>
          <cell r="M647">
            <v>24.49</v>
          </cell>
        </row>
        <row r="648">
          <cell r="C648" t="str">
            <v>1037</v>
          </cell>
          <cell r="D648" t="str">
            <v>ABSOLUT CITRON</v>
          </cell>
          <cell r="E648" t="str">
            <v>THE ABSOLUT COMPANY AB</v>
          </cell>
          <cell r="F648" t="str">
            <v>750</v>
          </cell>
          <cell r="G648">
            <v>40</v>
          </cell>
          <cell r="H648">
            <v>12</v>
          </cell>
          <cell r="I648" t="str">
            <v>3237</v>
          </cell>
          <cell r="L648">
            <v>1</v>
          </cell>
          <cell r="M648">
            <v>24</v>
          </cell>
        </row>
        <row r="649">
          <cell r="C649" t="str">
            <v>31080</v>
          </cell>
          <cell r="D649" t="str">
            <v>ABSOLUT GRAPEFRUIT</v>
          </cell>
          <cell r="E649" t="str">
            <v>THE ABSOLUT COMPANY AB</v>
          </cell>
          <cell r="F649" t="str">
            <v>750</v>
          </cell>
          <cell r="G649">
            <v>40</v>
          </cell>
          <cell r="H649">
            <v>12</v>
          </cell>
          <cell r="I649" t="str">
            <v>3237</v>
          </cell>
          <cell r="L649">
            <v>1</v>
          </cell>
          <cell r="M649">
            <v>24</v>
          </cell>
        </row>
        <row r="650">
          <cell r="C650" t="str">
            <v>27152</v>
          </cell>
          <cell r="D650" t="str">
            <v>ABSOLUT LIME</v>
          </cell>
          <cell r="E650" t="str">
            <v>THE ABSOLUT COMPANY AB</v>
          </cell>
          <cell r="F650" t="str">
            <v>750</v>
          </cell>
          <cell r="G650">
            <v>40</v>
          </cell>
          <cell r="H650">
            <v>12</v>
          </cell>
          <cell r="I650" t="str">
            <v>3237</v>
          </cell>
          <cell r="L650">
            <v>1</v>
          </cell>
          <cell r="M650">
            <v>24</v>
          </cell>
        </row>
        <row r="651">
          <cell r="C651" t="str">
            <v>1040</v>
          </cell>
          <cell r="D651" t="str">
            <v>ABSOLUT MANDRIN</v>
          </cell>
          <cell r="E651" t="str">
            <v>THE ABSOLUT COMPANY AB</v>
          </cell>
          <cell r="F651" t="str">
            <v>750</v>
          </cell>
          <cell r="G651">
            <v>40</v>
          </cell>
          <cell r="H651">
            <v>12</v>
          </cell>
          <cell r="I651" t="str">
            <v>3237</v>
          </cell>
          <cell r="L651">
            <v>1</v>
          </cell>
          <cell r="M651">
            <v>24</v>
          </cell>
        </row>
        <row r="652">
          <cell r="C652" t="str">
            <v>6233</v>
          </cell>
          <cell r="D652" t="str">
            <v>ABSOLUT PEACH</v>
          </cell>
          <cell r="E652" t="str">
            <v>THE ABSOLUT COMPANY AB</v>
          </cell>
          <cell r="F652" t="str">
            <v>750</v>
          </cell>
          <cell r="G652">
            <v>38</v>
          </cell>
          <cell r="H652">
            <v>12</v>
          </cell>
          <cell r="I652" t="str">
            <v>3237</v>
          </cell>
          <cell r="L652">
            <v>1</v>
          </cell>
          <cell r="M652">
            <v>24</v>
          </cell>
        </row>
        <row r="653">
          <cell r="C653" t="str">
            <v>6209</v>
          </cell>
          <cell r="D653" t="str">
            <v>ABSOLUT RASPBERRI</v>
          </cell>
          <cell r="E653" t="str">
            <v>THE ABSOLUT COMPANY AB</v>
          </cell>
          <cell r="F653" t="str">
            <v>750</v>
          </cell>
          <cell r="G653">
            <v>38</v>
          </cell>
          <cell r="H653">
            <v>12</v>
          </cell>
          <cell r="I653" t="str">
            <v>3237</v>
          </cell>
          <cell r="L653">
            <v>1</v>
          </cell>
          <cell r="M653">
            <v>24</v>
          </cell>
        </row>
        <row r="654">
          <cell r="C654" t="str">
            <v>5972</v>
          </cell>
          <cell r="D654" t="str">
            <v>ABSOLUT VANILIA</v>
          </cell>
          <cell r="E654" t="str">
            <v>THE ABSOLUT COMPANY AB</v>
          </cell>
          <cell r="F654" t="str">
            <v>750</v>
          </cell>
          <cell r="G654">
            <v>38</v>
          </cell>
          <cell r="H654">
            <v>12</v>
          </cell>
          <cell r="I654" t="str">
            <v>3237</v>
          </cell>
          <cell r="L654">
            <v>1</v>
          </cell>
          <cell r="M654">
            <v>24</v>
          </cell>
        </row>
        <row r="655">
          <cell r="C655" t="str">
            <v>36239</v>
          </cell>
          <cell r="D655" t="str">
            <v>ABSOLUT WATERMELON</v>
          </cell>
          <cell r="E655" t="str">
            <v>THE ABSOLUT COMPANY AB</v>
          </cell>
          <cell r="F655" t="str">
            <v>750</v>
          </cell>
          <cell r="G655">
            <v>38</v>
          </cell>
          <cell r="H655">
            <v>12</v>
          </cell>
          <cell r="I655" t="str">
            <v>3237</v>
          </cell>
          <cell r="L655">
            <v>1</v>
          </cell>
          <cell r="M655">
            <v>24</v>
          </cell>
        </row>
        <row r="656">
          <cell r="C656" t="str">
            <v>6825</v>
          </cell>
          <cell r="D656" t="str">
            <v>THREE OLIVES GRAPE VODKA</v>
          </cell>
          <cell r="E656" t="str">
            <v>PROXIMO SPIRITS Kentucky</v>
          </cell>
          <cell r="F656" t="str">
            <v>750</v>
          </cell>
          <cell r="G656">
            <v>30</v>
          </cell>
          <cell r="H656">
            <v>12</v>
          </cell>
          <cell r="I656" t="str">
            <v>128699</v>
          </cell>
          <cell r="L656">
            <v>1</v>
          </cell>
          <cell r="M656">
            <v>22.41</v>
          </cell>
        </row>
        <row r="657">
          <cell r="C657" t="str">
            <v>43431</v>
          </cell>
          <cell r="D657" t="str">
            <v>NEW AMSTEDAM PINK WHITNEY VODKA</v>
          </cell>
          <cell r="E657" t="str">
            <v>E &amp; J GALLO WINERY</v>
          </cell>
          <cell r="F657" t="str">
            <v>500</v>
          </cell>
          <cell r="G657">
            <v>30</v>
          </cell>
          <cell r="H657">
            <v>12</v>
          </cell>
          <cell r="I657" t="str">
            <v>206245</v>
          </cell>
          <cell r="L657">
            <v>10</v>
          </cell>
          <cell r="M657">
            <v>16.79</v>
          </cell>
        </row>
        <row r="658">
          <cell r="C658" t="str">
            <v>37715</v>
          </cell>
          <cell r="D658" t="str">
            <v>NEW AMSTERDAM PINK WHITNEY VODKA</v>
          </cell>
          <cell r="E658" t="str">
            <v>E &amp; J GALLO WINERY</v>
          </cell>
          <cell r="F658" t="str">
            <v>375</v>
          </cell>
          <cell r="G658">
            <v>30</v>
          </cell>
          <cell r="H658">
            <v>24</v>
          </cell>
          <cell r="I658" t="str">
            <v>206245</v>
          </cell>
          <cell r="L658">
            <v>1</v>
          </cell>
          <cell r="M658">
            <v>11.42</v>
          </cell>
        </row>
        <row r="659">
          <cell r="C659" t="str">
            <v>32530</v>
          </cell>
          <cell r="D659" t="str">
            <v>NEW AMSTERDAM PINK WHITNEY VODKA</v>
          </cell>
          <cell r="E659" t="str">
            <v>E &amp; J GALLO WINERY</v>
          </cell>
          <cell r="F659" t="str">
            <v>750</v>
          </cell>
          <cell r="G659">
            <v>30</v>
          </cell>
          <cell r="H659">
            <v>12</v>
          </cell>
          <cell r="I659" t="str">
            <v>206245</v>
          </cell>
          <cell r="L659">
            <v>1</v>
          </cell>
          <cell r="M659">
            <v>23.71</v>
          </cell>
        </row>
        <row r="660">
          <cell r="C660" t="str">
            <v>11522</v>
          </cell>
          <cell r="D660" t="str">
            <v>SKYY INFUSIONS PINEAPPLE</v>
          </cell>
          <cell r="E660" t="str">
            <v>CAMPARI AMERICA LLC</v>
          </cell>
          <cell r="F660" t="str">
            <v>750</v>
          </cell>
          <cell r="G660">
            <v>35</v>
          </cell>
          <cell r="H660">
            <v>12</v>
          </cell>
          <cell r="I660" t="str">
            <v>1041</v>
          </cell>
          <cell r="L660">
            <v>1</v>
          </cell>
          <cell r="M660">
            <v>24.5</v>
          </cell>
        </row>
        <row r="661">
          <cell r="C661" t="str">
            <v>21518</v>
          </cell>
          <cell r="D661" t="str">
            <v>360 BING CHERRY VODKA</v>
          </cell>
          <cell r="E661" t="str">
            <v>McCORMICK DISTILLING CO INC</v>
          </cell>
          <cell r="F661" t="str">
            <v>750</v>
          </cell>
          <cell r="G661">
            <v>35</v>
          </cell>
          <cell r="H661">
            <v>12</v>
          </cell>
          <cell r="I661" t="str">
            <v>1382</v>
          </cell>
          <cell r="L661">
            <v>1</v>
          </cell>
          <cell r="M661">
            <v>25.38</v>
          </cell>
        </row>
        <row r="662">
          <cell r="C662" t="str">
            <v>8162</v>
          </cell>
          <cell r="D662" t="str">
            <v>JINRO CHAMISUL CLASSIC SOJU</v>
          </cell>
          <cell r="E662" t="str">
            <v>JINRO LIMITED</v>
          </cell>
          <cell r="F662" t="str">
            <v>360</v>
          </cell>
          <cell r="G662">
            <v>20.100000000000001</v>
          </cell>
          <cell r="H662">
            <v>20</v>
          </cell>
          <cell r="I662" t="str">
            <v>138548</v>
          </cell>
          <cell r="L662">
            <v>1</v>
          </cell>
          <cell r="M662">
            <v>5.64</v>
          </cell>
        </row>
        <row r="663">
          <cell r="C663" t="str">
            <v>21139</v>
          </cell>
          <cell r="D663" t="str">
            <v>DR. MCGILLICUDDY BUTTERSCOTCH</v>
          </cell>
          <cell r="E663" t="str">
            <v>SAZERAC OF CANADA INC.</v>
          </cell>
          <cell r="F663" t="str">
            <v>750</v>
          </cell>
          <cell r="G663">
            <v>21</v>
          </cell>
          <cell r="H663">
            <v>12</v>
          </cell>
          <cell r="I663" t="str">
            <v>1537</v>
          </cell>
          <cell r="L663">
            <v>1</v>
          </cell>
          <cell r="M663">
            <v>15.36</v>
          </cell>
        </row>
        <row r="664">
          <cell r="C664" t="str">
            <v>3610</v>
          </cell>
          <cell r="D664" t="str">
            <v>PHILLIPS BUTTER RIPPLE SCHNAPPS</v>
          </cell>
          <cell r="E664" t="str">
            <v>PHILLIPS DISTILLING COMPANY</v>
          </cell>
          <cell r="F664" t="str">
            <v>375</v>
          </cell>
          <cell r="G664">
            <v>15</v>
          </cell>
          <cell r="H664">
            <v>24</v>
          </cell>
          <cell r="I664" t="str">
            <v>1338</v>
          </cell>
          <cell r="L664">
            <v>1</v>
          </cell>
          <cell r="M664">
            <v>9.48</v>
          </cell>
        </row>
        <row r="665">
          <cell r="C665" t="str">
            <v>3612</v>
          </cell>
          <cell r="D665" t="str">
            <v>PHILLIPS BUTTER RIPPLE SCHNAPPS</v>
          </cell>
          <cell r="E665" t="str">
            <v>PHILLIPS DISTILLING COMPANY</v>
          </cell>
          <cell r="F665" t="str">
            <v>750</v>
          </cell>
          <cell r="G665">
            <v>15</v>
          </cell>
          <cell r="H665">
            <v>12</v>
          </cell>
          <cell r="I665" t="str">
            <v>1338</v>
          </cell>
          <cell r="L665">
            <v>1</v>
          </cell>
          <cell r="M665">
            <v>14.99</v>
          </cell>
        </row>
        <row r="666">
          <cell r="C666" t="str">
            <v>43707</v>
          </cell>
          <cell r="D666" t="str">
            <v>BUZZBALLZ COCKTAIL CHOCOLATINI</v>
          </cell>
          <cell r="E666" t="str">
            <v>BUZZBALLZ</v>
          </cell>
          <cell r="F666" t="str">
            <v>200</v>
          </cell>
          <cell r="G666">
            <v>15</v>
          </cell>
          <cell r="H666">
            <v>24</v>
          </cell>
          <cell r="I666" t="str">
            <v>1537</v>
          </cell>
          <cell r="L666">
            <v>1</v>
          </cell>
          <cell r="M666">
            <v>5.28</v>
          </cell>
        </row>
        <row r="667">
          <cell r="C667" t="str">
            <v>15712</v>
          </cell>
          <cell r="D667" t="str">
            <v>McGUINNESS CREME DE CACAO WHITE</v>
          </cell>
          <cell r="E667" t="str">
            <v>CORBY DISTILLERIES LIMITED</v>
          </cell>
          <cell r="F667" t="str">
            <v>750</v>
          </cell>
          <cell r="G667">
            <v>15</v>
          </cell>
          <cell r="H667">
            <v>12</v>
          </cell>
          <cell r="I667" t="str">
            <v>3237</v>
          </cell>
          <cell r="L667">
            <v>1</v>
          </cell>
          <cell r="M667">
            <v>20.3</v>
          </cell>
        </row>
        <row r="668">
          <cell r="C668" t="str">
            <v>2434</v>
          </cell>
          <cell r="D668" t="str">
            <v>MALIBU COCONUT RUM</v>
          </cell>
          <cell r="E668" t="str">
            <v>HIRAM WALKER &amp; SONS LTD</v>
          </cell>
          <cell r="F668" t="str">
            <v>375</v>
          </cell>
          <cell r="G668">
            <v>21</v>
          </cell>
          <cell r="H668">
            <v>24</v>
          </cell>
          <cell r="I668" t="str">
            <v>3237</v>
          </cell>
          <cell r="L668">
            <v>1</v>
          </cell>
          <cell r="M668">
            <v>13.9</v>
          </cell>
        </row>
        <row r="669">
          <cell r="C669" t="str">
            <v>2436</v>
          </cell>
          <cell r="D669" t="str">
            <v>MALIBU COCONUT RUM</v>
          </cell>
          <cell r="E669" t="str">
            <v>HIRAM WALKER &amp; SONS LTD</v>
          </cell>
          <cell r="F669" t="str">
            <v>750</v>
          </cell>
          <cell r="G669">
            <v>21</v>
          </cell>
          <cell r="H669">
            <v>12</v>
          </cell>
          <cell r="I669" t="str">
            <v>3237</v>
          </cell>
          <cell r="L669">
            <v>1</v>
          </cell>
          <cell r="M669">
            <v>23.4</v>
          </cell>
        </row>
        <row r="670">
          <cell r="C670" t="str">
            <v>2432</v>
          </cell>
          <cell r="D670" t="str">
            <v>MALIBU COCONUT RUM</v>
          </cell>
          <cell r="E670" t="str">
            <v>HIRAM WALKER &amp; SONS LTD</v>
          </cell>
          <cell r="F670" t="str">
            <v>1140</v>
          </cell>
          <cell r="G670">
            <v>21</v>
          </cell>
          <cell r="H670">
            <v>8</v>
          </cell>
          <cell r="I670" t="str">
            <v>3237</v>
          </cell>
          <cell r="L670">
            <v>1</v>
          </cell>
          <cell r="M670">
            <v>33.71</v>
          </cell>
        </row>
        <row r="671">
          <cell r="C671" t="str">
            <v>44153</v>
          </cell>
          <cell r="D671" t="str">
            <v>MALIBU COCONUT RUM</v>
          </cell>
          <cell r="E671" t="str">
            <v>HIRAM WALKER &amp; SONS LTD</v>
          </cell>
          <cell r="F671" t="str">
            <v>1750</v>
          </cell>
          <cell r="G671">
            <v>21</v>
          </cell>
          <cell r="H671">
            <v>6</v>
          </cell>
          <cell r="I671" t="str">
            <v>3237</v>
          </cell>
          <cell r="L671">
            <v>1</v>
          </cell>
          <cell r="M671">
            <v>48.83</v>
          </cell>
        </row>
        <row r="672">
          <cell r="C672" t="str">
            <v>41276</v>
          </cell>
          <cell r="D672" t="str">
            <v>MALIBU PINEAPPLE RUM</v>
          </cell>
          <cell r="E672" t="str">
            <v>HIRAM WALKER &amp; SONS LTD</v>
          </cell>
          <cell r="F672" t="str">
            <v>750</v>
          </cell>
          <cell r="G672">
            <v>21</v>
          </cell>
          <cell r="H672">
            <v>12</v>
          </cell>
          <cell r="I672" t="str">
            <v>3237</v>
          </cell>
          <cell r="L672">
            <v>1</v>
          </cell>
          <cell r="M672">
            <v>23.4</v>
          </cell>
        </row>
        <row r="673">
          <cell r="C673" t="str">
            <v>45012</v>
          </cell>
          <cell r="D673" t="str">
            <v>ABSOLUT ESPRESSO MARTINI COCKTAIL</v>
          </cell>
          <cell r="E673" t="str">
            <v>HIRAM WALKER &amp; SONS LTD</v>
          </cell>
          <cell r="F673" t="str">
            <v>750</v>
          </cell>
          <cell r="G673">
            <v>20</v>
          </cell>
          <cell r="H673">
            <v>12</v>
          </cell>
          <cell r="I673" t="str">
            <v>3237</v>
          </cell>
          <cell r="L673">
            <v>1</v>
          </cell>
          <cell r="M673">
            <v>20.91</v>
          </cell>
        </row>
        <row r="674">
          <cell r="C674" t="str">
            <v>2782</v>
          </cell>
          <cell r="D674" t="str">
            <v>KAHLUA COFFEE</v>
          </cell>
          <cell r="E674" t="str">
            <v>HIRAM WALKER &amp; SONS LTD</v>
          </cell>
          <cell r="F674" t="str">
            <v>375</v>
          </cell>
          <cell r="G674">
            <v>16</v>
          </cell>
          <cell r="H674">
            <v>12</v>
          </cell>
          <cell r="I674" t="str">
            <v>3237</v>
          </cell>
          <cell r="L674">
            <v>1</v>
          </cell>
          <cell r="M674">
            <v>16.3</v>
          </cell>
        </row>
        <row r="675">
          <cell r="C675" t="str">
            <v>2783</v>
          </cell>
          <cell r="D675" t="str">
            <v>KAHLUA COFFEE</v>
          </cell>
          <cell r="E675" t="str">
            <v>PERNOD RICARD MEXICO</v>
          </cell>
          <cell r="F675" t="str">
            <v>750</v>
          </cell>
          <cell r="G675">
            <v>16</v>
          </cell>
          <cell r="H675">
            <v>12</v>
          </cell>
          <cell r="I675" t="str">
            <v>3237</v>
          </cell>
          <cell r="L675">
            <v>1</v>
          </cell>
          <cell r="M675">
            <v>27.01</v>
          </cell>
        </row>
        <row r="676">
          <cell r="C676" t="str">
            <v>2785</v>
          </cell>
          <cell r="D676" t="str">
            <v>KAHLUA COFFEE</v>
          </cell>
          <cell r="E676" t="str">
            <v>PERNOD RICARD MEXICO</v>
          </cell>
          <cell r="F676" t="str">
            <v>1140</v>
          </cell>
          <cell r="G676">
            <v>16</v>
          </cell>
          <cell r="H676">
            <v>6</v>
          </cell>
          <cell r="I676" t="str">
            <v>3237</v>
          </cell>
          <cell r="L676">
            <v>1</v>
          </cell>
          <cell r="M676">
            <v>37.31</v>
          </cell>
        </row>
        <row r="677">
          <cell r="C677" t="str">
            <v>2786</v>
          </cell>
          <cell r="D677" t="str">
            <v>KAHLUA COFFEE</v>
          </cell>
          <cell r="E677" t="str">
            <v>HIRAM WALKER &amp; SONS LTD</v>
          </cell>
          <cell r="F677" t="str">
            <v>1750</v>
          </cell>
          <cell r="G677">
            <v>16</v>
          </cell>
          <cell r="H677">
            <v>6</v>
          </cell>
          <cell r="I677" t="str">
            <v>3237</v>
          </cell>
          <cell r="L677">
            <v>1</v>
          </cell>
          <cell r="M677">
            <v>54.02</v>
          </cell>
        </row>
        <row r="678">
          <cell r="C678" t="str">
            <v>2802</v>
          </cell>
          <cell r="D678" t="str">
            <v>KAMORA  COFFEE</v>
          </cell>
          <cell r="E678" t="str">
            <v>PHILLIPS DISTILLING COMPANY</v>
          </cell>
          <cell r="F678" t="str">
            <v>750</v>
          </cell>
          <cell r="G678">
            <v>20</v>
          </cell>
          <cell r="H678">
            <v>12</v>
          </cell>
          <cell r="I678" t="str">
            <v>1338</v>
          </cell>
          <cell r="L678">
            <v>1</v>
          </cell>
          <cell r="M678">
            <v>17.190000000000001</v>
          </cell>
        </row>
        <row r="679">
          <cell r="C679" t="str">
            <v>2803</v>
          </cell>
          <cell r="D679" t="str">
            <v>KAMORA  COFFEE</v>
          </cell>
          <cell r="E679" t="str">
            <v>PHILLIPS DISTILLING COMPANY</v>
          </cell>
          <cell r="F679" t="str">
            <v>1140</v>
          </cell>
          <cell r="G679">
            <v>20</v>
          </cell>
          <cell r="H679">
            <v>12</v>
          </cell>
          <cell r="I679" t="str">
            <v>1338</v>
          </cell>
          <cell r="L679">
            <v>1</v>
          </cell>
          <cell r="M679">
            <v>24.99</v>
          </cell>
        </row>
        <row r="680">
          <cell r="C680" t="str">
            <v>45015</v>
          </cell>
          <cell r="D680" t="str">
            <v>KETEL ONE ESPRESSO MARTINI COCKTAIL</v>
          </cell>
          <cell r="E680" t="str">
            <v>DIAGEO CANADA INC.</v>
          </cell>
          <cell r="F680" t="str">
            <v>375</v>
          </cell>
          <cell r="G680">
            <v>20.100000000000001</v>
          </cell>
          <cell r="H680">
            <v>12</v>
          </cell>
          <cell r="I680" t="str">
            <v>3224</v>
          </cell>
          <cell r="L680">
            <v>1</v>
          </cell>
          <cell r="M680">
            <v>18.079999999999998</v>
          </cell>
        </row>
        <row r="681">
          <cell r="C681" t="str">
            <v>39768</v>
          </cell>
          <cell r="D681" t="str">
            <v>ON THE ROCKS ESPRESSO MARTINI</v>
          </cell>
          <cell r="E681" t="str">
            <v>STRONG SPIRITS</v>
          </cell>
          <cell r="F681" t="str">
            <v>375</v>
          </cell>
          <cell r="G681">
            <v>20</v>
          </cell>
          <cell r="H681">
            <v>12</v>
          </cell>
          <cell r="I681" t="str">
            <v>3242</v>
          </cell>
          <cell r="L681">
            <v>1</v>
          </cell>
          <cell r="M681">
            <v>17.73</v>
          </cell>
        </row>
        <row r="682">
          <cell r="C682" t="str">
            <v>7142</v>
          </cell>
          <cell r="D682" t="str">
            <v>PATRON XO CAFE</v>
          </cell>
          <cell r="E682" t="str">
            <v>PATRON SPIRITS MEXICO SA DE CV</v>
          </cell>
          <cell r="F682" t="str">
            <v>750</v>
          </cell>
          <cell r="G682">
            <v>35</v>
          </cell>
          <cell r="H682">
            <v>6</v>
          </cell>
          <cell r="I682" t="str">
            <v>3233</v>
          </cell>
          <cell r="L682">
            <v>1</v>
          </cell>
          <cell r="M682">
            <v>75.02</v>
          </cell>
        </row>
        <row r="683">
          <cell r="C683" t="str">
            <v>4711</v>
          </cell>
          <cell r="D683" t="str">
            <v>SHERIDAN COFFEE LAYERED</v>
          </cell>
          <cell r="E683" t="str">
            <v>R &amp; A BAILEY &amp; CO LTD</v>
          </cell>
          <cell r="F683" t="str">
            <v>750</v>
          </cell>
          <cell r="G683">
            <v>15.5</v>
          </cell>
          <cell r="H683">
            <v>6</v>
          </cell>
          <cell r="I683" t="str">
            <v>3224</v>
          </cell>
          <cell r="L683">
            <v>1</v>
          </cell>
          <cell r="M683">
            <v>30.5</v>
          </cell>
        </row>
        <row r="684">
          <cell r="C684" t="str">
            <v>4365</v>
          </cell>
          <cell r="D684" t="str">
            <v>TIA MARIA</v>
          </cell>
          <cell r="E684" t="str">
            <v>ILLVA SARONNA SPA - tia maria only</v>
          </cell>
          <cell r="F684" t="str">
            <v>750</v>
          </cell>
          <cell r="G684">
            <v>20</v>
          </cell>
          <cell r="H684">
            <v>12</v>
          </cell>
          <cell r="I684" t="str">
            <v>1537</v>
          </cell>
          <cell r="L684">
            <v>1</v>
          </cell>
          <cell r="M684">
            <v>24.62</v>
          </cell>
        </row>
        <row r="685">
          <cell r="C685" t="str">
            <v>1088</v>
          </cell>
          <cell r="D685" t="str">
            <v>AMARULA CREAM</v>
          </cell>
          <cell r="E685" t="str">
            <v>DISTELL (PTY) LTD</v>
          </cell>
          <cell r="F685" t="str">
            <v>750</v>
          </cell>
          <cell r="G685">
            <v>17</v>
          </cell>
          <cell r="H685">
            <v>12</v>
          </cell>
          <cell r="I685" t="str">
            <v>3243</v>
          </cell>
          <cell r="L685">
            <v>1</v>
          </cell>
          <cell r="M685">
            <v>23</v>
          </cell>
        </row>
        <row r="686">
          <cell r="C686" t="str">
            <v>7213</v>
          </cell>
          <cell r="D686" t="str">
            <v>B52 TWISTED SHOTZ</v>
          </cell>
          <cell r="E686" t="str">
            <v>INDEPENDENT LIQUOR LTD</v>
          </cell>
          <cell r="F686" t="str">
            <v>120</v>
          </cell>
          <cell r="G686">
            <v>20</v>
          </cell>
          <cell r="H686">
            <v>18</v>
          </cell>
          <cell r="I686" t="str">
            <v>130768</v>
          </cell>
          <cell r="L686">
            <v>4</v>
          </cell>
          <cell r="M686">
            <v>9.5</v>
          </cell>
        </row>
        <row r="687">
          <cell r="C687" t="str">
            <v>24055</v>
          </cell>
          <cell r="D687" t="str">
            <v>BAILEYS ALMANDE ALMOND</v>
          </cell>
          <cell r="E687" t="str">
            <v>R &amp; A BAILEY &amp; CO LTD</v>
          </cell>
          <cell r="F687" t="str">
            <v>750</v>
          </cell>
          <cell r="G687">
            <v>13</v>
          </cell>
          <cell r="H687">
            <v>12</v>
          </cell>
          <cell r="I687" t="str">
            <v>3224</v>
          </cell>
          <cell r="L687">
            <v>1</v>
          </cell>
          <cell r="M687">
            <v>27.51</v>
          </cell>
        </row>
        <row r="688">
          <cell r="C688" t="str">
            <v>43884</v>
          </cell>
          <cell r="D688" t="str">
            <v>BAILEYS BIRTHDAY CAKE</v>
          </cell>
          <cell r="E688" t="str">
            <v>R &amp; A BAILEY &amp; CO LTD</v>
          </cell>
          <cell r="F688" t="str">
            <v>750</v>
          </cell>
          <cell r="G688">
            <v>17</v>
          </cell>
          <cell r="H688">
            <v>12</v>
          </cell>
          <cell r="I688" t="str">
            <v>3224</v>
          </cell>
          <cell r="L688">
            <v>1</v>
          </cell>
          <cell r="M688">
            <v>27.51</v>
          </cell>
        </row>
        <row r="689">
          <cell r="C689" t="str">
            <v>45977</v>
          </cell>
          <cell r="D689" t="str">
            <v>BAILEYS CHOCOLATE</v>
          </cell>
          <cell r="E689" t="str">
            <v>DIAGEO CANADA INC.</v>
          </cell>
          <cell r="F689" t="str">
            <v>750</v>
          </cell>
          <cell r="G689">
            <v>15.7</v>
          </cell>
          <cell r="H689">
            <v>12</v>
          </cell>
          <cell r="I689" t="str">
            <v>3224</v>
          </cell>
          <cell r="L689">
            <v>1</v>
          </cell>
          <cell r="M689">
            <v>27.51</v>
          </cell>
        </row>
        <row r="690">
          <cell r="C690" t="str">
            <v>31816</v>
          </cell>
          <cell r="D690" t="str">
            <v>BAILEYS ESPRESSO CREME</v>
          </cell>
          <cell r="E690" t="str">
            <v>R &amp; A BAILEY &amp; CO LTD</v>
          </cell>
          <cell r="F690" t="str">
            <v>750</v>
          </cell>
          <cell r="G690">
            <v>17</v>
          </cell>
          <cell r="H690">
            <v>12</v>
          </cell>
          <cell r="I690" t="str">
            <v>3224</v>
          </cell>
          <cell r="L690">
            <v>1</v>
          </cell>
          <cell r="M690">
            <v>27.51</v>
          </cell>
        </row>
        <row r="691">
          <cell r="C691" t="str">
            <v>1216</v>
          </cell>
          <cell r="D691" t="str">
            <v>BAILEYS IRISH CREAM</v>
          </cell>
          <cell r="E691" t="str">
            <v>R &amp; A BAILEY &amp; CO LTD</v>
          </cell>
          <cell r="F691" t="str">
            <v>50</v>
          </cell>
          <cell r="G691">
            <v>17</v>
          </cell>
          <cell r="H691">
            <v>120</v>
          </cell>
          <cell r="I691" t="str">
            <v>3224</v>
          </cell>
          <cell r="L691">
            <v>1</v>
          </cell>
          <cell r="M691">
            <v>4.1900000000000004</v>
          </cell>
        </row>
        <row r="692">
          <cell r="C692" t="str">
            <v>1220</v>
          </cell>
          <cell r="D692" t="str">
            <v>BAILEYS IRISH CREAM</v>
          </cell>
          <cell r="E692" t="str">
            <v>R &amp; A BAILEY &amp; CO LTD</v>
          </cell>
          <cell r="F692" t="str">
            <v>375</v>
          </cell>
          <cell r="G692">
            <v>17</v>
          </cell>
          <cell r="H692">
            <v>12</v>
          </cell>
          <cell r="I692" t="str">
            <v>3224</v>
          </cell>
          <cell r="L692">
            <v>1</v>
          </cell>
          <cell r="M692">
            <v>16.3</v>
          </cell>
        </row>
        <row r="693">
          <cell r="C693" t="str">
            <v>1221</v>
          </cell>
          <cell r="D693" t="str">
            <v>BAILEYS IRISH CREAM</v>
          </cell>
          <cell r="E693" t="str">
            <v>R &amp; A BAILEY &amp; CO LTD</v>
          </cell>
          <cell r="F693" t="str">
            <v>750</v>
          </cell>
          <cell r="G693">
            <v>17</v>
          </cell>
          <cell r="H693">
            <v>12</v>
          </cell>
          <cell r="I693" t="str">
            <v>3224</v>
          </cell>
          <cell r="L693">
            <v>1</v>
          </cell>
          <cell r="M693">
            <v>27.01</v>
          </cell>
        </row>
        <row r="694">
          <cell r="C694" t="str">
            <v>1223</v>
          </cell>
          <cell r="D694" t="str">
            <v>BAILEYS IRISH CREAM</v>
          </cell>
          <cell r="E694" t="str">
            <v>R &amp; A BAILEY &amp; CO LTD</v>
          </cell>
          <cell r="F694" t="str">
            <v>1140</v>
          </cell>
          <cell r="G694">
            <v>17</v>
          </cell>
          <cell r="H694">
            <v>6</v>
          </cell>
          <cell r="I694" t="str">
            <v>3224</v>
          </cell>
          <cell r="L694">
            <v>1</v>
          </cell>
          <cell r="M694">
            <v>37.520000000000003</v>
          </cell>
        </row>
        <row r="695">
          <cell r="C695" t="str">
            <v>5171</v>
          </cell>
          <cell r="D695" t="str">
            <v>BAILEYS IRISH CREAM</v>
          </cell>
          <cell r="E695" t="str">
            <v>R &amp; A BAILEY &amp; CO LTD</v>
          </cell>
          <cell r="F695" t="str">
            <v>1750</v>
          </cell>
          <cell r="G695">
            <v>17</v>
          </cell>
          <cell r="H695">
            <v>6</v>
          </cell>
          <cell r="I695" t="str">
            <v>3224</v>
          </cell>
          <cell r="L695">
            <v>1</v>
          </cell>
          <cell r="M695">
            <v>54.03</v>
          </cell>
        </row>
        <row r="696">
          <cell r="C696" t="str">
            <v>21626</v>
          </cell>
          <cell r="D696" t="str">
            <v>BAILEYS SALTED CARAMEL</v>
          </cell>
          <cell r="E696" t="str">
            <v>R &amp; A BAILEY &amp; CO LTD</v>
          </cell>
          <cell r="F696" t="str">
            <v>750</v>
          </cell>
          <cell r="G696">
            <v>17</v>
          </cell>
          <cell r="H696">
            <v>12</v>
          </cell>
          <cell r="I696" t="str">
            <v>3224</v>
          </cell>
          <cell r="L696">
            <v>1</v>
          </cell>
          <cell r="M696">
            <v>27.51</v>
          </cell>
        </row>
        <row r="697">
          <cell r="C697" t="str">
            <v>38293</v>
          </cell>
          <cell r="D697" t="str">
            <v>BAJA LUNA</v>
          </cell>
          <cell r="E697" t="str">
            <v>SAZERAC COMPANY INC</v>
          </cell>
          <cell r="F697" t="str">
            <v>750</v>
          </cell>
          <cell r="G697">
            <v>15</v>
          </cell>
          <cell r="H697">
            <v>12</v>
          </cell>
          <cell r="I697" t="str">
            <v>1537</v>
          </cell>
          <cell r="L697">
            <v>1</v>
          </cell>
          <cell r="M697">
            <v>22.07</v>
          </cell>
        </row>
        <row r="698">
          <cell r="C698" t="str">
            <v>1230</v>
          </cell>
          <cell r="D698" t="str">
            <v>BAJA ROSA</v>
          </cell>
          <cell r="E698" t="str">
            <v>WHITE ROCK DISTILLERIES INC</v>
          </cell>
          <cell r="F698" t="str">
            <v>375</v>
          </cell>
          <cell r="G698">
            <v>15</v>
          </cell>
          <cell r="H698">
            <v>24</v>
          </cell>
          <cell r="I698" t="str">
            <v>1537</v>
          </cell>
          <cell r="L698">
            <v>1</v>
          </cell>
          <cell r="M698">
            <v>12.46</v>
          </cell>
        </row>
        <row r="699">
          <cell r="C699" t="str">
            <v>1231</v>
          </cell>
          <cell r="D699" t="str">
            <v>BAJA ROSA</v>
          </cell>
          <cell r="E699" t="str">
            <v>WHITE ROCK DISTILLERIES INC</v>
          </cell>
          <cell r="F699" t="str">
            <v>750</v>
          </cell>
          <cell r="G699">
            <v>15</v>
          </cell>
          <cell r="H699">
            <v>12</v>
          </cell>
          <cell r="I699" t="str">
            <v>1535</v>
          </cell>
          <cell r="L699">
            <v>1</v>
          </cell>
          <cell r="M699">
            <v>22.85</v>
          </cell>
        </row>
        <row r="700">
          <cell r="C700" t="str">
            <v>27386</v>
          </cell>
          <cell r="D700" t="str">
            <v>BLUE CHAIR BAY KEY LIME RUM CREAM</v>
          </cell>
          <cell r="E700" t="str">
            <v>FISHBOWL SPIRITS LLC</v>
          </cell>
          <cell r="F700" t="str">
            <v>750</v>
          </cell>
          <cell r="G700">
            <v>15</v>
          </cell>
          <cell r="H700">
            <v>12</v>
          </cell>
          <cell r="I700" t="str">
            <v>3295</v>
          </cell>
          <cell r="L700">
            <v>1</v>
          </cell>
          <cell r="M700">
            <v>34.33</v>
          </cell>
        </row>
        <row r="701">
          <cell r="C701" t="str">
            <v>22281</v>
          </cell>
          <cell r="D701" t="str">
            <v>BULLET ASSORTED SHOOTERS CASE</v>
          </cell>
          <cell r="E701" t="str">
            <v>HIGHWOOD DISTILLERS</v>
          </cell>
          <cell r="F701" t="str">
            <v>28</v>
          </cell>
          <cell r="G701">
            <v>16</v>
          </cell>
          <cell r="H701">
            <v>106</v>
          </cell>
          <cell r="I701" t="str">
            <v>1021</v>
          </cell>
          <cell r="L701">
            <v>1</v>
          </cell>
          <cell r="M701">
            <v>1.45</v>
          </cell>
        </row>
        <row r="702">
          <cell r="C702" t="str">
            <v>38215</v>
          </cell>
          <cell r="D702" t="str">
            <v>BUMBU CREME</v>
          </cell>
          <cell r="E702" t="str">
            <v>SOVEREIGN BRANDS</v>
          </cell>
          <cell r="F702" t="str">
            <v>750</v>
          </cell>
          <cell r="G702">
            <v>15</v>
          </cell>
          <cell r="H702">
            <v>6</v>
          </cell>
          <cell r="I702" t="str">
            <v>3237</v>
          </cell>
          <cell r="L702">
            <v>1</v>
          </cell>
          <cell r="M702">
            <v>37.51</v>
          </cell>
        </row>
        <row r="703">
          <cell r="C703" t="str">
            <v>20803</v>
          </cell>
          <cell r="D703" t="str">
            <v>CABOT TRAIL MAPLE CREAM  LIQUEUR</v>
          </cell>
          <cell r="E703" t="str">
            <v>DOMAINE PINNACLE INC.</v>
          </cell>
          <cell r="F703" t="str">
            <v>750</v>
          </cell>
          <cell r="G703">
            <v>15</v>
          </cell>
          <cell r="H703">
            <v>12</v>
          </cell>
          <cell r="I703" t="str">
            <v>3237</v>
          </cell>
          <cell r="L703">
            <v>1</v>
          </cell>
          <cell r="M703">
            <v>28</v>
          </cell>
        </row>
        <row r="704">
          <cell r="C704" t="str">
            <v>26903</v>
          </cell>
          <cell r="D704" t="str">
            <v>CAROLANS IRISH CREAM</v>
          </cell>
          <cell r="E704" t="str">
            <v>FIRST IRELAND SPIRITS</v>
          </cell>
          <cell r="F704" t="str">
            <v>375</v>
          </cell>
          <cell r="G704">
            <v>17</v>
          </cell>
          <cell r="H704">
            <v>12</v>
          </cell>
          <cell r="I704" t="str">
            <v>194112</v>
          </cell>
          <cell r="L704">
            <v>1</v>
          </cell>
          <cell r="M704">
            <v>15.04</v>
          </cell>
        </row>
        <row r="705">
          <cell r="C705" t="str">
            <v>1800</v>
          </cell>
          <cell r="D705" t="str">
            <v>CAROLANS IRISH CREAM</v>
          </cell>
          <cell r="E705" t="str">
            <v>FIRST IRELAND SPIRITS</v>
          </cell>
          <cell r="F705" t="str">
            <v>750</v>
          </cell>
          <cell r="G705">
            <v>17</v>
          </cell>
          <cell r="H705">
            <v>12</v>
          </cell>
          <cell r="I705" t="str">
            <v>194112</v>
          </cell>
          <cell r="L705">
            <v>1</v>
          </cell>
          <cell r="M705">
            <v>25.09</v>
          </cell>
        </row>
        <row r="706">
          <cell r="C706" t="str">
            <v>1801</v>
          </cell>
          <cell r="D706" t="str">
            <v>CAROLANS IRISH CREAM</v>
          </cell>
          <cell r="E706" t="str">
            <v>FIRST IRELAND SPIRITS</v>
          </cell>
          <cell r="F706" t="str">
            <v>1140</v>
          </cell>
          <cell r="G706">
            <v>17</v>
          </cell>
          <cell r="H706">
            <v>6</v>
          </cell>
          <cell r="I706" t="str">
            <v>194112</v>
          </cell>
          <cell r="L706">
            <v>1</v>
          </cell>
          <cell r="M706">
            <v>34.14</v>
          </cell>
        </row>
        <row r="707">
          <cell r="C707" t="str">
            <v>5440</v>
          </cell>
          <cell r="D707" t="str">
            <v>CEILI'S IRISH CREAM</v>
          </cell>
          <cell r="E707" t="str">
            <v>HIGHWOOD DISTILLERS</v>
          </cell>
          <cell r="F707" t="str">
            <v>750</v>
          </cell>
          <cell r="G707">
            <v>15</v>
          </cell>
          <cell r="H707">
            <v>12</v>
          </cell>
          <cell r="I707" t="str">
            <v>1021</v>
          </cell>
          <cell r="L707">
            <v>1</v>
          </cell>
          <cell r="M707">
            <v>18.73</v>
          </cell>
        </row>
        <row r="708">
          <cell r="C708" t="str">
            <v>10415</v>
          </cell>
          <cell r="D708" t="str">
            <v>CHOCOLATE CREAM TWISTED SHOTZ</v>
          </cell>
          <cell r="E708" t="str">
            <v>INDEPENDENT LIQUOR LTD</v>
          </cell>
          <cell r="F708" t="str">
            <v>120</v>
          </cell>
          <cell r="G708">
            <v>20</v>
          </cell>
          <cell r="H708">
            <v>18</v>
          </cell>
          <cell r="I708" t="str">
            <v>130768</v>
          </cell>
          <cell r="L708">
            <v>4</v>
          </cell>
          <cell r="M708">
            <v>9.5</v>
          </cell>
        </row>
        <row r="709">
          <cell r="C709" t="str">
            <v>42190</v>
          </cell>
          <cell r="D709" t="str">
            <v>FORTY CREEK BUTTER TART CREAM</v>
          </cell>
          <cell r="E709" t="str">
            <v>FORTY CREEK DISTILLERY</v>
          </cell>
          <cell r="F709" t="str">
            <v>750</v>
          </cell>
          <cell r="G709">
            <v>15</v>
          </cell>
          <cell r="H709">
            <v>12</v>
          </cell>
          <cell r="I709" t="str">
            <v>1041</v>
          </cell>
          <cell r="L709">
            <v>1</v>
          </cell>
          <cell r="M709">
            <v>27.51</v>
          </cell>
        </row>
        <row r="710">
          <cell r="C710" t="str">
            <v>16413</v>
          </cell>
          <cell r="D710" t="str">
            <v>FORTY CREEK CREAM LIQUEUR</v>
          </cell>
          <cell r="E710" t="str">
            <v>FORTY CREEK DISTILLERY</v>
          </cell>
          <cell r="F710" t="str">
            <v>750</v>
          </cell>
          <cell r="G710">
            <v>17</v>
          </cell>
          <cell r="H710">
            <v>12</v>
          </cell>
          <cell r="I710" t="str">
            <v>1041</v>
          </cell>
          <cell r="L710">
            <v>1</v>
          </cell>
          <cell r="M710">
            <v>27</v>
          </cell>
        </row>
        <row r="711">
          <cell r="C711" t="str">
            <v>21012</v>
          </cell>
          <cell r="D711" t="str">
            <v>FORTY CREEK CREAM LIQUEUR</v>
          </cell>
          <cell r="E711" t="str">
            <v>FORTY CREEK DISTILLERY</v>
          </cell>
          <cell r="F711" t="str">
            <v>1140</v>
          </cell>
          <cell r="G711">
            <v>17</v>
          </cell>
          <cell r="H711">
            <v>8</v>
          </cell>
          <cell r="I711" t="str">
            <v>1041</v>
          </cell>
          <cell r="L711">
            <v>1</v>
          </cell>
          <cell r="M711">
            <v>37.01</v>
          </cell>
        </row>
        <row r="712">
          <cell r="C712" t="str">
            <v>43432</v>
          </cell>
          <cell r="D712" t="str">
            <v>KAMORA DULCE DE LECHE</v>
          </cell>
          <cell r="E712" t="str">
            <v>PHILLIPS DISTILLING COMPANY</v>
          </cell>
          <cell r="F712" t="str">
            <v>750</v>
          </cell>
          <cell r="G712">
            <v>17</v>
          </cell>
          <cell r="H712">
            <v>12</v>
          </cell>
          <cell r="I712" t="str">
            <v>1338</v>
          </cell>
          <cell r="L712">
            <v>1</v>
          </cell>
          <cell r="M712">
            <v>22.99</v>
          </cell>
        </row>
        <row r="713">
          <cell r="C713" t="str">
            <v>3416</v>
          </cell>
          <cell r="D713" t="str">
            <v>O'DARBY IRISH CREAM</v>
          </cell>
          <cell r="E713" t="str">
            <v>R &amp; A BAILEY &amp; CO LTD</v>
          </cell>
          <cell r="F713" t="str">
            <v>750</v>
          </cell>
          <cell r="G713">
            <v>17</v>
          </cell>
          <cell r="H713">
            <v>12</v>
          </cell>
          <cell r="I713" t="str">
            <v>3224</v>
          </cell>
          <cell r="L713">
            <v>1</v>
          </cell>
          <cell r="M713">
            <v>24.01</v>
          </cell>
        </row>
        <row r="714">
          <cell r="C714" t="str">
            <v>3417</v>
          </cell>
          <cell r="D714" t="str">
            <v>O'DARBY IRISH CREAM</v>
          </cell>
          <cell r="E714" t="str">
            <v>R &amp; A BAILEY &amp; CO LTD</v>
          </cell>
          <cell r="F714" t="str">
            <v>1140</v>
          </cell>
          <cell r="G714">
            <v>17</v>
          </cell>
          <cell r="H714">
            <v>6</v>
          </cell>
          <cell r="I714" t="str">
            <v>3224</v>
          </cell>
          <cell r="L714">
            <v>1</v>
          </cell>
          <cell r="M714">
            <v>33.020000000000003</v>
          </cell>
        </row>
        <row r="715">
          <cell r="C715" t="str">
            <v>18394</v>
          </cell>
          <cell r="D715" t="str">
            <v>PJ'S ORIGINAL CREAM</v>
          </cell>
          <cell r="E715" t="str">
            <v>ANDREW PELLER LIMITED</v>
          </cell>
          <cell r="F715" t="str">
            <v>750</v>
          </cell>
          <cell r="G715">
            <v>17</v>
          </cell>
          <cell r="H715">
            <v>12</v>
          </cell>
          <cell r="I715" t="str">
            <v>4095</v>
          </cell>
          <cell r="L715">
            <v>1</v>
          </cell>
          <cell r="M715">
            <v>22.01</v>
          </cell>
        </row>
        <row r="716">
          <cell r="C716" t="str">
            <v>43437</v>
          </cell>
          <cell r="D716" t="str">
            <v>RUMCHATA COCONUT CREAM LIQUEUR</v>
          </cell>
          <cell r="E716" t="str">
            <v>E &amp; J GALLO WINERY</v>
          </cell>
          <cell r="F716" t="str">
            <v>750</v>
          </cell>
          <cell r="G716">
            <v>13.8</v>
          </cell>
          <cell r="H716">
            <v>12</v>
          </cell>
          <cell r="I716" t="str">
            <v>206245</v>
          </cell>
          <cell r="L716">
            <v>1</v>
          </cell>
          <cell r="M716">
            <v>28.72</v>
          </cell>
        </row>
        <row r="717">
          <cell r="C717" t="str">
            <v>19606</v>
          </cell>
          <cell r="D717" t="str">
            <v>RUMCHATA CREAM LIQUOR</v>
          </cell>
          <cell r="E717" t="str">
            <v>AGAVE LOCO LLC</v>
          </cell>
          <cell r="F717" t="str">
            <v>750</v>
          </cell>
          <cell r="G717">
            <v>13.7</v>
          </cell>
          <cell r="H717">
            <v>12</v>
          </cell>
          <cell r="I717" t="str">
            <v>206245</v>
          </cell>
          <cell r="L717">
            <v>1</v>
          </cell>
          <cell r="M717">
            <v>29.09</v>
          </cell>
        </row>
        <row r="718">
          <cell r="C718" t="str">
            <v>36775</v>
          </cell>
          <cell r="D718" t="str">
            <v>RUMCHATA PEPPERMINT BARK</v>
          </cell>
          <cell r="E718" t="str">
            <v>AGAVE LOCO LLC</v>
          </cell>
          <cell r="F718" t="str">
            <v>750</v>
          </cell>
          <cell r="G718">
            <v>14</v>
          </cell>
          <cell r="H718">
            <v>12</v>
          </cell>
          <cell r="I718" t="str">
            <v>206245</v>
          </cell>
          <cell r="L718">
            <v>1</v>
          </cell>
          <cell r="M718">
            <v>28.8</v>
          </cell>
        </row>
        <row r="719">
          <cell r="C719" t="str">
            <v>27944</v>
          </cell>
          <cell r="D719" t="str">
            <v>RYAN'S ORIGINAL CREAM LIQUEUR</v>
          </cell>
          <cell r="E719" t="str">
            <v>SAZERAC COMPANY INC</v>
          </cell>
          <cell r="F719" t="str">
            <v>750</v>
          </cell>
          <cell r="G719">
            <v>15</v>
          </cell>
          <cell r="H719">
            <v>12</v>
          </cell>
          <cell r="I719" t="str">
            <v>1537</v>
          </cell>
          <cell r="L719">
            <v>1</v>
          </cell>
          <cell r="M719">
            <v>19.78</v>
          </cell>
        </row>
        <row r="720">
          <cell r="C720" t="str">
            <v>34756</v>
          </cell>
          <cell r="D720" t="str">
            <v>RYAN'S ORIGINAL CREAM LIQUEUR</v>
          </cell>
          <cell r="E720" t="str">
            <v>SAZERAC COMPANY INC</v>
          </cell>
          <cell r="F720" t="str">
            <v>1750</v>
          </cell>
          <cell r="G720">
            <v>15</v>
          </cell>
          <cell r="H720">
            <v>6</v>
          </cell>
          <cell r="I720" t="str">
            <v>1537</v>
          </cell>
          <cell r="L720">
            <v>1</v>
          </cell>
          <cell r="M720">
            <v>40.6</v>
          </cell>
        </row>
        <row r="721">
          <cell r="C721" t="str">
            <v>5119</v>
          </cell>
          <cell r="D721" t="str">
            <v>SANGSTER'S RUM CREAM</v>
          </cell>
          <cell r="E721" t="str">
            <v>J WRAY &amp; NEPHEW LTD</v>
          </cell>
          <cell r="F721" t="str">
            <v>750</v>
          </cell>
          <cell r="G721">
            <v>15</v>
          </cell>
          <cell r="H721">
            <v>12</v>
          </cell>
          <cell r="I721" t="str">
            <v>1041</v>
          </cell>
          <cell r="L721">
            <v>1</v>
          </cell>
          <cell r="M721">
            <v>26.87</v>
          </cell>
        </row>
        <row r="722">
          <cell r="C722" t="str">
            <v>4729</v>
          </cell>
          <cell r="D722" t="str">
            <v>TEQUILA ROSE STRAWBERRY CREAM LIQUEUR</v>
          </cell>
          <cell r="E722" t="str">
            <v>McCORMICK DISTILLING CO INC</v>
          </cell>
          <cell r="F722" t="str">
            <v>750</v>
          </cell>
          <cell r="G722">
            <v>15</v>
          </cell>
          <cell r="H722">
            <v>12</v>
          </cell>
          <cell r="I722" t="str">
            <v>1382</v>
          </cell>
          <cell r="L722">
            <v>1</v>
          </cell>
          <cell r="M722">
            <v>25.72</v>
          </cell>
        </row>
        <row r="723">
          <cell r="C723" t="str">
            <v>42208</v>
          </cell>
          <cell r="D723" t="str">
            <v>WAYNE GRETZKY BUTTER PECAN CREAM</v>
          </cell>
          <cell r="E723" t="str">
            <v>ANDREW PELLER LIMITED</v>
          </cell>
          <cell r="F723" t="str">
            <v>750</v>
          </cell>
          <cell r="G723">
            <v>17</v>
          </cell>
          <cell r="H723">
            <v>12</v>
          </cell>
          <cell r="I723" t="str">
            <v>4095</v>
          </cell>
          <cell r="L723">
            <v>1</v>
          </cell>
          <cell r="M723">
            <v>29.01</v>
          </cell>
        </row>
        <row r="724">
          <cell r="C724" t="str">
            <v>34905</v>
          </cell>
          <cell r="D724" t="str">
            <v>WAYNE GRETZKY NO 99 CREAM WHISKY</v>
          </cell>
          <cell r="E724" t="str">
            <v>ANDREW PELLER LIMITED</v>
          </cell>
          <cell r="F724" t="str">
            <v>50</v>
          </cell>
          <cell r="G724">
            <v>17</v>
          </cell>
          <cell r="H724">
            <v>48</v>
          </cell>
          <cell r="I724" t="str">
            <v>4095</v>
          </cell>
          <cell r="L724">
            <v>1</v>
          </cell>
          <cell r="M724">
            <v>5</v>
          </cell>
        </row>
        <row r="725">
          <cell r="C725" t="str">
            <v>28748</v>
          </cell>
          <cell r="D725" t="str">
            <v>WAYNE GRETZKY NO. 99 CREAM WHISKY</v>
          </cell>
          <cell r="E725" t="str">
            <v>ANDREW PELLER LIMITED</v>
          </cell>
          <cell r="F725" t="str">
            <v>750</v>
          </cell>
          <cell r="G725">
            <v>17</v>
          </cell>
          <cell r="H725">
            <v>12</v>
          </cell>
          <cell r="I725" t="str">
            <v>4095</v>
          </cell>
          <cell r="L725">
            <v>1</v>
          </cell>
          <cell r="M725">
            <v>29.01</v>
          </cell>
        </row>
        <row r="726">
          <cell r="C726" t="str">
            <v>47278</v>
          </cell>
          <cell r="D726" t="str">
            <v>WAYNE GRETZKY SALTED CARAMEL CREAM</v>
          </cell>
          <cell r="E726" t="str">
            <v>ANDREW PELLER LIMITED</v>
          </cell>
          <cell r="F726" t="str">
            <v>50</v>
          </cell>
          <cell r="G726">
            <v>17</v>
          </cell>
          <cell r="H726">
            <v>48</v>
          </cell>
          <cell r="I726" t="str">
            <v>4095</v>
          </cell>
          <cell r="L726">
            <v>1</v>
          </cell>
          <cell r="M726">
            <v>5</v>
          </cell>
        </row>
        <row r="727">
          <cell r="C727" t="str">
            <v>34880</v>
          </cell>
          <cell r="D727" t="str">
            <v>WAYNE GRETZKY SALTED CARAMEL CREAM</v>
          </cell>
          <cell r="E727" t="str">
            <v>ANDREW PELLER LIMITED</v>
          </cell>
          <cell r="F727" t="str">
            <v>750</v>
          </cell>
          <cell r="G727">
            <v>17</v>
          </cell>
          <cell r="H727">
            <v>12</v>
          </cell>
          <cell r="I727" t="str">
            <v>4095</v>
          </cell>
          <cell r="L727">
            <v>1</v>
          </cell>
          <cell r="M727">
            <v>29.01</v>
          </cell>
        </row>
        <row r="728">
          <cell r="C728" t="str">
            <v>44529</v>
          </cell>
          <cell r="D728" t="str">
            <v>WAYNE GRETZKY VANILLA BEAN CREAM</v>
          </cell>
          <cell r="E728" t="str">
            <v>ANDREW PELLER LIMITED</v>
          </cell>
          <cell r="F728" t="str">
            <v>750</v>
          </cell>
          <cell r="G728">
            <v>17</v>
          </cell>
          <cell r="H728">
            <v>12</v>
          </cell>
          <cell r="I728" t="str">
            <v>4095</v>
          </cell>
          <cell r="L728">
            <v>1</v>
          </cell>
          <cell r="M728">
            <v>29.01</v>
          </cell>
        </row>
        <row r="729">
          <cell r="C729" t="str">
            <v>18032</v>
          </cell>
          <cell r="D729" t="str">
            <v>DR MCGILLICUDDY'S APPLE PIE</v>
          </cell>
          <cell r="E729" t="str">
            <v>SAZERAC OF CANADA INC.</v>
          </cell>
          <cell r="F729" t="str">
            <v>750</v>
          </cell>
          <cell r="G729">
            <v>21</v>
          </cell>
          <cell r="H729">
            <v>12</v>
          </cell>
          <cell r="I729" t="str">
            <v>1537</v>
          </cell>
          <cell r="L729">
            <v>1</v>
          </cell>
          <cell r="M729">
            <v>17.690000000000001</v>
          </cell>
        </row>
        <row r="730">
          <cell r="C730" t="str">
            <v>48376</v>
          </cell>
          <cell r="D730" t="str">
            <v>FIREBALL BLAZIN' APPLE</v>
          </cell>
          <cell r="E730" t="str">
            <v>SAZERAC OF CANADA INC.</v>
          </cell>
          <cell r="F730" t="str">
            <v>50</v>
          </cell>
          <cell r="G730">
            <v>33</v>
          </cell>
          <cell r="H730">
            <v>120</v>
          </cell>
          <cell r="I730" t="str">
            <v>1537</v>
          </cell>
          <cell r="L730">
            <v>1</v>
          </cell>
          <cell r="M730">
            <v>1.74</v>
          </cell>
        </row>
        <row r="731">
          <cell r="C731" t="str">
            <v>48377</v>
          </cell>
          <cell r="D731" t="str">
            <v>FIREBALL BLAZIN' APPLE</v>
          </cell>
          <cell r="E731" t="str">
            <v>SAZERAC OF CANADA INC.</v>
          </cell>
          <cell r="F731" t="str">
            <v>750</v>
          </cell>
          <cell r="G731">
            <v>33</v>
          </cell>
          <cell r="H731">
            <v>12</v>
          </cell>
          <cell r="I731" t="str">
            <v>1537</v>
          </cell>
          <cell r="L731">
            <v>1</v>
          </cell>
          <cell r="M731">
            <v>20.63</v>
          </cell>
        </row>
        <row r="732">
          <cell r="C732" t="str">
            <v>3625</v>
          </cell>
          <cell r="D732" t="str">
            <v>SOUR PUSS SOUR APPLE</v>
          </cell>
          <cell r="E732" t="str">
            <v>PHILLIPS DISTILLING COMPANY</v>
          </cell>
          <cell r="F732" t="str">
            <v>375</v>
          </cell>
          <cell r="G732">
            <v>15</v>
          </cell>
          <cell r="H732">
            <v>24</v>
          </cell>
          <cell r="I732" t="str">
            <v>1338</v>
          </cell>
          <cell r="L732">
            <v>1</v>
          </cell>
          <cell r="M732">
            <v>9.48</v>
          </cell>
        </row>
        <row r="733">
          <cell r="C733" t="str">
            <v>3627</v>
          </cell>
          <cell r="D733" t="str">
            <v>SOUR PUSS SOUR APPLE</v>
          </cell>
          <cell r="E733" t="str">
            <v>PHILLIPS DISTILLING COMPANY</v>
          </cell>
          <cell r="F733" t="str">
            <v>750</v>
          </cell>
          <cell r="G733">
            <v>15</v>
          </cell>
          <cell r="H733">
            <v>12</v>
          </cell>
          <cell r="I733" t="str">
            <v>1338</v>
          </cell>
          <cell r="L733">
            <v>1</v>
          </cell>
          <cell r="M733">
            <v>19</v>
          </cell>
        </row>
        <row r="734">
          <cell r="C734" t="str">
            <v>3077</v>
          </cell>
          <cell r="D734" t="str">
            <v>McGUINNESS APRICOT BRANDY</v>
          </cell>
          <cell r="E734" t="str">
            <v>CORBY DISTILLERIES LIMITED</v>
          </cell>
          <cell r="F734" t="str">
            <v>750</v>
          </cell>
          <cell r="G734">
            <v>17</v>
          </cell>
          <cell r="H734">
            <v>12</v>
          </cell>
          <cell r="I734" t="str">
            <v>3234</v>
          </cell>
          <cell r="L734">
            <v>1</v>
          </cell>
          <cell r="M734">
            <v>20.5</v>
          </cell>
        </row>
        <row r="735">
          <cell r="C735" t="str">
            <v>45014</v>
          </cell>
          <cell r="D735" t="str">
            <v>CROWN ROYAL BLACK CHERRY WHISKY SOUR</v>
          </cell>
          <cell r="E735" t="str">
            <v>DIAGEO CANADA INC.</v>
          </cell>
          <cell r="F735" t="str">
            <v>375</v>
          </cell>
          <cell r="G735">
            <v>23</v>
          </cell>
          <cell r="H735">
            <v>12</v>
          </cell>
          <cell r="I735" t="str">
            <v>3224</v>
          </cell>
          <cell r="L735">
            <v>1</v>
          </cell>
          <cell r="M735">
            <v>18.079999999999998</v>
          </cell>
        </row>
        <row r="736">
          <cell r="C736" t="str">
            <v>40211</v>
          </cell>
          <cell r="D736" t="str">
            <v>LUXARDO MARASCHINO</v>
          </cell>
          <cell r="E736" t="str">
            <v>GIROLAMO LUXARDO SPA</v>
          </cell>
          <cell r="F736" t="str">
            <v>750</v>
          </cell>
          <cell r="G736">
            <v>32</v>
          </cell>
          <cell r="H736">
            <v>6</v>
          </cell>
          <cell r="I736" t="str">
            <v>1535</v>
          </cell>
          <cell r="L736">
            <v>1</v>
          </cell>
          <cell r="M736">
            <v>36.94</v>
          </cell>
        </row>
        <row r="737">
          <cell r="C737" t="str">
            <v>15710</v>
          </cell>
          <cell r="D737" t="str">
            <v>McGUINNESS CHERRY BRANDY</v>
          </cell>
          <cell r="E737" t="str">
            <v>CORBY DISTILLERIES LIMITED</v>
          </cell>
          <cell r="F737" t="str">
            <v>750</v>
          </cell>
          <cell r="G737">
            <v>15</v>
          </cell>
          <cell r="H737">
            <v>12</v>
          </cell>
          <cell r="I737" t="str">
            <v>3234</v>
          </cell>
          <cell r="L737">
            <v>1</v>
          </cell>
          <cell r="M737">
            <v>21.1</v>
          </cell>
        </row>
        <row r="738">
          <cell r="C738" t="str">
            <v>3080</v>
          </cell>
          <cell r="D738" t="str">
            <v>McGUINNESS CHERRY WHISKY</v>
          </cell>
          <cell r="E738" t="str">
            <v>CORBY DISTILLERIES LIMITED</v>
          </cell>
          <cell r="F738" t="str">
            <v>375</v>
          </cell>
          <cell r="G738">
            <v>15</v>
          </cell>
          <cell r="H738">
            <v>12</v>
          </cell>
          <cell r="I738" t="str">
            <v>3234</v>
          </cell>
          <cell r="L738">
            <v>1</v>
          </cell>
          <cell r="M738">
            <v>13.5</v>
          </cell>
        </row>
        <row r="739">
          <cell r="C739" t="str">
            <v>3081</v>
          </cell>
          <cell r="D739" t="str">
            <v>McGUINNESS CHERRY WHISKY</v>
          </cell>
          <cell r="E739" t="str">
            <v>CORBY DISTILLERIES LIMITED</v>
          </cell>
          <cell r="F739" t="str">
            <v>750</v>
          </cell>
          <cell r="G739">
            <v>15</v>
          </cell>
          <cell r="H739">
            <v>12</v>
          </cell>
          <cell r="I739" t="str">
            <v>3234</v>
          </cell>
          <cell r="L739">
            <v>1</v>
          </cell>
          <cell r="M739">
            <v>21.3</v>
          </cell>
        </row>
        <row r="740">
          <cell r="C740" t="str">
            <v>1408</v>
          </cell>
          <cell r="D740" t="str">
            <v>BOLS BLUE CURACAO</v>
          </cell>
          <cell r="E740" t="str">
            <v>LUCAS BOLS BV</v>
          </cell>
          <cell r="F740" t="str">
            <v>750</v>
          </cell>
          <cell r="G740">
            <v>21</v>
          </cell>
          <cell r="H740">
            <v>12</v>
          </cell>
          <cell r="I740" t="str">
            <v>205871</v>
          </cell>
          <cell r="L740">
            <v>1</v>
          </cell>
          <cell r="M740">
            <v>18.32</v>
          </cell>
        </row>
        <row r="741">
          <cell r="C741" t="str">
            <v>5379</v>
          </cell>
          <cell r="D741" t="str">
            <v>BOLS TRIPLE SEC</v>
          </cell>
          <cell r="E741" t="str">
            <v>LUCAS BOLS BV</v>
          </cell>
          <cell r="F741" t="str">
            <v>750</v>
          </cell>
          <cell r="G741">
            <v>24</v>
          </cell>
          <cell r="H741">
            <v>12</v>
          </cell>
          <cell r="I741" t="str">
            <v>205871</v>
          </cell>
          <cell r="L741">
            <v>1</v>
          </cell>
          <cell r="M741">
            <v>18.399999999999999</v>
          </cell>
        </row>
        <row r="742">
          <cell r="C742" t="str">
            <v>19265</v>
          </cell>
          <cell r="D742" t="str">
            <v>COINTREAU</v>
          </cell>
          <cell r="E742" t="str">
            <v>CLS REMY-COINTREAU</v>
          </cell>
          <cell r="F742" t="str">
            <v>750</v>
          </cell>
          <cell r="G742">
            <v>40</v>
          </cell>
          <cell r="H742">
            <v>12</v>
          </cell>
          <cell r="I742" t="str">
            <v>194112</v>
          </cell>
          <cell r="L742">
            <v>1</v>
          </cell>
          <cell r="M742">
            <v>38.479999999999997</v>
          </cell>
        </row>
        <row r="743">
          <cell r="C743" t="str">
            <v>2497</v>
          </cell>
          <cell r="D743" t="str">
            <v>GRAND MARNIER CORDON ROUGE</v>
          </cell>
          <cell r="E743" t="str">
            <v>CAMPARI INTERNATIONAL FRANCE</v>
          </cell>
          <cell r="F743" t="str">
            <v>375</v>
          </cell>
          <cell r="G743">
            <v>40</v>
          </cell>
          <cell r="H743">
            <v>12</v>
          </cell>
          <cell r="I743" t="str">
            <v>1041</v>
          </cell>
          <cell r="L743">
            <v>1</v>
          </cell>
          <cell r="M743">
            <v>25.01</v>
          </cell>
        </row>
        <row r="744">
          <cell r="C744" t="str">
            <v>2498</v>
          </cell>
          <cell r="D744" t="str">
            <v>GRAND MARNIER CORDON ROUGE</v>
          </cell>
          <cell r="E744" t="str">
            <v>CAMPARI INTERNATIONAL FRANCE</v>
          </cell>
          <cell r="F744" t="str">
            <v>750</v>
          </cell>
          <cell r="G744">
            <v>40</v>
          </cell>
          <cell r="H744">
            <v>12</v>
          </cell>
          <cell r="I744" t="str">
            <v>1041</v>
          </cell>
          <cell r="L744">
            <v>1</v>
          </cell>
          <cell r="M744">
            <v>43.02</v>
          </cell>
        </row>
        <row r="745">
          <cell r="C745" t="str">
            <v>12721</v>
          </cell>
          <cell r="D745" t="str">
            <v>GRAND MARNIER CORDON ROUGE</v>
          </cell>
          <cell r="E745" t="str">
            <v>CAMPARI INTERNATIONAL FRANCE</v>
          </cell>
          <cell r="F745" t="str">
            <v>1140</v>
          </cell>
          <cell r="G745">
            <v>40</v>
          </cell>
          <cell r="H745">
            <v>6</v>
          </cell>
          <cell r="I745" t="str">
            <v>1041</v>
          </cell>
          <cell r="L745">
            <v>1</v>
          </cell>
          <cell r="M745">
            <v>59.02</v>
          </cell>
        </row>
        <row r="746">
          <cell r="C746" t="str">
            <v>30245</v>
          </cell>
          <cell r="D746" t="str">
            <v>GRAND MARNIER CUVEE LOUIS-ALEXANDRE</v>
          </cell>
          <cell r="E746" t="str">
            <v>MARNIER-LAPOSTOLLE</v>
          </cell>
          <cell r="F746" t="str">
            <v>750</v>
          </cell>
          <cell r="G746">
            <v>40</v>
          </cell>
          <cell r="H746">
            <v>6</v>
          </cell>
          <cell r="I746" t="str">
            <v>1041</v>
          </cell>
          <cell r="L746">
            <v>1</v>
          </cell>
          <cell r="M746">
            <v>72.52</v>
          </cell>
        </row>
        <row r="747">
          <cell r="C747" t="str">
            <v>3329</v>
          </cell>
          <cell r="D747" t="str">
            <v>MCGUINNESS ORANGE &amp; BRANDY</v>
          </cell>
          <cell r="E747" t="str">
            <v>CORBY DISTILLERIES LIMITED</v>
          </cell>
          <cell r="F747" t="str">
            <v>750</v>
          </cell>
          <cell r="G747">
            <v>35</v>
          </cell>
          <cell r="H747">
            <v>12</v>
          </cell>
          <cell r="I747" t="str">
            <v>3234</v>
          </cell>
          <cell r="L747">
            <v>1</v>
          </cell>
          <cell r="M747">
            <v>23.7</v>
          </cell>
        </row>
        <row r="748">
          <cell r="C748" t="str">
            <v>29054</v>
          </cell>
          <cell r="D748" t="str">
            <v>McGUINNESS TRIPLE SEC</v>
          </cell>
          <cell r="E748" t="str">
            <v>CORBY DISTILLERIES LIMITED</v>
          </cell>
          <cell r="F748" t="str">
            <v>375</v>
          </cell>
          <cell r="G748">
            <v>22</v>
          </cell>
          <cell r="H748">
            <v>12</v>
          </cell>
          <cell r="I748" t="str">
            <v>3237</v>
          </cell>
          <cell r="L748">
            <v>1</v>
          </cell>
          <cell r="M748">
            <v>11.1</v>
          </cell>
        </row>
        <row r="749">
          <cell r="C749" t="str">
            <v>3126</v>
          </cell>
          <cell r="D749" t="str">
            <v>MEAGHERS TRIPLE SEC</v>
          </cell>
          <cell r="E749" t="str">
            <v>CORBY DISTILLERIES LIMITED</v>
          </cell>
          <cell r="F749" t="str">
            <v>750</v>
          </cell>
          <cell r="G749">
            <v>35</v>
          </cell>
          <cell r="H749">
            <v>12</v>
          </cell>
          <cell r="I749" t="str">
            <v>3234</v>
          </cell>
          <cell r="L749">
            <v>1</v>
          </cell>
          <cell r="M749">
            <v>24.2</v>
          </cell>
        </row>
        <row r="750">
          <cell r="C750" t="str">
            <v>6593</v>
          </cell>
          <cell r="D750" t="str">
            <v>ALIZE BLEU PASSION</v>
          </cell>
          <cell r="E750" t="str">
            <v>L &amp; LSA</v>
          </cell>
          <cell r="F750" t="str">
            <v>750</v>
          </cell>
          <cell r="G750">
            <v>14.9</v>
          </cell>
          <cell r="H750">
            <v>12</v>
          </cell>
          <cell r="I750" t="str">
            <v>1535</v>
          </cell>
          <cell r="L750">
            <v>1</v>
          </cell>
          <cell r="M750">
            <v>25.99</v>
          </cell>
        </row>
        <row r="751">
          <cell r="C751" t="str">
            <v>1410</v>
          </cell>
          <cell r="D751" t="str">
            <v>BOLS CREME DE BANANA</v>
          </cell>
          <cell r="E751" t="str">
            <v>LUCAS BOLS BV</v>
          </cell>
          <cell r="F751" t="str">
            <v>750</v>
          </cell>
          <cell r="G751">
            <v>17</v>
          </cell>
          <cell r="H751">
            <v>12</v>
          </cell>
          <cell r="I751" t="str">
            <v>205871</v>
          </cell>
          <cell r="L751">
            <v>1</v>
          </cell>
          <cell r="M751">
            <v>18.2</v>
          </cell>
        </row>
        <row r="752">
          <cell r="C752" t="str">
            <v>1413</v>
          </cell>
          <cell r="D752" t="str">
            <v>BOLS MELON</v>
          </cell>
          <cell r="E752" t="str">
            <v>LUCAS BOLS BV</v>
          </cell>
          <cell r="F752" t="str">
            <v>750</v>
          </cell>
          <cell r="G752">
            <v>17</v>
          </cell>
          <cell r="H752">
            <v>12</v>
          </cell>
          <cell r="I752" t="str">
            <v>205871</v>
          </cell>
          <cell r="L752">
            <v>1</v>
          </cell>
          <cell r="M752">
            <v>18.2</v>
          </cell>
        </row>
        <row r="753">
          <cell r="C753" t="str">
            <v>2473</v>
          </cell>
          <cell r="D753" t="str">
            <v>GOLDEN PEAR</v>
          </cell>
          <cell r="E753" t="str">
            <v>ZWACK UNICUM CO</v>
          </cell>
          <cell r="F753" t="str">
            <v>750</v>
          </cell>
          <cell r="G753">
            <v>30</v>
          </cell>
          <cell r="H753">
            <v>12</v>
          </cell>
          <cell r="I753" t="str">
            <v>3243</v>
          </cell>
          <cell r="L753">
            <v>1</v>
          </cell>
          <cell r="M753">
            <v>23.31</v>
          </cell>
        </row>
        <row r="754">
          <cell r="C754" t="str">
            <v>5402</v>
          </cell>
          <cell r="D754" t="str">
            <v>HPNOTIQ</v>
          </cell>
          <cell r="E754" t="str">
            <v>HEAVEN HILL INC.</v>
          </cell>
          <cell r="F754" t="str">
            <v>750</v>
          </cell>
          <cell r="G754">
            <v>17</v>
          </cell>
          <cell r="H754">
            <v>6</v>
          </cell>
          <cell r="I754" t="str">
            <v>194112</v>
          </cell>
          <cell r="L754">
            <v>1</v>
          </cell>
          <cell r="M754">
            <v>36.56</v>
          </cell>
        </row>
        <row r="755">
          <cell r="C755" t="str">
            <v>44357</v>
          </cell>
          <cell r="D755" t="str">
            <v>IL TRAMONTO LIMONCELLO</v>
          </cell>
          <cell r="E755" t="str">
            <v>POLINI</v>
          </cell>
          <cell r="F755" t="str">
            <v>750</v>
          </cell>
          <cell r="G755">
            <v>30</v>
          </cell>
          <cell r="H755">
            <v>6</v>
          </cell>
          <cell r="I755" t="str">
            <v>206239</v>
          </cell>
          <cell r="L755">
            <v>1</v>
          </cell>
          <cell r="M755">
            <v>26.99</v>
          </cell>
        </row>
        <row r="756">
          <cell r="C756" t="str">
            <v>3004</v>
          </cell>
          <cell r="D756" t="str">
            <v>LUXARDO  LIMONCELLO</v>
          </cell>
          <cell r="E756" t="str">
            <v>GIROLAMO LUXARDO SPA</v>
          </cell>
          <cell r="F756" t="str">
            <v>750</v>
          </cell>
          <cell r="G756">
            <v>27</v>
          </cell>
          <cell r="H756">
            <v>12</v>
          </cell>
          <cell r="I756" t="str">
            <v>1535</v>
          </cell>
          <cell r="L756">
            <v>1</v>
          </cell>
          <cell r="M756">
            <v>20.61</v>
          </cell>
        </row>
        <row r="757">
          <cell r="C757" t="str">
            <v>3209</v>
          </cell>
          <cell r="D757" t="str">
            <v>MIDORI MELON</v>
          </cell>
          <cell r="E757" t="str">
            <v>BEAM SUNTORY UK ltd</v>
          </cell>
          <cell r="F757" t="str">
            <v>750</v>
          </cell>
          <cell r="G757">
            <v>20</v>
          </cell>
          <cell r="H757">
            <v>12</v>
          </cell>
          <cell r="I757" t="str">
            <v>3242</v>
          </cell>
          <cell r="L757">
            <v>1</v>
          </cell>
          <cell r="M757">
            <v>26.44</v>
          </cell>
        </row>
        <row r="758">
          <cell r="C758" t="str">
            <v>40783</v>
          </cell>
          <cell r="D758" t="str">
            <v>OLMECA ALTOS MARGARITA CLASSIC LIME</v>
          </cell>
          <cell r="E758" t="str">
            <v>PERNOD RICARD MEXICO</v>
          </cell>
          <cell r="F758" t="str">
            <v>750</v>
          </cell>
          <cell r="G758">
            <v>15</v>
          </cell>
          <cell r="H758">
            <v>6</v>
          </cell>
          <cell r="I758" t="str">
            <v>3237</v>
          </cell>
          <cell r="L758">
            <v>1</v>
          </cell>
          <cell r="M758">
            <v>20.9</v>
          </cell>
        </row>
        <row r="759">
          <cell r="C759" t="str">
            <v>43416</v>
          </cell>
          <cell r="D759" t="str">
            <v>ON THE ROCKS JALAPENO PINEAPPLE MARG</v>
          </cell>
          <cell r="E759" t="str">
            <v>STRONG SPIRITS</v>
          </cell>
          <cell r="F759" t="str">
            <v>375</v>
          </cell>
          <cell r="G759">
            <v>20</v>
          </cell>
          <cell r="H759">
            <v>12</v>
          </cell>
          <cell r="I759" t="str">
            <v>3242</v>
          </cell>
          <cell r="L759">
            <v>1</v>
          </cell>
          <cell r="M759">
            <v>17.739999999999998</v>
          </cell>
        </row>
        <row r="760">
          <cell r="C760" t="str">
            <v>3607</v>
          </cell>
          <cell r="D760" t="str">
            <v>PHILLIPS BLACKBERRY BRANDY</v>
          </cell>
          <cell r="E760" t="str">
            <v>PHILLIPS DISTILLING COMPANY</v>
          </cell>
          <cell r="F760" t="str">
            <v>375</v>
          </cell>
          <cell r="G760">
            <v>35</v>
          </cell>
          <cell r="H760">
            <v>24</v>
          </cell>
          <cell r="I760" t="str">
            <v>1338</v>
          </cell>
          <cell r="L760">
            <v>1</v>
          </cell>
          <cell r="M760">
            <v>12.59</v>
          </cell>
        </row>
        <row r="761">
          <cell r="C761" t="str">
            <v>14543</v>
          </cell>
          <cell r="D761" t="str">
            <v>ROSSI D'ASIAGO LIMONCELLO</v>
          </cell>
          <cell r="E761" t="str">
            <v>ANTICHE DISTILLERIE RIUNIUTE SRL</v>
          </cell>
          <cell r="F761" t="str">
            <v>750</v>
          </cell>
          <cell r="G761">
            <v>32</v>
          </cell>
          <cell r="H761">
            <v>12</v>
          </cell>
          <cell r="I761" t="str">
            <v>1537</v>
          </cell>
          <cell r="L761">
            <v>1</v>
          </cell>
          <cell r="M761">
            <v>20.95</v>
          </cell>
        </row>
        <row r="762">
          <cell r="C762" t="str">
            <v>31817</v>
          </cell>
          <cell r="D762" t="str">
            <v>SOUR PUSS BLUE TROPICAL</v>
          </cell>
          <cell r="E762" t="str">
            <v>PHILLIPS DISTILLING COMPANY</v>
          </cell>
          <cell r="F762" t="str">
            <v>375</v>
          </cell>
          <cell r="G762">
            <v>15</v>
          </cell>
          <cell r="H762">
            <v>24</v>
          </cell>
          <cell r="I762" t="str">
            <v>1338</v>
          </cell>
          <cell r="L762">
            <v>1</v>
          </cell>
          <cell r="M762">
            <v>9.48</v>
          </cell>
        </row>
        <row r="763">
          <cell r="C763" t="str">
            <v>27940</v>
          </cell>
          <cell r="D763" t="str">
            <v>SOUR PUSS BLUE TROPICAL</v>
          </cell>
          <cell r="E763" t="str">
            <v>PHILLIPS DISTILLING COMPANY</v>
          </cell>
          <cell r="F763" t="str">
            <v>750</v>
          </cell>
          <cell r="G763">
            <v>15</v>
          </cell>
          <cell r="H763">
            <v>12</v>
          </cell>
          <cell r="I763" t="str">
            <v>1338</v>
          </cell>
          <cell r="L763">
            <v>1</v>
          </cell>
          <cell r="M763">
            <v>19</v>
          </cell>
        </row>
        <row r="764">
          <cell r="C764" t="str">
            <v>43417</v>
          </cell>
          <cell r="D764" t="str">
            <v>SOUR PUSS GOLDEN</v>
          </cell>
          <cell r="E764" t="str">
            <v>PHILLIPS DISTILLING COMPANY</v>
          </cell>
          <cell r="F764" t="str">
            <v>750</v>
          </cell>
          <cell r="G764">
            <v>15</v>
          </cell>
          <cell r="H764">
            <v>12</v>
          </cell>
          <cell r="I764" t="str">
            <v>1338</v>
          </cell>
          <cell r="L764">
            <v>1</v>
          </cell>
          <cell r="M764">
            <v>16.149999999999999</v>
          </cell>
        </row>
        <row r="765">
          <cell r="C765" t="str">
            <v>20977</v>
          </cell>
          <cell r="D765" t="str">
            <v>DR McGILLICUDDY'S PEACH SCHNAPPS</v>
          </cell>
          <cell r="E765" t="str">
            <v>SAZERAC COMPANY INC</v>
          </cell>
          <cell r="F765" t="str">
            <v>375</v>
          </cell>
          <cell r="G765">
            <v>21</v>
          </cell>
          <cell r="H765">
            <v>24</v>
          </cell>
          <cell r="I765" t="str">
            <v>1537</v>
          </cell>
          <cell r="L765">
            <v>1</v>
          </cell>
          <cell r="M765">
            <v>10.62</v>
          </cell>
        </row>
        <row r="766">
          <cell r="C766" t="str">
            <v>2235</v>
          </cell>
          <cell r="D766" t="str">
            <v>DR McGILLICUDDY'S PEACH SCHNAPPS</v>
          </cell>
          <cell r="E766" t="str">
            <v>SAZERAC COMPANY INC</v>
          </cell>
          <cell r="F766" t="str">
            <v>750</v>
          </cell>
          <cell r="G766">
            <v>21</v>
          </cell>
          <cell r="H766">
            <v>12</v>
          </cell>
          <cell r="I766" t="str">
            <v>1537</v>
          </cell>
          <cell r="L766">
            <v>1</v>
          </cell>
          <cell r="M766">
            <v>17.690000000000001</v>
          </cell>
        </row>
        <row r="767">
          <cell r="C767" t="str">
            <v>39746</v>
          </cell>
          <cell r="D767" t="str">
            <v>DR McGILLICUDDY'S PEACH SCHNAPPS</v>
          </cell>
          <cell r="E767" t="str">
            <v>SAZERAC COMPANY INC</v>
          </cell>
          <cell r="F767" t="str">
            <v>1140</v>
          </cell>
          <cell r="G767">
            <v>21</v>
          </cell>
          <cell r="H767">
            <v>12</v>
          </cell>
          <cell r="I767" t="str">
            <v>1537</v>
          </cell>
          <cell r="L767">
            <v>1</v>
          </cell>
          <cell r="M767">
            <v>25.15</v>
          </cell>
        </row>
        <row r="768">
          <cell r="C768" t="str">
            <v>16294</v>
          </cell>
          <cell r="D768" t="str">
            <v>MCGUINNESS PEACH SCHNAPPS</v>
          </cell>
          <cell r="E768" t="str">
            <v>CORBY DISTILLERIES LIMITED</v>
          </cell>
          <cell r="F768" t="str">
            <v>750</v>
          </cell>
          <cell r="G768">
            <v>15</v>
          </cell>
          <cell r="H768">
            <v>12</v>
          </cell>
          <cell r="I768" t="str">
            <v>3237</v>
          </cell>
          <cell r="L768">
            <v>1</v>
          </cell>
          <cell r="M768">
            <v>20.3</v>
          </cell>
        </row>
        <row r="769">
          <cell r="C769" t="str">
            <v>43041</v>
          </cell>
          <cell r="D769" t="str">
            <v>ABSOLUT RASPBERRY LEMONADE</v>
          </cell>
          <cell r="E769" t="str">
            <v>HIRAM WALKER &amp; SONS LTD</v>
          </cell>
          <cell r="F769" t="str">
            <v>750</v>
          </cell>
          <cell r="G769">
            <v>15</v>
          </cell>
          <cell r="H769">
            <v>12</v>
          </cell>
          <cell r="I769" t="str">
            <v>3234</v>
          </cell>
          <cell r="L769">
            <v>1</v>
          </cell>
          <cell r="M769">
            <v>20.9</v>
          </cell>
        </row>
        <row r="770">
          <cell r="C770" t="str">
            <v>1857</v>
          </cell>
          <cell r="D770" t="str">
            <v>CHAMBORD ROYALE</v>
          </cell>
          <cell r="E770" t="str">
            <v>CHAMBORD ET CIE SARL</v>
          </cell>
          <cell r="F770" t="str">
            <v>750</v>
          </cell>
          <cell r="G770">
            <v>16.5</v>
          </cell>
          <cell r="H770">
            <v>12</v>
          </cell>
          <cell r="I770" t="str">
            <v>1230</v>
          </cell>
          <cell r="L770">
            <v>1</v>
          </cell>
          <cell r="M770">
            <v>42.93</v>
          </cell>
        </row>
        <row r="771">
          <cell r="C771" t="str">
            <v>47271</v>
          </cell>
          <cell r="D771" t="str">
            <v>GRAFFITI SOUR RASPBERRY</v>
          </cell>
          <cell r="E771" t="str">
            <v>HIGHWOOD DISTILLERS</v>
          </cell>
          <cell r="F771" t="str">
            <v>750</v>
          </cell>
          <cell r="G771">
            <v>15</v>
          </cell>
          <cell r="H771">
            <v>12</v>
          </cell>
          <cell r="I771" t="str">
            <v>1021</v>
          </cell>
          <cell r="L771">
            <v>1</v>
          </cell>
          <cell r="M771">
            <v>15.51</v>
          </cell>
        </row>
        <row r="772">
          <cell r="C772" t="str">
            <v>44745</v>
          </cell>
          <cell r="D772" t="str">
            <v>PHILLIPS RASPBERRY RIPPLE</v>
          </cell>
          <cell r="E772" t="str">
            <v>PHILLIPS DISTILLING COMPANY</v>
          </cell>
          <cell r="F772" t="str">
            <v>750</v>
          </cell>
          <cell r="G772">
            <v>17</v>
          </cell>
          <cell r="H772">
            <v>12</v>
          </cell>
          <cell r="I772" t="str">
            <v>194112</v>
          </cell>
          <cell r="L772">
            <v>1</v>
          </cell>
          <cell r="M772">
            <v>20.18</v>
          </cell>
        </row>
        <row r="773">
          <cell r="C773" t="str">
            <v>3628</v>
          </cell>
          <cell r="D773" t="str">
            <v>SOUR PUSS RASPBERRY</v>
          </cell>
          <cell r="E773" t="str">
            <v>PHILLIPS DISTILLING COMPANY</v>
          </cell>
          <cell r="F773" t="str">
            <v>50</v>
          </cell>
          <cell r="G773">
            <v>15</v>
          </cell>
          <cell r="H773">
            <v>120</v>
          </cell>
          <cell r="I773" t="str">
            <v>1338</v>
          </cell>
          <cell r="L773">
            <v>1</v>
          </cell>
          <cell r="M773">
            <v>2.5299999999999998</v>
          </cell>
        </row>
        <row r="774">
          <cell r="C774" t="str">
            <v>21004</v>
          </cell>
          <cell r="D774" t="str">
            <v>SOUR PUSS RASPBERRY</v>
          </cell>
          <cell r="E774" t="str">
            <v>PHILLIPS DISTILLING COMPANY</v>
          </cell>
          <cell r="F774" t="str">
            <v>200</v>
          </cell>
          <cell r="G774">
            <v>15</v>
          </cell>
          <cell r="H774">
            <v>48</v>
          </cell>
          <cell r="I774" t="str">
            <v>1338</v>
          </cell>
          <cell r="L774">
            <v>1</v>
          </cell>
          <cell r="M774">
            <v>7.94</v>
          </cell>
        </row>
        <row r="775">
          <cell r="C775" t="str">
            <v>3629</v>
          </cell>
          <cell r="D775" t="str">
            <v>SOUR PUSS RASPBERRY</v>
          </cell>
          <cell r="E775" t="str">
            <v>PHILLIPS DISTILLING COMPANY</v>
          </cell>
          <cell r="F775" t="str">
            <v>375</v>
          </cell>
          <cell r="G775">
            <v>15</v>
          </cell>
          <cell r="H775">
            <v>24</v>
          </cell>
          <cell r="I775" t="str">
            <v>1338</v>
          </cell>
          <cell r="L775">
            <v>1</v>
          </cell>
          <cell r="M775">
            <v>9.48</v>
          </cell>
        </row>
        <row r="776">
          <cell r="C776" t="str">
            <v>3631</v>
          </cell>
          <cell r="D776" t="str">
            <v>SOUR PUSS RASPBERRY</v>
          </cell>
          <cell r="E776" t="str">
            <v>PHILLIPS DISTILLING COMPANY</v>
          </cell>
          <cell r="F776" t="str">
            <v>750</v>
          </cell>
          <cell r="G776">
            <v>15</v>
          </cell>
          <cell r="H776">
            <v>12</v>
          </cell>
          <cell r="I776" t="str">
            <v>1338</v>
          </cell>
          <cell r="L776">
            <v>1</v>
          </cell>
          <cell r="M776">
            <v>19</v>
          </cell>
        </row>
        <row r="777">
          <cell r="C777" t="str">
            <v>5197</v>
          </cell>
          <cell r="D777" t="str">
            <v>SOUR PUSS RASPBERRY</v>
          </cell>
          <cell r="E777" t="str">
            <v>PHILLIPS DISTILLING COMPANY</v>
          </cell>
          <cell r="F777" t="str">
            <v>1140</v>
          </cell>
          <cell r="G777">
            <v>15</v>
          </cell>
          <cell r="H777">
            <v>12</v>
          </cell>
          <cell r="I777" t="str">
            <v>1338</v>
          </cell>
          <cell r="L777">
            <v>1</v>
          </cell>
          <cell r="M777">
            <v>23.84</v>
          </cell>
        </row>
        <row r="778">
          <cell r="C778" t="str">
            <v>43708</v>
          </cell>
          <cell r="D778" t="str">
            <v>BUZZBALLZ COCKTAIL STRAWBERRY 'RITA</v>
          </cell>
          <cell r="E778" t="str">
            <v>BUZZBALLZ</v>
          </cell>
          <cell r="F778" t="str">
            <v>200</v>
          </cell>
          <cell r="G778">
            <v>15</v>
          </cell>
          <cell r="H778">
            <v>24</v>
          </cell>
          <cell r="I778" t="str">
            <v>1537</v>
          </cell>
          <cell r="L778">
            <v>1</v>
          </cell>
          <cell r="M778">
            <v>5.28</v>
          </cell>
        </row>
        <row r="779">
          <cell r="C779" t="str">
            <v>44560</v>
          </cell>
          <cell r="D779" t="str">
            <v>MALIBU STRAWBERRY RUM</v>
          </cell>
          <cell r="E779" t="str">
            <v>HIRAM WALKER &amp; SONS LTD</v>
          </cell>
          <cell r="F779" t="str">
            <v>750</v>
          </cell>
          <cell r="G779">
            <v>21</v>
          </cell>
          <cell r="H779">
            <v>12</v>
          </cell>
          <cell r="I779" t="str">
            <v>3234</v>
          </cell>
          <cell r="L779">
            <v>1</v>
          </cell>
          <cell r="M779">
            <v>23.4</v>
          </cell>
        </row>
        <row r="780">
          <cell r="C780" t="str">
            <v>43039</v>
          </cell>
          <cell r="D780" t="str">
            <v>OLMECA ALTOS STRAWBERRY MARGARITA</v>
          </cell>
          <cell r="E780" t="str">
            <v>PERNOD RICARD MEXICO</v>
          </cell>
          <cell r="F780" t="str">
            <v>750</v>
          </cell>
          <cell r="G780">
            <v>15</v>
          </cell>
          <cell r="H780">
            <v>6</v>
          </cell>
          <cell r="I780" t="str">
            <v>3237</v>
          </cell>
          <cell r="L780">
            <v>1</v>
          </cell>
          <cell r="M780">
            <v>20.9</v>
          </cell>
        </row>
        <row r="781">
          <cell r="C781" t="str">
            <v>43394</v>
          </cell>
          <cell r="D781" t="str">
            <v>ON THE ROCKS THE STRAWBERRY DAIQUIRI</v>
          </cell>
          <cell r="E781" t="str">
            <v>STRONG SPIRITS</v>
          </cell>
          <cell r="F781" t="str">
            <v>375</v>
          </cell>
          <cell r="G781">
            <v>20</v>
          </cell>
          <cell r="H781">
            <v>12</v>
          </cell>
          <cell r="I781" t="str">
            <v>3242</v>
          </cell>
          <cell r="L781">
            <v>1</v>
          </cell>
          <cell r="M781">
            <v>17.739999999999998</v>
          </cell>
        </row>
        <row r="782">
          <cell r="C782" t="str">
            <v>2238</v>
          </cell>
          <cell r="D782" t="str">
            <v>DRAMBUIE</v>
          </cell>
          <cell r="E782" t="str">
            <v>WILLIAM GRANT &amp; SONS LTD UK</v>
          </cell>
          <cell r="F782" t="str">
            <v>375</v>
          </cell>
          <cell r="G782">
            <v>40</v>
          </cell>
          <cell r="H782">
            <v>12</v>
          </cell>
          <cell r="I782" t="str">
            <v>3243</v>
          </cell>
          <cell r="L782">
            <v>1</v>
          </cell>
          <cell r="M782">
            <v>21</v>
          </cell>
        </row>
        <row r="783">
          <cell r="C783" t="str">
            <v>2240</v>
          </cell>
          <cell r="D783" t="str">
            <v>DRAMBUIE</v>
          </cell>
          <cell r="E783" t="str">
            <v>WILLIAM GRANT &amp; SONS LTD UK</v>
          </cell>
          <cell r="F783" t="str">
            <v>750</v>
          </cell>
          <cell r="G783">
            <v>40</v>
          </cell>
          <cell r="H783">
            <v>12</v>
          </cell>
          <cell r="I783" t="str">
            <v>3243</v>
          </cell>
          <cell r="L783">
            <v>1</v>
          </cell>
          <cell r="M783">
            <v>37.26</v>
          </cell>
        </row>
        <row r="784">
          <cell r="C784" t="str">
            <v>20626</v>
          </cell>
          <cell r="D784" t="str">
            <v>GLAYVA</v>
          </cell>
          <cell r="E784" t="str">
            <v>WHYTE AND MACKAY LTD.</v>
          </cell>
          <cell r="F784" t="str">
            <v>750</v>
          </cell>
          <cell r="G784">
            <v>35</v>
          </cell>
          <cell r="H784">
            <v>12</v>
          </cell>
          <cell r="I784" t="str">
            <v>1009</v>
          </cell>
          <cell r="L784">
            <v>1</v>
          </cell>
          <cell r="M784">
            <v>35.99</v>
          </cell>
        </row>
        <row r="785">
          <cell r="C785" t="str">
            <v>5860</v>
          </cell>
          <cell r="D785" t="str">
            <v>GREEN TREE ABSINTHE</v>
          </cell>
          <cell r="E785" t="str">
            <v>CREATIVE TRADE s.r.o.</v>
          </cell>
          <cell r="F785" t="str">
            <v>500</v>
          </cell>
          <cell r="G785">
            <v>70</v>
          </cell>
          <cell r="H785">
            <v>6</v>
          </cell>
          <cell r="I785" t="str">
            <v>56086</v>
          </cell>
          <cell r="L785">
            <v>1</v>
          </cell>
          <cell r="M785">
            <v>39.29</v>
          </cell>
        </row>
        <row r="786">
          <cell r="C786" t="str">
            <v>5970</v>
          </cell>
          <cell r="D786" t="str">
            <v>JAGERMEISTER</v>
          </cell>
          <cell r="E786" t="str">
            <v>MAST-JAGERMEISTER SE</v>
          </cell>
          <cell r="F786" t="str">
            <v>375</v>
          </cell>
          <cell r="G786">
            <v>35</v>
          </cell>
          <cell r="H786">
            <v>12</v>
          </cell>
          <cell r="I786" t="str">
            <v>3243</v>
          </cell>
          <cell r="L786">
            <v>1</v>
          </cell>
          <cell r="M786">
            <v>15.26</v>
          </cell>
        </row>
        <row r="787">
          <cell r="C787" t="str">
            <v>2744</v>
          </cell>
          <cell r="D787" t="str">
            <v>JAGERMEISTER</v>
          </cell>
          <cell r="E787" t="str">
            <v>MAST-JAGERMEISTER SE</v>
          </cell>
          <cell r="F787" t="str">
            <v>750</v>
          </cell>
          <cell r="G787">
            <v>35</v>
          </cell>
          <cell r="H787">
            <v>12</v>
          </cell>
          <cell r="I787" t="str">
            <v>3243</v>
          </cell>
          <cell r="L787">
            <v>1</v>
          </cell>
          <cell r="M787">
            <v>28.37</v>
          </cell>
        </row>
        <row r="788">
          <cell r="C788" t="str">
            <v>7527</v>
          </cell>
          <cell r="D788" t="str">
            <v>JAGERMEISTER</v>
          </cell>
          <cell r="E788" t="str">
            <v>MAST-JAGERMEISTER SE</v>
          </cell>
          <cell r="F788" t="str">
            <v>1140</v>
          </cell>
          <cell r="G788">
            <v>35</v>
          </cell>
          <cell r="H788">
            <v>6</v>
          </cell>
          <cell r="I788" t="str">
            <v>3243</v>
          </cell>
          <cell r="L788">
            <v>1</v>
          </cell>
          <cell r="M788">
            <v>42.62</v>
          </cell>
        </row>
        <row r="789">
          <cell r="C789" t="str">
            <v>3662</v>
          </cell>
          <cell r="D789" t="str">
            <v>PIMM'S NO. 1 CUP</v>
          </cell>
          <cell r="E789" t="str">
            <v>DIAGEO SCOTLAND</v>
          </cell>
          <cell r="F789" t="str">
            <v>750</v>
          </cell>
          <cell r="G789">
            <v>25</v>
          </cell>
          <cell r="H789">
            <v>12</v>
          </cell>
          <cell r="I789" t="str">
            <v>3224</v>
          </cell>
          <cell r="L789">
            <v>1</v>
          </cell>
          <cell r="M789">
            <v>22.58</v>
          </cell>
        </row>
        <row r="790">
          <cell r="C790" t="str">
            <v>4224</v>
          </cell>
          <cell r="D790" t="str">
            <v>SOUTHERN COMFORT</v>
          </cell>
          <cell r="E790" t="str">
            <v>SAZERAC COMPANY INC</v>
          </cell>
          <cell r="F790" t="str">
            <v>375</v>
          </cell>
          <cell r="G790">
            <v>35</v>
          </cell>
          <cell r="H790">
            <v>24</v>
          </cell>
          <cell r="I790" t="str">
            <v>1537</v>
          </cell>
          <cell r="L790">
            <v>1</v>
          </cell>
          <cell r="M790">
            <v>12.19</v>
          </cell>
        </row>
        <row r="791">
          <cell r="C791" t="str">
            <v>4225</v>
          </cell>
          <cell r="D791" t="str">
            <v>SOUTHERN COMFORT</v>
          </cell>
          <cell r="E791" t="str">
            <v>SAZERAC COMPANY INC</v>
          </cell>
          <cell r="F791" t="str">
            <v>750</v>
          </cell>
          <cell r="G791">
            <v>35</v>
          </cell>
          <cell r="H791">
            <v>12</v>
          </cell>
          <cell r="I791" t="str">
            <v>1537</v>
          </cell>
          <cell r="L791">
            <v>1</v>
          </cell>
          <cell r="M791">
            <v>22.24</v>
          </cell>
        </row>
        <row r="792">
          <cell r="C792" t="str">
            <v>4226</v>
          </cell>
          <cell r="D792" t="str">
            <v>SOUTHERN COMFORT</v>
          </cell>
          <cell r="E792" t="str">
            <v>SAZERAC COMPANY INC</v>
          </cell>
          <cell r="F792" t="str">
            <v>1140</v>
          </cell>
          <cell r="G792">
            <v>35</v>
          </cell>
          <cell r="H792">
            <v>6</v>
          </cell>
          <cell r="I792" t="str">
            <v>1537</v>
          </cell>
          <cell r="L792">
            <v>1</v>
          </cell>
          <cell r="M792">
            <v>31.51</v>
          </cell>
        </row>
        <row r="793">
          <cell r="C793" t="str">
            <v>4631</v>
          </cell>
          <cell r="D793" t="str">
            <v>YUKON JACK</v>
          </cell>
          <cell r="E793" t="str">
            <v>DIAGEO CANADA INC</v>
          </cell>
          <cell r="F793" t="str">
            <v>750</v>
          </cell>
          <cell r="G793">
            <v>40</v>
          </cell>
          <cell r="H793">
            <v>12</v>
          </cell>
          <cell r="I793" t="str">
            <v>1537</v>
          </cell>
          <cell r="L793">
            <v>1</v>
          </cell>
          <cell r="M793">
            <v>20.79</v>
          </cell>
        </row>
        <row r="794">
          <cell r="C794" t="str">
            <v>2384</v>
          </cell>
          <cell r="D794" t="str">
            <v>GALLIANO</v>
          </cell>
          <cell r="E794" t="str">
            <v>LUCAS BOLS BV</v>
          </cell>
          <cell r="F794" t="str">
            <v>375</v>
          </cell>
          <cell r="G794">
            <v>30</v>
          </cell>
          <cell r="H794">
            <v>12</v>
          </cell>
          <cell r="I794" t="str">
            <v>205871</v>
          </cell>
          <cell r="L794">
            <v>1</v>
          </cell>
          <cell r="M794">
            <v>15.76</v>
          </cell>
        </row>
        <row r="795">
          <cell r="C795" t="str">
            <v>3543</v>
          </cell>
          <cell r="D795" t="str">
            <v>LUXARDO PASSIONE NERA BLACK SAMBUCA</v>
          </cell>
          <cell r="E795" t="str">
            <v>GIROLAMO LUXARDO SPA</v>
          </cell>
          <cell r="F795" t="str">
            <v>750</v>
          </cell>
          <cell r="G795">
            <v>38</v>
          </cell>
          <cell r="H795">
            <v>12</v>
          </cell>
          <cell r="I795" t="str">
            <v>1535</v>
          </cell>
          <cell r="L795">
            <v>1</v>
          </cell>
          <cell r="M795">
            <v>26.99</v>
          </cell>
        </row>
        <row r="796">
          <cell r="C796" t="str">
            <v>3010</v>
          </cell>
          <cell r="D796" t="str">
            <v>LUXARDO SAMBUCA</v>
          </cell>
          <cell r="E796" t="str">
            <v>GIROLAMO LUXARDO SPA</v>
          </cell>
          <cell r="F796" t="str">
            <v>375</v>
          </cell>
          <cell r="G796">
            <v>38</v>
          </cell>
          <cell r="H796">
            <v>24</v>
          </cell>
          <cell r="I796" t="str">
            <v>1535</v>
          </cell>
          <cell r="L796">
            <v>1</v>
          </cell>
          <cell r="M796">
            <v>14.47</v>
          </cell>
        </row>
        <row r="797">
          <cell r="C797" t="str">
            <v>3011</v>
          </cell>
          <cell r="D797" t="str">
            <v>LUXARDO SAMBUCA</v>
          </cell>
          <cell r="E797" t="str">
            <v>GIROLAMO LUXARDO SPA</v>
          </cell>
          <cell r="F797" t="str">
            <v>750</v>
          </cell>
          <cell r="G797">
            <v>38</v>
          </cell>
          <cell r="H797">
            <v>12</v>
          </cell>
          <cell r="I797" t="str">
            <v>1535</v>
          </cell>
          <cell r="L797">
            <v>1</v>
          </cell>
          <cell r="M797">
            <v>22.99</v>
          </cell>
        </row>
        <row r="798">
          <cell r="C798" t="str">
            <v>3012</v>
          </cell>
          <cell r="D798" t="str">
            <v>LUXARDO SAMBUCA</v>
          </cell>
          <cell r="E798" t="str">
            <v>GIROLAMO LUXARDO SPA</v>
          </cell>
          <cell r="F798" t="str">
            <v>1140</v>
          </cell>
          <cell r="G798">
            <v>38</v>
          </cell>
          <cell r="H798">
            <v>6</v>
          </cell>
          <cell r="I798" t="str">
            <v>1535</v>
          </cell>
          <cell r="L798">
            <v>1</v>
          </cell>
          <cell r="M798">
            <v>35.99</v>
          </cell>
        </row>
        <row r="799">
          <cell r="C799" t="str">
            <v>3512</v>
          </cell>
          <cell r="D799" t="str">
            <v>OUZO 12</v>
          </cell>
          <cell r="E799" t="str">
            <v>CAMPARI EUROPE</v>
          </cell>
          <cell r="F799" t="str">
            <v>750</v>
          </cell>
          <cell r="G799">
            <v>40</v>
          </cell>
          <cell r="H799">
            <v>12</v>
          </cell>
          <cell r="I799" t="str">
            <v>1041</v>
          </cell>
          <cell r="L799">
            <v>1</v>
          </cell>
          <cell r="M799">
            <v>22.52</v>
          </cell>
        </row>
        <row r="800">
          <cell r="C800" t="str">
            <v>43042</v>
          </cell>
          <cell r="D800" t="str">
            <v>DNO ABSOLUT MOJITO COCKTAIL</v>
          </cell>
          <cell r="E800" t="str">
            <v>HIRAM WALKER &amp; SONS LTD</v>
          </cell>
          <cell r="F800" t="str">
            <v>750</v>
          </cell>
          <cell r="G800">
            <v>15</v>
          </cell>
          <cell r="H800">
            <v>12</v>
          </cell>
          <cell r="I800" t="str">
            <v>3234</v>
          </cell>
          <cell r="L800">
            <v>1</v>
          </cell>
          <cell r="M800">
            <v>20.9</v>
          </cell>
        </row>
        <row r="801">
          <cell r="C801" t="str">
            <v>3085</v>
          </cell>
          <cell r="D801" t="str">
            <v>McGUINNESS CREME DE MENTHE GREEN</v>
          </cell>
          <cell r="E801" t="str">
            <v>CORBY DISTILLERIES LIMITED</v>
          </cell>
          <cell r="F801" t="str">
            <v>750</v>
          </cell>
          <cell r="G801">
            <v>15</v>
          </cell>
          <cell r="H801">
            <v>12</v>
          </cell>
          <cell r="I801" t="str">
            <v>3234</v>
          </cell>
          <cell r="L801">
            <v>1</v>
          </cell>
          <cell r="M801">
            <v>20.3</v>
          </cell>
        </row>
        <row r="802">
          <cell r="C802" t="str">
            <v>16293</v>
          </cell>
          <cell r="D802" t="str">
            <v>MCGUINNESS PEPPERMINT SCHNAPPS</v>
          </cell>
          <cell r="E802" t="str">
            <v>CORBY DISTILLERIES LIMITED</v>
          </cell>
          <cell r="F802" t="str">
            <v>750</v>
          </cell>
          <cell r="G802">
            <v>22</v>
          </cell>
          <cell r="H802">
            <v>12</v>
          </cell>
          <cell r="I802" t="str">
            <v>3237</v>
          </cell>
          <cell r="L802">
            <v>1</v>
          </cell>
          <cell r="M802">
            <v>21.5</v>
          </cell>
        </row>
        <row r="803">
          <cell r="C803" t="str">
            <v>1154</v>
          </cell>
          <cell r="D803" t="str">
            <v>B &amp; F FRANGELICO</v>
          </cell>
          <cell r="E803" t="str">
            <v>DAVIDE CAMPARI MILANO</v>
          </cell>
          <cell r="F803" t="str">
            <v>750</v>
          </cell>
          <cell r="G803">
            <v>20</v>
          </cell>
          <cell r="H803">
            <v>12</v>
          </cell>
          <cell r="I803" t="str">
            <v>1041</v>
          </cell>
          <cell r="L803">
            <v>1</v>
          </cell>
          <cell r="M803">
            <v>25.52</v>
          </cell>
        </row>
        <row r="804">
          <cell r="C804" t="str">
            <v>2678</v>
          </cell>
          <cell r="D804" t="str">
            <v>DISARONNO ORIGINALE AMARETTO</v>
          </cell>
          <cell r="E804" t="str">
            <v>ILLVA SARONNO SPA</v>
          </cell>
          <cell r="F804" t="str">
            <v>50</v>
          </cell>
          <cell r="G804">
            <v>28</v>
          </cell>
          <cell r="H804">
            <v>120</v>
          </cell>
          <cell r="I804" t="str">
            <v>1537</v>
          </cell>
          <cell r="L804">
            <v>1</v>
          </cell>
          <cell r="M804">
            <v>3.17</v>
          </cell>
        </row>
        <row r="805">
          <cell r="C805" t="str">
            <v>2680</v>
          </cell>
          <cell r="D805" t="str">
            <v>DISARONNO ORIGINALE AMARETTO</v>
          </cell>
          <cell r="E805" t="str">
            <v>ILLVA SARONNO SPA</v>
          </cell>
          <cell r="F805" t="str">
            <v>375</v>
          </cell>
          <cell r="G805">
            <v>28</v>
          </cell>
          <cell r="H805">
            <v>12</v>
          </cell>
          <cell r="I805" t="str">
            <v>1537</v>
          </cell>
          <cell r="L805">
            <v>1</v>
          </cell>
          <cell r="M805">
            <v>15.74</v>
          </cell>
        </row>
        <row r="806">
          <cell r="C806" t="str">
            <v>2681</v>
          </cell>
          <cell r="D806" t="str">
            <v>DISARONNO ORIGINALE AMARETTO</v>
          </cell>
          <cell r="E806" t="str">
            <v>ILLVA SARONNO SPA</v>
          </cell>
          <cell r="F806" t="str">
            <v>750</v>
          </cell>
          <cell r="G806">
            <v>28</v>
          </cell>
          <cell r="H806">
            <v>12</v>
          </cell>
          <cell r="I806" t="str">
            <v>1537</v>
          </cell>
          <cell r="L806">
            <v>1</v>
          </cell>
          <cell r="M806">
            <v>26.2</v>
          </cell>
        </row>
        <row r="807">
          <cell r="C807" t="str">
            <v>7070</v>
          </cell>
          <cell r="D807" t="str">
            <v>DISARONNO ORIGINALE AMARETTO</v>
          </cell>
          <cell r="E807" t="str">
            <v>ILLVA SARONNO SPA</v>
          </cell>
          <cell r="F807" t="str">
            <v>1140</v>
          </cell>
          <cell r="G807">
            <v>28</v>
          </cell>
          <cell r="H807">
            <v>6</v>
          </cell>
          <cell r="I807" t="str">
            <v>1537</v>
          </cell>
          <cell r="L807">
            <v>1</v>
          </cell>
          <cell r="M807">
            <v>36.08</v>
          </cell>
        </row>
        <row r="808">
          <cell r="C808" t="str">
            <v>2995</v>
          </cell>
          <cell r="D808" t="str">
            <v>LUXARDO AMARETTO DI SASCHIRA</v>
          </cell>
          <cell r="E808" t="str">
            <v>GIROLAMO LUXARDO SPA</v>
          </cell>
          <cell r="F808" t="str">
            <v>750</v>
          </cell>
          <cell r="G808">
            <v>24</v>
          </cell>
          <cell r="H808">
            <v>12</v>
          </cell>
          <cell r="I808" t="str">
            <v>1535</v>
          </cell>
          <cell r="L808">
            <v>1</v>
          </cell>
          <cell r="M808">
            <v>24.35</v>
          </cell>
        </row>
        <row r="809">
          <cell r="C809" t="str">
            <v>3066</v>
          </cell>
          <cell r="D809" t="str">
            <v>McGUINNESS AMARETTO DELL'AMOROSA</v>
          </cell>
          <cell r="E809" t="str">
            <v>CORBY DISTILLERIES LIMITED</v>
          </cell>
          <cell r="F809" t="str">
            <v>750</v>
          </cell>
          <cell r="G809">
            <v>23</v>
          </cell>
          <cell r="H809">
            <v>12</v>
          </cell>
          <cell r="I809" t="str">
            <v>3234</v>
          </cell>
          <cell r="L809">
            <v>1</v>
          </cell>
          <cell r="M809">
            <v>20.5</v>
          </cell>
        </row>
        <row r="810">
          <cell r="C810" t="str">
            <v>6372</v>
          </cell>
          <cell r="D810" t="str">
            <v>TRADER VIC'S MACADAMIA NUT LIQUEUR</v>
          </cell>
          <cell r="E810" t="str">
            <v>PHILLIPS DISTILLING COMPANY</v>
          </cell>
          <cell r="F810" t="str">
            <v>750</v>
          </cell>
          <cell r="G810">
            <v>26</v>
          </cell>
          <cell r="H810">
            <v>6</v>
          </cell>
          <cell r="I810" t="str">
            <v>194112</v>
          </cell>
          <cell r="L810">
            <v>1</v>
          </cell>
          <cell r="M810">
            <v>29.25</v>
          </cell>
        </row>
        <row r="811">
          <cell r="C811" t="str">
            <v>36562</v>
          </cell>
          <cell r="D811" t="str">
            <v>99 BANANAS</v>
          </cell>
          <cell r="E811" t="str">
            <v>SAZERAC OF CANADA INC.</v>
          </cell>
          <cell r="F811" t="str">
            <v>50</v>
          </cell>
          <cell r="G811">
            <v>49.5</v>
          </cell>
          <cell r="H811">
            <v>120</v>
          </cell>
          <cell r="I811" t="str">
            <v>1537</v>
          </cell>
          <cell r="L811">
            <v>1</v>
          </cell>
          <cell r="M811">
            <v>2.25</v>
          </cell>
        </row>
        <row r="812">
          <cell r="C812" t="str">
            <v>9251</v>
          </cell>
          <cell r="D812" t="str">
            <v>AGAVERO TEQUILA LIQUEUR</v>
          </cell>
          <cell r="E812" t="str">
            <v>PROXIMO SPIRITS INC LLC</v>
          </cell>
          <cell r="F812" t="str">
            <v>750</v>
          </cell>
          <cell r="G812">
            <v>32</v>
          </cell>
          <cell r="H812">
            <v>6</v>
          </cell>
          <cell r="I812" t="str">
            <v>128699</v>
          </cell>
          <cell r="L812">
            <v>1</v>
          </cell>
          <cell r="M812">
            <v>31.21</v>
          </cell>
        </row>
        <row r="813">
          <cell r="C813" t="str">
            <v>38259</v>
          </cell>
          <cell r="D813" t="str">
            <v>APEROL APERITIVO</v>
          </cell>
          <cell r="E813" t="str">
            <v>DAVIDE CAMPARI MILANO</v>
          </cell>
          <cell r="F813" t="str">
            <v>375</v>
          </cell>
          <cell r="G813">
            <v>11</v>
          </cell>
          <cell r="H813">
            <v>12</v>
          </cell>
          <cell r="I813" t="str">
            <v>1041</v>
          </cell>
          <cell r="L813">
            <v>1</v>
          </cell>
          <cell r="M813">
            <v>11.37</v>
          </cell>
        </row>
        <row r="814">
          <cell r="C814" t="str">
            <v>13371</v>
          </cell>
          <cell r="D814" t="str">
            <v>APEROL APERITIVO</v>
          </cell>
          <cell r="E814" t="str">
            <v>DAVIDE CAMPARI MILANO</v>
          </cell>
          <cell r="F814" t="str">
            <v>750</v>
          </cell>
          <cell r="G814">
            <v>11</v>
          </cell>
          <cell r="H814">
            <v>6</v>
          </cell>
          <cell r="I814" t="str">
            <v>1041</v>
          </cell>
          <cell r="L814">
            <v>1</v>
          </cell>
          <cell r="M814">
            <v>23.84</v>
          </cell>
        </row>
        <row r="815">
          <cell r="C815" t="str">
            <v>45013</v>
          </cell>
          <cell r="D815" t="str">
            <v>BULLEIT OLD FASHIONED COCKTAIL</v>
          </cell>
          <cell r="E815" t="str">
            <v>DIAGEO CANADA INC.</v>
          </cell>
          <cell r="F815" t="str">
            <v>375</v>
          </cell>
          <cell r="G815">
            <v>37.5</v>
          </cell>
          <cell r="H815">
            <v>12</v>
          </cell>
          <cell r="I815" t="str">
            <v>3224</v>
          </cell>
          <cell r="L815">
            <v>1</v>
          </cell>
          <cell r="M815">
            <v>18.079999999999998</v>
          </cell>
        </row>
        <row r="816">
          <cell r="C816" t="str">
            <v>43709</v>
          </cell>
          <cell r="D816" t="str">
            <v>BUZZBALLZ COCKTAIL TEQUILA 'RITA</v>
          </cell>
          <cell r="E816" t="str">
            <v>BUZZBALLZ</v>
          </cell>
          <cell r="F816" t="str">
            <v>200</v>
          </cell>
          <cell r="G816">
            <v>15</v>
          </cell>
          <cell r="H816">
            <v>24</v>
          </cell>
          <cell r="I816" t="str">
            <v>1537</v>
          </cell>
          <cell r="L816">
            <v>1</v>
          </cell>
          <cell r="M816">
            <v>5.28</v>
          </cell>
        </row>
        <row r="817">
          <cell r="C817" t="str">
            <v>1689</v>
          </cell>
          <cell r="D817" t="str">
            <v>CAMPARI</v>
          </cell>
          <cell r="E817" t="str">
            <v>DAVIDE CAMPARI MILANO</v>
          </cell>
          <cell r="F817" t="str">
            <v>750</v>
          </cell>
          <cell r="G817">
            <v>25</v>
          </cell>
          <cell r="H817">
            <v>12</v>
          </cell>
          <cell r="I817" t="str">
            <v>1041</v>
          </cell>
          <cell r="L817">
            <v>1</v>
          </cell>
          <cell r="M817">
            <v>27.51</v>
          </cell>
        </row>
        <row r="818">
          <cell r="C818" t="str">
            <v>30791</v>
          </cell>
          <cell r="D818" t="str">
            <v>DR MCGILLICUDDY'S INTENSE ROOT BEER</v>
          </cell>
          <cell r="E818" t="str">
            <v>SAZERAC OF CANADA INC.</v>
          </cell>
          <cell r="F818" t="str">
            <v>750</v>
          </cell>
          <cell r="G818">
            <v>21</v>
          </cell>
          <cell r="H818">
            <v>12</v>
          </cell>
          <cell r="I818" t="str">
            <v>1537</v>
          </cell>
          <cell r="L818">
            <v>1</v>
          </cell>
          <cell r="M818">
            <v>17.690000000000001</v>
          </cell>
        </row>
        <row r="819">
          <cell r="C819" t="str">
            <v>30790</v>
          </cell>
          <cell r="D819" t="str">
            <v>DR. MCGILLICUDDY'S WILD GRAPE</v>
          </cell>
          <cell r="E819" t="str">
            <v>SAZERAC OF CANADA INC.</v>
          </cell>
          <cell r="F819" t="str">
            <v>750</v>
          </cell>
          <cell r="G819">
            <v>21</v>
          </cell>
          <cell r="H819">
            <v>12</v>
          </cell>
          <cell r="I819" t="str">
            <v>1537</v>
          </cell>
          <cell r="L819">
            <v>1</v>
          </cell>
          <cell r="M819">
            <v>17.690000000000001</v>
          </cell>
        </row>
        <row r="820">
          <cell r="C820" t="str">
            <v>33527</v>
          </cell>
          <cell r="D820" t="str">
            <v>FIREBALL CINNAMON WHISKY</v>
          </cell>
          <cell r="E820" t="str">
            <v>SAZERAC COMPANY INC</v>
          </cell>
          <cell r="F820" t="str">
            <v>50</v>
          </cell>
          <cell r="G820">
            <v>33</v>
          </cell>
          <cell r="H820">
            <v>120</v>
          </cell>
          <cell r="I820" t="str">
            <v>1537</v>
          </cell>
          <cell r="L820">
            <v>1</v>
          </cell>
          <cell r="M820">
            <v>1.51</v>
          </cell>
        </row>
        <row r="821">
          <cell r="C821" t="str">
            <v>24212</v>
          </cell>
          <cell r="D821" t="str">
            <v>FIREBALL CINNAMON WHISKY</v>
          </cell>
          <cell r="E821" t="str">
            <v>SAZERAC COMPANY INC</v>
          </cell>
          <cell r="F821" t="str">
            <v>200</v>
          </cell>
          <cell r="G821">
            <v>33</v>
          </cell>
          <cell r="H821">
            <v>48</v>
          </cell>
          <cell r="I821" t="str">
            <v>1537</v>
          </cell>
          <cell r="L821">
            <v>1</v>
          </cell>
          <cell r="M821">
            <v>7.6</v>
          </cell>
        </row>
        <row r="822">
          <cell r="C822" t="str">
            <v>14725</v>
          </cell>
          <cell r="D822" t="str">
            <v>FIREBALL CINNAMON WHISKY</v>
          </cell>
          <cell r="E822" t="str">
            <v>SAZERAC COMPANY INC</v>
          </cell>
          <cell r="F822" t="str">
            <v>375</v>
          </cell>
          <cell r="G822">
            <v>33</v>
          </cell>
          <cell r="H822">
            <v>24</v>
          </cell>
          <cell r="I822" t="str">
            <v>1537</v>
          </cell>
          <cell r="L822">
            <v>1</v>
          </cell>
          <cell r="M822">
            <v>11.44</v>
          </cell>
        </row>
        <row r="823">
          <cell r="C823" t="str">
            <v>7203</v>
          </cell>
          <cell r="D823" t="str">
            <v>FIREBALL CINNAMON WHISKY</v>
          </cell>
          <cell r="E823" t="str">
            <v>SAZERAC COMPANY INC</v>
          </cell>
          <cell r="F823" t="str">
            <v>750</v>
          </cell>
          <cell r="G823">
            <v>33</v>
          </cell>
          <cell r="H823">
            <v>12</v>
          </cell>
          <cell r="I823" t="str">
            <v>1537</v>
          </cell>
          <cell r="L823">
            <v>1</v>
          </cell>
          <cell r="M823">
            <v>20.63</v>
          </cell>
        </row>
        <row r="824">
          <cell r="C824" t="str">
            <v>22463</v>
          </cell>
          <cell r="D824" t="str">
            <v>FIREBALL CINNAMON WHISKY</v>
          </cell>
          <cell r="E824" t="str">
            <v>SAZERAC COMPANY INC</v>
          </cell>
          <cell r="F824" t="str">
            <v>1140</v>
          </cell>
          <cell r="G824">
            <v>33</v>
          </cell>
          <cell r="H824">
            <v>12</v>
          </cell>
          <cell r="I824" t="str">
            <v>1537</v>
          </cell>
          <cell r="L824">
            <v>1</v>
          </cell>
          <cell r="M824">
            <v>28.58</v>
          </cell>
        </row>
        <row r="825">
          <cell r="C825" t="str">
            <v>27284</v>
          </cell>
          <cell r="D825" t="str">
            <v>FIREBALL CINNAMON WHISKY</v>
          </cell>
          <cell r="E825" t="str">
            <v>SAZERAC COMPANY INC</v>
          </cell>
          <cell r="F825" t="str">
            <v>1750</v>
          </cell>
          <cell r="G825">
            <v>33</v>
          </cell>
          <cell r="H825">
            <v>6</v>
          </cell>
          <cell r="I825" t="str">
            <v>1537</v>
          </cell>
          <cell r="L825">
            <v>1</v>
          </cell>
          <cell r="M825">
            <v>39.43</v>
          </cell>
        </row>
        <row r="826">
          <cell r="C826" t="str">
            <v>36285</v>
          </cell>
          <cell r="D826" t="str">
            <v>FIREBALL CINNAMON WHISKY LIQUEUR</v>
          </cell>
          <cell r="E826" t="str">
            <v>SAZERAC OF CANADA INC.</v>
          </cell>
          <cell r="F826" t="str">
            <v>300</v>
          </cell>
          <cell r="G826">
            <v>33</v>
          </cell>
          <cell r="H826">
            <v>20</v>
          </cell>
          <cell r="I826" t="str">
            <v>1537</v>
          </cell>
          <cell r="L826">
            <v>6</v>
          </cell>
          <cell r="M826">
            <v>9.24</v>
          </cell>
        </row>
        <row r="827">
          <cell r="C827" t="str">
            <v>36127</v>
          </cell>
          <cell r="D827" t="str">
            <v>GOLDSCHLAGER CINNAMON SCHNAPPS</v>
          </cell>
          <cell r="E827" t="str">
            <v>SAZERAC COMPANY INC</v>
          </cell>
          <cell r="F827" t="str">
            <v>375</v>
          </cell>
          <cell r="G827">
            <v>40</v>
          </cell>
          <cell r="H827">
            <v>12</v>
          </cell>
          <cell r="I827" t="str">
            <v>1537</v>
          </cell>
          <cell r="L827">
            <v>1</v>
          </cell>
          <cell r="M827">
            <v>14.48</v>
          </cell>
        </row>
        <row r="828">
          <cell r="C828" t="str">
            <v>2642</v>
          </cell>
          <cell r="D828" t="str">
            <v>HIGHWOOD PARALYZER MIX</v>
          </cell>
          <cell r="E828" t="str">
            <v>HIGHWOOD DISTILLERS</v>
          </cell>
          <cell r="F828" t="str">
            <v>750</v>
          </cell>
          <cell r="G828">
            <v>34.9</v>
          </cell>
          <cell r="H828">
            <v>12</v>
          </cell>
          <cell r="I828" t="str">
            <v>1021</v>
          </cell>
          <cell r="L828">
            <v>1</v>
          </cell>
          <cell r="M828">
            <v>19.55</v>
          </cell>
        </row>
        <row r="829">
          <cell r="C829" t="str">
            <v>2643</v>
          </cell>
          <cell r="D829" t="str">
            <v>HIGHWOOD PARALYZER MIX</v>
          </cell>
          <cell r="E829" t="str">
            <v>HIGHWOOD DISTILLERS</v>
          </cell>
          <cell r="F829" t="str">
            <v>1140</v>
          </cell>
          <cell r="G829">
            <v>34.9</v>
          </cell>
          <cell r="H829">
            <v>12</v>
          </cell>
          <cell r="I829" t="str">
            <v>1021</v>
          </cell>
          <cell r="L829">
            <v>1</v>
          </cell>
          <cell r="M829">
            <v>27.78</v>
          </cell>
        </row>
        <row r="830">
          <cell r="C830" t="str">
            <v>18458</v>
          </cell>
          <cell r="D830" t="str">
            <v>ICEBOX BLACK RUSSIAN</v>
          </cell>
          <cell r="E830" t="str">
            <v>HIRAM WALKER &amp; SONS LTD</v>
          </cell>
          <cell r="F830" t="str">
            <v>1140</v>
          </cell>
          <cell r="G830">
            <v>34.9</v>
          </cell>
          <cell r="H830">
            <v>12</v>
          </cell>
          <cell r="I830" t="str">
            <v>1537</v>
          </cell>
          <cell r="L830">
            <v>1</v>
          </cell>
          <cell r="M830">
            <v>28.35</v>
          </cell>
        </row>
        <row r="831">
          <cell r="C831" t="str">
            <v>18594</v>
          </cell>
          <cell r="D831" t="str">
            <v>ICEBOX LONG ISLAND  ICED TEA</v>
          </cell>
          <cell r="E831" t="str">
            <v>HIRAM WALKER &amp; SONS LTD</v>
          </cell>
          <cell r="F831" t="str">
            <v>750</v>
          </cell>
          <cell r="G831">
            <v>38</v>
          </cell>
          <cell r="H831">
            <v>12</v>
          </cell>
          <cell r="I831" t="str">
            <v>1537</v>
          </cell>
          <cell r="L831">
            <v>1</v>
          </cell>
          <cell r="M831">
            <v>20.71</v>
          </cell>
        </row>
        <row r="832">
          <cell r="C832" t="str">
            <v>18479</v>
          </cell>
          <cell r="D832" t="str">
            <v>ICEBOX LONG ISLAND  ICED TEA</v>
          </cell>
          <cell r="E832" t="str">
            <v>HIRAM WALKER &amp; SONS LTD</v>
          </cell>
          <cell r="F832" t="str">
            <v>1140</v>
          </cell>
          <cell r="G832">
            <v>38</v>
          </cell>
          <cell r="H832">
            <v>12</v>
          </cell>
          <cell r="I832" t="str">
            <v>1537</v>
          </cell>
          <cell r="L832">
            <v>1</v>
          </cell>
          <cell r="M832">
            <v>29.16</v>
          </cell>
        </row>
        <row r="833">
          <cell r="C833" t="str">
            <v>15601</v>
          </cell>
          <cell r="D833" t="str">
            <v>LICOR 43</v>
          </cell>
          <cell r="E833" t="str">
            <v>DIEGO ZAMORA SA</v>
          </cell>
          <cell r="F833" t="str">
            <v>750</v>
          </cell>
          <cell r="G833">
            <v>31</v>
          </cell>
          <cell r="H833">
            <v>12</v>
          </cell>
          <cell r="I833" t="str">
            <v>74883</v>
          </cell>
          <cell r="L833">
            <v>1</v>
          </cell>
          <cell r="M833">
            <v>29</v>
          </cell>
        </row>
        <row r="834">
          <cell r="C834" t="str">
            <v>26904</v>
          </cell>
          <cell r="D834" t="str">
            <v>MCGUINNESS BLUE CURACAO</v>
          </cell>
          <cell r="E834" t="str">
            <v>HIRAM WALKER &amp; SONS LTD</v>
          </cell>
          <cell r="F834" t="str">
            <v>375</v>
          </cell>
          <cell r="G834">
            <v>15</v>
          </cell>
          <cell r="H834">
            <v>12</v>
          </cell>
          <cell r="I834" t="str">
            <v>3237</v>
          </cell>
          <cell r="L834">
            <v>1</v>
          </cell>
          <cell r="M834">
            <v>10.5</v>
          </cell>
        </row>
        <row r="835">
          <cell r="C835" t="str">
            <v>16535</v>
          </cell>
          <cell r="D835" t="str">
            <v>MIAMI VICE TWISTED SHOTZ</v>
          </cell>
          <cell r="E835" t="str">
            <v>INDEPENDENT LIQUOR LTD</v>
          </cell>
          <cell r="F835" t="str">
            <v>120</v>
          </cell>
          <cell r="G835">
            <v>20</v>
          </cell>
          <cell r="H835">
            <v>18</v>
          </cell>
          <cell r="I835" t="str">
            <v>130768</v>
          </cell>
          <cell r="L835">
            <v>4</v>
          </cell>
          <cell r="M835">
            <v>9.5</v>
          </cell>
        </row>
        <row r="836">
          <cell r="C836" t="str">
            <v>33674</v>
          </cell>
          <cell r="D836" t="str">
            <v>ON THE ROCKS THE MARGARITA</v>
          </cell>
          <cell r="E836" t="str">
            <v>ON THE ROCKS PREMIUM COCKTAILS</v>
          </cell>
          <cell r="F836" t="str">
            <v>375</v>
          </cell>
          <cell r="G836">
            <v>20</v>
          </cell>
          <cell r="H836">
            <v>12</v>
          </cell>
          <cell r="I836" t="str">
            <v>3242</v>
          </cell>
          <cell r="L836">
            <v>1</v>
          </cell>
          <cell r="M836">
            <v>17.75</v>
          </cell>
        </row>
        <row r="837">
          <cell r="C837" t="str">
            <v>33676</v>
          </cell>
          <cell r="D837" t="str">
            <v>ON THE ROCKS THE OLD FASHIONED</v>
          </cell>
          <cell r="E837" t="str">
            <v>ON THE ROCKS PREMIUM COCKTAILS</v>
          </cell>
          <cell r="F837" t="str">
            <v>375</v>
          </cell>
          <cell r="G837">
            <v>35</v>
          </cell>
          <cell r="H837">
            <v>12</v>
          </cell>
          <cell r="I837" t="str">
            <v>3242</v>
          </cell>
          <cell r="L837">
            <v>1</v>
          </cell>
          <cell r="M837">
            <v>17.8</v>
          </cell>
        </row>
        <row r="838">
          <cell r="C838" t="str">
            <v>3613</v>
          </cell>
          <cell r="D838" t="str">
            <v>PHILLIPS HOT 100 CINNAMON</v>
          </cell>
          <cell r="E838" t="str">
            <v>PHILLIPS DISTILLING COMPANY</v>
          </cell>
          <cell r="F838" t="str">
            <v>375</v>
          </cell>
          <cell r="G838">
            <v>50</v>
          </cell>
          <cell r="H838">
            <v>24</v>
          </cell>
          <cell r="I838" t="str">
            <v>1338</v>
          </cell>
          <cell r="L838">
            <v>1</v>
          </cell>
          <cell r="M838">
            <v>13.92</v>
          </cell>
        </row>
        <row r="839">
          <cell r="C839" t="str">
            <v>3622</v>
          </cell>
          <cell r="D839" t="str">
            <v>PHILLIPS ROOT BEER SCHNAPPS</v>
          </cell>
          <cell r="E839" t="str">
            <v>PHILLIPS DISTILLING COMPANY</v>
          </cell>
          <cell r="F839" t="str">
            <v>375</v>
          </cell>
          <cell r="G839">
            <v>15</v>
          </cell>
          <cell r="H839">
            <v>24</v>
          </cell>
          <cell r="I839" t="str">
            <v>1338</v>
          </cell>
          <cell r="L839">
            <v>1</v>
          </cell>
          <cell r="M839">
            <v>9.48</v>
          </cell>
        </row>
        <row r="840">
          <cell r="C840" t="str">
            <v>6166</v>
          </cell>
          <cell r="D840" t="str">
            <v>PHILLIPS ROOT BEER SCHNAPPS</v>
          </cell>
          <cell r="E840" t="str">
            <v>PHILLIPS DISTILLING COMPANY</v>
          </cell>
          <cell r="F840" t="str">
            <v>750</v>
          </cell>
          <cell r="G840">
            <v>15</v>
          </cell>
          <cell r="H840">
            <v>12</v>
          </cell>
          <cell r="I840" t="str">
            <v>194112</v>
          </cell>
          <cell r="L840">
            <v>1</v>
          </cell>
          <cell r="M840">
            <v>15.36</v>
          </cell>
        </row>
        <row r="841">
          <cell r="C841" t="str">
            <v>3726</v>
          </cell>
          <cell r="D841" t="str">
            <v>POTTERS PARALYZER MIX</v>
          </cell>
          <cell r="E841" t="str">
            <v>POTTER'S DISTILLERS CORPORATION</v>
          </cell>
          <cell r="F841" t="str">
            <v>1140</v>
          </cell>
          <cell r="G841">
            <v>34.9</v>
          </cell>
          <cell r="H841">
            <v>12</v>
          </cell>
          <cell r="I841" t="str">
            <v>1021</v>
          </cell>
          <cell r="L841">
            <v>1</v>
          </cell>
          <cell r="M841">
            <v>27.78</v>
          </cell>
        </row>
        <row r="842">
          <cell r="C842" t="str">
            <v>22282</v>
          </cell>
          <cell r="D842" t="str">
            <v>RAINBOW BULLET ASSORTED SHOOTERS</v>
          </cell>
          <cell r="E842" t="str">
            <v>HIGHWOOD DISTILLERS</v>
          </cell>
          <cell r="F842" t="str">
            <v>28</v>
          </cell>
          <cell r="G842">
            <v>16</v>
          </cell>
          <cell r="H842">
            <v>106</v>
          </cell>
          <cell r="I842" t="str">
            <v>1021</v>
          </cell>
          <cell r="L842">
            <v>1</v>
          </cell>
          <cell r="M842">
            <v>1.45</v>
          </cell>
        </row>
        <row r="843">
          <cell r="C843" t="str">
            <v>8774</v>
          </cell>
          <cell r="D843" t="str">
            <v>SEX ON THE BEACH TWISTED SHOTZ</v>
          </cell>
          <cell r="E843" t="str">
            <v>INDEPENDENT LIQUOR LTD</v>
          </cell>
          <cell r="F843" t="str">
            <v>120</v>
          </cell>
          <cell r="G843">
            <v>20</v>
          </cell>
          <cell r="H843">
            <v>18</v>
          </cell>
          <cell r="I843" t="str">
            <v>130768</v>
          </cell>
          <cell r="L843">
            <v>4</v>
          </cell>
          <cell r="M843">
            <v>9.5</v>
          </cell>
        </row>
        <row r="844">
          <cell r="C844" t="str">
            <v>8736</v>
          </cell>
          <cell r="D844" t="str">
            <v>SORTILEGE ORIGINAL LIQUEUR</v>
          </cell>
          <cell r="E844" t="str">
            <v>MAISON DES FUTAILLES</v>
          </cell>
          <cell r="F844" t="str">
            <v>750</v>
          </cell>
          <cell r="G844">
            <v>30</v>
          </cell>
          <cell r="H844">
            <v>12</v>
          </cell>
          <cell r="I844" t="str">
            <v>205873</v>
          </cell>
          <cell r="L844">
            <v>1</v>
          </cell>
          <cell r="M844">
            <v>24.67</v>
          </cell>
        </row>
        <row r="845">
          <cell r="C845" t="str">
            <v>44397</v>
          </cell>
          <cell r="D845" t="str">
            <v>SOUR PUSS TOP SECRET</v>
          </cell>
          <cell r="E845" t="str">
            <v>PHILLIPS DISTILLING COMPANY</v>
          </cell>
          <cell r="F845" t="str">
            <v>750</v>
          </cell>
          <cell r="G845">
            <v>15</v>
          </cell>
          <cell r="H845">
            <v>12</v>
          </cell>
          <cell r="I845" t="str">
            <v>1338</v>
          </cell>
          <cell r="L845">
            <v>1</v>
          </cell>
          <cell r="M845">
            <v>26.29</v>
          </cell>
        </row>
        <row r="846">
          <cell r="C846" t="str">
            <v>35138</v>
          </cell>
          <cell r="D846" t="str">
            <v>ST GERMAIN ELDERFLOWER LIQUEUR</v>
          </cell>
          <cell r="E846" t="str">
            <v>BACARDI MARTINI PRODUCTION</v>
          </cell>
          <cell r="F846" t="str">
            <v>375</v>
          </cell>
          <cell r="G846">
            <v>20</v>
          </cell>
          <cell r="H846">
            <v>12</v>
          </cell>
          <cell r="I846" t="str">
            <v>3233</v>
          </cell>
          <cell r="L846">
            <v>1</v>
          </cell>
          <cell r="M846">
            <v>21</v>
          </cell>
        </row>
        <row r="847">
          <cell r="C847" t="str">
            <v>14182</v>
          </cell>
          <cell r="D847" t="str">
            <v>ST GERMAIN ELDERFLOWER LIQUEUR</v>
          </cell>
          <cell r="E847" t="str">
            <v>SAP PLANT FR 18</v>
          </cell>
          <cell r="F847" t="str">
            <v>750</v>
          </cell>
          <cell r="G847">
            <v>20</v>
          </cell>
          <cell r="H847">
            <v>6</v>
          </cell>
          <cell r="I847" t="str">
            <v>3233</v>
          </cell>
          <cell r="L847">
            <v>1</v>
          </cell>
          <cell r="M847">
            <v>39</v>
          </cell>
        </row>
        <row r="848">
          <cell r="C848" t="str">
            <v>11693</v>
          </cell>
          <cell r="D848" t="str">
            <v>SWEET SIPPIN CANADIAN MAPLE WHISKY</v>
          </cell>
          <cell r="E848" t="str">
            <v>HIGHWOOD DISTILLERS</v>
          </cell>
          <cell r="F848" t="str">
            <v>750</v>
          </cell>
          <cell r="G848">
            <v>22</v>
          </cell>
          <cell r="H848">
            <v>6</v>
          </cell>
          <cell r="I848" t="str">
            <v>1021</v>
          </cell>
          <cell r="L848">
            <v>1</v>
          </cell>
          <cell r="M848">
            <v>35.14</v>
          </cell>
        </row>
        <row r="849">
          <cell r="C849" t="str">
            <v>33807</v>
          </cell>
          <cell r="D849" t="str">
            <v>TWISTED SHOTZ ISLAND THUNDER</v>
          </cell>
          <cell r="E849" t="str">
            <v>INDEPENDENT LIQUOR LTD</v>
          </cell>
          <cell r="F849" t="str">
            <v>120</v>
          </cell>
          <cell r="G849">
            <v>20</v>
          </cell>
          <cell r="H849">
            <v>18</v>
          </cell>
          <cell r="I849" t="str">
            <v>130768</v>
          </cell>
          <cell r="L849">
            <v>4</v>
          </cell>
          <cell r="M849">
            <v>9.5</v>
          </cell>
        </row>
        <row r="850">
          <cell r="C850" t="str">
            <v>31065</v>
          </cell>
          <cell r="D850" t="str">
            <v>TWISTED SHOTZ PUSSY CAT</v>
          </cell>
          <cell r="E850" t="str">
            <v>INDEPENDENT LIQUOR LTD</v>
          </cell>
          <cell r="F850" t="str">
            <v>120</v>
          </cell>
          <cell r="G850">
            <v>20</v>
          </cell>
          <cell r="H850">
            <v>18</v>
          </cell>
          <cell r="I850" t="str">
            <v>130768</v>
          </cell>
          <cell r="L850">
            <v>4</v>
          </cell>
          <cell r="M850">
            <v>9.5</v>
          </cell>
        </row>
        <row r="851">
          <cell r="C851" t="str">
            <v>24813</v>
          </cell>
          <cell r="D851" t="str">
            <v>TWISTED SHOTZ SHOT BOX</v>
          </cell>
          <cell r="E851" t="str">
            <v>INDEPENDENT LIQUOR LTD</v>
          </cell>
          <cell r="F851" t="str">
            <v>360</v>
          </cell>
          <cell r="G851">
            <v>20</v>
          </cell>
          <cell r="H851">
            <v>6</v>
          </cell>
          <cell r="I851" t="str">
            <v>130768</v>
          </cell>
          <cell r="L851">
            <v>12</v>
          </cell>
          <cell r="M851">
            <v>24.03</v>
          </cell>
        </row>
        <row r="852">
          <cell r="C852" t="str">
            <v>2249</v>
          </cell>
          <cell r="D852" t="str">
            <v>DUBONNET TONIC RED</v>
          </cell>
          <cell r="E852" t="str">
            <v>PERNOD RICARD SAS</v>
          </cell>
          <cell r="F852" t="str">
            <v>750</v>
          </cell>
          <cell r="G852">
            <v>14.8</v>
          </cell>
          <cell r="H852">
            <v>12</v>
          </cell>
          <cell r="I852" t="str">
            <v>3237</v>
          </cell>
          <cell r="K852" t="str">
            <v>S</v>
          </cell>
          <cell r="L852">
            <v>1</v>
          </cell>
          <cell r="M852">
            <v>22.31</v>
          </cell>
        </row>
        <row r="853">
          <cell r="C853" t="str">
            <v>2053</v>
          </cell>
          <cell r="D853" t="str">
            <v>CINZANO ROSSO MELLOW</v>
          </cell>
          <cell r="E853" t="str">
            <v>FRANCESCO CINZANO &amp; COMPANY</v>
          </cell>
          <cell r="F853" t="str">
            <v>1000</v>
          </cell>
          <cell r="G853">
            <v>15</v>
          </cell>
          <cell r="H853">
            <v>6</v>
          </cell>
          <cell r="I853" t="str">
            <v>205873</v>
          </cell>
          <cell r="K853" t="str">
            <v>S</v>
          </cell>
          <cell r="L853">
            <v>1</v>
          </cell>
          <cell r="M853">
            <v>11.81</v>
          </cell>
        </row>
        <row r="854">
          <cell r="C854" t="str">
            <v>3046</v>
          </cell>
          <cell r="D854" t="str">
            <v>MARTINI &amp; ROSSI EXTRA DRY VERMOUTH</v>
          </cell>
          <cell r="E854" t="str">
            <v>MARTINI &amp; ROSSI</v>
          </cell>
          <cell r="F854" t="str">
            <v>500</v>
          </cell>
          <cell r="G854">
            <v>18</v>
          </cell>
          <cell r="H854">
            <v>12</v>
          </cell>
          <cell r="I854" t="str">
            <v>3233</v>
          </cell>
          <cell r="K854" t="str">
            <v>D</v>
          </cell>
          <cell r="L854">
            <v>1</v>
          </cell>
          <cell r="M854">
            <v>8</v>
          </cell>
        </row>
        <row r="855">
          <cell r="C855" t="str">
            <v>3047</v>
          </cell>
          <cell r="D855" t="str">
            <v>MARTINI &amp; ROSSI EXTRA DRY VERMOUTH</v>
          </cell>
          <cell r="E855" t="str">
            <v>MARTINI &amp; ROSSI</v>
          </cell>
          <cell r="F855" t="str">
            <v>1000</v>
          </cell>
          <cell r="G855">
            <v>18</v>
          </cell>
          <cell r="H855">
            <v>6</v>
          </cell>
          <cell r="I855" t="str">
            <v>3233</v>
          </cell>
          <cell r="K855" t="str">
            <v>D</v>
          </cell>
          <cell r="L855">
            <v>1</v>
          </cell>
          <cell r="M855">
            <v>14</v>
          </cell>
        </row>
        <row r="856">
          <cell r="C856" t="str">
            <v>3048</v>
          </cell>
          <cell r="D856" t="str">
            <v>MARTINI &amp; ROSSI SWEET VERMOUTH</v>
          </cell>
          <cell r="E856" t="str">
            <v>MARTINI &amp; ROSSI</v>
          </cell>
          <cell r="F856" t="str">
            <v>500</v>
          </cell>
          <cell r="G856">
            <v>15</v>
          </cell>
          <cell r="H856">
            <v>12</v>
          </cell>
          <cell r="I856" t="str">
            <v>3233</v>
          </cell>
          <cell r="K856" t="str">
            <v>S</v>
          </cell>
          <cell r="L856">
            <v>1</v>
          </cell>
          <cell r="M856">
            <v>8</v>
          </cell>
        </row>
        <row r="857">
          <cell r="C857" t="str">
            <v>3049</v>
          </cell>
          <cell r="D857" t="str">
            <v>MARTINI &amp; ROSSI SWEET VERMOUTH</v>
          </cell>
          <cell r="E857" t="str">
            <v>MARTINI &amp; ROSSI</v>
          </cell>
          <cell r="F857" t="str">
            <v>1000</v>
          </cell>
          <cell r="G857">
            <v>15</v>
          </cell>
          <cell r="H857">
            <v>6</v>
          </cell>
          <cell r="I857" t="str">
            <v>3233</v>
          </cell>
          <cell r="K857" t="str">
            <v>S</v>
          </cell>
          <cell r="L857">
            <v>1</v>
          </cell>
          <cell r="M857">
            <v>14</v>
          </cell>
        </row>
        <row r="858">
          <cell r="C858" t="str">
            <v>1462</v>
          </cell>
          <cell r="D858" t="str">
            <v>BRIGHT 74 PORT</v>
          </cell>
          <cell r="E858" t="str">
            <v>ARTERRA WINES CANADA INC</v>
          </cell>
          <cell r="F858" t="str">
            <v>750</v>
          </cell>
          <cell r="G858">
            <v>20</v>
          </cell>
          <cell r="H858">
            <v>12</v>
          </cell>
          <cell r="I858" t="str">
            <v>1008</v>
          </cell>
          <cell r="K858" t="str">
            <v>S</v>
          </cell>
          <cell r="L858">
            <v>1</v>
          </cell>
          <cell r="M858">
            <v>8.82</v>
          </cell>
        </row>
        <row r="859">
          <cell r="C859" t="str">
            <v>4300</v>
          </cell>
          <cell r="D859" t="str">
            <v>TAYLOR FLADGATE FINE WHITE PORT</v>
          </cell>
          <cell r="E859" t="str">
            <v>TAYLOR FLADGATE &amp; YEATMAN-VIN</v>
          </cell>
          <cell r="F859" t="str">
            <v>750</v>
          </cell>
          <cell r="G859">
            <v>20</v>
          </cell>
          <cell r="H859">
            <v>12</v>
          </cell>
          <cell r="I859" t="str">
            <v>3238</v>
          </cell>
          <cell r="K859" t="str">
            <v>MD</v>
          </cell>
          <cell r="L859">
            <v>1</v>
          </cell>
          <cell r="M859">
            <v>20.71</v>
          </cell>
        </row>
        <row r="860">
          <cell r="C860" t="str">
            <v>2487</v>
          </cell>
          <cell r="D860" t="str">
            <v>GRAHAM'S SIX GRAPES SPECIAL RESERVE PORT</v>
          </cell>
          <cell r="E860" t="str">
            <v>SYMINGTON FAMILY ESTATES, VINHOS, LDA</v>
          </cell>
          <cell r="F860" t="str">
            <v>750</v>
          </cell>
          <cell r="G860">
            <v>20</v>
          </cell>
          <cell r="H860">
            <v>12</v>
          </cell>
          <cell r="I860" t="str">
            <v>1009</v>
          </cell>
          <cell r="K860" t="str">
            <v>MS</v>
          </cell>
          <cell r="L860">
            <v>1</v>
          </cell>
          <cell r="M860">
            <v>29.03</v>
          </cell>
        </row>
        <row r="861">
          <cell r="C861" t="str">
            <v>5640</v>
          </cell>
          <cell r="D861" t="str">
            <v>TAYLOR FLADGATE 10 YR OLD TAWNY PORT</v>
          </cell>
          <cell r="E861" t="str">
            <v>TAYLOR FLADGATE &amp; YEATMAN-VIN</v>
          </cell>
          <cell r="F861" t="str">
            <v>750</v>
          </cell>
          <cell r="G861">
            <v>20</v>
          </cell>
          <cell r="H861">
            <v>12</v>
          </cell>
          <cell r="I861" t="str">
            <v>3238</v>
          </cell>
          <cell r="K861" t="str">
            <v>S</v>
          </cell>
          <cell r="L861">
            <v>1</v>
          </cell>
          <cell r="M861">
            <v>45.59</v>
          </cell>
        </row>
        <row r="862">
          <cell r="C862" t="str">
            <v>4295</v>
          </cell>
          <cell r="D862" t="str">
            <v>TAYLOR FLADGATE 20 YR OLD TAWNY PORT</v>
          </cell>
          <cell r="E862" t="str">
            <v>TAYLOR FLADGATE &amp; YEATMAN-VIN</v>
          </cell>
          <cell r="F862" t="str">
            <v>750</v>
          </cell>
          <cell r="G862">
            <v>20</v>
          </cell>
          <cell r="H862">
            <v>12</v>
          </cell>
          <cell r="I862" t="str">
            <v>3238</v>
          </cell>
          <cell r="K862" t="str">
            <v>S</v>
          </cell>
          <cell r="L862">
            <v>1</v>
          </cell>
          <cell r="M862">
            <v>75.459999999999994</v>
          </cell>
        </row>
        <row r="863">
          <cell r="C863" t="str">
            <v>5639</v>
          </cell>
          <cell r="D863" t="str">
            <v>TAYLOR FLADGATE FIRST ESTATE</v>
          </cell>
          <cell r="E863" t="str">
            <v>TAYLOR FLADGATE &amp; YEATMAN-VIN</v>
          </cell>
          <cell r="F863" t="str">
            <v>750</v>
          </cell>
          <cell r="G863">
            <v>20</v>
          </cell>
          <cell r="H863">
            <v>12</v>
          </cell>
          <cell r="I863" t="str">
            <v>3238</v>
          </cell>
          <cell r="K863" t="str">
            <v>S</v>
          </cell>
          <cell r="L863">
            <v>1</v>
          </cell>
          <cell r="M863">
            <v>22.1</v>
          </cell>
        </row>
        <row r="864">
          <cell r="C864" t="str">
            <v>4301</v>
          </cell>
          <cell r="D864" t="str">
            <v>TAYLOR FLADGATE LATE BOTTLED VNTG PORT</v>
          </cell>
          <cell r="E864" t="str">
            <v>TAYLOR FLADGATE &amp; YEATMAN-VIN</v>
          </cell>
          <cell r="F864" t="str">
            <v>750</v>
          </cell>
          <cell r="G864">
            <v>20</v>
          </cell>
          <cell r="H864">
            <v>12</v>
          </cell>
          <cell r="I864" t="str">
            <v>3238</v>
          </cell>
          <cell r="K864" t="str">
            <v>S</v>
          </cell>
          <cell r="L864">
            <v>1</v>
          </cell>
          <cell r="M864">
            <v>27.33</v>
          </cell>
        </row>
        <row r="865">
          <cell r="C865" t="str">
            <v>3524</v>
          </cell>
          <cell r="D865" t="str">
            <v>KWV PAARL RICH RUBY PORT</v>
          </cell>
          <cell r="E865" t="str">
            <v>K.W.V.</v>
          </cell>
          <cell r="F865" t="str">
            <v>750</v>
          </cell>
          <cell r="G865">
            <v>17.5</v>
          </cell>
          <cell r="H865">
            <v>12</v>
          </cell>
          <cell r="I865" t="str">
            <v>1537</v>
          </cell>
          <cell r="K865" t="str">
            <v>MS</v>
          </cell>
          <cell r="L865">
            <v>1</v>
          </cell>
          <cell r="M865">
            <v>11.31</v>
          </cell>
        </row>
        <row r="866">
          <cell r="C866" t="str">
            <v>1463</v>
          </cell>
          <cell r="D866" t="str">
            <v>BRIGHT 74 SHERRY</v>
          </cell>
          <cell r="E866" t="str">
            <v>ARTERRA WINES CANADA INC</v>
          </cell>
          <cell r="F866" t="str">
            <v>750</v>
          </cell>
          <cell r="G866">
            <v>20</v>
          </cell>
          <cell r="H866">
            <v>12</v>
          </cell>
          <cell r="I866" t="str">
            <v>1008</v>
          </cell>
          <cell r="K866" t="str">
            <v>S</v>
          </cell>
          <cell r="L866">
            <v>1</v>
          </cell>
          <cell r="M866">
            <v>9.19</v>
          </cell>
        </row>
        <row r="867">
          <cell r="C867" t="str">
            <v>41274</v>
          </cell>
          <cell r="D867" t="str">
            <v>BRIGHTS BRANVIN SHERRY</v>
          </cell>
          <cell r="E867" t="str">
            <v>ARTERRA WINES CANADA INC</v>
          </cell>
          <cell r="F867" t="str">
            <v>1500</v>
          </cell>
          <cell r="G867">
            <v>20</v>
          </cell>
          <cell r="H867">
            <v>6</v>
          </cell>
          <cell r="I867" t="str">
            <v>1008</v>
          </cell>
          <cell r="K867" t="str">
            <v>S</v>
          </cell>
          <cell r="L867">
            <v>1</v>
          </cell>
          <cell r="M867">
            <v>16.12</v>
          </cell>
        </row>
        <row r="868">
          <cell r="C868" t="str">
            <v>2984</v>
          </cell>
          <cell r="D868" t="str">
            <v>LONDON WESTMINSTER SHERRY</v>
          </cell>
          <cell r="E868" t="str">
            <v>LONDON WINERY LIMITED</v>
          </cell>
          <cell r="F868" t="str">
            <v>750</v>
          </cell>
          <cell r="G868">
            <v>20</v>
          </cell>
          <cell r="H868">
            <v>12</v>
          </cell>
          <cell r="I868" t="str">
            <v>1008</v>
          </cell>
          <cell r="K868" t="str">
            <v>MS</v>
          </cell>
          <cell r="L868">
            <v>1</v>
          </cell>
          <cell r="M868">
            <v>9.15</v>
          </cell>
        </row>
        <row r="869">
          <cell r="C869" t="str">
            <v>2985</v>
          </cell>
          <cell r="D869" t="str">
            <v>LONDON XXX SHERRY</v>
          </cell>
          <cell r="E869" t="str">
            <v>LONDON WINERY LIMITED</v>
          </cell>
          <cell r="F869" t="str">
            <v>750</v>
          </cell>
          <cell r="G869">
            <v>20</v>
          </cell>
          <cell r="H869">
            <v>12</v>
          </cell>
          <cell r="I869" t="str">
            <v>1008</v>
          </cell>
          <cell r="K869" t="str">
            <v>MS</v>
          </cell>
          <cell r="L869">
            <v>1</v>
          </cell>
          <cell r="M869">
            <v>9.15</v>
          </cell>
        </row>
        <row r="870">
          <cell r="C870" t="str">
            <v>2604</v>
          </cell>
          <cell r="D870" t="str">
            <v>HARVEYS BRISTOL CREAM</v>
          </cell>
          <cell r="E870" t="str">
            <v>JOHN HARVEY &amp; SONS</v>
          </cell>
          <cell r="F870" t="str">
            <v>750</v>
          </cell>
          <cell r="G870">
            <v>17.5</v>
          </cell>
          <cell r="H870">
            <v>12</v>
          </cell>
          <cell r="I870" t="str">
            <v>1009</v>
          </cell>
          <cell r="K870" t="str">
            <v>S</v>
          </cell>
          <cell r="L870">
            <v>1</v>
          </cell>
          <cell r="M870">
            <v>21</v>
          </cell>
        </row>
        <row r="871">
          <cell r="C871" t="str">
            <v>4478</v>
          </cell>
          <cell r="D871" t="str">
            <v>WILLIAMS &amp; HUMBERT DRY SACK SHERRY</v>
          </cell>
          <cell r="E871" t="str">
            <v>WILLIAMS &amp; HUMBERT LTD</v>
          </cell>
          <cell r="F871" t="str">
            <v>750</v>
          </cell>
          <cell r="G871">
            <v>19.5</v>
          </cell>
          <cell r="H871">
            <v>12</v>
          </cell>
          <cell r="I871" t="str">
            <v>1537</v>
          </cell>
          <cell r="K871" t="str">
            <v>D</v>
          </cell>
          <cell r="L871">
            <v>1</v>
          </cell>
          <cell r="M871">
            <v>15.59</v>
          </cell>
        </row>
        <row r="872">
          <cell r="C872" t="str">
            <v>3038</v>
          </cell>
          <cell r="D872" t="str">
            <v>MARSALA SECCO SUP- FRATELLI FICI</v>
          </cell>
          <cell r="E872" t="str">
            <v>CANTINA FRATELLI FICI</v>
          </cell>
          <cell r="F872" t="str">
            <v>750</v>
          </cell>
          <cell r="G872">
            <v>18</v>
          </cell>
          <cell r="H872">
            <v>12</v>
          </cell>
          <cell r="I872" t="str">
            <v>3246</v>
          </cell>
          <cell r="K872" t="str">
            <v>MD</v>
          </cell>
          <cell r="L872">
            <v>1</v>
          </cell>
          <cell r="M872">
            <v>19.73</v>
          </cell>
        </row>
        <row r="873">
          <cell r="C873" t="str">
            <v>3030</v>
          </cell>
          <cell r="D873" t="str">
            <v>MANISCHEWITZ CONCORD</v>
          </cell>
          <cell r="E873" t="str">
            <v>MANISCHEWITZ WINE COMPANY</v>
          </cell>
          <cell r="F873" t="str">
            <v>750</v>
          </cell>
          <cell r="G873">
            <v>10.5</v>
          </cell>
          <cell r="H873">
            <v>12</v>
          </cell>
          <cell r="I873" t="str">
            <v>206245</v>
          </cell>
          <cell r="K873" t="str">
            <v>S</v>
          </cell>
          <cell r="L873">
            <v>1</v>
          </cell>
          <cell r="M873">
            <v>10.130000000000001</v>
          </cell>
        </row>
        <row r="874">
          <cell r="C874" t="str">
            <v>3303</v>
          </cell>
          <cell r="D874" t="str">
            <v>MOGEN DAVID CONCORD</v>
          </cell>
          <cell r="E874" t="str">
            <v>THE WINE GROUP LLC</v>
          </cell>
          <cell r="F874" t="str">
            <v>750</v>
          </cell>
          <cell r="G874">
            <v>11</v>
          </cell>
          <cell r="H874">
            <v>12</v>
          </cell>
          <cell r="I874" t="str">
            <v>3237</v>
          </cell>
          <cell r="K874" t="str">
            <v>S</v>
          </cell>
          <cell r="L874">
            <v>1</v>
          </cell>
          <cell r="M874">
            <v>8.07</v>
          </cell>
        </row>
        <row r="875">
          <cell r="C875" t="str">
            <v>43237</v>
          </cell>
          <cell r="D875" t="str">
            <v>BODACIOUS SANGRIA</v>
          </cell>
          <cell r="E875" t="str">
            <v>ARTERRA WINES CANADA INC</v>
          </cell>
          <cell r="F875" t="str">
            <v>750</v>
          </cell>
          <cell r="G875">
            <v>6</v>
          </cell>
          <cell r="H875">
            <v>12</v>
          </cell>
          <cell r="I875" t="str">
            <v>1008</v>
          </cell>
          <cell r="K875" t="str">
            <v>VS</v>
          </cell>
          <cell r="L875">
            <v>1</v>
          </cell>
          <cell r="M875">
            <v>9.26</v>
          </cell>
        </row>
        <row r="876">
          <cell r="C876" t="str">
            <v>35237</v>
          </cell>
          <cell r="D876" t="str">
            <v>COLIO GNO VERY BERRY BOMBA</v>
          </cell>
          <cell r="E876" t="str">
            <v>COLIO ESTATE VINEYARDS</v>
          </cell>
          <cell r="F876" t="str">
            <v>1500</v>
          </cell>
          <cell r="G876">
            <v>6.5</v>
          </cell>
          <cell r="H876">
            <v>6</v>
          </cell>
          <cell r="I876" t="str">
            <v>3245</v>
          </cell>
          <cell r="K876" t="str">
            <v>S</v>
          </cell>
          <cell r="L876">
            <v>1</v>
          </cell>
          <cell r="M876">
            <v>14.02</v>
          </cell>
        </row>
        <row r="877">
          <cell r="C877" t="str">
            <v>43236</v>
          </cell>
          <cell r="D877" t="str">
            <v>BODACIOUS PEACH FIZZ</v>
          </cell>
          <cell r="E877" t="str">
            <v>ARTERRA WINES CANADA INC</v>
          </cell>
          <cell r="F877" t="str">
            <v>750</v>
          </cell>
          <cell r="G877">
            <v>6</v>
          </cell>
          <cell r="H877">
            <v>12</v>
          </cell>
          <cell r="I877" t="str">
            <v>1008</v>
          </cell>
          <cell r="K877" t="str">
            <v>VS</v>
          </cell>
          <cell r="L877">
            <v>1</v>
          </cell>
          <cell r="M877">
            <v>9.26</v>
          </cell>
        </row>
        <row r="878">
          <cell r="C878" t="str">
            <v>40982</v>
          </cell>
          <cell r="D878" t="str">
            <v>ROMEO PEACH BELLINI</v>
          </cell>
          <cell r="E878" t="str">
            <v>PETER HERRES WEIN WINES</v>
          </cell>
          <cell r="F878" t="str">
            <v>750</v>
          </cell>
          <cell r="G878">
            <v>5.9</v>
          </cell>
          <cell r="H878">
            <v>12</v>
          </cell>
          <cell r="I878" t="str">
            <v>130768</v>
          </cell>
          <cell r="K878" t="str">
            <v>VS</v>
          </cell>
          <cell r="L878">
            <v>1</v>
          </cell>
          <cell r="M878">
            <v>11.56</v>
          </cell>
        </row>
        <row r="879">
          <cell r="C879" t="str">
            <v>40980</v>
          </cell>
          <cell r="D879" t="str">
            <v>ROSCATO BLACK CHERRY</v>
          </cell>
          <cell r="E879" t="str">
            <v>CAVIT CANTINA VITICOLTORI S.C.A.R.L.</v>
          </cell>
          <cell r="F879" t="str">
            <v>750</v>
          </cell>
          <cell r="G879">
            <v>5</v>
          </cell>
          <cell r="H879">
            <v>12</v>
          </cell>
          <cell r="I879" t="str">
            <v>206245</v>
          </cell>
          <cell r="K879" t="str">
            <v>VS</v>
          </cell>
          <cell r="L879">
            <v>1</v>
          </cell>
          <cell r="M879">
            <v>10.79</v>
          </cell>
        </row>
        <row r="880">
          <cell r="C880" t="str">
            <v>40981</v>
          </cell>
          <cell r="D880" t="str">
            <v>ROSCATO PEACH</v>
          </cell>
          <cell r="E880" t="str">
            <v>CAVIT CANTINA VITICOLTORI S.C.A.R.L.</v>
          </cell>
          <cell r="F880" t="str">
            <v>750</v>
          </cell>
          <cell r="G880">
            <v>5</v>
          </cell>
          <cell r="H880">
            <v>12</v>
          </cell>
          <cell r="I880" t="str">
            <v>206245</v>
          </cell>
          <cell r="K880" t="str">
            <v>VS</v>
          </cell>
          <cell r="L880">
            <v>1</v>
          </cell>
          <cell r="M880">
            <v>10.79</v>
          </cell>
        </row>
        <row r="881">
          <cell r="C881" t="str">
            <v>2594</v>
          </cell>
          <cell r="D881" t="str">
            <v>HAKUTSURU SAKE</v>
          </cell>
          <cell r="E881" t="str">
            <v>HAKUTSURU SAKE BREWING CO LT</v>
          </cell>
          <cell r="F881" t="str">
            <v>720</v>
          </cell>
          <cell r="G881">
            <v>15</v>
          </cell>
          <cell r="H881">
            <v>12</v>
          </cell>
          <cell r="I881" t="str">
            <v>3308</v>
          </cell>
          <cell r="K881" t="str">
            <v>MD</v>
          </cell>
          <cell r="L881">
            <v>1</v>
          </cell>
          <cell r="M881">
            <v>11.01</v>
          </cell>
        </row>
        <row r="882">
          <cell r="C882" t="str">
            <v>43428</v>
          </cell>
          <cell r="D882" t="str">
            <v>BAREFOOT FRUITSCATO BLUEBERRY</v>
          </cell>
          <cell r="E882" t="str">
            <v>E &amp; J GALLO WINERY</v>
          </cell>
          <cell r="F882" t="str">
            <v>750</v>
          </cell>
          <cell r="G882">
            <v>7.5</v>
          </cell>
          <cell r="H882">
            <v>12</v>
          </cell>
          <cell r="I882" t="str">
            <v>206245</v>
          </cell>
          <cell r="K882" t="str">
            <v>VS</v>
          </cell>
          <cell r="L882">
            <v>1</v>
          </cell>
          <cell r="M882">
            <v>9.6300000000000008</v>
          </cell>
        </row>
        <row r="883">
          <cell r="C883" t="str">
            <v>45266</v>
          </cell>
          <cell r="D883" t="str">
            <v>BAREFOOT FRUITSCATO PEAR</v>
          </cell>
          <cell r="E883" t="str">
            <v>E &amp; J GALLO WINERY</v>
          </cell>
          <cell r="F883" t="str">
            <v>750</v>
          </cell>
          <cell r="G883">
            <v>7.5</v>
          </cell>
          <cell r="H883">
            <v>12</v>
          </cell>
          <cell r="I883" t="str">
            <v>206245</v>
          </cell>
          <cell r="K883" t="str">
            <v>VS</v>
          </cell>
          <cell r="L883">
            <v>1</v>
          </cell>
          <cell r="M883">
            <v>9.6300000000000008</v>
          </cell>
        </row>
        <row r="884">
          <cell r="C884" t="str">
            <v>6053</v>
          </cell>
          <cell r="D884" t="str">
            <v>BLACK  &amp; GOLD SAKE</v>
          </cell>
          <cell r="E884" t="str">
            <v>GEKKEIKAN SAKE COMPANY LTD</v>
          </cell>
          <cell r="F884" t="str">
            <v>750</v>
          </cell>
          <cell r="G884">
            <v>15.6</v>
          </cell>
          <cell r="H884">
            <v>6</v>
          </cell>
          <cell r="I884" t="str">
            <v>3265</v>
          </cell>
          <cell r="K884" t="str">
            <v>MD</v>
          </cell>
          <cell r="L884">
            <v>1</v>
          </cell>
          <cell r="M884">
            <v>20.12</v>
          </cell>
        </row>
        <row r="885">
          <cell r="C885" t="str">
            <v>2394</v>
          </cell>
          <cell r="D885" t="str">
            <v>GEKKEIKAN SAKE</v>
          </cell>
          <cell r="E885" t="str">
            <v>GEKKEIKAN SAKE (USA)  INC</v>
          </cell>
          <cell r="F885" t="str">
            <v>750</v>
          </cell>
          <cell r="G885">
            <v>14.6</v>
          </cell>
          <cell r="H885">
            <v>12</v>
          </cell>
          <cell r="I885" t="str">
            <v>3265</v>
          </cell>
          <cell r="K885" t="str">
            <v>MD</v>
          </cell>
          <cell r="L885">
            <v>1</v>
          </cell>
          <cell r="M885">
            <v>9.33</v>
          </cell>
        </row>
        <row r="886">
          <cell r="C886" t="str">
            <v>40814</v>
          </cell>
          <cell r="D886" t="str">
            <v>LEMONADE STAND LEMONADE MOSCATO</v>
          </cell>
          <cell r="E886" t="str">
            <v>THE WINE GROUP LLC</v>
          </cell>
          <cell r="F886" t="str">
            <v>750</v>
          </cell>
          <cell r="G886">
            <v>6.5</v>
          </cell>
          <cell r="H886">
            <v>12</v>
          </cell>
          <cell r="I886" t="str">
            <v>1009</v>
          </cell>
          <cell r="K886" t="str">
            <v>S</v>
          </cell>
          <cell r="L886">
            <v>1</v>
          </cell>
          <cell r="M886">
            <v>9.7799999999999994</v>
          </cell>
        </row>
        <row r="887">
          <cell r="C887" t="str">
            <v>37293</v>
          </cell>
          <cell r="D887" t="str">
            <v>BASK CRISP ROSE</v>
          </cell>
          <cell r="E887" t="str">
            <v>ARTERRA WINES CANADA INC</v>
          </cell>
          <cell r="F887" t="str">
            <v>3000</v>
          </cell>
          <cell r="G887">
            <v>12</v>
          </cell>
          <cell r="H887">
            <v>4</v>
          </cell>
          <cell r="I887" t="str">
            <v>1008</v>
          </cell>
          <cell r="K887" t="str">
            <v>VD</v>
          </cell>
          <cell r="L887">
            <v>1</v>
          </cell>
          <cell r="M887">
            <v>28.47</v>
          </cell>
        </row>
        <row r="888">
          <cell r="C888" t="str">
            <v>39385</v>
          </cell>
          <cell r="D888" t="str">
            <v>HONEST LOT ROSE</v>
          </cell>
          <cell r="E888" t="str">
            <v>ANDREW PELLER LIMITED</v>
          </cell>
          <cell r="F888" t="str">
            <v>750</v>
          </cell>
          <cell r="G888">
            <v>11</v>
          </cell>
          <cell r="H888">
            <v>12</v>
          </cell>
          <cell r="I888" t="str">
            <v>4095</v>
          </cell>
          <cell r="K888" t="str">
            <v>VD</v>
          </cell>
          <cell r="L888">
            <v>1</v>
          </cell>
          <cell r="M888">
            <v>9.2100000000000009</v>
          </cell>
        </row>
        <row r="889">
          <cell r="C889" t="str">
            <v>28358</v>
          </cell>
          <cell r="D889" t="str">
            <v>SAWMILL CREEK ROSE</v>
          </cell>
          <cell r="E889" t="str">
            <v>ARTERRA WINES CANADA INC</v>
          </cell>
          <cell r="F889" t="str">
            <v>4000</v>
          </cell>
          <cell r="G889">
            <v>11.5</v>
          </cell>
          <cell r="H889">
            <v>4</v>
          </cell>
          <cell r="I889" t="str">
            <v>1008</v>
          </cell>
          <cell r="K889" t="str">
            <v>VD</v>
          </cell>
          <cell r="L889">
            <v>1</v>
          </cell>
          <cell r="M889">
            <v>33.57</v>
          </cell>
        </row>
        <row r="890">
          <cell r="C890" t="str">
            <v>7349</v>
          </cell>
          <cell r="D890" t="str">
            <v>XOXO ROSE</v>
          </cell>
          <cell r="E890" t="str">
            <v>PELLER ESTATES WINERY</v>
          </cell>
          <cell r="F890" t="str">
            <v>750</v>
          </cell>
          <cell r="G890">
            <v>11.5</v>
          </cell>
          <cell r="H890">
            <v>12</v>
          </cell>
          <cell r="I890" t="str">
            <v>4095</v>
          </cell>
          <cell r="K890" t="str">
            <v>MS</v>
          </cell>
          <cell r="L890">
            <v>1</v>
          </cell>
          <cell r="M890">
            <v>9.17</v>
          </cell>
        </row>
        <row r="891">
          <cell r="C891" t="str">
            <v>39464</v>
          </cell>
          <cell r="D891" t="str">
            <v>BASK CABERNET SAUVIGNON</v>
          </cell>
          <cell r="E891" t="str">
            <v>ARTERRA WINES CANADA INC</v>
          </cell>
          <cell r="F891" t="str">
            <v>750</v>
          </cell>
          <cell r="G891">
            <v>12.5</v>
          </cell>
          <cell r="H891">
            <v>12</v>
          </cell>
          <cell r="I891" t="str">
            <v>1008</v>
          </cell>
          <cell r="K891" t="str">
            <v>VD</v>
          </cell>
          <cell r="L891">
            <v>1</v>
          </cell>
          <cell r="M891">
            <v>9.3000000000000007</v>
          </cell>
        </row>
        <row r="892">
          <cell r="C892" t="str">
            <v>41039</v>
          </cell>
          <cell r="D892" t="str">
            <v>BASK CABERNET SAUVIGNON</v>
          </cell>
          <cell r="E892" t="str">
            <v>ARTERRA WINES CANADA INC</v>
          </cell>
          <cell r="F892" t="str">
            <v>3000</v>
          </cell>
          <cell r="G892">
            <v>12.5</v>
          </cell>
          <cell r="H892">
            <v>4</v>
          </cell>
          <cell r="I892" t="str">
            <v>1008</v>
          </cell>
          <cell r="K892" t="str">
            <v>VD</v>
          </cell>
          <cell r="L892">
            <v>1</v>
          </cell>
          <cell r="M892">
            <v>28.47</v>
          </cell>
        </row>
        <row r="893">
          <cell r="C893" t="str">
            <v>34623</v>
          </cell>
          <cell r="D893" t="str">
            <v>BASK PINOT NOIR</v>
          </cell>
          <cell r="E893" t="str">
            <v>ARTERRA WINES CANADA INC</v>
          </cell>
          <cell r="F893" t="str">
            <v>750</v>
          </cell>
          <cell r="G893">
            <v>13.5</v>
          </cell>
          <cell r="H893">
            <v>12</v>
          </cell>
          <cell r="I893" t="str">
            <v>1008</v>
          </cell>
          <cell r="K893" t="str">
            <v>VD</v>
          </cell>
          <cell r="L893">
            <v>1</v>
          </cell>
          <cell r="M893">
            <v>9.3000000000000007</v>
          </cell>
        </row>
        <row r="894">
          <cell r="C894" t="str">
            <v>37292</v>
          </cell>
          <cell r="D894" t="str">
            <v>BASK PINOT NOIR</v>
          </cell>
          <cell r="E894" t="str">
            <v>ARTERRA WINES CANADA INC</v>
          </cell>
          <cell r="F894" t="str">
            <v>3000</v>
          </cell>
          <cell r="G894">
            <v>12.5</v>
          </cell>
          <cell r="H894">
            <v>4</v>
          </cell>
          <cell r="I894" t="str">
            <v>1008</v>
          </cell>
          <cell r="K894" t="str">
            <v>VD</v>
          </cell>
          <cell r="L894">
            <v>1</v>
          </cell>
          <cell r="M894">
            <v>28.47</v>
          </cell>
        </row>
        <row r="895">
          <cell r="C895" t="str">
            <v>39308</v>
          </cell>
          <cell r="D895" t="str">
            <v>BLACK CELLAR CABERNET SAUVIGNON</v>
          </cell>
          <cell r="E895" t="str">
            <v>ANDREW PELLER LIMITED</v>
          </cell>
          <cell r="F895" t="str">
            <v>4000</v>
          </cell>
          <cell r="G895">
            <v>12.5</v>
          </cell>
          <cell r="H895">
            <v>4</v>
          </cell>
          <cell r="I895" t="str">
            <v>4095</v>
          </cell>
          <cell r="K895" t="str">
            <v>MS</v>
          </cell>
          <cell r="L895">
            <v>1</v>
          </cell>
          <cell r="M895">
            <v>34.47</v>
          </cell>
        </row>
        <row r="896">
          <cell r="C896" t="str">
            <v>39309</v>
          </cell>
          <cell r="D896" t="str">
            <v>BLACK CELLAR MALBEC MERLOT</v>
          </cell>
          <cell r="E896" t="str">
            <v>ANDREW PELLER LIMITED</v>
          </cell>
          <cell r="F896" t="str">
            <v>4000</v>
          </cell>
          <cell r="G896">
            <v>13</v>
          </cell>
          <cell r="H896">
            <v>4</v>
          </cell>
          <cell r="I896" t="str">
            <v>4095</v>
          </cell>
          <cell r="K896" t="str">
            <v>MS</v>
          </cell>
          <cell r="L896">
            <v>1</v>
          </cell>
          <cell r="M896">
            <v>34.47</v>
          </cell>
        </row>
        <row r="897">
          <cell r="C897" t="str">
            <v>39310</v>
          </cell>
          <cell r="D897" t="str">
            <v>BLACK CELLAR SHIRAZ CABERNET</v>
          </cell>
          <cell r="E897" t="str">
            <v>ANDREW PELLER LIMITED</v>
          </cell>
          <cell r="F897" t="str">
            <v>4000</v>
          </cell>
          <cell r="G897">
            <v>13</v>
          </cell>
          <cell r="H897">
            <v>4</v>
          </cell>
          <cell r="I897" t="str">
            <v>4095</v>
          </cell>
          <cell r="K897" t="str">
            <v>MS</v>
          </cell>
          <cell r="L897">
            <v>1</v>
          </cell>
          <cell r="M897">
            <v>34.47</v>
          </cell>
        </row>
        <row r="898">
          <cell r="C898" t="str">
            <v>29705</v>
          </cell>
          <cell r="D898" t="str">
            <v>BODACIOUS BOURBON AGED RED BLEND</v>
          </cell>
          <cell r="E898" t="str">
            <v>ARTERRA WINES CANADA INC</v>
          </cell>
          <cell r="F898" t="str">
            <v>750</v>
          </cell>
          <cell r="G898">
            <v>12</v>
          </cell>
          <cell r="H898">
            <v>12</v>
          </cell>
          <cell r="I898" t="str">
            <v>1008</v>
          </cell>
          <cell r="K898" t="str">
            <v>MS</v>
          </cell>
          <cell r="L898">
            <v>1</v>
          </cell>
          <cell r="M898">
            <v>9.26</v>
          </cell>
        </row>
        <row r="899">
          <cell r="C899" t="str">
            <v>33540</v>
          </cell>
          <cell r="D899" t="str">
            <v>BODACIOUS CABERNET SAUVIGNON</v>
          </cell>
          <cell r="E899" t="str">
            <v>ARTERRA WINES CANADA INC</v>
          </cell>
          <cell r="F899" t="str">
            <v>4000</v>
          </cell>
          <cell r="G899">
            <v>13</v>
          </cell>
          <cell r="H899">
            <v>4</v>
          </cell>
          <cell r="I899" t="str">
            <v>1008</v>
          </cell>
          <cell r="K899" t="str">
            <v>MS</v>
          </cell>
          <cell r="L899">
            <v>1</v>
          </cell>
          <cell r="M899">
            <v>34.47</v>
          </cell>
        </row>
        <row r="900">
          <cell r="C900" t="str">
            <v>27612</v>
          </cell>
          <cell r="D900" t="str">
            <v>BODACIOUS DARK</v>
          </cell>
          <cell r="E900" t="str">
            <v>ARTERRA WINES CANADA INC</v>
          </cell>
          <cell r="F900" t="str">
            <v>750</v>
          </cell>
          <cell r="G900">
            <v>12.5</v>
          </cell>
          <cell r="H900">
            <v>12</v>
          </cell>
          <cell r="I900" t="str">
            <v>1008</v>
          </cell>
          <cell r="K900" t="str">
            <v>MS</v>
          </cell>
          <cell r="L900">
            <v>1</v>
          </cell>
          <cell r="M900">
            <v>9.26</v>
          </cell>
        </row>
        <row r="901">
          <cell r="C901" t="str">
            <v>23963</v>
          </cell>
          <cell r="D901" t="str">
            <v>BODACIOUS SHIRAZ</v>
          </cell>
          <cell r="E901" t="str">
            <v>ARTERRA WINES CANADA INC</v>
          </cell>
          <cell r="F901" t="str">
            <v>750</v>
          </cell>
          <cell r="G901">
            <v>12.5</v>
          </cell>
          <cell r="H901">
            <v>12</v>
          </cell>
          <cell r="I901" t="str">
            <v>1008</v>
          </cell>
          <cell r="K901" t="str">
            <v>D</v>
          </cell>
          <cell r="L901">
            <v>1</v>
          </cell>
          <cell r="M901">
            <v>9.26</v>
          </cell>
        </row>
        <row r="902">
          <cell r="C902" t="str">
            <v>29366</v>
          </cell>
          <cell r="D902" t="str">
            <v>BODACIOUS SMOOTH RED</v>
          </cell>
          <cell r="E902" t="str">
            <v>ARTERRA WINES CANADA INC</v>
          </cell>
          <cell r="F902" t="str">
            <v>4000</v>
          </cell>
          <cell r="G902">
            <v>12.5</v>
          </cell>
          <cell r="H902">
            <v>4</v>
          </cell>
          <cell r="I902" t="str">
            <v>1008</v>
          </cell>
          <cell r="K902" t="str">
            <v>MD</v>
          </cell>
          <cell r="L902">
            <v>1</v>
          </cell>
          <cell r="M902">
            <v>34.47</v>
          </cell>
        </row>
        <row r="903">
          <cell r="C903" t="str">
            <v>31347</v>
          </cell>
          <cell r="D903" t="str">
            <v>COPPER MOON SMOOTH RED</v>
          </cell>
          <cell r="E903" t="str">
            <v>ANDREW PELLER LIMITED</v>
          </cell>
          <cell r="F903" t="str">
            <v>750</v>
          </cell>
          <cell r="G903">
            <v>12.5</v>
          </cell>
          <cell r="H903">
            <v>12</v>
          </cell>
          <cell r="I903" t="str">
            <v>4095</v>
          </cell>
          <cell r="K903" t="str">
            <v>D</v>
          </cell>
          <cell r="L903">
            <v>1</v>
          </cell>
          <cell r="M903">
            <v>9</v>
          </cell>
        </row>
        <row r="904">
          <cell r="C904" t="str">
            <v>39482</v>
          </cell>
          <cell r="D904" t="str">
            <v>HERON BAY CABERNET SAUVIGNON</v>
          </cell>
          <cell r="E904" t="str">
            <v>MARK ANTHONY GROUP INC</v>
          </cell>
          <cell r="F904" t="str">
            <v>750</v>
          </cell>
          <cell r="G904">
            <v>13</v>
          </cell>
          <cell r="H904">
            <v>12</v>
          </cell>
          <cell r="I904" t="str">
            <v>1009</v>
          </cell>
          <cell r="K904" t="str">
            <v>VD</v>
          </cell>
          <cell r="L904">
            <v>1</v>
          </cell>
          <cell r="M904">
            <v>10.01</v>
          </cell>
        </row>
        <row r="905">
          <cell r="C905" t="str">
            <v>38213</v>
          </cell>
          <cell r="D905" t="str">
            <v>HONEST LOT CABERNET SAUVIGNON</v>
          </cell>
          <cell r="E905" t="str">
            <v>ANDREW PELLER LIMITED</v>
          </cell>
          <cell r="F905" t="str">
            <v>750</v>
          </cell>
          <cell r="G905">
            <v>12.5</v>
          </cell>
          <cell r="H905">
            <v>12</v>
          </cell>
          <cell r="I905" t="str">
            <v>4095</v>
          </cell>
          <cell r="K905" t="str">
            <v>VD</v>
          </cell>
          <cell r="L905">
            <v>1</v>
          </cell>
          <cell r="M905">
            <v>9.3000000000000007</v>
          </cell>
        </row>
        <row r="906">
          <cell r="C906" t="str">
            <v>46246</v>
          </cell>
          <cell r="D906" t="str">
            <v>HONEST LOT CABERNET SAUVIGNON</v>
          </cell>
          <cell r="E906" t="str">
            <v>ANDREW PELLER LIMITED</v>
          </cell>
          <cell r="F906" t="str">
            <v>4000</v>
          </cell>
          <cell r="G906">
            <v>12.5</v>
          </cell>
          <cell r="H906">
            <v>4</v>
          </cell>
          <cell r="I906" t="str">
            <v>4095</v>
          </cell>
          <cell r="K906" t="str">
            <v>VD</v>
          </cell>
          <cell r="L906">
            <v>1</v>
          </cell>
          <cell r="M906">
            <v>34.07</v>
          </cell>
        </row>
        <row r="907">
          <cell r="C907" t="str">
            <v>32408</v>
          </cell>
          <cell r="D907" t="str">
            <v>JT PROPRIETOR'S SELECT CAB SAUV LIGHT</v>
          </cell>
          <cell r="E907" t="str">
            <v>ARTERRA WINES CANADA INC</v>
          </cell>
          <cell r="F907" t="str">
            <v>750</v>
          </cell>
          <cell r="G907">
            <v>8</v>
          </cell>
          <cell r="H907">
            <v>12</v>
          </cell>
          <cell r="I907" t="str">
            <v>1008</v>
          </cell>
          <cell r="K907" t="str">
            <v>MS</v>
          </cell>
          <cell r="L907">
            <v>1</v>
          </cell>
          <cell r="M907">
            <v>9</v>
          </cell>
        </row>
        <row r="908">
          <cell r="C908" t="str">
            <v>23948</v>
          </cell>
          <cell r="D908" t="str">
            <v>JT PROPRIETORS SELECTION MALBEC</v>
          </cell>
          <cell r="E908" t="str">
            <v>ARTERRA WINES CANADA INC</v>
          </cell>
          <cell r="F908" t="str">
            <v>4000</v>
          </cell>
          <cell r="G908">
            <v>13</v>
          </cell>
          <cell r="H908">
            <v>4</v>
          </cell>
          <cell r="I908" t="str">
            <v>1008</v>
          </cell>
          <cell r="K908" t="str">
            <v>VD</v>
          </cell>
          <cell r="L908">
            <v>1</v>
          </cell>
          <cell r="M908">
            <v>33.43</v>
          </cell>
        </row>
        <row r="909">
          <cell r="C909" t="str">
            <v>41014</v>
          </cell>
          <cell r="D909" t="str">
            <v>KEEP CALM &amp; THRIVE CABERNET SAUV</v>
          </cell>
          <cell r="E909" t="str">
            <v>MAISON DES FUTAILLES</v>
          </cell>
          <cell r="F909" t="str">
            <v>750</v>
          </cell>
          <cell r="G909">
            <v>13</v>
          </cell>
          <cell r="H909">
            <v>12</v>
          </cell>
          <cell r="I909" t="str">
            <v>205873</v>
          </cell>
          <cell r="K909" t="str">
            <v>D</v>
          </cell>
          <cell r="L909">
            <v>1</v>
          </cell>
          <cell r="M909">
            <v>8.7899999999999991</v>
          </cell>
        </row>
        <row r="910">
          <cell r="C910" t="str">
            <v>33640</v>
          </cell>
          <cell r="D910" t="str">
            <v>KEEP CALM &amp; THRIVE SHIRAZ</v>
          </cell>
          <cell r="E910" t="str">
            <v>STATION 22</v>
          </cell>
          <cell r="F910" t="str">
            <v>750</v>
          </cell>
          <cell r="G910">
            <v>13</v>
          </cell>
          <cell r="H910">
            <v>12</v>
          </cell>
          <cell r="I910" t="str">
            <v>205873</v>
          </cell>
          <cell r="K910" t="str">
            <v>VD</v>
          </cell>
          <cell r="L910">
            <v>1</v>
          </cell>
          <cell r="M910">
            <v>8.7899999999999991</v>
          </cell>
        </row>
        <row r="911">
          <cell r="C911" t="str">
            <v>26441</v>
          </cell>
          <cell r="D911" t="str">
            <v>NAKED GRAPE SHIRAZ</v>
          </cell>
          <cell r="E911" t="str">
            <v>ARTERRA WINES CANADA INC</v>
          </cell>
          <cell r="F911" t="str">
            <v>4000</v>
          </cell>
          <cell r="G911">
            <v>12.5</v>
          </cell>
          <cell r="H911">
            <v>4</v>
          </cell>
          <cell r="I911" t="str">
            <v>1008</v>
          </cell>
          <cell r="K911" t="str">
            <v>VD</v>
          </cell>
          <cell r="L911">
            <v>1</v>
          </cell>
          <cell r="M911">
            <v>32.93</v>
          </cell>
        </row>
        <row r="912">
          <cell r="C912" t="str">
            <v>33563</v>
          </cell>
          <cell r="D912" t="str">
            <v>PELLER FAMILY VINEYARD LIGHT CAB SAUV</v>
          </cell>
          <cell r="E912" t="str">
            <v>ANDREW PELLER LIMITED</v>
          </cell>
          <cell r="F912" t="str">
            <v>750</v>
          </cell>
          <cell r="G912">
            <v>11</v>
          </cell>
          <cell r="H912">
            <v>12</v>
          </cell>
          <cell r="I912" t="str">
            <v>4095</v>
          </cell>
          <cell r="K912" t="str">
            <v>MS</v>
          </cell>
          <cell r="L912">
            <v>1</v>
          </cell>
          <cell r="M912">
            <v>8.6</v>
          </cell>
        </row>
        <row r="913">
          <cell r="C913" t="str">
            <v>39445</v>
          </cell>
          <cell r="D913" t="str">
            <v>PELLER FAMILY VINEYARD MALBEC</v>
          </cell>
          <cell r="E913" t="str">
            <v>ANDREW PELLER LIMITED</v>
          </cell>
          <cell r="F913" t="str">
            <v>4000</v>
          </cell>
          <cell r="G913">
            <v>12.5</v>
          </cell>
          <cell r="H913">
            <v>4</v>
          </cell>
          <cell r="I913" t="str">
            <v>4095</v>
          </cell>
          <cell r="K913" t="str">
            <v>VD</v>
          </cell>
          <cell r="L913">
            <v>1</v>
          </cell>
          <cell r="M913">
            <v>33.57</v>
          </cell>
        </row>
        <row r="914">
          <cell r="C914" t="str">
            <v>15398</v>
          </cell>
          <cell r="D914" t="str">
            <v>PELLER FAMILY VINEYARDS CAB SAUV</v>
          </cell>
          <cell r="E914" t="str">
            <v>ANDREW PELLER LIMITED</v>
          </cell>
          <cell r="F914" t="str">
            <v>750</v>
          </cell>
          <cell r="G914">
            <v>12</v>
          </cell>
          <cell r="H914">
            <v>12</v>
          </cell>
          <cell r="I914" t="str">
            <v>4095</v>
          </cell>
          <cell r="K914" t="str">
            <v>MD</v>
          </cell>
          <cell r="L914">
            <v>1</v>
          </cell>
          <cell r="M914">
            <v>8.6</v>
          </cell>
        </row>
        <row r="915">
          <cell r="C915" t="str">
            <v>6448</v>
          </cell>
          <cell r="D915" t="str">
            <v>PELLER FAMILY VINEYARDS CABERNET MERLOT</v>
          </cell>
          <cell r="E915" t="str">
            <v>PELLER ESTATES WINERY</v>
          </cell>
          <cell r="F915" t="str">
            <v>200</v>
          </cell>
          <cell r="G915">
            <v>12.5</v>
          </cell>
          <cell r="H915">
            <v>24</v>
          </cell>
          <cell r="I915" t="str">
            <v>4095</v>
          </cell>
          <cell r="K915" t="str">
            <v>VD</v>
          </cell>
          <cell r="L915">
            <v>1</v>
          </cell>
          <cell r="M915">
            <v>4</v>
          </cell>
        </row>
        <row r="916">
          <cell r="C916" t="str">
            <v>26450</v>
          </cell>
          <cell r="D916" t="str">
            <v>SAWMILL CREEK CABERNET SAUVIGNON</v>
          </cell>
          <cell r="E916" t="str">
            <v>SAWMILL CREEK WINERY</v>
          </cell>
          <cell r="F916" t="str">
            <v>4000</v>
          </cell>
          <cell r="G916">
            <v>12.5</v>
          </cell>
          <cell r="H916">
            <v>4</v>
          </cell>
          <cell r="I916" t="str">
            <v>1008</v>
          </cell>
          <cell r="K916" t="str">
            <v>VD</v>
          </cell>
          <cell r="L916">
            <v>1</v>
          </cell>
          <cell r="M916">
            <v>33.57</v>
          </cell>
        </row>
        <row r="917">
          <cell r="C917" t="str">
            <v>46244</v>
          </cell>
          <cell r="D917" t="str">
            <v>BASK CHARDONNAY</v>
          </cell>
          <cell r="E917" t="str">
            <v>ARTERRA WINES CANADA INC</v>
          </cell>
          <cell r="F917" t="str">
            <v>750</v>
          </cell>
          <cell r="G917">
            <v>12.5</v>
          </cell>
          <cell r="H917">
            <v>12</v>
          </cell>
          <cell r="I917" t="str">
            <v>1008</v>
          </cell>
          <cell r="K917" t="str">
            <v>VD</v>
          </cell>
          <cell r="L917">
            <v>1</v>
          </cell>
          <cell r="M917">
            <v>9.1999999999999993</v>
          </cell>
        </row>
        <row r="918">
          <cell r="C918" t="str">
            <v>39155</v>
          </cell>
          <cell r="D918" t="str">
            <v>BASK PINOT GRIGIO</v>
          </cell>
          <cell r="E918" t="str">
            <v>ARTERRA WINES CANADA INC</v>
          </cell>
          <cell r="F918" t="str">
            <v>750</v>
          </cell>
          <cell r="G918">
            <v>12</v>
          </cell>
          <cell r="H918">
            <v>12</v>
          </cell>
          <cell r="I918" t="str">
            <v>1008</v>
          </cell>
          <cell r="K918" t="str">
            <v>VD</v>
          </cell>
          <cell r="L918">
            <v>1</v>
          </cell>
          <cell r="M918">
            <v>9.3000000000000007</v>
          </cell>
        </row>
        <row r="919">
          <cell r="C919" t="str">
            <v>41273</v>
          </cell>
          <cell r="D919" t="str">
            <v>BASK PINOT GRIGIO</v>
          </cell>
          <cell r="E919" t="str">
            <v>ARTERRA WINES CANADA INC</v>
          </cell>
          <cell r="F919" t="str">
            <v>3000</v>
          </cell>
          <cell r="G919">
            <v>12</v>
          </cell>
          <cell r="H919">
            <v>4</v>
          </cell>
          <cell r="I919" t="str">
            <v>1008</v>
          </cell>
          <cell r="K919" t="str">
            <v>VD</v>
          </cell>
          <cell r="L919">
            <v>1</v>
          </cell>
          <cell r="M919">
            <v>28.47</v>
          </cell>
        </row>
        <row r="920">
          <cell r="C920" t="str">
            <v>37294</v>
          </cell>
          <cell r="D920" t="str">
            <v>BASK SAUVIGNON BLANC</v>
          </cell>
          <cell r="E920" t="str">
            <v>ARTERRA WINES CANADA INC</v>
          </cell>
          <cell r="F920" t="str">
            <v>3000</v>
          </cell>
          <cell r="G920">
            <v>12</v>
          </cell>
          <cell r="H920">
            <v>4</v>
          </cell>
          <cell r="I920" t="str">
            <v>1008</v>
          </cell>
          <cell r="K920" t="str">
            <v>VD</v>
          </cell>
          <cell r="L920">
            <v>1</v>
          </cell>
          <cell r="M920">
            <v>28.47</v>
          </cell>
        </row>
        <row r="921">
          <cell r="C921" t="str">
            <v>39311</v>
          </cell>
          <cell r="D921" t="str">
            <v>BLACK CELLAR PINOT GRIGIO</v>
          </cell>
          <cell r="E921" t="str">
            <v>ANDREW PELLER LIMITED</v>
          </cell>
          <cell r="F921" t="str">
            <v>4000</v>
          </cell>
          <cell r="G921">
            <v>12</v>
          </cell>
          <cell r="H921">
            <v>4</v>
          </cell>
          <cell r="I921" t="str">
            <v>4095</v>
          </cell>
          <cell r="K921" t="str">
            <v>MD</v>
          </cell>
          <cell r="L921">
            <v>1</v>
          </cell>
          <cell r="M921">
            <v>34.47</v>
          </cell>
        </row>
        <row r="922">
          <cell r="C922" t="str">
            <v>29474</v>
          </cell>
          <cell r="D922" t="str">
            <v>BODACIOUS MOSCATO</v>
          </cell>
          <cell r="E922" t="str">
            <v>ARTERRA WINES CANADA INC</v>
          </cell>
          <cell r="F922" t="str">
            <v>750</v>
          </cell>
          <cell r="G922">
            <v>12</v>
          </cell>
          <cell r="H922">
            <v>12</v>
          </cell>
          <cell r="I922" t="str">
            <v>1008</v>
          </cell>
          <cell r="K922" t="str">
            <v>S</v>
          </cell>
          <cell r="L922">
            <v>1</v>
          </cell>
          <cell r="M922">
            <v>9.26</v>
          </cell>
        </row>
        <row r="923">
          <cell r="C923" t="str">
            <v>23951</v>
          </cell>
          <cell r="D923" t="str">
            <v>BODACIOUS PINOT GRIGIO</v>
          </cell>
          <cell r="E923" t="str">
            <v>ARTERRA WINES CANADA INC</v>
          </cell>
          <cell r="F923" t="str">
            <v>750</v>
          </cell>
          <cell r="G923">
            <v>12</v>
          </cell>
          <cell r="H923">
            <v>12</v>
          </cell>
          <cell r="I923" t="str">
            <v>1008</v>
          </cell>
          <cell r="K923" t="str">
            <v>MS</v>
          </cell>
          <cell r="L923">
            <v>1</v>
          </cell>
          <cell r="M923">
            <v>9.26</v>
          </cell>
        </row>
        <row r="924">
          <cell r="C924" t="str">
            <v>29367</v>
          </cell>
          <cell r="D924" t="str">
            <v>BODACIOUS PINOT GRIGIO</v>
          </cell>
          <cell r="E924" t="str">
            <v>ARTERRA WINES CANADA INC</v>
          </cell>
          <cell r="F924" t="str">
            <v>4000</v>
          </cell>
          <cell r="G924">
            <v>12</v>
          </cell>
          <cell r="H924">
            <v>4</v>
          </cell>
          <cell r="I924" t="str">
            <v>1008</v>
          </cell>
          <cell r="K924" t="str">
            <v>MS</v>
          </cell>
          <cell r="L924">
            <v>1</v>
          </cell>
          <cell r="M924">
            <v>34.47</v>
          </cell>
        </row>
        <row r="925">
          <cell r="C925" t="str">
            <v>29368</v>
          </cell>
          <cell r="D925" t="str">
            <v>BODACIOUS SMOOTH WHITE</v>
          </cell>
          <cell r="E925" t="str">
            <v>ARTERRA WINES CANADA INC</v>
          </cell>
          <cell r="F925" t="str">
            <v>4000</v>
          </cell>
          <cell r="G925">
            <v>12</v>
          </cell>
          <cell r="H925">
            <v>4</v>
          </cell>
          <cell r="I925" t="str">
            <v>1008</v>
          </cell>
          <cell r="K925" t="str">
            <v>MS</v>
          </cell>
          <cell r="L925">
            <v>1</v>
          </cell>
          <cell r="M925">
            <v>34.47</v>
          </cell>
        </row>
        <row r="926">
          <cell r="C926" t="str">
            <v>39443</v>
          </cell>
          <cell r="D926" t="str">
            <v>COPPER MOON CHARDONNAY</v>
          </cell>
          <cell r="E926" t="str">
            <v>ANDREW PELLER LIMITED</v>
          </cell>
          <cell r="F926" t="str">
            <v>4000</v>
          </cell>
          <cell r="G926">
            <v>13</v>
          </cell>
          <cell r="H926">
            <v>4</v>
          </cell>
          <cell r="I926" t="str">
            <v>4095</v>
          </cell>
          <cell r="K926" t="str">
            <v>MD</v>
          </cell>
          <cell r="L926">
            <v>1</v>
          </cell>
          <cell r="M926">
            <v>34.47</v>
          </cell>
        </row>
        <row r="927">
          <cell r="C927" t="str">
            <v>36540</v>
          </cell>
          <cell r="D927" t="str">
            <v>COPPER MOON CRISP AND BRIGHT</v>
          </cell>
          <cell r="E927" t="str">
            <v>ANDREW PELLER LIMITED</v>
          </cell>
          <cell r="F927" t="str">
            <v>750</v>
          </cell>
          <cell r="G927">
            <v>12</v>
          </cell>
          <cell r="H927">
            <v>12</v>
          </cell>
          <cell r="I927" t="str">
            <v>4095</v>
          </cell>
          <cell r="K927" t="str">
            <v>MS</v>
          </cell>
          <cell r="L927">
            <v>1</v>
          </cell>
          <cell r="M927">
            <v>9</v>
          </cell>
        </row>
        <row r="928">
          <cell r="C928" t="str">
            <v>36541</v>
          </cell>
          <cell r="D928" t="str">
            <v>COPPER MOON CRISP AND BRIGHT</v>
          </cell>
          <cell r="E928" t="str">
            <v>ANDREW PELLER LIMITED</v>
          </cell>
          <cell r="F928" t="str">
            <v>4000</v>
          </cell>
          <cell r="G928">
            <v>12.5</v>
          </cell>
          <cell r="H928">
            <v>4</v>
          </cell>
          <cell r="I928" t="str">
            <v>4095</v>
          </cell>
          <cell r="K928" t="str">
            <v>MS</v>
          </cell>
          <cell r="L928">
            <v>1</v>
          </cell>
          <cell r="M928">
            <v>34.47</v>
          </cell>
        </row>
        <row r="929">
          <cell r="C929" t="str">
            <v>43995</v>
          </cell>
          <cell r="D929" t="str">
            <v>HONEST LOT PINOT GRIGIO</v>
          </cell>
          <cell r="E929" t="str">
            <v>ANDREW PELLER LIMITED</v>
          </cell>
          <cell r="F929" t="str">
            <v>750</v>
          </cell>
          <cell r="G929">
            <v>11.5</v>
          </cell>
          <cell r="H929">
            <v>12</v>
          </cell>
          <cell r="I929" t="str">
            <v>4095</v>
          </cell>
          <cell r="K929" t="str">
            <v>VD</v>
          </cell>
          <cell r="L929">
            <v>1</v>
          </cell>
          <cell r="M929">
            <v>9.3000000000000007</v>
          </cell>
        </row>
        <row r="930">
          <cell r="C930" t="str">
            <v>38214</v>
          </cell>
          <cell r="D930" t="str">
            <v>HONEST LOT SAUVIGNON BLANC</v>
          </cell>
          <cell r="E930" t="str">
            <v>ANDREW PELLER LIMITED</v>
          </cell>
          <cell r="F930" t="str">
            <v>750</v>
          </cell>
          <cell r="G930">
            <v>12</v>
          </cell>
          <cell r="H930">
            <v>12</v>
          </cell>
          <cell r="I930" t="str">
            <v>4095</v>
          </cell>
          <cell r="K930" t="str">
            <v>VD</v>
          </cell>
          <cell r="L930">
            <v>1</v>
          </cell>
          <cell r="M930">
            <v>9.3000000000000007</v>
          </cell>
        </row>
        <row r="931">
          <cell r="C931" t="str">
            <v>32409</v>
          </cell>
          <cell r="D931" t="str">
            <v>JT PROPRIETORS SELECT PINOT GRIGIO LIGHT</v>
          </cell>
          <cell r="E931" t="str">
            <v>ARTERRA WINES CANADA INC</v>
          </cell>
          <cell r="F931" t="str">
            <v>750</v>
          </cell>
          <cell r="G931">
            <v>8</v>
          </cell>
          <cell r="H931">
            <v>12</v>
          </cell>
          <cell r="I931" t="str">
            <v>1008</v>
          </cell>
          <cell r="K931" t="str">
            <v>MD</v>
          </cell>
          <cell r="L931">
            <v>1</v>
          </cell>
          <cell r="M931">
            <v>9</v>
          </cell>
        </row>
        <row r="932">
          <cell r="C932" t="str">
            <v>34388</v>
          </cell>
          <cell r="D932" t="str">
            <v>KEEP CALM &amp; LAUGH PINOT GRIGIO</v>
          </cell>
          <cell r="E932" t="str">
            <v>STATION 22</v>
          </cell>
          <cell r="F932" t="str">
            <v>750</v>
          </cell>
          <cell r="G932">
            <v>12</v>
          </cell>
          <cell r="H932">
            <v>12</v>
          </cell>
          <cell r="I932" t="str">
            <v>205873</v>
          </cell>
          <cell r="K932" t="str">
            <v>VD</v>
          </cell>
          <cell r="L932">
            <v>1</v>
          </cell>
          <cell r="M932">
            <v>8.7899999999999991</v>
          </cell>
        </row>
        <row r="933">
          <cell r="C933" t="str">
            <v>26442</v>
          </cell>
          <cell r="D933" t="str">
            <v>NAKED GRAPE PINOT GRIGIO</v>
          </cell>
          <cell r="E933" t="str">
            <v>ARTERRA WINES CANADA INC</v>
          </cell>
          <cell r="F933" t="str">
            <v>4000</v>
          </cell>
          <cell r="G933">
            <v>12</v>
          </cell>
          <cell r="H933">
            <v>4</v>
          </cell>
          <cell r="I933" t="str">
            <v>1008</v>
          </cell>
          <cell r="K933" t="str">
            <v>VD</v>
          </cell>
          <cell r="L933">
            <v>1</v>
          </cell>
          <cell r="M933">
            <v>32.93</v>
          </cell>
        </row>
        <row r="934">
          <cell r="C934" t="str">
            <v>6447</v>
          </cell>
          <cell r="D934" t="str">
            <v>PELLER FAMILY VINEYARDS PINOT GRIGIO</v>
          </cell>
          <cell r="E934" t="str">
            <v>PELLER ESTATES WINERY</v>
          </cell>
          <cell r="F934" t="str">
            <v>200</v>
          </cell>
          <cell r="G934">
            <v>12</v>
          </cell>
          <cell r="H934">
            <v>24</v>
          </cell>
          <cell r="I934" t="str">
            <v>4095</v>
          </cell>
          <cell r="K934" t="str">
            <v>VD</v>
          </cell>
          <cell r="L934">
            <v>1</v>
          </cell>
          <cell r="M934">
            <v>4</v>
          </cell>
        </row>
        <row r="935">
          <cell r="C935" t="str">
            <v>28769</v>
          </cell>
          <cell r="D935" t="str">
            <v>PELLER FAMILY VINEYARDS SAUVIGNON BLANC</v>
          </cell>
          <cell r="E935" t="str">
            <v>ANDREW PELLER LIMITED</v>
          </cell>
          <cell r="F935" t="str">
            <v>750</v>
          </cell>
          <cell r="G935">
            <v>12.5</v>
          </cell>
          <cell r="H935">
            <v>12</v>
          </cell>
          <cell r="I935" t="str">
            <v>4095</v>
          </cell>
          <cell r="K935" t="str">
            <v>MD</v>
          </cell>
          <cell r="L935">
            <v>1</v>
          </cell>
          <cell r="M935">
            <v>8.6</v>
          </cell>
        </row>
        <row r="936">
          <cell r="C936" t="str">
            <v>29518</v>
          </cell>
          <cell r="D936" t="str">
            <v>SAWMILL CREEK PINOT GRIGIO</v>
          </cell>
          <cell r="E936" t="str">
            <v>ARTERRA WINES CANADA INC</v>
          </cell>
          <cell r="F936" t="str">
            <v>4000</v>
          </cell>
          <cell r="G936">
            <v>12</v>
          </cell>
          <cell r="H936">
            <v>4</v>
          </cell>
          <cell r="I936" t="str">
            <v>1008</v>
          </cell>
          <cell r="K936" t="str">
            <v>MD</v>
          </cell>
          <cell r="L936">
            <v>1</v>
          </cell>
          <cell r="M936">
            <v>33.57</v>
          </cell>
        </row>
        <row r="937">
          <cell r="C937" t="str">
            <v>34396</v>
          </cell>
          <cell r="D937" t="str">
            <v>WEEKDAY WINE PINOT GRIGIO</v>
          </cell>
          <cell r="E937" t="str">
            <v>MARK ANTHONY BRANDS LTD.</v>
          </cell>
          <cell r="F937" t="str">
            <v>4000</v>
          </cell>
          <cell r="G937">
            <v>12</v>
          </cell>
          <cell r="H937">
            <v>4</v>
          </cell>
          <cell r="I937" t="str">
            <v>1009</v>
          </cell>
          <cell r="K937" t="str">
            <v>D</v>
          </cell>
          <cell r="L937">
            <v>1</v>
          </cell>
          <cell r="M937">
            <v>35.08</v>
          </cell>
        </row>
        <row r="938">
          <cell r="C938" t="str">
            <v>7210</v>
          </cell>
          <cell r="D938" t="str">
            <v>XOXO PINOT GRIGIO CHARDONNAY</v>
          </cell>
          <cell r="E938" t="str">
            <v>ANDREW PELLER LIMITED</v>
          </cell>
          <cell r="F938" t="str">
            <v>750</v>
          </cell>
          <cell r="G938">
            <v>12</v>
          </cell>
          <cell r="H938">
            <v>12</v>
          </cell>
          <cell r="I938" t="str">
            <v>4095</v>
          </cell>
          <cell r="K938" t="str">
            <v>MD</v>
          </cell>
          <cell r="L938">
            <v>1</v>
          </cell>
          <cell r="M938">
            <v>9.17</v>
          </cell>
        </row>
        <row r="939">
          <cell r="C939" t="str">
            <v>29712</v>
          </cell>
          <cell r="D939" t="str">
            <v>XOXO PINOT GRIGIO LIGHT</v>
          </cell>
          <cell r="E939" t="str">
            <v>ANDREW PELLER LIMITED</v>
          </cell>
          <cell r="F939" t="str">
            <v>750</v>
          </cell>
          <cell r="G939">
            <v>8.8000000000000007</v>
          </cell>
          <cell r="H939">
            <v>12</v>
          </cell>
          <cell r="I939" t="str">
            <v>4095</v>
          </cell>
          <cell r="K939" t="str">
            <v>S</v>
          </cell>
          <cell r="L939">
            <v>1</v>
          </cell>
          <cell r="M939">
            <v>9.17</v>
          </cell>
        </row>
        <row r="940">
          <cell r="C940" t="str">
            <v>36648</v>
          </cell>
          <cell r="D940" t="str">
            <v>SAINTLY THE GOOD ROSE</v>
          </cell>
          <cell r="E940" t="str">
            <v>ARTERRA WINES CANADA INC</v>
          </cell>
          <cell r="F940" t="str">
            <v>750</v>
          </cell>
          <cell r="G940">
            <v>12.5</v>
          </cell>
          <cell r="H940">
            <v>12</v>
          </cell>
          <cell r="I940" t="str">
            <v>1008</v>
          </cell>
          <cell r="K940" t="str">
            <v>D</v>
          </cell>
          <cell r="L940">
            <v>1</v>
          </cell>
          <cell r="M940">
            <v>19.09</v>
          </cell>
        </row>
        <row r="941">
          <cell r="C941" t="str">
            <v>34625</v>
          </cell>
          <cell r="D941" t="str">
            <v>BASK CRISP ROSE</v>
          </cell>
          <cell r="E941" t="str">
            <v>ARTERRA WINES CANADA INC</v>
          </cell>
          <cell r="F941" t="str">
            <v>750</v>
          </cell>
          <cell r="G941">
            <v>13</v>
          </cell>
          <cell r="H941">
            <v>12</v>
          </cell>
          <cell r="I941" t="str">
            <v>1008</v>
          </cell>
          <cell r="K941" t="str">
            <v>VD</v>
          </cell>
          <cell r="L941">
            <v>1</v>
          </cell>
          <cell r="M941">
            <v>9.3000000000000007</v>
          </cell>
        </row>
        <row r="942">
          <cell r="C942" t="str">
            <v>22039</v>
          </cell>
          <cell r="D942" t="str">
            <v>BODACIOUS ROSE</v>
          </cell>
          <cell r="E942" t="str">
            <v>ARTERRA WINES CANADA INC</v>
          </cell>
          <cell r="F942" t="str">
            <v>750</v>
          </cell>
          <cell r="G942">
            <v>11</v>
          </cell>
          <cell r="H942">
            <v>12</v>
          </cell>
          <cell r="I942" t="str">
            <v>1008</v>
          </cell>
          <cell r="K942" t="str">
            <v>MS</v>
          </cell>
          <cell r="L942">
            <v>1</v>
          </cell>
          <cell r="M942">
            <v>9.26</v>
          </cell>
        </row>
        <row r="943">
          <cell r="C943" t="str">
            <v>44453</v>
          </cell>
          <cell r="D943" t="str">
            <v>GRAY MONK ROSE LE</v>
          </cell>
          <cell r="E943" t="str">
            <v>ANDREW PELLER LIMITED</v>
          </cell>
          <cell r="F943" t="str">
            <v>750</v>
          </cell>
          <cell r="G943">
            <v>12.9</v>
          </cell>
          <cell r="H943">
            <v>12</v>
          </cell>
          <cell r="I943" t="str">
            <v>4095</v>
          </cell>
          <cell r="K943" t="str">
            <v>MD</v>
          </cell>
          <cell r="L943">
            <v>1</v>
          </cell>
          <cell r="M943">
            <v>20.99</v>
          </cell>
        </row>
        <row r="944">
          <cell r="C944" t="str">
            <v>21992</v>
          </cell>
          <cell r="D944" t="str">
            <v>COPPER MOON CABERNET SAUVIGNON</v>
          </cell>
          <cell r="E944" t="str">
            <v>ANDREW PELLER LIMITED</v>
          </cell>
          <cell r="F944" t="str">
            <v>4000</v>
          </cell>
          <cell r="G944">
            <v>12.5</v>
          </cell>
          <cell r="H944">
            <v>4</v>
          </cell>
          <cell r="I944" t="str">
            <v>4095</v>
          </cell>
          <cell r="K944" t="str">
            <v>VD</v>
          </cell>
          <cell r="L944">
            <v>1</v>
          </cell>
          <cell r="M944">
            <v>34.47</v>
          </cell>
        </row>
        <row r="945">
          <cell r="C945" t="str">
            <v>21993</v>
          </cell>
          <cell r="D945" t="str">
            <v>COPPER MOON MALBEC</v>
          </cell>
          <cell r="E945" t="str">
            <v>ANDREW PELLER LIMITED</v>
          </cell>
          <cell r="F945" t="str">
            <v>4000</v>
          </cell>
          <cell r="G945">
            <v>14</v>
          </cell>
          <cell r="H945">
            <v>4</v>
          </cell>
          <cell r="I945" t="str">
            <v>4095</v>
          </cell>
          <cell r="K945" t="str">
            <v>D</v>
          </cell>
          <cell r="L945">
            <v>1</v>
          </cell>
          <cell r="M945">
            <v>34.47</v>
          </cell>
        </row>
        <row r="946">
          <cell r="C946" t="str">
            <v>21994</v>
          </cell>
          <cell r="D946" t="str">
            <v>COPPER MOON MERLOT</v>
          </cell>
          <cell r="E946" t="str">
            <v>ANDREW PELLER LIMITED</v>
          </cell>
          <cell r="F946" t="str">
            <v>4000</v>
          </cell>
          <cell r="G946">
            <v>12.5</v>
          </cell>
          <cell r="H946">
            <v>4</v>
          </cell>
          <cell r="I946" t="str">
            <v>4095</v>
          </cell>
          <cell r="K946" t="str">
            <v>VD</v>
          </cell>
          <cell r="L946">
            <v>1</v>
          </cell>
          <cell r="M946">
            <v>34.47</v>
          </cell>
        </row>
        <row r="947">
          <cell r="C947" t="str">
            <v>21995</v>
          </cell>
          <cell r="D947" t="str">
            <v>COPPER MOON SHIRAZ</v>
          </cell>
          <cell r="E947" t="str">
            <v>ANDREW PELLER LIMITED</v>
          </cell>
          <cell r="F947" t="str">
            <v>4000</v>
          </cell>
          <cell r="G947">
            <v>13</v>
          </cell>
          <cell r="H947">
            <v>4</v>
          </cell>
          <cell r="I947" t="str">
            <v>4095</v>
          </cell>
          <cell r="K947" t="str">
            <v>VD</v>
          </cell>
          <cell r="L947">
            <v>1</v>
          </cell>
          <cell r="M947">
            <v>34.47</v>
          </cell>
        </row>
        <row r="948">
          <cell r="C948" t="str">
            <v>31393</v>
          </cell>
          <cell r="D948" t="str">
            <v>COPPER MOON SMOOTH RED</v>
          </cell>
          <cell r="E948" t="str">
            <v>ANDREW PELLER LIMITED</v>
          </cell>
          <cell r="F948" t="str">
            <v>4000</v>
          </cell>
          <cell r="G948">
            <v>12.5</v>
          </cell>
          <cell r="H948">
            <v>4</v>
          </cell>
          <cell r="I948" t="str">
            <v>4095</v>
          </cell>
          <cell r="K948" t="str">
            <v>MD</v>
          </cell>
          <cell r="L948">
            <v>1</v>
          </cell>
          <cell r="M948">
            <v>34.47</v>
          </cell>
        </row>
        <row r="949">
          <cell r="C949" t="str">
            <v>5396</v>
          </cell>
          <cell r="D949" t="str">
            <v>GRAY MONK LATITUDE 50 DOMESTIC RED</v>
          </cell>
          <cell r="E949" t="str">
            <v>GRAY-MONK CELLARS</v>
          </cell>
          <cell r="F949" t="str">
            <v>750</v>
          </cell>
          <cell r="G949">
            <v>12.5</v>
          </cell>
          <cell r="H949">
            <v>12</v>
          </cell>
          <cell r="I949" t="str">
            <v>4095</v>
          </cell>
          <cell r="K949" t="str">
            <v>VD</v>
          </cell>
          <cell r="L949">
            <v>1</v>
          </cell>
          <cell r="M949">
            <v>18.3</v>
          </cell>
        </row>
        <row r="950">
          <cell r="C950" t="str">
            <v>16232</v>
          </cell>
          <cell r="D950" t="str">
            <v>NAKED GRAPE MALBEC</v>
          </cell>
          <cell r="E950" t="str">
            <v>ARTERRA WINES CANADA INC</v>
          </cell>
          <cell r="F950" t="str">
            <v>750</v>
          </cell>
          <cell r="G950">
            <v>12</v>
          </cell>
          <cell r="H950">
            <v>12</v>
          </cell>
          <cell r="I950" t="str">
            <v>1008</v>
          </cell>
          <cell r="K950" t="str">
            <v>MD</v>
          </cell>
          <cell r="L950">
            <v>1</v>
          </cell>
          <cell r="M950">
            <v>8.4700000000000006</v>
          </cell>
        </row>
        <row r="951">
          <cell r="C951" t="str">
            <v>48083</v>
          </cell>
          <cell r="D951" t="str">
            <v>ROAD 13 HONEST JOHN'S CRAFTED IN BC RED</v>
          </cell>
          <cell r="E951" t="str">
            <v>MISSION HILL FAMILY ESTATE WINERY</v>
          </cell>
          <cell r="F951" t="str">
            <v>750</v>
          </cell>
          <cell r="G951">
            <v>13.5</v>
          </cell>
          <cell r="H951">
            <v>12</v>
          </cell>
          <cell r="I951" t="str">
            <v>1009</v>
          </cell>
          <cell r="K951" t="str">
            <v>VD</v>
          </cell>
          <cell r="L951">
            <v>1</v>
          </cell>
          <cell r="M951">
            <v>24.5</v>
          </cell>
        </row>
        <row r="952">
          <cell r="C952" t="str">
            <v>34624</v>
          </cell>
          <cell r="D952" t="str">
            <v>BASK SAUVIGNON BLANC</v>
          </cell>
          <cell r="E952" t="str">
            <v>ARTERRA WINES CANADA INC</v>
          </cell>
          <cell r="F952" t="str">
            <v>750</v>
          </cell>
          <cell r="G952">
            <v>12</v>
          </cell>
          <cell r="H952">
            <v>12</v>
          </cell>
          <cell r="I952" t="str">
            <v>1008</v>
          </cell>
          <cell r="K952" t="str">
            <v>VD</v>
          </cell>
          <cell r="L952">
            <v>1</v>
          </cell>
          <cell r="M952">
            <v>9.3000000000000007</v>
          </cell>
        </row>
        <row r="953">
          <cell r="C953" t="str">
            <v>21996</v>
          </cell>
          <cell r="D953" t="str">
            <v>COPPER MOON PINOT GRIGIO</v>
          </cell>
          <cell r="E953" t="str">
            <v>ANDREW PELLER LIMITED</v>
          </cell>
          <cell r="F953" t="str">
            <v>4000</v>
          </cell>
          <cell r="G953">
            <v>12</v>
          </cell>
          <cell r="H953">
            <v>4</v>
          </cell>
          <cell r="I953" t="str">
            <v>4095</v>
          </cell>
          <cell r="K953" t="str">
            <v>VD</v>
          </cell>
          <cell r="L953">
            <v>1</v>
          </cell>
          <cell r="M953">
            <v>34.47</v>
          </cell>
        </row>
        <row r="954">
          <cell r="C954" t="str">
            <v>21997</v>
          </cell>
          <cell r="D954" t="str">
            <v>COPPER MOON SAUVIGNON BLANC</v>
          </cell>
          <cell r="E954" t="str">
            <v>ANDREW PELLER LIMITED</v>
          </cell>
          <cell r="F954" t="str">
            <v>4000</v>
          </cell>
          <cell r="G954">
            <v>12.5</v>
          </cell>
          <cell r="H954">
            <v>4</v>
          </cell>
          <cell r="I954" t="str">
            <v>4095</v>
          </cell>
          <cell r="K954" t="str">
            <v>D</v>
          </cell>
          <cell r="L954">
            <v>1</v>
          </cell>
          <cell r="M954">
            <v>34.47</v>
          </cell>
        </row>
        <row r="955">
          <cell r="C955" t="str">
            <v>2530</v>
          </cell>
          <cell r="D955" t="str">
            <v>GRAY MONK PINOT GRIS</v>
          </cell>
          <cell r="E955" t="str">
            <v>GRAY-MONK CELLARS</v>
          </cell>
          <cell r="F955" t="str">
            <v>750</v>
          </cell>
          <cell r="G955">
            <v>13.1</v>
          </cell>
          <cell r="H955">
            <v>12</v>
          </cell>
          <cell r="I955" t="str">
            <v>4095</v>
          </cell>
          <cell r="J955">
            <v>2015</v>
          </cell>
          <cell r="K955" t="str">
            <v>VD</v>
          </cell>
          <cell r="L955">
            <v>1</v>
          </cell>
          <cell r="M955">
            <v>22.01</v>
          </cell>
        </row>
        <row r="956">
          <cell r="C956" t="str">
            <v>22899</v>
          </cell>
          <cell r="D956" t="str">
            <v>JT PROPRIETORS' SELECTION RIES GEWURZ</v>
          </cell>
          <cell r="E956" t="str">
            <v>ARTERRA WINES CANADA INC</v>
          </cell>
          <cell r="F956" t="str">
            <v>4000</v>
          </cell>
          <cell r="G956">
            <v>12.5</v>
          </cell>
          <cell r="H956">
            <v>4</v>
          </cell>
          <cell r="I956" t="str">
            <v>1008</v>
          </cell>
          <cell r="K956" t="str">
            <v>MD</v>
          </cell>
          <cell r="L956">
            <v>1</v>
          </cell>
          <cell r="M956">
            <v>34.47</v>
          </cell>
        </row>
        <row r="957">
          <cell r="C957" t="str">
            <v>6578</v>
          </cell>
          <cell r="D957" t="str">
            <v>SANDHILL HIDDEN TERRACE PINOT GRIS</v>
          </cell>
          <cell r="E957" t="str">
            <v>SANDHILL ESTATE VINEYARD</v>
          </cell>
          <cell r="F957" t="str">
            <v>750</v>
          </cell>
          <cell r="G957">
            <v>14</v>
          </cell>
          <cell r="H957">
            <v>12</v>
          </cell>
          <cell r="I957" t="str">
            <v>4095</v>
          </cell>
          <cell r="J957">
            <v>2012</v>
          </cell>
          <cell r="K957" t="str">
            <v>VD</v>
          </cell>
          <cell r="L957">
            <v>1</v>
          </cell>
          <cell r="M957">
            <v>21.01</v>
          </cell>
        </row>
        <row r="958">
          <cell r="C958" t="str">
            <v>20108</v>
          </cell>
          <cell r="D958" t="str">
            <v>SCREW IT! PINOT GRIGIO</v>
          </cell>
          <cell r="E958" t="str">
            <v>ARTISAN WINE COMPANY</v>
          </cell>
          <cell r="F958" t="str">
            <v>750</v>
          </cell>
          <cell r="G958">
            <v>12.5</v>
          </cell>
          <cell r="H958">
            <v>12</v>
          </cell>
          <cell r="I958" t="str">
            <v>1009</v>
          </cell>
          <cell r="K958" t="str">
            <v>MD</v>
          </cell>
          <cell r="L958">
            <v>1</v>
          </cell>
          <cell r="M958">
            <v>9.01</v>
          </cell>
        </row>
        <row r="959">
          <cell r="C959" t="str">
            <v>21415</v>
          </cell>
          <cell r="D959" t="str">
            <v>SCREW IT! PINOT GRIGIO</v>
          </cell>
          <cell r="E959" t="str">
            <v>ARTISAN WINE COMPANY</v>
          </cell>
          <cell r="F959" t="str">
            <v>4000</v>
          </cell>
          <cell r="G959">
            <v>12.5</v>
          </cell>
          <cell r="H959">
            <v>4</v>
          </cell>
          <cell r="I959" t="str">
            <v>1009</v>
          </cell>
          <cell r="K959" t="str">
            <v>MD</v>
          </cell>
          <cell r="L959">
            <v>1</v>
          </cell>
          <cell r="M959">
            <v>35.08</v>
          </cell>
        </row>
        <row r="960">
          <cell r="C960" t="str">
            <v>4256</v>
          </cell>
          <cell r="D960" t="str">
            <v>SUMAC RIDGE PRIV RSV GWRTZ</v>
          </cell>
          <cell r="E960" t="str">
            <v>SUMAC RIDGE ESTATE WINES LTD</v>
          </cell>
          <cell r="F960" t="str">
            <v>750</v>
          </cell>
          <cell r="G960">
            <v>13</v>
          </cell>
          <cell r="H960">
            <v>12</v>
          </cell>
          <cell r="I960" t="str">
            <v>1008</v>
          </cell>
          <cell r="J960">
            <v>2006</v>
          </cell>
          <cell r="K960" t="str">
            <v>MD</v>
          </cell>
          <cell r="L960">
            <v>1</v>
          </cell>
          <cell r="M960">
            <v>15.1</v>
          </cell>
        </row>
        <row r="961">
          <cell r="C961" t="str">
            <v>13507</v>
          </cell>
          <cell r="D961" t="str">
            <v>COPPER MOON ROSE</v>
          </cell>
          <cell r="E961" t="str">
            <v>ANDREW PELLER LIMITED</v>
          </cell>
          <cell r="F961" t="str">
            <v>750</v>
          </cell>
          <cell r="G961">
            <v>12</v>
          </cell>
          <cell r="H961">
            <v>12</v>
          </cell>
          <cell r="I961" t="str">
            <v>4095</v>
          </cell>
          <cell r="K961" t="str">
            <v>MS</v>
          </cell>
          <cell r="L961">
            <v>1</v>
          </cell>
          <cell r="M961">
            <v>9</v>
          </cell>
        </row>
        <row r="962">
          <cell r="C962" t="str">
            <v>6325</v>
          </cell>
          <cell r="D962" t="str">
            <v>PELLER FAMILY VINEYARDS ROSE</v>
          </cell>
          <cell r="E962" t="str">
            <v>PELLER ESTATES WINERY</v>
          </cell>
          <cell r="F962" t="str">
            <v>750</v>
          </cell>
          <cell r="G962">
            <v>10.5</v>
          </cell>
          <cell r="H962">
            <v>12</v>
          </cell>
          <cell r="I962" t="str">
            <v>4095</v>
          </cell>
          <cell r="K962" t="str">
            <v>MD</v>
          </cell>
          <cell r="L962">
            <v>1</v>
          </cell>
          <cell r="M962">
            <v>8.6</v>
          </cell>
        </row>
        <row r="963">
          <cell r="C963" t="str">
            <v>6331</v>
          </cell>
          <cell r="D963" t="str">
            <v>PELLER FAMILY VINEYARDS ROSE</v>
          </cell>
          <cell r="E963" t="str">
            <v>PELLER ESTATES WINERY</v>
          </cell>
          <cell r="F963" t="str">
            <v>4000</v>
          </cell>
          <cell r="G963">
            <v>10.5</v>
          </cell>
          <cell r="H963">
            <v>4</v>
          </cell>
          <cell r="I963" t="str">
            <v>4095</v>
          </cell>
          <cell r="K963" t="str">
            <v>MD</v>
          </cell>
          <cell r="L963">
            <v>1</v>
          </cell>
          <cell r="M963">
            <v>33.57</v>
          </cell>
        </row>
        <row r="964">
          <cell r="C964" t="str">
            <v>19741</v>
          </cell>
          <cell r="D964" t="str">
            <v>BLACK CELLAR CABERNET SAUVIGNON</v>
          </cell>
          <cell r="E964" t="str">
            <v>ANDREW PELLER LIMITED</v>
          </cell>
          <cell r="F964" t="str">
            <v>750</v>
          </cell>
          <cell r="G964">
            <v>12.5</v>
          </cell>
          <cell r="H964">
            <v>12</v>
          </cell>
          <cell r="I964" t="str">
            <v>4095</v>
          </cell>
          <cell r="K964" t="str">
            <v>VD</v>
          </cell>
          <cell r="L964">
            <v>1</v>
          </cell>
          <cell r="M964">
            <v>9.17</v>
          </cell>
        </row>
        <row r="965">
          <cell r="C965" t="str">
            <v>19742</v>
          </cell>
          <cell r="D965" t="str">
            <v>BLACK CELLAR MALBEC MERLOT</v>
          </cell>
          <cell r="E965" t="str">
            <v>ANDREW PELLER LIMITED</v>
          </cell>
          <cell r="F965" t="str">
            <v>750</v>
          </cell>
          <cell r="G965">
            <v>13</v>
          </cell>
          <cell r="H965">
            <v>12</v>
          </cell>
          <cell r="I965" t="str">
            <v>4095</v>
          </cell>
          <cell r="K965" t="str">
            <v>VD</v>
          </cell>
          <cell r="L965">
            <v>1</v>
          </cell>
          <cell r="M965">
            <v>9.17</v>
          </cell>
        </row>
        <row r="966">
          <cell r="C966" t="str">
            <v>18902</v>
          </cell>
          <cell r="D966" t="str">
            <v>BLACK CELLAR SHIRAZ CABERNET</v>
          </cell>
          <cell r="E966" t="str">
            <v>ANDREW PELLER LIMITED</v>
          </cell>
          <cell r="F966" t="str">
            <v>750</v>
          </cell>
          <cell r="G966">
            <v>13</v>
          </cell>
          <cell r="H966">
            <v>12</v>
          </cell>
          <cell r="I966" t="str">
            <v>4095</v>
          </cell>
          <cell r="K966" t="str">
            <v>MS</v>
          </cell>
          <cell r="L966">
            <v>1</v>
          </cell>
          <cell r="M966">
            <v>9.17</v>
          </cell>
        </row>
        <row r="967">
          <cell r="C967" t="str">
            <v>24929</v>
          </cell>
          <cell r="D967" t="str">
            <v>BODACIOUS CABERNET SAUVIGNON</v>
          </cell>
          <cell r="E967" t="str">
            <v>ARTERRA WINES CANADA INC</v>
          </cell>
          <cell r="F967" t="str">
            <v>750</v>
          </cell>
          <cell r="G967">
            <v>13</v>
          </cell>
          <cell r="H967">
            <v>12</v>
          </cell>
          <cell r="I967" t="str">
            <v>1008</v>
          </cell>
          <cell r="K967" t="str">
            <v>D</v>
          </cell>
          <cell r="L967">
            <v>1</v>
          </cell>
          <cell r="M967">
            <v>9.26</v>
          </cell>
        </row>
        <row r="968">
          <cell r="C968" t="str">
            <v>17291</v>
          </cell>
          <cell r="D968" t="str">
            <v>BODACIOUS SMOOTH RED</v>
          </cell>
          <cell r="E968" t="str">
            <v>ARTERRA WINES CANADA INC</v>
          </cell>
          <cell r="F968" t="str">
            <v>750</v>
          </cell>
          <cell r="G968">
            <v>12.5</v>
          </cell>
          <cell r="H968">
            <v>12</v>
          </cell>
          <cell r="I968" t="str">
            <v>1008</v>
          </cell>
          <cell r="K968" t="str">
            <v>MD</v>
          </cell>
          <cell r="L968">
            <v>1</v>
          </cell>
          <cell r="M968">
            <v>9.26</v>
          </cell>
        </row>
        <row r="969">
          <cell r="C969" t="str">
            <v>3889</v>
          </cell>
          <cell r="D969" t="str">
            <v>CALONA ROYAL RED</v>
          </cell>
          <cell r="E969" t="str">
            <v>ANDREW PELLER LIMITED</v>
          </cell>
          <cell r="F969" t="str">
            <v>1000</v>
          </cell>
          <cell r="G969">
            <v>14</v>
          </cell>
          <cell r="H969">
            <v>12</v>
          </cell>
          <cell r="I969" t="str">
            <v>4095</v>
          </cell>
          <cell r="K969" t="str">
            <v>MS</v>
          </cell>
          <cell r="L969">
            <v>1</v>
          </cell>
          <cell r="M969">
            <v>10.01</v>
          </cell>
        </row>
        <row r="970">
          <cell r="C970" t="str">
            <v>3890</v>
          </cell>
          <cell r="D970" t="str">
            <v>CALONA ROYAL RED</v>
          </cell>
          <cell r="E970" t="str">
            <v>ANDREW PELLER LIMITED</v>
          </cell>
          <cell r="F970" t="str">
            <v>2000</v>
          </cell>
          <cell r="G970">
            <v>14</v>
          </cell>
          <cell r="H970">
            <v>6</v>
          </cell>
          <cell r="I970" t="str">
            <v>4095</v>
          </cell>
          <cell r="K970" t="str">
            <v>MS</v>
          </cell>
          <cell r="L970">
            <v>1</v>
          </cell>
          <cell r="M970">
            <v>16.03</v>
          </cell>
        </row>
        <row r="971">
          <cell r="C971" t="str">
            <v>3891</v>
          </cell>
          <cell r="D971" t="str">
            <v>CALONA ROYAL RED</v>
          </cell>
          <cell r="E971" t="str">
            <v>ANDREW PELLER LIMITED</v>
          </cell>
          <cell r="F971" t="str">
            <v>4000</v>
          </cell>
          <cell r="G971">
            <v>14</v>
          </cell>
          <cell r="H971">
            <v>4</v>
          </cell>
          <cell r="I971" t="str">
            <v>4095</v>
          </cell>
          <cell r="K971" t="str">
            <v>MS</v>
          </cell>
          <cell r="L971">
            <v>1</v>
          </cell>
          <cell r="M971">
            <v>30.07</v>
          </cell>
        </row>
        <row r="972">
          <cell r="C972" t="str">
            <v>4213</v>
          </cell>
          <cell r="D972" t="str">
            <v>CALONA SOMMET ROUGE</v>
          </cell>
          <cell r="E972" t="str">
            <v>ANDREW PELLER LIMITED</v>
          </cell>
          <cell r="F972" t="str">
            <v>4000</v>
          </cell>
          <cell r="G972">
            <v>12</v>
          </cell>
          <cell r="H972">
            <v>4</v>
          </cell>
          <cell r="I972" t="str">
            <v>4095</v>
          </cell>
          <cell r="K972" t="str">
            <v>VD</v>
          </cell>
          <cell r="L972">
            <v>1</v>
          </cell>
          <cell r="M972">
            <v>31.07</v>
          </cell>
        </row>
        <row r="973">
          <cell r="C973" t="str">
            <v>7273</v>
          </cell>
          <cell r="D973" t="str">
            <v>COPPER MOON CABERNET SAUVIGNON</v>
          </cell>
          <cell r="E973" t="str">
            <v>ANDREW PELLER LIMITED</v>
          </cell>
          <cell r="F973" t="str">
            <v>750</v>
          </cell>
          <cell r="G973">
            <v>13</v>
          </cell>
          <cell r="H973">
            <v>12</v>
          </cell>
          <cell r="I973" t="str">
            <v>4095</v>
          </cell>
          <cell r="K973" t="str">
            <v>VD</v>
          </cell>
          <cell r="L973">
            <v>1</v>
          </cell>
          <cell r="M973">
            <v>9</v>
          </cell>
        </row>
        <row r="974">
          <cell r="C974" t="str">
            <v>9419</v>
          </cell>
          <cell r="D974" t="str">
            <v>COPPER MOON CABERNET SAUVIGNON</v>
          </cell>
          <cell r="E974" t="str">
            <v>ANDREW PELLER LIMITED</v>
          </cell>
          <cell r="F974" t="str">
            <v>1500</v>
          </cell>
          <cell r="G974">
            <v>13</v>
          </cell>
          <cell r="H974">
            <v>6</v>
          </cell>
          <cell r="I974" t="str">
            <v>4095</v>
          </cell>
          <cell r="K974" t="str">
            <v>VD</v>
          </cell>
          <cell r="L974">
            <v>1</v>
          </cell>
          <cell r="M974">
            <v>14.61</v>
          </cell>
        </row>
        <row r="975">
          <cell r="C975" t="str">
            <v>11689</v>
          </cell>
          <cell r="D975" t="str">
            <v>COPPER MOON MALBEC</v>
          </cell>
          <cell r="E975" t="str">
            <v>ANDREW PELLER LIMITED</v>
          </cell>
          <cell r="F975" t="str">
            <v>750</v>
          </cell>
          <cell r="G975">
            <v>14</v>
          </cell>
          <cell r="H975">
            <v>12</v>
          </cell>
          <cell r="I975" t="str">
            <v>4095</v>
          </cell>
          <cell r="K975" t="str">
            <v>VD</v>
          </cell>
          <cell r="L975">
            <v>1</v>
          </cell>
          <cell r="M975">
            <v>9</v>
          </cell>
        </row>
        <row r="976">
          <cell r="C976" t="str">
            <v>7632</v>
          </cell>
          <cell r="D976" t="str">
            <v>COPPER MOON MERLOT</v>
          </cell>
          <cell r="E976" t="str">
            <v>ANDREW PELLER LIMITED</v>
          </cell>
          <cell r="F976" t="str">
            <v>750</v>
          </cell>
          <cell r="G976">
            <v>12.5</v>
          </cell>
          <cell r="H976">
            <v>12</v>
          </cell>
          <cell r="I976" t="str">
            <v>4095</v>
          </cell>
          <cell r="K976" t="str">
            <v>VD</v>
          </cell>
          <cell r="L976">
            <v>1</v>
          </cell>
          <cell r="M976">
            <v>9</v>
          </cell>
        </row>
        <row r="977">
          <cell r="C977" t="str">
            <v>7274</v>
          </cell>
          <cell r="D977" t="str">
            <v>COPPER MOON SHIRAZ</v>
          </cell>
          <cell r="E977" t="str">
            <v>ANDREW PELLER LIMITED</v>
          </cell>
          <cell r="F977" t="str">
            <v>750</v>
          </cell>
          <cell r="G977">
            <v>13</v>
          </cell>
          <cell r="H977">
            <v>12</v>
          </cell>
          <cell r="I977" t="str">
            <v>4095</v>
          </cell>
          <cell r="K977" t="str">
            <v>VD</v>
          </cell>
          <cell r="L977">
            <v>1</v>
          </cell>
          <cell r="M977">
            <v>9</v>
          </cell>
        </row>
        <row r="978">
          <cell r="C978" t="str">
            <v>6876</v>
          </cell>
          <cell r="D978" t="str">
            <v>JT MERLOT</v>
          </cell>
          <cell r="E978" t="str">
            <v>ARTERRA WINES CANADA INC</v>
          </cell>
          <cell r="F978" t="str">
            <v>16000</v>
          </cell>
          <cell r="G978">
            <v>12.5</v>
          </cell>
          <cell r="H978">
            <v>1</v>
          </cell>
          <cell r="I978" t="str">
            <v>1008</v>
          </cell>
          <cell r="K978" t="str">
            <v>VD</v>
          </cell>
          <cell r="L978">
            <v>1</v>
          </cell>
          <cell r="M978">
            <v>117.84</v>
          </cell>
        </row>
        <row r="979">
          <cell r="C979" t="str">
            <v>2733</v>
          </cell>
          <cell r="D979" t="str">
            <v>JT PROPRIETORS SELECTION CAB SAUV</v>
          </cell>
          <cell r="E979" t="str">
            <v>ARTERRA WINES CANADA INC</v>
          </cell>
          <cell r="F979" t="str">
            <v>750</v>
          </cell>
          <cell r="G979">
            <v>12.5</v>
          </cell>
          <cell r="H979">
            <v>12</v>
          </cell>
          <cell r="I979" t="str">
            <v>1008</v>
          </cell>
          <cell r="K979" t="str">
            <v>VD</v>
          </cell>
          <cell r="L979">
            <v>1</v>
          </cell>
          <cell r="M979">
            <v>9</v>
          </cell>
        </row>
        <row r="980">
          <cell r="C980" t="str">
            <v>2734</v>
          </cell>
          <cell r="D980" t="str">
            <v>JT PROPRIETORS SELECTION CAB SAUV</v>
          </cell>
          <cell r="E980" t="str">
            <v>ARTERRA WINES CANADA INC</v>
          </cell>
          <cell r="F980" t="str">
            <v>1500</v>
          </cell>
          <cell r="G980">
            <v>12.5</v>
          </cell>
          <cell r="H980">
            <v>6</v>
          </cell>
          <cell r="I980" t="str">
            <v>1008</v>
          </cell>
          <cell r="K980" t="str">
            <v>VD</v>
          </cell>
          <cell r="L980">
            <v>1</v>
          </cell>
          <cell r="M980">
            <v>14.61</v>
          </cell>
        </row>
        <row r="981">
          <cell r="C981" t="str">
            <v>13421</v>
          </cell>
          <cell r="D981" t="str">
            <v>JT PROPRIETORS SELECTION MALBEC</v>
          </cell>
          <cell r="E981" t="str">
            <v>ARTERRA WINES CANADA INC</v>
          </cell>
          <cell r="F981" t="str">
            <v>750</v>
          </cell>
          <cell r="G981">
            <v>13</v>
          </cell>
          <cell r="H981">
            <v>12</v>
          </cell>
          <cell r="I981" t="str">
            <v>1008</v>
          </cell>
          <cell r="K981" t="str">
            <v>VD</v>
          </cell>
          <cell r="L981">
            <v>1</v>
          </cell>
          <cell r="M981">
            <v>9</v>
          </cell>
        </row>
        <row r="982">
          <cell r="C982" t="str">
            <v>2735</v>
          </cell>
          <cell r="D982" t="str">
            <v>JT PROPRIETORS SELECTION MERLOT</v>
          </cell>
          <cell r="E982" t="str">
            <v>ARTERRA WINES CANADA INC</v>
          </cell>
          <cell r="F982" t="str">
            <v>750</v>
          </cell>
          <cell r="G982">
            <v>12.5</v>
          </cell>
          <cell r="H982">
            <v>12</v>
          </cell>
          <cell r="I982" t="str">
            <v>1008</v>
          </cell>
          <cell r="K982" t="str">
            <v>VD</v>
          </cell>
          <cell r="L982">
            <v>1</v>
          </cell>
          <cell r="M982">
            <v>9</v>
          </cell>
        </row>
        <row r="983">
          <cell r="C983" t="str">
            <v>2736</v>
          </cell>
          <cell r="D983" t="str">
            <v>JT PROPRIETORS SELECTION MERLOT</v>
          </cell>
          <cell r="E983" t="str">
            <v>ARTERRA WINES CANADA INC</v>
          </cell>
          <cell r="F983" t="str">
            <v>1500</v>
          </cell>
          <cell r="G983">
            <v>12.5</v>
          </cell>
          <cell r="H983">
            <v>6</v>
          </cell>
          <cell r="I983" t="str">
            <v>1008</v>
          </cell>
          <cell r="K983" t="str">
            <v>VD</v>
          </cell>
          <cell r="L983">
            <v>1</v>
          </cell>
          <cell r="M983">
            <v>14.61</v>
          </cell>
        </row>
        <row r="984">
          <cell r="C984" t="str">
            <v>5615</v>
          </cell>
          <cell r="D984" t="str">
            <v>JT PROPRIETORS SELECTION SHIRAZ</v>
          </cell>
          <cell r="E984" t="str">
            <v>ARTERRA WINES CANADA INC</v>
          </cell>
          <cell r="F984" t="str">
            <v>750</v>
          </cell>
          <cell r="G984">
            <v>13</v>
          </cell>
          <cell r="H984">
            <v>12</v>
          </cell>
          <cell r="I984" t="str">
            <v>1008</v>
          </cell>
          <cell r="K984" t="str">
            <v>VD</v>
          </cell>
          <cell r="L984">
            <v>1</v>
          </cell>
          <cell r="M984">
            <v>9</v>
          </cell>
        </row>
        <row r="985">
          <cell r="C985" t="str">
            <v>15131</v>
          </cell>
          <cell r="D985" t="str">
            <v>JT PROPRIETORS' SELECTION CAB SAUV</v>
          </cell>
          <cell r="E985" t="str">
            <v>ARTERRA WINES CANADA INC</v>
          </cell>
          <cell r="F985" t="str">
            <v>4000</v>
          </cell>
          <cell r="G985">
            <v>12.5</v>
          </cell>
          <cell r="H985">
            <v>4</v>
          </cell>
          <cell r="I985" t="str">
            <v>1008</v>
          </cell>
          <cell r="K985" t="str">
            <v>VD</v>
          </cell>
          <cell r="L985">
            <v>1</v>
          </cell>
          <cell r="M985">
            <v>34.47</v>
          </cell>
        </row>
        <row r="986">
          <cell r="C986" t="str">
            <v>15132</v>
          </cell>
          <cell r="D986" t="str">
            <v>JT PROPRIETORS' SELECTION MERLOT</v>
          </cell>
          <cell r="E986" t="str">
            <v>ARTERRA WINES CANADA INC</v>
          </cell>
          <cell r="F986" t="str">
            <v>4000</v>
          </cell>
          <cell r="G986">
            <v>12.5</v>
          </cell>
          <cell r="H986">
            <v>4</v>
          </cell>
          <cell r="I986" t="str">
            <v>1008</v>
          </cell>
          <cell r="K986" t="str">
            <v>VD</v>
          </cell>
          <cell r="L986">
            <v>1</v>
          </cell>
          <cell r="M986">
            <v>34.47</v>
          </cell>
        </row>
        <row r="987">
          <cell r="C987" t="str">
            <v>18037</v>
          </cell>
          <cell r="D987" t="str">
            <v>JT PROPRIETORS' SELECTION SHIRAZ</v>
          </cell>
          <cell r="E987" t="str">
            <v>ARTERRA WINES CANADA INC</v>
          </cell>
          <cell r="F987" t="str">
            <v>4000</v>
          </cell>
          <cell r="G987">
            <v>13</v>
          </cell>
          <cell r="H987">
            <v>4</v>
          </cell>
          <cell r="I987" t="str">
            <v>1008</v>
          </cell>
          <cell r="K987" t="str">
            <v>VD</v>
          </cell>
          <cell r="L987">
            <v>1</v>
          </cell>
          <cell r="M987">
            <v>34.47</v>
          </cell>
        </row>
        <row r="988">
          <cell r="C988" t="str">
            <v>2872</v>
          </cell>
          <cell r="D988" t="str">
            <v>L'AMBIANCE RED</v>
          </cell>
          <cell r="E988" t="str">
            <v>ARTERRA WINES CANADA INC</v>
          </cell>
          <cell r="F988" t="str">
            <v>4000</v>
          </cell>
          <cell r="G988">
            <v>11</v>
          </cell>
          <cell r="H988">
            <v>4</v>
          </cell>
          <cell r="I988" t="str">
            <v>1008</v>
          </cell>
          <cell r="K988" t="str">
            <v>VD</v>
          </cell>
          <cell r="L988">
            <v>1</v>
          </cell>
          <cell r="M988">
            <v>29.18</v>
          </cell>
        </row>
        <row r="989">
          <cell r="C989" t="str">
            <v>3285</v>
          </cell>
          <cell r="D989" t="str">
            <v>MISSION RIDGE CASK SELECT DRY RED</v>
          </cell>
          <cell r="E989" t="str">
            <v>ARTISAN WINE COMPANY</v>
          </cell>
          <cell r="F989" t="str">
            <v>4000</v>
          </cell>
          <cell r="G989">
            <v>12</v>
          </cell>
          <cell r="H989">
            <v>4</v>
          </cell>
          <cell r="I989" t="str">
            <v>1009</v>
          </cell>
          <cell r="K989" t="str">
            <v>VD</v>
          </cell>
          <cell r="L989">
            <v>1</v>
          </cell>
          <cell r="M989">
            <v>32.99</v>
          </cell>
        </row>
        <row r="990">
          <cell r="C990" t="str">
            <v>6464</v>
          </cell>
          <cell r="D990" t="str">
            <v>NAKED GRAPE MERLOT</v>
          </cell>
          <cell r="E990" t="str">
            <v>ARTERRA WINES CANADA INC</v>
          </cell>
          <cell r="F990" t="str">
            <v>750</v>
          </cell>
          <cell r="G990">
            <v>12.5</v>
          </cell>
          <cell r="H990">
            <v>12</v>
          </cell>
          <cell r="I990" t="str">
            <v>1008</v>
          </cell>
          <cell r="K990" t="str">
            <v>VD</v>
          </cell>
          <cell r="L990">
            <v>1</v>
          </cell>
          <cell r="M990">
            <v>8.4700000000000006</v>
          </cell>
        </row>
        <row r="991">
          <cell r="C991" t="str">
            <v>6465</v>
          </cell>
          <cell r="D991" t="str">
            <v>NAKED GRAPE SHIRAZ</v>
          </cell>
          <cell r="E991" t="str">
            <v>ARTERRA WINES CANADA INC</v>
          </cell>
          <cell r="F991" t="str">
            <v>750</v>
          </cell>
          <cell r="G991">
            <v>12.5</v>
          </cell>
          <cell r="H991">
            <v>12</v>
          </cell>
          <cell r="I991" t="str">
            <v>1008</v>
          </cell>
          <cell r="K991" t="str">
            <v>VD</v>
          </cell>
          <cell r="L991">
            <v>1</v>
          </cell>
          <cell r="M991">
            <v>8.4700000000000006</v>
          </cell>
        </row>
        <row r="992">
          <cell r="C992" t="str">
            <v>18028</v>
          </cell>
          <cell r="D992" t="str">
            <v>PELLER FAMILY VINEYARDS CAB SAUVIGNON</v>
          </cell>
          <cell r="E992" t="str">
            <v>ANDREW PELLER LIMITED</v>
          </cell>
          <cell r="F992" t="str">
            <v>4000</v>
          </cell>
          <cell r="G992">
            <v>12.5</v>
          </cell>
          <cell r="H992">
            <v>4</v>
          </cell>
          <cell r="I992" t="str">
            <v>4095</v>
          </cell>
          <cell r="K992" t="str">
            <v>VD</v>
          </cell>
          <cell r="L992">
            <v>1</v>
          </cell>
          <cell r="M992">
            <v>33.57</v>
          </cell>
        </row>
        <row r="993">
          <cell r="C993" t="str">
            <v>3586</v>
          </cell>
          <cell r="D993" t="str">
            <v>PELLER FAMILY VINEYARDS CABERNET MERLOT</v>
          </cell>
          <cell r="E993" t="str">
            <v>PELLER ESTATES WINERY</v>
          </cell>
          <cell r="F993" t="str">
            <v>750</v>
          </cell>
          <cell r="G993">
            <v>12.5</v>
          </cell>
          <cell r="H993">
            <v>12</v>
          </cell>
          <cell r="I993" t="str">
            <v>4095</v>
          </cell>
          <cell r="K993" t="str">
            <v>VD</v>
          </cell>
          <cell r="L993">
            <v>1</v>
          </cell>
          <cell r="M993">
            <v>8.6</v>
          </cell>
        </row>
        <row r="994">
          <cell r="C994" t="str">
            <v>3587</v>
          </cell>
          <cell r="D994" t="str">
            <v>PELLER FAMILY VINEYARDS CABERNET MERLOT</v>
          </cell>
          <cell r="E994" t="str">
            <v>PELLER ESTATES WINERY</v>
          </cell>
          <cell r="F994" t="str">
            <v>1500</v>
          </cell>
          <cell r="G994">
            <v>12.5</v>
          </cell>
          <cell r="H994">
            <v>6</v>
          </cell>
          <cell r="I994" t="str">
            <v>4095</v>
          </cell>
          <cell r="K994" t="str">
            <v>VD</v>
          </cell>
          <cell r="L994">
            <v>1</v>
          </cell>
          <cell r="M994">
            <v>14.35</v>
          </cell>
        </row>
        <row r="995">
          <cell r="C995" t="str">
            <v>3588</v>
          </cell>
          <cell r="D995" t="str">
            <v>PELLER FAMILY VINEYARDS CABERNET MERLOT</v>
          </cell>
          <cell r="E995" t="str">
            <v>PELLER ESTATES WINERY</v>
          </cell>
          <cell r="F995" t="str">
            <v>4000</v>
          </cell>
          <cell r="G995">
            <v>12.5</v>
          </cell>
          <cell r="H995">
            <v>4</v>
          </cell>
          <cell r="I995" t="str">
            <v>4095</v>
          </cell>
          <cell r="K995" t="str">
            <v>VD</v>
          </cell>
          <cell r="L995">
            <v>1</v>
          </cell>
          <cell r="M995">
            <v>33.57</v>
          </cell>
        </row>
        <row r="996">
          <cell r="C996" t="str">
            <v>5445</v>
          </cell>
          <cell r="D996" t="str">
            <v>PELLER FAMILY VINEYARDS DRY RED</v>
          </cell>
          <cell r="E996" t="str">
            <v>PELLER ESTATES WINERY</v>
          </cell>
          <cell r="F996" t="str">
            <v>4000</v>
          </cell>
          <cell r="G996">
            <v>11.5</v>
          </cell>
          <cell r="H996">
            <v>4</v>
          </cell>
          <cell r="I996" t="str">
            <v>4095</v>
          </cell>
          <cell r="K996" t="str">
            <v>D</v>
          </cell>
          <cell r="L996">
            <v>1</v>
          </cell>
          <cell r="M996">
            <v>33.07</v>
          </cell>
        </row>
        <row r="997">
          <cell r="C997" t="str">
            <v>3589</v>
          </cell>
          <cell r="D997" t="str">
            <v>PELLER FAMILY VINEYARDS MERLOT</v>
          </cell>
          <cell r="E997" t="str">
            <v>PELLER ESTATES WINERY</v>
          </cell>
          <cell r="F997" t="str">
            <v>750</v>
          </cell>
          <cell r="G997">
            <v>12.5</v>
          </cell>
          <cell r="H997">
            <v>12</v>
          </cell>
          <cell r="I997" t="str">
            <v>4095</v>
          </cell>
          <cell r="K997" t="str">
            <v>VD</v>
          </cell>
          <cell r="L997">
            <v>1</v>
          </cell>
          <cell r="M997">
            <v>8.6</v>
          </cell>
        </row>
        <row r="998">
          <cell r="C998" t="str">
            <v>3591</v>
          </cell>
          <cell r="D998" t="str">
            <v>PELLER FAMILY VINEYARDS MERLOT</v>
          </cell>
          <cell r="E998" t="str">
            <v>PELLER ESTATES WINERY</v>
          </cell>
          <cell r="F998" t="str">
            <v>4000</v>
          </cell>
          <cell r="G998">
            <v>12.5</v>
          </cell>
          <cell r="H998">
            <v>4</v>
          </cell>
          <cell r="I998" t="str">
            <v>4095</v>
          </cell>
          <cell r="K998" t="str">
            <v>VD</v>
          </cell>
          <cell r="L998">
            <v>1</v>
          </cell>
          <cell r="M998">
            <v>33.57</v>
          </cell>
        </row>
        <row r="999">
          <cell r="C999" t="str">
            <v>6356</v>
          </cell>
          <cell r="D999" t="str">
            <v>PELLER FAMILY VINEYARDS SHIRAZ</v>
          </cell>
          <cell r="E999" t="str">
            <v>ANDREW PELLER LIMITED</v>
          </cell>
          <cell r="F999" t="str">
            <v>750</v>
          </cell>
          <cell r="G999">
            <v>13</v>
          </cell>
          <cell r="H999">
            <v>12</v>
          </cell>
          <cell r="I999" t="str">
            <v>4095</v>
          </cell>
          <cell r="K999" t="str">
            <v>VD</v>
          </cell>
          <cell r="L999">
            <v>1</v>
          </cell>
          <cell r="M999">
            <v>8.6</v>
          </cell>
        </row>
        <row r="1000">
          <cell r="C1000" t="str">
            <v>6357</v>
          </cell>
          <cell r="D1000" t="str">
            <v>PELLER FAMILY VINEYARDS SHIRAZ</v>
          </cell>
          <cell r="E1000" t="str">
            <v>ANDREW PELLER LIMITED</v>
          </cell>
          <cell r="F1000" t="str">
            <v>1500</v>
          </cell>
          <cell r="G1000">
            <v>13</v>
          </cell>
          <cell r="H1000">
            <v>6</v>
          </cell>
          <cell r="I1000" t="str">
            <v>4095</v>
          </cell>
          <cell r="K1000" t="str">
            <v>VD</v>
          </cell>
          <cell r="L1000">
            <v>1</v>
          </cell>
          <cell r="M1000">
            <v>14.35</v>
          </cell>
        </row>
        <row r="1001">
          <cell r="C1001" t="str">
            <v>6358</v>
          </cell>
          <cell r="D1001" t="str">
            <v>PELLER FAMILY VINEYARDS SHIRAZ</v>
          </cell>
          <cell r="E1001" t="str">
            <v>ANDREW PELLER LIMITED</v>
          </cell>
          <cell r="F1001" t="str">
            <v>4000</v>
          </cell>
          <cell r="G1001">
            <v>13</v>
          </cell>
          <cell r="H1001">
            <v>4</v>
          </cell>
          <cell r="I1001" t="str">
            <v>4095</v>
          </cell>
          <cell r="K1001" t="str">
            <v>VD</v>
          </cell>
          <cell r="L1001">
            <v>1</v>
          </cell>
          <cell r="M1001">
            <v>33.57</v>
          </cell>
        </row>
        <row r="1002">
          <cell r="C1002" t="str">
            <v>6604</v>
          </cell>
          <cell r="D1002" t="str">
            <v>PELLER PROP RSV RED</v>
          </cell>
          <cell r="E1002" t="str">
            <v>PELLER ESTATES WINERY</v>
          </cell>
          <cell r="F1002" t="str">
            <v>16000</v>
          </cell>
          <cell r="G1002">
            <v>11.5</v>
          </cell>
          <cell r="H1002">
            <v>1</v>
          </cell>
          <cell r="I1002" t="str">
            <v>4095</v>
          </cell>
          <cell r="K1002" t="str">
            <v>D</v>
          </cell>
          <cell r="L1002">
            <v>1</v>
          </cell>
          <cell r="M1002">
            <v>110.28</v>
          </cell>
        </row>
        <row r="1003">
          <cell r="C1003" t="str">
            <v>4004</v>
          </cell>
          <cell r="D1003" t="str">
            <v>SAWMILL CREEK CAB SAUV</v>
          </cell>
          <cell r="E1003" t="str">
            <v>SAWMILL CREEK WINERY</v>
          </cell>
          <cell r="F1003" t="str">
            <v>750</v>
          </cell>
          <cell r="G1003">
            <v>11.5</v>
          </cell>
          <cell r="H1003">
            <v>12</v>
          </cell>
          <cell r="I1003" t="str">
            <v>1008</v>
          </cell>
          <cell r="K1003" t="str">
            <v>VD</v>
          </cell>
          <cell r="L1003">
            <v>1</v>
          </cell>
          <cell r="M1003">
            <v>8.6</v>
          </cell>
        </row>
        <row r="1004">
          <cell r="C1004" t="str">
            <v>4008</v>
          </cell>
          <cell r="D1004" t="str">
            <v>SAWMILL CREEK MERLOT</v>
          </cell>
          <cell r="E1004" t="str">
            <v>SAWMILL CREEK WINERY</v>
          </cell>
          <cell r="F1004" t="str">
            <v>750</v>
          </cell>
          <cell r="G1004">
            <v>12.5</v>
          </cell>
          <cell r="H1004">
            <v>12</v>
          </cell>
          <cell r="I1004" t="str">
            <v>1008</v>
          </cell>
          <cell r="K1004" t="str">
            <v>VD</v>
          </cell>
          <cell r="L1004">
            <v>1</v>
          </cell>
          <cell r="M1004">
            <v>8.6</v>
          </cell>
        </row>
        <row r="1005">
          <cell r="C1005" t="str">
            <v>12561</v>
          </cell>
          <cell r="D1005" t="str">
            <v>SAWMILL CREEK MERLOT</v>
          </cell>
          <cell r="E1005" t="str">
            <v>SAWMILL CREEK WINERY</v>
          </cell>
          <cell r="F1005" t="str">
            <v>4000</v>
          </cell>
          <cell r="G1005">
            <v>12.5</v>
          </cell>
          <cell r="H1005">
            <v>4</v>
          </cell>
          <cell r="I1005" t="str">
            <v>1008</v>
          </cell>
          <cell r="K1005" t="str">
            <v>VD</v>
          </cell>
          <cell r="L1005">
            <v>1</v>
          </cell>
          <cell r="M1005">
            <v>33.57</v>
          </cell>
        </row>
        <row r="1006">
          <cell r="C1006" t="str">
            <v>24927</v>
          </cell>
          <cell r="D1006" t="str">
            <v>TWIST OF FATE MALBEC MERLOT</v>
          </cell>
          <cell r="E1006" t="str">
            <v>ARTERRA WINES CANADA INC</v>
          </cell>
          <cell r="F1006" t="str">
            <v>750</v>
          </cell>
          <cell r="G1006">
            <v>13</v>
          </cell>
          <cell r="H1006">
            <v>12</v>
          </cell>
          <cell r="I1006" t="str">
            <v>1008</v>
          </cell>
          <cell r="K1006" t="str">
            <v>MD</v>
          </cell>
          <cell r="L1006">
            <v>1</v>
          </cell>
          <cell r="M1006">
            <v>9.19</v>
          </cell>
        </row>
        <row r="1007">
          <cell r="C1007" t="str">
            <v>1109</v>
          </cell>
          <cell r="D1007" t="str">
            <v>ANDRES HOCHTALER DRY</v>
          </cell>
          <cell r="E1007" t="str">
            <v>ANDREW PELLER LIMITED</v>
          </cell>
          <cell r="F1007" t="str">
            <v>4000</v>
          </cell>
          <cell r="G1007">
            <v>11</v>
          </cell>
          <cell r="H1007">
            <v>4</v>
          </cell>
          <cell r="I1007" t="str">
            <v>4095</v>
          </cell>
          <cell r="K1007" t="str">
            <v>VD</v>
          </cell>
          <cell r="L1007">
            <v>1</v>
          </cell>
          <cell r="M1007">
            <v>31.57</v>
          </cell>
        </row>
        <row r="1008">
          <cell r="C1008" t="str">
            <v>1106</v>
          </cell>
          <cell r="D1008" t="str">
            <v>ANDRES HOCHTALER WHITE</v>
          </cell>
          <cell r="E1008" t="str">
            <v>ANDREW PELLER LIMITED</v>
          </cell>
          <cell r="F1008" t="str">
            <v>1500</v>
          </cell>
          <cell r="G1008">
            <v>11</v>
          </cell>
          <cell r="H1008">
            <v>6</v>
          </cell>
          <cell r="I1008" t="str">
            <v>4095</v>
          </cell>
          <cell r="K1008" t="str">
            <v>MD</v>
          </cell>
          <cell r="L1008">
            <v>1</v>
          </cell>
          <cell r="M1008">
            <v>14.02</v>
          </cell>
        </row>
        <row r="1009">
          <cell r="C1009" t="str">
            <v>1107</v>
          </cell>
          <cell r="D1009" t="str">
            <v>ANDRES HOCHTALER WHITE</v>
          </cell>
          <cell r="E1009" t="str">
            <v>ANDREW PELLER LIMITED</v>
          </cell>
          <cell r="F1009" t="str">
            <v>4000</v>
          </cell>
          <cell r="G1009">
            <v>11</v>
          </cell>
          <cell r="H1009">
            <v>4</v>
          </cell>
          <cell r="I1009" t="str">
            <v>4095</v>
          </cell>
          <cell r="K1009" t="str">
            <v>MD</v>
          </cell>
          <cell r="L1009">
            <v>1</v>
          </cell>
          <cell r="M1009">
            <v>31.57</v>
          </cell>
        </row>
        <row r="1010">
          <cell r="C1010" t="str">
            <v>18903</v>
          </cell>
          <cell r="D1010" t="str">
            <v>BLACK CELLAR PINOT GRIGIO</v>
          </cell>
          <cell r="E1010" t="str">
            <v>ANDREW PELLER LIMITED</v>
          </cell>
          <cell r="F1010" t="str">
            <v>750</v>
          </cell>
          <cell r="G1010">
            <v>12</v>
          </cell>
          <cell r="H1010">
            <v>12</v>
          </cell>
          <cell r="I1010" t="str">
            <v>4095</v>
          </cell>
          <cell r="K1010" t="str">
            <v>VD</v>
          </cell>
          <cell r="L1010">
            <v>1</v>
          </cell>
          <cell r="M1010">
            <v>9.17</v>
          </cell>
        </row>
        <row r="1011">
          <cell r="C1011" t="str">
            <v>17292</v>
          </cell>
          <cell r="D1011" t="str">
            <v>BODACIOUS SMOOTH WHITE</v>
          </cell>
          <cell r="E1011" t="str">
            <v>ARTERRA WINES CANADA INC</v>
          </cell>
          <cell r="F1011" t="str">
            <v>750</v>
          </cell>
          <cell r="G1011">
            <v>12.5</v>
          </cell>
          <cell r="H1011">
            <v>12</v>
          </cell>
          <cell r="I1011" t="str">
            <v>1008</v>
          </cell>
          <cell r="K1011" t="str">
            <v>MD</v>
          </cell>
          <cell r="L1011">
            <v>1</v>
          </cell>
          <cell r="M1011">
            <v>9.26</v>
          </cell>
        </row>
        <row r="1012">
          <cell r="C1012" t="str">
            <v>3893</v>
          </cell>
          <cell r="D1012" t="str">
            <v>CALONA ROYAL WHITE</v>
          </cell>
          <cell r="E1012" t="str">
            <v>ANDREW PELLER LIMITED</v>
          </cell>
          <cell r="F1012" t="str">
            <v>2000</v>
          </cell>
          <cell r="G1012">
            <v>12.5</v>
          </cell>
          <cell r="H1012">
            <v>6</v>
          </cell>
          <cell r="I1012" t="str">
            <v>4095</v>
          </cell>
          <cell r="K1012" t="str">
            <v>MS</v>
          </cell>
          <cell r="L1012">
            <v>1</v>
          </cell>
          <cell r="M1012">
            <v>16.03</v>
          </cell>
        </row>
        <row r="1013">
          <cell r="C1013" t="str">
            <v>4018</v>
          </cell>
          <cell r="D1013" t="str">
            <v>CALONA SCHLOSS LADERHEIM</v>
          </cell>
          <cell r="E1013" t="str">
            <v>ANDREW PELLER LIMITED</v>
          </cell>
          <cell r="F1013" t="str">
            <v>1500</v>
          </cell>
          <cell r="G1013">
            <v>11.5</v>
          </cell>
          <cell r="H1013">
            <v>6</v>
          </cell>
          <cell r="I1013" t="str">
            <v>4095</v>
          </cell>
          <cell r="K1013" t="str">
            <v>MD</v>
          </cell>
          <cell r="L1013">
            <v>1</v>
          </cell>
          <cell r="M1013">
            <v>14.02</v>
          </cell>
        </row>
        <row r="1014">
          <cell r="C1014" t="str">
            <v>4019</v>
          </cell>
          <cell r="D1014" t="str">
            <v>CALONA SCHLOSS LADERHEIM</v>
          </cell>
          <cell r="E1014" t="str">
            <v>ANDREW PELLER LIMITED</v>
          </cell>
          <cell r="F1014" t="str">
            <v>4000</v>
          </cell>
          <cell r="G1014">
            <v>11.5</v>
          </cell>
          <cell r="H1014">
            <v>4</v>
          </cell>
          <cell r="I1014" t="str">
            <v>4095</v>
          </cell>
          <cell r="K1014" t="str">
            <v>MD</v>
          </cell>
          <cell r="L1014">
            <v>1</v>
          </cell>
          <cell r="M1014">
            <v>31.57</v>
          </cell>
        </row>
        <row r="1015">
          <cell r="C1015" t="str">
            <v>4212</v>
          </cell>
          <cell r="D1015" t="str">
            <v>CALONA SOMMET BLANC</v>
          </cell>
          <cell r="E1015" t="str">
            <v>ANDREW PELLER LIMITED</v>
          </cell>
          <cell r="F1015" t="str">
            <v>4000</v>
          </cell>
          <cell r="G1015">
            <v>12.5</v>
          </cell>
          <cell r="H1015">
            <v>4</v>
          </cell>
          <cell r="I1015" t="str">
            <v>4095</v>
          </cell>
          <cell r="K1015" t="str">
            <v>VD</v>
          </cell>
          <cell r="L1015">
            <v>1</v>
          </cell>
          <cell r="M1015">
            <v>31.07</v>
          </cell>
        </row>
        <row r="1016">
          <cell r="C1016" t="str">
            <v>7275</v>
          </cell>
          <cell r="D1016" t="str">
            <v>COPPER MOON CHARDONNAY</v>
          </cell>
          <cell r="E1016" t="str">
            <v>ANDREW PELLER LIMITED</v>
          </cell>
          <cell r="F1016" t="str">
            <v>750</v>
          </cell>
          <cell r="G1016">
            <v>13</v>
          </cell>
          <cell r="H1016">
            <v>12</v>
          </cell>
          <cell r="I1016" t="str">
            <v>4095</v>
          </cell>
          <cell r="K1016" t="str">
            <v>VD</v>
          </cell>
          <cell r="L1016">
            <v>1</v>
          </cell>
          <cell r="M1016">
            <v>9</v>
          </cell>
        </row>
        <row r="1017">
          <cell r="C1017" t="str">
            <v>7633</v>
          </cell>
          <cell r="D1017" t="str">
            <v>COPPER MOON PINOT GRIGIO</v>
          </cell>
          <cell r="E1017" t="str">
            <v>ANDREW PELLER LIMITED</v>
          </cell>
          <cell r="F1017" t="str">
            <v>750</v>
          </cell>
          <cell r="G1017">
            <v>12.5</v>
          </cell>
          <cell r="H1017">
            <v>12</v>
          </cell>
          <cell r="I1017" t="str">
            <v>4095</v>
          </cell>
          <cell r="K1017" t="str">
            <v>VD</v>
          </cell>
          <cell r="L1017">
            <v>1</v>
          </cell>
          <cell r="M1017">
            <v>9</v>
          </cell>
        </row>
        <row r="1018">
          <cell r="C1018" t="str">
            <v>7276</v>
          </cell>
          <cell r="D1018" t="str">
            <v>COPPER MOON SAUVIGNON BLANC</v>
          </cell>
          <cell r="E1018" t="str">
            <v>ANDREW PELLER LIMITED</v>
          </cell>
          <cell r="F1018" t="str">
            <v>750</v>
          </cell>
          <cell r="G1018">
            <v>12.5</v>
          </cell>
          <cell r="H1018">
            <v>12</v>
          </cell>
          <cell r="I1018" t="str">
            <v>4095</v>
          </cell>
          <cell r="K1018" t="str">
            <v>VD</v>
          </cell>
          <cell r="L1018">
            <v>1</v>
          </cell>
          <cell r="M1018">
            <v>9</v>
          </cell>
        </row>
        <row r="1019">
          <cell r="C1019" t="str">
            <v>2737</v>
          </cell>
          <cell r="D1019" t="str">
            <v>JT PROPRIETORS SELECTION CHARDONNAY</v>
          </cell>
          <cell r="E1019" t="str">
            <v>ARTERRA WINES CANADA INC</v>
          </cell>
          <cell r="F1019" t="str">
            <v>750</v>
          </cell>
          <cell r="G1019">
            <v>12.5</v>
          </cell>
          <cell r="H1019">
            <v>12</v>
          </cell>
          <cell r="I1019" t="str">
            <v>1008</v>
          </cell>
          <cell r="K1019" t="str">
            <v>VD</v>
          </cell>
          <cell r="L1019">
            <v>1</v>
          </cell>
          <cell r="M1019">
            <v>9</v>
          </cell>
        </row>
        <row r="1020">
          <cell r="C1020" t="str">
            <v>2738</v>
          </cell>
          <cell r="D1020" t="str">
            <v>JT PROPRIETORS SELECTION CHARDONNAY</v>
          </cell>
          <cell r="E1020" t="str">
            <v>ARTERRA WINES CANADA INC</v>
          </cell>
          <cell r="F1020" t="str">
            <v>1500</v>
          </cell>
          <cell r="G1020">
            <v>12.5</v>
          </cell>
          <cell r="H1020">
            <v>6</v>
          </cell>
          <cell r="I1020" t="str">
            <v>1008</v>
          </cell>
          <cell r="K1020" t="str">
            <v>VD</v>
          </cell>
          <cell r="L1020">
            <v>1</v>
          </cell>
          <cell r="M1020">
            <v>14.61</v>
          </cell>
        </row>
        <row r="1021">
          <cell r="C1021" t="str">
            <v>6150</v>
          </cell>
          <cell r="D1021" t="str">
            <v>JT PROPRIETORS SELECTION PINOT GRIGIO</v>
          </cell>
          <cell r="E1021" t="str">
            <v>ARTERRA WINES CANADA INC</v>
          </cell>
          <cell r="F1021" t="str">
            <v>750</v>
          </cell>
          <cell r="G1021">
            <v>12</v>
          </cell>
          <cell r="H1021">
            <v>12</v>
          </cell>
          <cell r="I1021" t="str">
            <v>1008</v>
          </cell>
          <cell r="K1021" t="str">
            <v>VD</v>
          </cell>
          <cell r="L1021">
            <v>1</v>
          </cell>
          <cell r="M1021">
            <v>9</v>
          </cell>
        </row>
        <row r="1022">
          <cell r="C1022" t="str">
            <v>2739</v>
          </cell>
          <cell r="D1022" t="str">
            <v>JT PROPRIETORS SELECTION SAUV BLANC</v>
          </cell>
          <cell r="E1022" t="str">
            <v>ARTERRA WINES CANADA INC</v>
          </cell>
          <cell r="F1022" t="str">
            <v>750</v>
          </cell>
          <cell r="G1022">
            <v>12.5</v>
          </cell>
          <cell r="H1022">
            <v>12</v>
          </cell>
          <cell r="I1022" t="str">
            <v>1008</v>
          </cell>
          <cell r="K1022" t="str">
            <v>VD</v>
          </cell>
          <cell r="L1022">
            <v>1</v>
          </cell>
          <cell r="M1022">
            <v>9</v>
          </cell>
        </row>
        <row r="1023">
          <cell r="C1023" t="str">
            <v>2740</v>
          </cell>
          <cell r="D1023" t="str">
            <v>JT PROPRIETORS SELECTION SAUV BLANC</v>
          </cell>
          <cell r="E1023" t="str">
            <v>ARTERRA WINES CANADA INC</v>
          </cell>
          <cell r="F1023" t="str">
            <v>1500</v>
          </cell>
          <cell r="G1023">
            <v>12.5</v>
          </cell>
          <cell r="H1023">
            <v>6</v>
          </cell>
          <cell r="I1023" t="str">
            <v>1008</v>
          </cell>
          <cell r="K1023" t="str">
            <v>VD</v>
          </cell>
          <cell r="L1023">
            <v>1</v>
          </cell>
          <cell r="M1023">
            <v>14.61</v>
          </cell>
        </row>
        <row r="1024">
          <cell r="C1024" t="str">
            <v>15133</v>
          </cell>
          <cell r="D1024" t="str">
            <v>JT PROPRIETORS' SELECTION CHARDONNAY</v>
          </cell>
          <cell r="E1024" t="str">
            <v>ARTERRA WINES CANADA INC</v>
          </cell>
          <cell r="F1024" t="str">
            <v>4000</v>
          </cell>
          <cell r="G1024">
            <v>12.5</v>
          </cell>
          <cell r="H1024">
            <v>4</v>
          </cell>
          <cell r="I1024" t="str">
            <v>1008</v>
          </cell>
          <cell r="K1024" t="str">
            <v>VD</v>
          </cell>
          <cell r="L1024">
            <v>1</v>
          </cell>
          <cell r="M1024">
            <v>34.47</v>
          </cell>
        </row>
        <row r="1025">
          <cell r="C1025" t="str">
            <v>18036</v>
          </cell>
          <cell r="D1025" t="str">
            <v>JT PROPRIETORS' SELECTION PINOT GRIGIO</v>
          </cell>
          <cell r="E1025" t="str">
            <v>ARTERRA WINES CANADA INC</v>
          </cell>
          <cell r="F1025" t="str">
            <v>4000</v>
          </cell>
          <cell r="G1025">
            <v>12</v>
          </cell>
          <cell r="H1025">
            <v>4</v>
          </cell>
          <cell r="I1025" t="str">
            <v>1008</v>
          </cell>
          <cell r="K1025" t="str">
            <v>VD</v>
          </cell>
          <cell r="L1025">
            <v>1</v>
          </cell>
          <cell r="M1025">
            <v>34.47</v>
          </cell>
        </row>
        <row r="1026">
          <cell r="C1026" t="str">
            <v>15134</v>
          </cell>
          <cell r="D1026" t="str">
            <v>JT PROPRIETORS' SELECTION SAUV BLANC</v>
          </cell>
          <cell r="E1026" t="str">
            <v>ARTERRA WINES CANADA INC</v>
          </cell>
          <cell r="F1026" t="str">
            <v>4000</v>
          </cell>
          <cell r="G1026">
            <v>12.5</v>
          </cell>
          <cell r="H1026">
            <v>4</v>
          </cell>
          <cell r="I1026" t="str">
            <v>1008</v>
          </cell>
          <cell r="K1026" t="str">
            <v>VD</v>
          </cell>
          <cell r="L1026">
            <v>1</v>
          </cell>
          <cell r="M1026">
            <v>34.47</v>
          </cell>
        </row>
        <row r="1027">
          <cell r="C1027" t="str">
            <v>2869</v>
          </cell>
          <cell r="D1027" t="str">
            <v>L'AMBIANCE WHITE</v>
          </cell>
          <cell r="E1027" t="str">
            <v>ARTERRA WINES CANADA INC</v>
          </cell>
          <cell r="F1027" t="str">
            <v>4000</v>
          </cell>
          <cell r="G1027">
            <v>11</v>
          </cell>
          <cell r="H1027">
            <v>4</v>
          </cell>
          <cell r="I1027" t="str">
            <v>3253</v>
          </cell>
          <cell r="K1027" t="str">
            <v>D</v>
          </cell>
          <cell r="L1027">
            <v>1</v>
          </cell>
          <cell r="M1027">
            <v>29.18</v>
          </cell>
        </row>
        <row r="1028">
          <cell r="C1028" t="str">
            <v>3290</v>
          </cell>
          <cell r="D1028" t="str">
            <v>MISSION RIDGE CASK SELECT DRY WHITE</v>
          </cell>
          <cell r="E1028" t="str">
            <v>ARTISAN WINE COMPANY</v>
          </cell>
          <cell r="F1028" t="str">
            <v>4000</v>
          </cell>
          <cell r="G1028">
            <v>9.5</v>
          </cell>
          <cell r="H1028">
            <v>4</v>
          </cell>
          <cell r="I1028" t="str">
            <v>1009</v>
          </cell>
          <cell r="K1028" t="str">
            <v>VD</v>
          </cell>
          <cell r="L1028">
            <v>1</v>
          </cell>
          <cell r="M1028">
            <v>32.99</v>
          </cell>
        </row>
        <row r="1029">
          <cell r="C1029" t="str">
            <v>6462</v>
          </cell>
          <cell r="D1029" t="str">
            <v>NAKED GRAPE CHARDONNAY</v>
          </cell>
          <cell r="E1029" t="str">
            <v>ARTERRA WINES CANADA INC</v>
          </cell>
          <cell r="F1029" t="str">
            <v>750</v>
          </cell>
          <cell r="G1029">
            <v>12.5</v>
          </cell>
          <cell r="H1029">
            <v>12</v>
          </cell>
          <cell r="I1029" t="str">
            <v>1008</v>
          </cell>
          <cell r="K1029" t="str">
            <v>D</v>
          </cell>
          <cell r="L1029">
            <v>1</v>
          </cell>
          <cell r="M1029">
            <v>8.4700000000000006</v>
          </cell>
        </row>
        <row r="1030">
          <cell r="C1030" t="str">
            <v>7031</v>
          </cell>
          <cell r="D1030" t="str">
            <v>NAKED GRAPE PINOT GRIGIO</v>
          </cell>
          <cell r="E1030" t="str">
            <v>ARTERRA WINES CANADA INC</v>
          </cell>
          <cell r="F1030" t="str">
            <v>750</v>
          </cell>
          <cell r="G1030">
            <v>12</v>
          </cell>
          <cell r="H1030">
            <v>12</v>
          </cell>
          <cell r="I1030" t="str">
            <v>1008</v>
          </cell>
          <cell r="K1030" t="str">
            <v>VD</v>
          </cell>
          <cell r="L1030">
            <v>1</v>
          </cell>
          <cell r="M1030">
            <v>8.4700000000000006</v>
          </cell>
        </row>
        <row r="1031">
          <cell r="C1031" t="str">
            <v>6463</v>
          </cell>
          <cell r="D1031" t="str">
            <v>NAKED GRAPE SAUVIGNON BLANC</v>
          </cell>
          <cell r="E1031" t="str">
            <v>ARTERRA WINES CANADA INC</v>
          </cell>
          <cell r="F1031" t="str">
            <v>750</v>
          </cell>
          <cell r="G1031">
            <v>12</v>
          </cell>
          <cell r="H1031">
            <v>12</v>
          </cell>
          <cell r="I1031" t="str">
            <v>1008</v>
          </cell>
          <cell r="K1031" t="str">
            <v>D</v>
          </cell>
          <cell r="L1031">
            <v>1</v>
          </cell>
          <cell r="M1031">
            <v>8.4700000000000006</v>
          </cell>
        </row>
        <row r="1032">
          <cell r="C1032" t="str">
            <v>5441</v>
          </cell>
          <cell r="D1032" t="str">
            <v>PELLER FAMILY VINEYARDS CHARDONNAY</v>
          </cell>
          <cell r="E1032" t="str">
            <v>ANDREW PELLER LIMITED</v>
          </cell>
          <cell r="F1032" t="str">
            <v>750</v>
          </cell>
          <cell r="G1032">
            <v>12.5</v>
          </cell>
          <cell r="H1032">
            <v>12</v>
          </cell>
          <cell r="I1032" t="str">
            <v>4095</v>
          </cell>
          <cell r="K1032" t="str">
            <v>VD</v>
          </cell>
          <cell r="L1032">
            <v>1</v>
          </cell>
          <cell r="M1032">
            <v>8.6</v>
          </cell>
        </row>
        <row r="1033">
          <cell r="C1033" t="str">
            <v>5442</v>
          </cell>
          <cell r="D1033" t="str">
            <v>PELLER FAMILY VINEYARDS CHARDONNAY</v>
          </cell>
          <cell r="E1033" t="str">
            <v>ANDREW PELLER LIMITED</v>
          </cell>
          <cell r="F1033" t="str">
            <v>1500</v>
          </cell>
          <cell r="G1033">
            <v>12.5</v>
          </cell>
          <cell r="H1033">
            <v>6</v>
          </cell>
          <cell r="I1033" t="str">
            <v>4095</v>
          </cell>
          <cell r="K1033" t="str">
            <v>VD</v>
          </cell>
          <cell r="L1033">
            <v>1</v>
          </cell>
          <cell r="M1033">
            <v>14.35</v>
          </cell>
        </row>
        <row r="1034">
          <cell r="C1034" t="str">
            <v>5443</v>
          </cell>
          <cell r="D1034" t="str">
            <v>PELLER FAMILY VINEYARDS CHARDONNAY</v>
          </cell>
          <cell r="E1034" t="str">
            <v>ANDREW PELLER LIMITED</v>
          </cell>
          <cell r="F1034" t="str">
            <v>4000</v>
          </cell>
          <cell r="G1034">
            <v>12.5</v>
          </cell>
          <cell r="H1034">
            <v>4</v>
          </cell>
          <cell r="I1034" t="str">
            <v>4095</v>
          </cell>
          <cell r="K1034" t="str">
            <v>VD</v>
          </cell>
          <cell r="L1034">
            <v>1</v>
          </cell>
          <cell r="M1034">
            <v>33.57</v>
          </cell>
        </row>
        <row r="1035">
          <cell r="C1035" t="str">
            <v>5444</v>
          </cell>
          <cell r="D1035" t="str">
            <v>PELLER FAMILY VINEYARDS DRY WHITE</v>
          </cell>
          <cell r="E1035" t="str">
            <v>PELLER ESTATES WINERY</v>
          </cell>
          <cell r="F1035" t="str">
            <v>4000</v>
          </cell>
          <cell r="G1035">
            <v>11.5</v>
          </cell>
          <cell r="H1035">
            <v>4</v>
          </cell>
          <cell r="I1035" t="str">
            <v>4095</v>
          </cell>
          <cell r="K1035" t="str">
            <v>D</v>
          </cell>
          <cell r="L1035">
            <v>1</v>
          </cell>
          <cell r="M1035">
            <v>33.07</v>
          </cell>
        </row>
        <row r="1036">
          <cell r="C1036" t="str">
            <v>6359</v>
          </cell>
          <cell r="D1036" t="str">
            <v>PELLER FAMILY VINEYARDS PINOT GRIGIO</v>
          </cell>
          <cell r="E1036" t="str">
            <v>ANDREW PELLER LIMITED</v>
          </cell>
          <cell r="F1036" t="str">
            <v>750</v>
          </cell>
          <cell r="G1036">
            <v>12</v>
          </cell>
          <cell r="H1036">
            <v>12</v>
          </cell>
          <cell r="I1036" t="str">
            <v>4095</v>
          </cell>
          <cell r="K1036" t="str">
            <v>VD</v>
          </cell>
          <cell r="L1036">
            <v>1</v>
          </cell>
          <cell r="M1036">
            <v>8.6</v>
          </cell>
        </row>
        <row r="1037">
          <cell r="C1037" t="str">
            <v>6360</v>
          </cell>
          <cell r="D1037" t="str">
            <v>PELLER FAMILY VINEYARDS PINOT GRIGIO</v>
          </cell>
          <cell r="E1037" t="str">
            <v>ANDREW PELLER LIMITED</v>
          </cell>
          <cell r="F1037" t="str">
            <v>1500</v>
          </cell>
          <cell r="G1037">
            <v>12</v>
          </cell>
          <cell r="H1037">
            <v>6</v>
          </cell>
          <cell r="I1037" t="str">
            <v>4095</v>
          </cell>
          <cell r="K1037" t="str">
            <v>VD</v>
          </cell>
          <cell r="L1037">
            <v>1</v>
          </cell>
          <cell r="M1037">
            <v>14.35</v>
          </cell>
        </row>
        <row r="1038">
          <cell r="C1038" t="str">
            <v>6361</v>
          </cell>
          <cell r="D1038" t="str">
            <v>PELLER FAMILY VINEYARDS PINOT GRIGIO</v>
          </cell>
          <cell r="E1038" t="str">
            <v>ANDREW PELLER LIMITED</v>
          </cell>
          <cell r="F1038" t="str">
            <v>4000</v>
          </cell>
          <cell r="G1038">
            <v>12</v>
          </cell>
          <cell r="H1038">
            <v>4</v>
          </cell>
          <cell r="I1038" t="str">
            <v>4095</v>
          </cell>
          <cell r="K1038" t="str">
            <v>VD</v>
          </cell>
          <cell r="L1038">
            <v>1</v>
          </cell>
          <cell r="M1038">
            <v>33.57</v>
          </cell>
        </row>
        <row r="1039">
          <cell r="C1039" t="str">
            <v>5864</v>
          </cell>
          <cell r="D1039" t="str">
            <v>PELLER FAMILY VINEYARDS SAUVIGNON BLANC</v>
          </cell>
          <cell r="E1039" t="str">
            <v>ANDREW PELLER LIMITED</v>
          </cell>
          <cell r="F1039" t="str">
            <v>4000</v>
          </cell>
          <cell r="G1039">
            <v>12</v>
          </cell>
          <cell r="H1039">
            <v>4</v>
          </cell>
          <cell r="I1039" t="str">
            <v>4095</v>
          </cell>
          <cell r="K1039" t="str">
            <v>VD</v>
          </cell>
          <cell r="L1039">
            <v>1</v>
          </cell>
          <cell r="M1039">
            <v>33.57</v>
          </cell>
        </row>
        <row r="1040">
          <cell r="C1040" t="str">
            <v>6605</v>
          </cell>
          <cell r="D1040" t="str">
            <v>PELLER PROP RSV WHITE</v>
          </cell>
          <cell r="E1040" t="str">
            <v>PELLER ESTATES WINERY</v>
          </cell>
          <cell r="F1040" t="str">
            <v>16000</v>
          </cell>
          <cell r="G1040">
            <v>11.5</v>
          </cell>
          <cell r="H1040">
            <v>1</v>
          </cell>
          <cell r="I1040" t="str">
            <v>4095</v>
          </cell>
          <cell r="K1040" t="str">
            <v>D</v>
          </cell>
          <cell r="L1040">
            <v>1</v>
          </cell>
          <cell r="M1040">
            <v>110.28</v>
          </cell>
        </row>
        <row r="1041">
          <cell r="C1041" t="str">
            <v>4005</v>
          </cell>
          <cell r="D1041" t="str">
            <v>SAWMILL CREEK CHARDONNAY</v>
          </cell>
          <cell r="E1041" t="str">
            <v>SAWMILL CREEK WINERY</v>
          </cell>
          <cell r="F1041" t="str">
            <v>750</v>
          </cell>
          <cell r="G1041">
            <v>12.5</v>
          </cell>
          <cell r="H1041">
            <v>12</v>
          </cell>
          <cell r="I1041" t="str">
            <v>1008</v>
          </cell>
          <cell r="K1041" t="str">
            <v>VD</v>
          </cell>
          <cell r="L1041">
            <v>1</v>
          </cell>
          <cell r="M1041">
            <v>8.6</v>
          </cell>
        </row>
        <row r="1042">
          <cell r="C1042" t="str">
            <v>12560</v>
          </cell>
          <cell r="D1042" t="str">
            <v>SAWMILL CREEK CHARDONNAY</v>
          </cell>
          <cell r="E1042" t="str">
            <v>SAWMILL CREEK WINERY</v>
          </cell>
          <cell r="F1042" t="str">
            <v>4000</v>
          </cell>
          <cell r="G1042">
            <v>12.5</v>
          </cell>
          <cell r="H1042">
            <v>4</v>
          </cell>
          <cell r="I1042" t="str">
            <v>1008</v>
          </cell>
          <cell r="K1042" t="str">
            <v>VD</v>
          </cell>
          <cell r="L1042">
            <v>1</v>
          </cell>
          <cell r="M1042">
            <v>33.57</v>
          </cell>
        </row>
        <row r="1043">
          <cell r="C1043" t="str">
            <v>18038</v>
          </cell>
          <cell r="D1043" t="str">
            <v>SAWMILL CREEK PINOT GRIGIO</v>
          </cell>
          <cell r="E1043" t="str">
            <v>SAWMILL CREEK WINERY</v>
          </cell>
          <cell r="F1043" t="str">
            <v>750</v>
          </cell>
          <cell r="G1043">
            <v>12</v>
          </cell>
          <cell r="H1043">
            <v>12</v>
          </cell>
          <cell r="I1043" t="str">
            <v>1008</v>
          </cell>
          <cell r="K1043" t="str">
            <v>VD</v>
          </cell>
          <cell r="L1043">
            <v>1</v>
          </cell>
          <cell r="M1043">
            <v>8.6</v>
          </cell>
        </row>
        <row r="1044">
          <cell r="C1044" t="str">
            <v>4011</v>
          </cell>
          <cell r="D1044" t="str">
            <v>SAWMILL CREEK SAUV BLANC</v>
          </cell>
          <cell r="E1044" t="str">
            <v>SAWMILL CREEK WINERY</v>
          </cell>
          <cell r="F1044" t="str">
            <v>750</v>
          </cell>
          <cell r="G1044">
            <v>12</v>
          </cell>
          <cell r="H1044">
            <v>12</v>
          </cell>
          <cell r="I1044" t="str">
            <v>1008</v>
          </cell>
          <cell r="K1044" t="str">
            <v>VD</v>
          </cell>
          <cell r="L1044">
            <v>1</v>
          </cell>
          <cell r="M1044">
            <v>8.6</v>
          </cell>
        </row>
        <row r="1045">
          <cell r="C1045" t="str">
            <v>24928</v>
          </cell>
          <cell r="D1045" t="str">
            <v>TWIST OF FATE PINOT GRIGIO CHARDONNAY</v>
          </cell>
          <cell r="E1045" t="str">
            <v>ARTERRA WINES CANADA INC</v>
          </cell>
          <cell r="F1045" t="str">
            <v>750</v>
          </cell>
          <cell r="G1045">
            <v>12.5</v>
          </cell>
          <cell r="H1045">
            <v>12</v>
          </cell>
          <cell r="I1045" t="str">
            <v>1008</v>
          </cell>
          <cell r="K1045" t="str">
            <v>MD</v>
          </cell>
          <cell r="L1045">
            <v>1</v>
          </cell>
          <cell r="M1045">
            <v>9.19</v>
          </cell>
        </row>
        <row r="1046">
          <cell r="C1046" t="str">
            <v>17399</v>
          </cell>
          <cell r="D1046" t="str">
            <v>DIRTY LAUNDRY HUSH ROSE VQA</v>
          </cell>
          <cell r="E1046" t="str">
            <v>DIRTY LAUNDRY VINEYARD</v>
          </cell>
          <cell r="F1046" t="str">
            <v>750</v>
          </cell>
          <cell r="G1046">
            <v>13</v>
          </cell>
          <cell r="H1046">
            <v>12</v>
          </cell>
          <cell r="I1046" t="str">
            <v>156843</v>
          </cell>
          <cell r="K1046" t="str">
            <v>MD</v>
          </cell>
          <cell r="L1046">
            <v>1</v>
          </cell>
          <cell r="M1046">
            <v>19.68</v>
          </cell>
        </row>
        <row r="1047">
          <cell r="C1047" t="str">
            <v>18781</v>
          </cell>
          <cell r="D1047" t="str">
            <v>DIABOLICA RED VQA</v>
          </cell>
          <cell r="E1047" t="str">
            <v>MARK ANTHONY GROUP INC</v>
          </cell>
          <cell r="F1047" t="str">
            <v>750</v>
          </cell>
          <cell r="G1047">
            <v>13.5</v>
          </cell>
          <cell r="H1047">
            <v>12</v>
          </cell>
          <cell r="I1047" t="str">
            <v>1009</v>
          </cell>
          <cell r="K1047" t="str">
            <v>MD</v>
          </cell>
          <cell r="L1047">
            <v>1</v>
          </cell>
          <cell r="M1047">
            <v>14.49</v>
          </cell>
        </row>
        <row r="1048">
          <cell r="C1048" t="str">
            <v>17138</v>
          </cell>
          <cell r="D1048" t="str">
            <v>GRAY MONK ODYSSEY RED MERITAGE VQA</v>
          </cell>
          <cell r="E1048" t="str">
            <v>GRAY-MONK CELLARS</v>
          </cell>
          <cell r="F1048" t="str">
            <v>750</v>
          </cell>
          <cell r="G1048">
            <v>13.4</v>
          </cell>
          <cell r="H1048">
            <v>12</v>
          </cell>
          <cell r="I1048" t="str">
            <v>4095</v>
          </cell>
          <cell r="J1048">
            <v>2011</v>
          </cell>
          <cell r="K1048" t="str">
            <v>VD</v>
          </cell>
          <cell r="L1048">
            <v>1</v>
          </cell>
          <cell r="M1048">
            <v>28.01</v>
          </cell>
        </row>
        <row r="1049">
          <cell r="C1049" t="str">
            <v>5417</v>
          </cell>
          <cell r="D1049" t="str">
            <v>JT OK MRLT VQA</v>
          </cell>
          <cell r="E1049" t="str">
            <v>ARTERRA WINES CANADA INC</v>
          </cell>
          <cell r="F1049" t="str">
            <v>750</v>
          </cell>
          <cell r="G1049">
            <v>13.7</v>
          </cell>
          <cell r="H1049">
            <v>12</v>
          </cell>
          <cell r="I1049" t="str">
            <v>1008</v>
          </cell>
          <cell r="J1049">
            <v>2005</v>
          </cell>
          <cell r="K1049" t="str">
            <v>VD</v>
          </cell>
          <cell r="L1049">
            <v>1</v>
          </cell>
          <cell r="M1049">
            <v>14.04</v>
          </cell>
        </row>
        <row r="1050">
          <cell r="C1050" t="str">
            <v>5418</v>
          </cell>
          <cell r="D1050" t="str">
            <v>JT RESERVE CABERNET SAUVIGNON VQA</v>
          </cell>
          <cell r="E1050" t="str">
            <v>ARTERRA WINES CANADA INC</v>
          </cell>
          <cell r="F1050" t="str">
            <v>750</v>
          </cell>
          <cell r="G1050">
            <v>12.5</v>
          </cell>
          <cell r="H1050">
            <v>12</v>
          </cell>
          <cell r="I1050" t="str">
            <v>1008</v>
          </cell>
          <cell r="K1050" t="str">
            <v>VD</v>
          </cell>
          <cell r="L1050">
            <v>1</v>
          </cell>
          <cell r="M1050">
            <v>14.04</v>
          </cell>
        </row>
        <row r="1051">
          <cell r="C1051" t="str">
            <v>40293</v>
          </cell>
          <cell r="D1051" t="str">
            <v>MORAINE CLIFFHANGER RED VQA</v>
          </cell>
          <cell r="E1051" t="str">
            <v>MORAINE ESTATE WINERY (c)</v>
          </cell>
          <cell r="F1051" t="str">
            <v>750</v>
          </cell>
          <cell r="G1051">
            <v>13.6</v>
          </cell>
          <cell r="H1051">
            <v>12</v>
          </cell>
          <cell r="I1051" t="str">
            <v>3246</v>
          </cell>
          <cell r="K1051" t="str">
            <v>VD</v>
          </cell>
          <cell r="L1051">
            <v>1</v>
          </cell>
          <cell r="M1051">
            <v>26.56</v>
          </cell>
        </row>
        <row r="1052">
          <cell r="C1052" t="str">
            <v>6304</v>
          </cell>
          <cell r="D1052" t="str">
            <v>MT. BOUCHERIE PINOT NOIR</v>
          </cell>
          <cell r="E1052" t="str">
            <v>MT BOUCHERIE ESTATE WINERY</v>
          </cell>
          <cell r="F1052" t="str">
            <v>750</v>
          </cell>
          <cell r="G1052">
            <v>13.8</v>
          </cell>
          <cell r="H1052">
            <v>12</v>
          </cell>
          <cell r="I1052" t="str">
            <v>206191</v>
          </cell>
          <cell r="K1052" t="str">
            <v>VD</v>
          </cell>
          <cell r="L1052">
            <v>1</v>
          </cell>
          <cell r="M1052">
            <v>26.61</v>
          </cell>
        </row>
        <row r="1053">
          <cell r="C1053" t="str">
            <v>6258</v>
          </cell>
          <cell r="D1053" t="str">
            <v>OSOYOOS LAROSE LE GRAND VIN VQA</v>
          </cell>
          <cell r="E1053" t="str">
            <v>OSOYOOS LAROSE</v>
          </cell>
          <cell r="F1053" t="str">
            <v>750</v>
          </cell>
          <cell r="G1053">
            <v>13.5</v>
          </cell>
          <cell r="H1053">
            <v>6</v>
          </cell>
          <cell r="I1053" t="str">
            <v>152879</v>
          </cell>
          <cell r="J1053">
            <v>2010</v>
          </cell>
          <cell r="K1053" t="str">
            <v>VD</v>
          </cell>
          <cell r="L1053">
            <v>1</v>
          </cell>
          <cell r="M1053">
            <v>46.46</v>
          </cell>
        </row>
        <row r="1054">
          <cell r="C1054" t="str">
            <v>18721</v>
          </cell>
          <cell r="D1054" t="str">
            <v>ROAD 13 HONEST JOHN'S RED VQA</v>
          </cell>
          <cell r="E1054" t="str">
            <v>ROAD 13 VINEYARDS</v>
          </cell>
          <cell r="F1054" t="str">
            <v>750</v>
          </cell>
          <cell r="G1054">
            <v>13.9</v>
          </cell>
          <cell r="H1054">
            <v>12</v>
          </cell>
          <cell r="I1054" t="str">
            <v>3245</v>
          </cell>
          <cell r="K1054" t="str">
            <v>VD</v>
          </cell>
          <cell r="L1054">
            <v>1</v>
          </cell>
          <cell r="M1054">
            <v>22.01</v>
          </cell>
        </row>
        <row r="1055">
          <cell r="C1055" t="str">
            <v>7379</v>
          </cell>
          <cell r="D1055" t="str">
            <v>SANDHILL CABERNET MERLOT VQA</v>
          </cell>
          <cell r="E1055" t="str">
            <v>SANDHILL ESTATE VINEYARD</v>
          </cell>
          <cell r="F1055" t="str">
            <v>750</v>
          </cell>
          <cell r="G1055">
            <v>12</v>
          </cell>
          <cell r="H1055">
            <v>12</v>
          </cell>
          <cell r="I1055" t="str">
            <v>4095</v>
          </cell>
          <cell r="K1055" t="str">
            <v>VD</v>
          </cell>
          <cell r="L1055">
            <v>1</v>
          </cell>
          <cell r="M1055">
            <v>24.51</v>
          </cell>
        </row>
        <row r="1056">
          <cell r="C1056" t="str">
            <v>6155</v>
          </cell>
          <cell r="D1056" t="str">
            <v>SUMAC RIDGE CAB MLT VQA</v>
          </cell>
          <cell r="E1056" t="str">
            <v>SUMAC RIDGE ESTATE WINES LTD</v>
          </cell>
          <cell r="F1056" t="str">
            <v>750</v>
          </cell>
          <cell r="G1056">
            <v>14</v>
          </cell>
          <cell r="H1056">
            <v>12</v>
          </cell>
          <cell r="I1056" t="str">
            <v>1008</v>
          </cell>
          <cell r="J1056">
            <v>2005</v>
          </cell>
          <cell r="K1056" t="str">
            <v>VD</v>
          </cell>
          <cell r="L1056">
            <v>1</v>
          </cell>
          <cell r="M1056">
            <v>15.1</v>
          </cell>
        </row>
        <row r="1057">
          <cell r="C1057" t="str">
            <v>5201</v>
          </cell>
          <cell r="D1057" t="str">
            <v>TINHORN CREEK MERLOT VQA</v>
          </cell>
          <cell r="E1057" t="str">
            <v>TINHORN CREEK VINEYARDS</v>
          </cell>
          <cell r="F1057" t="str">
            <v>750</v>
          </cell>
          <cell r="G1057">
            <v>14</v>
          </cell>
          <cell r="H1057">
            <v>12</v>
          </cell>
          <cell r="I1057" t="str">
            <v>4095</v>
          </cell>
          <cell r="K1057" t="str">
            <v>VD</v>
          </cell>
          <cell r="L1057">
            <v>1</v>
          </cell>
          <cell r="M1057">
            <v>21.62</v>
          </cell>
        </row>
        <row r="1058">
          <cell r="C1058" t="str">
            <v>21404</v>
          </cell>
          <cell r="D1058" t="str">
            <v>VINTAGE INK REBEL RED</v>
          </cell>
          <cell r="E1058" t="str">
            <v>ARTERRA WINES CANADA INC</v>
          </cell>
          <cell r="F1058" t="str">
            <v>750</v>
          </cell>
          <cell r="G1058">
            <v>13.5</v>
          </cell>
          <cell r="H1058">
            <v>12</v>
          </cell>
          <cell r="I1058" t="str">
            <v>1008</v>
          </cell>
          <cell r="J1058">
            <v>2012</v>
          </cell>
          <cell r="K1058" t="str">
            <v>D</v>
          </cell>
          <cell r="L1058">
            <v>1</v>
          </cell>
          <cell r="M1058">
            <v>14.04</v>
          </cell>
        </row>
        <row r="1059">
          <cell r="C1059" t="str">
            <v>27288</v>
          </cell>
          <cell r="D1059" t="str">
            <v>VINTAGE INK WHISKY BARREL AGED RED VQA</v>
          </cell>
          <cell r="E1059" t="str">
            <v>ARTERRA WINES CANADA INC</v>
          </cell>
          <cell r="F1059" t="str">
            <v>750</v>
          </cell>
          <cell r="G1059">
            <v>14.5</v>
          </cell>
          <cell r="H1059">
            <v>12</v>
          </cell>
          <cell r="I1059" t="str">
            <v>1008</v>
          </cell>
          <cell r="K1059" t="str">
            <v>D</v>
          </cell>
          <cell r="L1059">
            <v>1</v>
          </cell>
          <cell r="M1059">
            <v>14.04</v>
          </cell>
        </row>
        <row r="1060">
          <cell r="C1060" t="str">
            <v>20924</v>
          </cell>
          <cell r="D1060" t="str">
            <v>WAYNE GRETZKY OKANAGAN THE GREAT RED VQA</v>
          </cell>
          <cell r="E1060" t="str">
            <v>ANDREW PELLER LIMITED</v>
          </cell>
          <cell r="F1060" t="str">
            <v>750</v>
          </cell>
          <cell r="G1060">
            <v>13</v>
          </cell>
          <cell r="H1060">
            <v>12</v>
          </cell>
          <cell r="I1060" t="str">
            <v>4095</v>
          </cell>
          <cell r="K1060" t="str">
            <v>VD</v>
          </cell>
          <cell r="L1060">
            <v>1</v>
          </cell>
          <cell r="M1060">
            <v>19.510000000000002</v>
          </cell>
        </row>
        <row r="1061">
          <cell r="C1061" t="str">
            <v>20921</v>
          </cell>
          <cell r="D1061" t="str">
            <v>DIABOLICA WHITE VQA</v>
          </cell>
          <cell r="E1061" t="str">
            <v>MARK ANTHONY GROUP INC</v>
          </cell>
          <cell r="F1061" t="str">
            <v>750</v>
          </cell>
          <cell r="G1061">
            <v>14</v>
          </cell>
          <cell r="H1061">
            <v>12</v>
          </cell>
          <cell r="I1061" t="str">
            <v>1009</v>
          </cell>
          <cell r="K1061" t="str">
            <v>D</v>
          </cell>
          <cell r="L1061">
            <v>1</v>
          </cell>
          <cell r="M1061">
            <v>14.39</v>
          </cell>
        </row>
        <row r="1062">
          <cell r="C1062" t="str">
            <v>2526</v>
          </cell>
          <cell r="D1062" t="str">
            <v>GRAY MONK GEWURZTRAMINER VQA</v>
          </cell>
          <cell r="E1062" t="str">
            <v>GRAY-MONK CELLARS</v>
          </cell>
          <cell r="F1062" t="str">
            <v>750</v>
          </cell>
          <cell r="G1062">
            <v>12.9</v>
          </cell>
          <cell r="H1062">
            <v>12</v>
          </cell>
          <cell r="I1062" t="str">
            <v>4095</v>
          </cell>
          <cell r="J1062">
            <v>2013</v>
          </cell>
          <cell r="K1062" t="str">
            <v>D</v>
          </cell>
          <cell r="L1062">
            <v>1</v>
          </cell>
          <cell r="M1062">
            <v>22.01</v>
          </cell>
        </row>
        <row r="1063">
          <cell r="C1063" t="str">
            <v>3248</v>
          </cell>
          <cell r="D1063" t="str">
            <v>MISSION HILL RESERVE CHARDONNAY VQA</v>
          </cell>
          <cell r="E1063" t="str">
            <v>MISSION HILL FAMILY ESTATE WINERY</v>
          </cell>
          <cell r="F1063" t="str">
            <v>750</v>
          </cell>
          <cell r="G1063">
            <v>13.5</v>
          </cell>
          <cell r="H1063">
            <v>12</v>
          </cell>
          <cell r="I1063" t="str">
            <v>1009</v>
          </cell>
          <cell r="K1063" t="str">
            <v>D</v>
          </cell>
          <cell r="L1063">
            <v>1</v>
          </cell>
          <cell r="M1063">
            <v>23.71</v>
          </cell>
        </row>
        <row r="1064">
          <cell r="C1064" t="str">
            <v>5844</v>
          </cell>
          <cell r="D1064" t="str">
            <v>MISSION HILL RESERVE SAUV BLANC</v>
          </cell>
          <cell r="E1064" t="str">
            <v>MISSION HILL FAMILY ESTATE WINERY</v>
          </cell>
          <cell r="F1064" t="str">
            <v>750</v>
          </cell>
          <cell r="G1064">
            <v>12.5</v>
          </cell>
          <cell r="H1064">
            <v>12</v>
          </cell>
          <cell r="I1064" t="str">
            <v>1009</v>
          </cell>
          <cell r="K1064" t="str">
            <v>VD</v>
          </cell>
          <cell r="L1064">
            <v>1</v>
          </cell>
          <cell r="M1064">
            <v>20.29</v>
          </cell>
        </row>
        <row r="1065">
          <cell r="C1065" t="str">
            <v>5948</v>
          </cell>
          <cell r="D1065" t="str">
            <v>QUAILS' GATE CHRD  VQA</v>
          </cell>
          <cell r="E1065" t="str">
            <v>QUAILS' GATE ESTATE WINERY</v>
          </cell>
          <cell r="F1065" t="str">
            <v>750</v>
          </cell>
          <cell r="G1065">
            <v>13.5</v>
          </cell>
          <cell r="H1065">
            <v>12</v>
          </cell>
          <cell r="I1065" t="str">
            <v>144514</v>
          </cell>
          <cell r="K1065" t="str">
            <v>VD</v>
          </cell>
          <cell r="L1065">
            <v>1</v>
          </cell>
          <cell r="M1065">
            <v>20.51</v>
          </cell>
        </row>
        <row r="1066">
          <cell r="C1066" t="str">
            <v>7380</v>
          </cell>
          <cell r="D1066" t="str">
            <v>SANDHILL CHARDONNAY</v>
          </cell>
          <cell r="E1066" t="str">
            <v>SANDHILL ESTATE VINEYARD</v>
          </cell>
          <cell r="F1066" t="str">
            <v>750</v>
          </cell>
          <cell r="G1066">
            <v>14.5</v>
          </cell>
          <cell r="H1066">
            <v>12</v>
          </cell>
          <cell r="I1066" t="str">
            <v>4095</v>
          </cell>
          <cell r="J1066">
            <v>2010</v>
          </cell>
          <cell r="K1066" t="str">
            <v>VD</v>
          </cell>
          <cell r="L1066">
            <v>1</v>
          </cell>
          <cell r="M1066">
            <v>21.01</v>
          </cell>
        </row>
        <row r="1067">
          <cell r="C1067" t="str">
            <v>37617</v>
          </cell>
          <cell r="D1067" t="str">
            <v>PELEE ISLAND SEMI SWEET MERLOT</v>
          </cell>
          <cell r="E1067" t="str">
            <v>PELEE ISLAND WINERY</v>
          </cell>
          <cell r="F1067" t="str">
            <v>3000</v>
          </cell>
          <cell r="G1067">
            <v>12.5</v>
          </cell>
          <cell r="H1067">
            <v>4</v>
          </cell>
          <cell r="I1067" t="str">
            <v>1044</v>
          </cell>
          <cell r="K1067" t="str">
            <v>S</v>
          </cell>
          <cell r="L1067">
            <v>1</v>
          </cell>
          <cell r="M1067">
            <v>37.15</v>
          </cell>
        </row>
        <row r="1068">
          <cell r="C1068" t="str">
            <v>33869</v>
          </cell>
          <cell r="D1068" t="str">
            <v>TAWSE CABERNET MERLOT</v>
          </cell>
          <cell r="E1068" t="str">
            <v>TAWSE WINERY</v>
          </cell>
          <cell r="F1068" t="str">
            <v>750</v>
          </cell>
          <cell r="G1068">
            <v>13</v>
          </cell>
          <cell r="H1068">
            <v>12</v>
          </cell>
          <cell r="I1068" t="str">
            <v>152879</v>
          </cell>
          <cell r="K1068" t="str">
            <v>VD</v>
          </cell>
          <cell r="L1068">
            <v>1</v>
          </cell>
          <cell r="M1068">
            <v>19.64</v>
          </cell>
        </row>
        <row r="1069">
          <cell r="C1069" t="str">
            <v>33813</v>
          </cell>
          <cell r="D1069" t="str">
            <v>TAWSE QUARRY ROAD RIESLING</v>
          </cell>
          <cell r="E1069" t="str">
            <v>TAWSE WINERY</v>
          </cell>
          <cell r="F1069" t="str">
            <v>750</v>
          </cell>
          <cell r="G1069">
            <v>10</v>
          </cell>
          <cell r="H1069">
            <v>12</v>
          </cell>
          <cell r="I1069" t="str">
            <v>152879</v>
          </cell>
          <cell r="K1069" t="str">
            <v>VD</v>
          </cell>
          <cell r="L1069">
            <v>1</v>
          </cell>
          <cell r="M1069">
            <v>18.98</v>
          </cell>
        </row>
        <row r="1070">
          <cell r="C1070" t="str">
            <v>5735</v>
          </cell>
          <cell r="D1070" t="str">
            <v>JT PROPRIETORS SELECTION ROSE</v>
          </cell>
          <cell r="E1070" t="str">
            <v>ARTERRA WINES CANADA INC</v>
          </cell>
          <cell r="F1070" t="str">
            <v>750</v>
          </cell>
          <cell r="G1070">
            <v>11.5</v>
          </cell>
          <cell r="H1070">
            <v>12</v>
          </cell>
          <cell r="I1070" t="str">
            <v>1008</v>
          </cell>
          <cell r="K1070" t="str">
            <v>D</v>
          </cell>
          <cell r="L1070">
            <v>1</v>
          </cell>
          <cell r="M1070">
            <v>9</v>
          </cell>
        </row>
        <row r="1071">
          <cell r="C1071" t="str">
            <v>3558</v>
          </cell>
          <cell r="D1071" t="str">
            <v>PELEE ISLAND MERLOT SEMI-SWEET</v>
          </cell>
          <cell r="E1071" t="str">
            <v>PELEE ISLAND WINERY</v>
          </cell>
          <cell r="F1071" t="str">
            <v>750</v>
          </cell>
          <cell r="G1071">
            <v>12.5</v>
          </cell>
          <cell r="H1071">
            <v>12</v>
          </cell>
          <cell r="I1071" t="str">
            <v>1044</v>
          </cell>
          <cell r="K1071" t="str">
            <v>D</v>
          </cell>
          <cell r="L1071">
            <v>1</v>
          </cell>
          <cell r="M1071">
            <v>12.51</v>
          </cell>
        </row>
        <row r="1072">
          <cell r="C1072" t="str">
            <v>3557</v>
          </cell>
          <cell r="D1072" t="str">
            <v>PELEE ISLAND GEWURZTRAMINER</v>
          </cell>
          <cell r="E1072" t="str">
            <v>PELEE ISLAND WINERY</v>
          </cell>
          <cell r="F1072" t="str">
            <v>750</v>
          </cell>
          <cell r="G1072">
            <v>12.5</v>
          </cell>
          <cell r="H1072">
            <v>12</v>
          </cell>
          <cell r="I1072" t="str">
            <v>1044</v>
          </cell>
          <cell r="K1072" t="str">
            <v>MD</v>
          </cell>
          <cell r="L1072">
            <v>1</v>
          </cell>
          <cell r="M1072">
            <v>12.39</v>
          </cell>
        </row>
        <row r="1073">
          <cell r="C1073" t="str">
            <v>11977</v>
          </cell>
          <cell r="D1073" t="str">
            <v>FRESH ROSE VQA</v>
          </cell>
          <cell r="E1073" t="str">
            <v>DIAMOND ESTATES WINES &amp; SPIRITS</v>
          </cell>
          <cell r="F1073" t="str">
            <v>750</v>
          </cell>
          <cell r="G1073">
            <v>12</v>
          </cell>
          <cell r="H1073">
            <v>12</v>
          </cell>
          <cell r="I1073" t="str">
            <v>3230</v>
          </cell>
          <cell r="K1073" t="str">
            <v>MD</v>
          </cell>
          <cell r="L1073">
            <v>1</v>
          </cell>
          <cell r="M1073">
            <v>15.56</v>
          </cell>
        </row>
        <row r="1074">
          <cell r="C1074" t="str">
            <v>23966</v>
          </cell>
          <cell r="D1074" t="str">
            <v>PELEE ISLAND PINK VQA</v>
          </cell>
          <cell r="E1074" t="str">
            <v>PELEE ISLAND WINERY</v>
          </cell>
          <cell r="F1074" t="str">
            <v>750</v>
          </cell>
          <cell r="G1074">
            <v>12</v>
          </cell>
          <cell r="H1074">
            <v>12</v>
          </cell>
          <cell r="I1074" t="str">
            <v>1044</v>
          </cell>
          <cell r="K1074" t="str">
            <v>VD</v>
          </cell>
          <cell r="L1074">
            <v>1</v>
          </cell>
          <cell r="M1074">
            <v>13.42</v>
          </cell>
        </row>
        <row r="1075">
          <cell r="C1075" t="str">
            <v>32154</v>
          </cell>
          <cell r="D1075" t="str">
            <v>D'ONT POKE THE BEAR RED VQA</v>
          </cell>
          <cell r="E1075" t="str">
            <v>GENERATIONS WINE COMPANY LTD</v>
          </cell>
          <cell r="F1075" t="str">
            <v>750</v>
          </cell>
          <cell r="G1075">
            <v>12</v>
          </cell>
          <cell r="H1075">
            <v>12</v>
          </cell>
          <cell r="I1075" t="str">
            <v>109930</v>
          </cell>
          <cell r="K1075" t="str">
            <v>MD</v>
          </cell>
          <cell r="L1075">
            <v>1</v>
          </cell>
          <cell r="M1075">
            <v>15.29</v>
          </cell>
        </row>
        <row r="1076">
          <cell r="C1076" t="str">
            <v>5910</v>
          </cell>
          <cell r="D1076" t="str">
            <v>HENRY OF PELHAM BACO NOIR VQA</v>
          </cell>
          <cell r="E1076" t="str">
            <v>HENRY OF PELHAM</v>
          </cell>
          <cell r="F1076" t="str">
            <v>750</v>
          </cell>
          <cell r="G1076">
            <v>13</v>
          </cell>
          <cell r="H1076">
            <v>12</v>
          </cell>
          <cell r="I1076" t="str">
            <v>130768</v>
          </cell>
          <cell r="J1076">
            <v>2005</v>
          </cell>
          <cell r="K1076" t="str">
            <v>VD</v>
          </cell>
          <cell r="L1076">
            <v>1</v>
          </cell>
          <cell r="M1076">
            <v>16</v>
          </cell>
        </row>
        <row r="1077">
          <cell r="C1077" t="str">
            <v>24934</v>
          </cell>
          <cell r="D1077" t="str">
            <v>HENRY OF PELHAM OLD VINES BACO NOIR VQA</v>
          </cell>
          <cell r="E1077" t="str">
            <v>HENRY OF PELHAM</v>
          </cell>
          <cell r="F1077" t="str">
            <v>750</v>
          </cell>
          <cell r="G1077">
            <v>13</v>
          </cell>
          <cell r="H1077">
            <v>12</v>
          </cell>
          <cell r="I1077" t="str">
            <v>130768</v>
          </cell>
          <cell r="K1077" t="str">
            <v>MD</v>
          </cell>
          <cell r="L1077">
            <v>1</v>
          </cell>
          <cell r="M1077">
            <v>19.27</v>
          </cell>
        </row>
        <row r="1078">
          <cell r="C1078" t="str">
            <v>31490</v>
          </cell>
          <cell r="D1078" t="str">
            <v>OPEN NIAGARA SMOOTH RED VQA</v>
          </cell>
          <cell r="E1078" t="str">
            <v>ARTERRA WINES CANADA INC</v>
          </cell>
          <cell r="F1078" t="str">
            <v>750</v>
          </cell>
          <cell r="G1078">
            <v>12.5</v>
          </cell>
          <cell r="H1078">
            <v>12</v>
          </cell>
          <cell r="I1078" t="str">
            <v>1008</v>
          </cell>
          <cell r="K1078" t="str">
            <v>S</v>
          </cell>
          <cell r="L1078">
            <v>1</v>
          </cell>
          <cell r="M1078">
            <v>12.08</v>
          </cell>
        </row>
        <row r="1079">
          <cell r="C1079" t="str">
            <v>40152</v>
          </cell>
          <cell r="D1079" t="str">
            <v>OUR STORY VQA CABERNET MERLOT</v>
          </cell>
          <cell r="E1079" t="str">
            <v>MARK ANTHONY BRANDS LTD.</v>
          </cell>
          <cell r="F1079" t="str">
            <v>750</v>
          </cell>
          <cell r="G1079">
            <v>13</v>
          </cell>
          <cell r="H1079">
            <v>12</v>
          </cell>
          <cell r="I1079" t="str">
            <v>1009</v>
          </cell>
          <cell r="K1079" t="str">
            <v>MD</v>
          </cell>
          <cell r="L1079">
            <v>1</v>
          </cell>
          <cell r="M1079">
            <v>15.01</v>
          </cell>
        </row>
        <row r="1080">
          <cell r="C1080" t="str">
            <v>23965</v>
          </cell>
          <cell r="D1080" t="str">
            <v>PELEE ISLAND LIGHTHOUSE CAB FRANC VQA</v>
          </cell>
          <cell r="E1080" t="str">
            <v>PELEE ISLAND WINERY</v>
          </cell>
          <cell r="F1080" t="str">
            <v>750</v>
          </cell>
          <cell r="G1080">
            <v>13</v>
          </cell>
          <cell r="H1080">
            <v>12</v>
          </cell>
          <cell r="I1080" t="str">
            <v>1044</v>
          </cell>
          <cell r="K1080" t="str">
            <v>VD</v>
          </cell>
          <cell r="L1080">
            <v>1</v>
          </cell>
          <cell r="M1080">
            <v>15.47</v>
          </cell>
        </row>
        <row r="1081">
          <cell r="C1081" t="str">
            <v>3559</v>
          </cell>
          <cell r="D1081" t="str">
            <v>PELEE ISLAND PINOT NOIR VQA</v>
          </cell>
          <cell r="E1081" t="str">
            <v>PELEE ISLAND WINERY</v>
          </cell>
          <cell r="F1081" t="str">
            <v>750</v>
          </cell>
          <cell r="G1081">
            <v>12.5</v>
          </cell>
          <cell r="H1081">
            <v>12</v>
          </cell>
          <cell r="I1081" t="str">
            <v>1044</v>
          </cell>
          <cell r="J1081">
            <v>2006</v>
          </cell>
          <cell r="K1081" t="str">
            <v>VD</v>
          </cell>
          <cell r="L1081">
            <v>1</v>
          </cell>
          <cell r="M1081">
            <v>16.5</v>
          </cell>
        </row>
        <row r="1082">
          <cell r="C1082" t="str">
            <v>28359</v>
          </cell>
          <cell r="D1082" t="str">
            <v>TAILWIND RESERVE VQA</v>
          </cell>
          <cell r="E1082" t="str">
            <v>PELEE ISLAND WINERY</v>
          </cell>
          <cell r="F1082" t="str">
            <v>750</v>
          </cell>
          <cell r="G1082">
            <v>13</v>
          </cell>
          <cell r="H1082">
            <v>12</v>
          </cell>
          <cell r="I1082" t="str">
            <v>1044</v>
          </cell>
          <cell r="K1082" t="str">
            <v>VD</v>
          </cell>
          <cell r="L1082">
            <v>1</v>
          </cell>
          <cell r="M1082">
            <v>15.64</v>
          </cell>
        </row>
        <row r="1083">
          <cell r="C1083" t="str">
            <v>7373</v>
          </cell>
          <cell r="D1083" t="str">
            <v>WAYNE GRETZKY CABERNET MERLOT VQA</v>
          </cell>
          <cell r="E1083" t="str">
            <v>WAYNE GRETZKY ESTATES</v>
          </cell>
          <cell r="F1083" t="str">
            <v>750</v>
          </cell>
          <cell r="G1083">
            <v>13</v>
          </cell>
          <cell r="H1083">
            <v>12</v>
          </cell>
          <cell r="I1083" t="str">
            <v>4095</v>
          </cell>
          <cell r="K1083" t="str">
            <v>D</v>
          </cell>
          <cell r="L1083">
            <v>1</v>
          </cell>
          <cell r="M1083">
            <v>19.510000000000002</v>
          </cell>
        </row>
        <row r="1084">
          <cell r="C1084" t="str">
            <v>29062</v>
          </cell>
          <cell r="D1084" t="str">
            <v>FRESH MOSCATO VQA</v>
          </cell>
          <cell r="E1084" t="str">
            <v>DIAMOND ESTATES WINES &amp; SPIRITS</v>
          </cell>
          <cell r="F1084" t="str">
            <v>750</v>
          </cell>
          <cell r="G1084">
            <v>12</v>
          </cell>
          <cell r="H1084">
            <v>12</v>
          </cell>
          <cell r="I1084" t="str">
            <v>3230</v>
          </cell>
          <cell r="K1084" t="str">
            <v>MS</v>
          </cell>
          <cell r="L1084">
            <v>1</v>
          </cell>
          <cell r="M1084">
            <v>15.56</v>
          </cell>
        </row>
        <row r="1085">
          <cell r="C1085" t="str">
            <v>22898</v>
          </cell>
          <cell r="D1085" t="str">
            <v>HENRY OF PELHAM PINOT GRIGIO VQA</v>
          </cell>
          <cell r="E1085" t="str">
            <v>HENRY OF PELHAM</v>
          </cell>
          <cell r="F1085" t="str">
            <v>750</v>
          </cell>
          <cell r="G1085">
            <v>12.5</v>
          </cell>
          <cell r="H1085">
            <v>12</v>
          </cell>
          <cell r="I1085" t="str">
            <v>130768</v>
          </cell>
          <cell r="K1085" t="str">
            <v>MD</v>
          </cell>
          <cell r="L1085">
            <v>1</v>
          </cell>
          <cell r="M1085">
            <v>16</v>
          </cell>
        </row>
        <row r="1086">
          <cell r="C1086" t="str">
            <v>46250</v>
          </cell>
          <cell r="D1086" t="str">
            <v>PELEE ISLAND LOLA PINOT GRIGIO</v>
          </cell>
          <cell r="E1086" t="str">
            <v>PELEE ISLAND WINERY</v>
          </cell>
          <cell r="F1086" t="str">
            <v>750</v>
          </cell>
          <cell r="G1086">
            <v>12.5</v>
          </cell>
          <cell r="H1086">
            <v>12</v>
          </cell>
          <cell r="I1086" t="str">
            <v>1044</v>
          </cell>
          <cell r="K1086" t="str">
            <v>D</v>
          </cell>
          <cell r="L1086">
            <v>1</v>
          </cell>
          <cell r="M1086">
            <v>15.75</v>
          </cell>
        </row>
        <row r="1087">
          <cell r="C1087" t="str">
            <v>18385</v>
          </cell>
          <cell r="D1087" t="str">
            <v>PELEE ISLAND PINOT GRIGIO VQA</v>
          </cell>
          <cell r="E1087" t="str">
            <v>PELEE ISLAND WINERY</v>
          </cell>
          <cell r="F1087" t="str">
            <v>750</v>
          </cell>
          <cell r="G1087">
            <v>12.5</v>
          </cell>
          <cell r="H1087">
            <v>12</v>
          </cell>
          <cell r="I1087" t="str">
            <v>1044</v>
          </cell>
          <cell r="K1087" t="str">
            <v>MD</v>
          </cell>
          <cell r="L1087">
            <v>1</v>
          </cell>
          <cell r="M1087">
            <v>16.5</v>
          </cell>
        </row>
        <row r="1088">
          <cell r="C1088" t="str">
            <v>26466</v>
          </cell>
          <cell r="D1088" t="str">
            <v>PELEE LIGHTHOUSE SAUVIGNON BLANC VQA</v>
          </cell>
          <cell r="E1088" t="str">
            <v>PELEE ISLAND WINERY</v>
          </cell>
          <cell r="F1088" t="str">
            <v>750</v>
          </cell>
          <cell r="G1088">
            <v>12.5</v>
          </cell>
          <cell r="H1088">
            <v>12</v>
          </cell>
          <cell r="I1088" t="str">
            <v>1044</v>
          </cell>
          <cell r="K1088" t="str">
            <v>VD</v>
          </cell>
          <cell r="L1088">
            <v>1</v>
          </cell>
          <cell r="M1088">
            <v>15.47</v>
          </cell>
        </row>
        <row r="1089">
          <cell r="C1089" t="str">
            <v>44179</v>
          </cell>
          <cell r="D1089" t="str">
            <v>WAYNE GRETZKY PINOT GRIGIO VQA 750ml</v>
          </cell>
          <cell r="E1089" t="str">
            <v>WAYNE GRETZKY ESTATES</v>
          </cell>
          <cell r="F1089" t="str">
            <v>750</v>
          </cell>
          <cell r="G1089">
            <v>12</v>
          </cell>
          <cell r="H1089">
            <v>12</v>
          </cell>
          <cell r="I1089" t="str">
            <v>4095</v>
          </cell>
          <cell r="K1089" t="str">
            <v>D</v>
          </cell>
          <cell r="L1089">
            <v>1</v>
          </cell>
          <cell r="M1089">
            <v>19.510000000000002</v>
          </cell>
        </row>
        <row r="1090">
          <cell r="C1090" t="str">
            <v>37554</v>
          </cell>
          <cell r="D1090" t="str">
            <v>ALAMBRADO MALBEC</v>
          </cell>
          <cell r="E1090" t="str">
            <v>FAMILIA ZUCCARDI</v>
          </cell>
          <cell r="F1090" t="str">
            <v>750</v>
          </cell>
          <cell r="G1090">
            <v>14</v>
          </cell>
          <cell r="H1090">
            <v>12</v>
          </cell>
          <cell r="I1090" t="str">
            <v>3245</v>
          </cell>
          <cell r="K1090" t="str">
            <v>VD</v>
          </cell>
          <cell r="L1090">
            <v>1</v>
          </cell>
          <cell r="M1090">
            <v>15</v>
          </cell>
        </row>
        <row r="1091">
          <cell r="C1091" t="str">
            <v>15672</v>
          </cell>
          <cell r="D1091" t="str">
            <v>GRAFFIGNA CENTENARIO MALBEC</v>
          </cell>
          <cell r="E1091" t="str">
            <v>GRAFFIGNA WINERY</v>
          </cell>
          <cell r="F1091" t="str">
            <v>750</v>
          </cell>
          <cell r="G1091">
            <v>14</v>
          </cell>
          <cell r="H1091">
            <v>12</v>
          </cell>
          <cell r="I1091" t="str">
            <v>1009</v>
          </cell>
          <cell r="K1091" t="str">
            <v>VD</v>
          </cell>
          <cell r="L1091">
            <v>1</v>
          </cell>
          <cell r="M1091">
            <v>14</v>
          </cell>
        </row>
        <row r="1092">
          <cell r="C1092" t="str">
            <v>42117</v>
          </cell>
          <cell r="D1092" t="str">
            <v>TRAPICHE RESERVE CABERNET SAUVIGNON</v>
          </cell>
          <cell r="E1092" t="str">
            <v>GRUPO PENAFLOR S.A.</v>
          </cell>
          <cell r="F1092" t="str">
            <v>750</v>
          </cell>
          <cell r="G1092">
            <v>13.5</v>
          </cell>
          <cell r="H1092">
            <v>12</v>
          </cell>
          <cell r="I1092" t="str">
            <v>1537</v>
          </cell>
          <cell r="K1092" t="str">
            <v>VD</v>
          </cell>
          <cell r="L1092">
            <v>1</v>
          </cell>
          <cell r="M1092">
            <v>12.43</v>
          </cell>
        </row>
        <row r="1093">
          <cell r="C1093" t="str">
            <v>46612</v>
          </cell>
          <cell r="D1093" t="str">
            <v>TRIVENTO PRIVATE RESERVE MALBEC</v>
          </cell>
          <cell r="E1093" t="str">
            <v>TRIVENTO BODEGAS Y VINEDOS</v>
          </cell>
          <cell r="F1093" t="str">
            <v>750</v>
          </cell>
          <cell r="G1093">
            <v>13</v>
          </cell>
          <cell r="H1093">
            <v>12</v>
          </cell>
          <cell r="I1093" t="str">
            <v>205657</v>
          </cell>
          <cell r="K1093" t="str">
            <v>MS</v>
          </cell>
          <cell r="L1093">
            <v>1</v>
          </cell>
          <cell r="M1093">
            <v>16.36</v>
          </cell>
        </row>
        <row r="1094">
          <cell r="C1094" t="str">
            <v>46609</v>
          </cell>
          <cell r="D1094" t="str">
            <v>ED EDMUNDO DOUBLE OAKED CHARDONNAY</v>
          </cell>
          <cell r="E1094" t="str">
            <v>GRUPO PENAFLOR S.A.</v>
          </cell>
          <cell r="F1094" t="str">
            <v>750</v>
          </cell>
          <cell r="G1094">
            <v>13</v>
          </cell>
          <cell r="H1094">
            <v>12</v>
          </cell>
          <cell r="I1094" t="str">
            <v>1537</v>
          </cell>
          <cell r="K1094" t="str">
            <v>MD</v>
          </cell>
          <cell r="L1094">
            <v>1</v>
          </cell>
          <cell r="M1094">
            <v>14.01</v>
          </cell>
        </row>
        <row r="1095">
          <cell r="C1095" t="str">
            <v>7480</v>
          </cell>
          <cell r="D1095" t="str">
            <v>EL ESTECO DON DAVID RESERVE MALBEC</v>
          </cell>
          <cell r="E1095" t="str">
            <v>GRUPO PENAFLOR S.A.</v>
          </cell>
          <cell r="F1095" t="str">
            <v>750</v>
          </cell>
          <cell r="G1095">
            <v>14</v>
          </cell>
          <cell r="H1095">
            <v>12</v>
          </cell>
          <cell r="I1095" t="str">
            <v>1537</v>
          </cell>
          <cell r="K1095" t="str">
            <v>VD</v>
          </cell>
          <cell r="L1095">
            <v>1</v>
          </cell>
          <cell r="M1095">
            <v>15.03</v>
          </cell>
        </row>
        <row r="1096">
          <cell r="C1096" t="str">
            <v>7481</v>
          </cell>
          <cell r="D1096" t="str">
            <v>EL ESTECO DON DAVID RSV CAB SAUVIGNON</v>
          </cell>
          <cell r="E1096" t="str">
            <v>GRUPO PENAFLOR S.A.</v>
          </cell>
          <cell r="F1096" t="str">
            <v>750</v>
          </cell>
          <cell r="G1096">
            <v>14</v>
          </cell>
          <cell r="H1096">
            <v>12</v>
          </cell>
          <cell r="I1096" t="str">
            <v>1537</v>
          </cell>
          <cell r="K1096" t="str">
            <v>VD</v>
          </cell>
          <cell r="L1096">
            <v>1</v>
          </cell>
          <cell r="M1096">
            <v>15.03</v>
          </cell>
        </row>
        <row r="1097">
          <cell r="C1097" t="str">
            <v>7296</v>
          </cell>
          <cell r="D1097" t="str">
            <v>M TORINO CUMA ORGANIC MALBEC</v>
          </cell>
          <cell r="E1097" t="str">
            <v>MICHEL TORINO ESTATE</v>
          </cell>
          <cell r="F1097" t="str">
            <v>750</v>
          </cell>
          <cell r="G1097">
            <v>13.5</v>
          </cell>
          <cell r="H1097">
            <v>12</v>
          </cell>
          <cell r="I1097" t="str">
            <v>205873</v>
          </cell>
          <cell r="K1097" t="str">
            <v>VD</v>
          </cell>
          <cell r="L1097">
            <v>1</v>
          </cell>
          <cell r="M1097">
            <v>11.55</v>
          </cell>
        </row>
        <row r="1098">
          <cell r="C1098" t="str">
            <v>7297</v>
          </cell>
          <cell r="D1098" t="str">
            <v>M TORINO CUMA ORGANIC TORRONTES</v>
          </cell>
          <cell r="E1098" t="str">
            <v>MICHEL TORINO ESTATE</v>
          </cell>
          <cell r="F1098" t="str">
            <v>750</v>
          </cell>
          <cell r="G1098">
            <v>13.5</v>
          </cell>
          <cell r="H1098">
            <v>12</v>
          </cell>
          <cell r="I1098" t="str">
            <v>205873</v>
          </cell>
          <cell r="K1098" t="str">
            <v>VD</v>
          </cell>
          <cell r="L1098">
            <v>1</v>
          </cell>
          <cell r="M1098">
            <v>11.55</v>
          </cell>
        </row>
        <row r="1099">
          <cell r="C1099" t="str">
            <v>36351</v>
          </cell>
          <cell r="D1099" t="str">
            <v>TRAPICHE ALARIS ROSE</v>
          </cell>
          <cell r="E1099" t="str">
            <v>BODEGAS TRAPICHE</v>
          </cell>
          <cell r="F1099" t="str">
            <v>750</v>
          </cell>
          <cell r="G1099">
            <v>12.5</v>
          </cell>
          <cell r="H1099">
            <v>12</v>
          </cell>
          <cell r="I1099" t="str">
            <v>1537</v>
          </cell>
          <cell r="K1099" t="str">
            <v>VD</v>
          </cell>
          <cell r="L1099">
            <v>1</v>
          </cell>
          <cell r="M1099">
            <v>11.04</v>
          </cell>
        </row>
        <row r="1100">
          <cell r="C1100" t="str">
            <v>28757</v>
          </cell>
          <cell r="D1100" t="str">
            <v>1884 MALBEC</v>
          </cell>
          <cell r="E1100" t="str">
            <v>ESCORIHUELA GASCON</v>
          </cell>
          <cell r="F1100" t="str">
            <v>750</v>
          </cell>
          <cell r="G1100">
            <v>13.7</v>
          </cell>
          <cell r="H1100">
            <v>12</v>
          </cell>
          <cell r="I1100" t="str">
            <v>67254</v>
          </cell>
          <cell r="K1100" t="str">
            <v>VD</v>
          </cell>
          <cell r="L1100">
            <v>1</v>
          </cell>
          <cell r="M1100">
            <v>18.62</v>
          </cell>
        </row>
        <row r="1101">
          <cell r="C1101" t="str">
            <v>16651</v>
          </cell>
          <cell r="D1101" t="str">
            <v>ALAMOS CABERNET SAUVIGNON</v>
          </cell>
          <cell r="E1101" t="str">
            <v>BODEGAS CATENA ZAPATA</v>
          </cell>
          <cell r="F1101" t="str">
            <v>750</v>
          </cell>
          <cell r="G1101">
            <v>13.5</v>
          </cell>
          <cell r="H1101">
            <v>12</v>
          </cell>
          <cell r="I1101" t="str">
            <v>3254</v>
          </cell>
          <cell r="K1101" t="str">
            <v>VD</v>
          </cell>
          <cell r="L1101">
            <v>1</v>
          </cell>
          <cell r="M1101">
            <v>14.14</v>
          </cell>
        </row>
        <row r="1102">
          <cell r="C1102" t="str">
            <v>14500</v>
          </cell>
          <cell r="D1102" t="str">
            <v>ALAMOS MALBEC</v>
          </cell>
          <cell r="E1102" t="str">
            <v>BODEGAS ESMERALDA</v>
          </cell>
          <cell r="F1102" t="str">
            <v>750</v>
          </cell>
          <cell r="G1102">
            <v>13.5</v>
          </cell>
          <cell r="H1102">
            <v>12</v>
          </cell>
          <cell r="I1102" t="str">
            <v>206245</v>
          </cell>
          <cell r="K1102" t="str">
            <v>VD</v>
          </cell>
          <cell r="L1102">
            <v>1</v>
          </cell>
          <cell r="M1102">
            <v>14.14</v>
          </cell>
        </row>
        <row r="1103">
          <cell r="C1103" t="str">
            <v>37797</v>
          </cell>
          <cell r="D1103" t="str">
            <v>ALAMOS SELECCION MALBEC</v>
          </cell>
          <cell r="E1103" t="str">
            <v>E &amp; J GALLO WINERY</v>
          </cell>
          <cell r="F1103" t="str">
            <v>750</v>
          </cell>
          <cell r="G1103">
            <v>13.5</v>
          </cell>
          <cell r="H1103">
            <v>12</v>
          </cell>
          <cell r="I1103" t="str">
            <v>206245</v>
          </cell>
          <cell r="K1103" t="str">
            <v>VD</v>
          </cell>
          <cell r="L1103">
            <v>1</v>
          </cell>
          <cell r="M1103">
            <v>15.14</v>
          </cell>
        </row>
        <row r="1104">
          <cell r="C1104" t="str">
            <v>9090</v>
          </cell>
          <cell r="D1104" t="str">
            <v>ALMA NEGRA "M" BLEND</v>
          </cell>
          <cell r="E1104" t="str">
            <v>ALMA NEGRA</v>
          </cell>
          <cell r="F1104" t="str">
            <v>750</v>
          </cell>
          <cell r="G1104">
            <v>13.5</v>
          </cell>
          <cell r="H1104">
            <v>12</v>
          </cell>
          <cell r="I1104" t="str">
            <v>55942</v>
          </cell>
          <cell r="K1104" t="str">
            <v>VD</v>
          </cell>
          <cell r="L1104">
            <v>1</v>
          </cell>
          <cell r="M1104">
            <v>24.75</v>
          </cell>
        </row>
        <row r="1105">
          <cell r="C1105" t="str">
            <v>8458</v>
          </cell>
          <cell r="D1105" t="str">
            <v>CATENA MALBEC</v>
          </cell>
          <cell r="E1105" t="str">
            <v>BODEGAS CATENA ZAPATA</v>
          </cell>
          <cell r="F1105" t="str">
            <v>750</v>
          </cell>
          <cell r="G1105">
            <v>13.5</v>
          </cell>
          <cell r="H1105">
            <v>12</v>
          </cell>
          <cell r="I1105" t="str">
            <v>55942</v>
          </cell>
          <cell r="K1105" t="str">
            <v>VD</v>
          </cell>
          <cell r="L1105">
            <v>1</v>
          </cell>
          <cell r="M1105">
            <v>22.09</v>
          </cell>
        </row>
        <row r="1106">
          <cell r="C1106" t="str">
            <v>28835</v>
          </cell>
          <cell r="D1106" t="str">
            <v>CIRCUS MALBEC</v>
          </cell>
          <cell r="E1106" t="str">
            <v>ESCORIHUELA GASCON</v>
          </cell>
          <cell r="F1106" t="str">
            <v>750</v>
          </cell>
          <cell r="G1106">
            <v>12.8</v>
          </cell>
          <cell r="H1106">
            <v>12</v>
          </cell>
          <cell r="I1106" t="str">
            <v>3250</v>
          </cell>
          <cell r="K1106" t="str">
            <v>VD</v>
          </cell>
          <cell r="L1106">
            <v>1</v>
          </cell>
          <cell r="M1106">
            <v>12.89</v>
          </cell>
        </row>
        <row r="1107">
          <cell r="C1107" t="str">
            <v>14515</v>
          </cell>
          <cell r="D1107" t="str">
            <v>DONA PAULA ESTATE MALBEC</v>
          </cell>
          <cell r="E1107" t="str">
            <v>VINA DONA PAULA</v>
          </cell>
          <cell r="F1107" t="str">
            <v>750</v>
          </cell>
          <cell r="G1107">
            <v>14</v>
          </cell>
          <cell r="H1107">
            <v>12</v>
          </cell>
          <cell r="I1107" t="str">
            <v>3265</v>
          </cell>
          <cell r="K1107" t="str">
            <v>VD</v>
          </cell>
          <cell r="L1107">
            <v>1</v>
          </cell>
          <cell r="M1107">
            <v>14.71</v>
          </cell>
        </row>
        <row r="1108">
          <cell r="C1108" t="str">
            <v>5183</v>
          </cell>
          <cell r="D1108" t="str">
            <v>FINCA LOS PRIMOS MALBEC</v>
          </cell>
          <cell r="E1108" t="str">
            <v>CASA BIANCHI FAMILIA DE VINOS</v>
          </cell>
          <cell r="F1108" t="str">
            <v>750</v>
          </cell>
          <cell r="G1108">
            <v>12.9</v>
          </cell>
          <cell r="H1108">
            <v>12</v>
          </cell>
          <cell r="I1108" t="str">
            <v>1535</v>
          </cell>
          <cell r="K1108" t="str">
            <v>VD</v>
          </cell>
          <cell r="L1108">
            <v>1</v>
          </cell>
          <cell r="M1108">
            <v>11.99</v>
          </cell>
        </row>
        <row r="1109">
          <cell r="C1109" t="str">
            <v>25137</v>
          </cell>
          <cell r="D1109" t="str">
            <v>FUZION ALTA RESERVE MALBEC</v>
          </cell>
          <cell r="E1109" t="str">
            <v>FAMILIA ZUCCARDI</v>
          </cell>
          <cell r="F1109" t="str">
            <v>750</v>
          </cell>
          <cell r="G1109">
            <v>13</v>
          </cell>
          <cell r="H1109">
            <v>12</v>
          </cell>
          <cell r="I1109" t="str">
            <v>130768</v>
          </cell>
          <cell r="K1109" t="str">
            <v>VD</v>
          </cell>
          <cell r="L1109">
            <v>1</v>
          </cell>
          <cell r="M1109">
            <v>14.01</v>
          </cell>
        </row>
        <row r="1110">
          <cell r="C1110" t="str">
            <v>12644</v>
          </cell>
          <cell r="D1110" t="str">
            <v>KAIKEN SELECCION ESPECIAL MALBEC</v>
          </cell>
          <cell r="E1110" t="str">
            <v>KAIKEN S.A.</v>
          </cell>
          <cell r="F1110" t="str">
            <v>750</v>
          </cell>
          <cell r="G1110">
            <v>14.5</v>
          </cell>
          <cell r="H1110">
            <v>12</v>
          </cell>
          <cell r="I1110" t="str">
            <v>1382</v>
          </cell>
          <cell r="K1110" t="str">
            <v>VD</v>
          </cell>
          <cell r="L1110">
            <v>1</v>
          </cell>
          <cell r="M1110">
            <v>15.02</v>
          </cell>
        </row>
        <row r="1111">
          <cell r="C1111" t="str">
            <v>10518</v>
          </cell>
          <cell r="D1111" t="str">
            <v>LA MASCOTA CABERNET SAUVIGNON</v>
          </cell>
          <cell r="E1111" t="str">
            <v>GRUPO PENAFLOR S.A.</v>
          </cell>
          <cell r="F1111" t="str">
            <v>750</v>
          </cell>
          <cell r="G1111">
            <v>14</v>
          </cell>
          <cell r="H1111">
            <v>12</v>
          </cell>
          <cell r="I1111" t="str">
            <v>1537</v>
          </cell>
          <cell r="K1111" t="str">
            <v>D</v>
          </cell>
          <cell r="L1111">
            <v>1</v>
          </cell>
          <cell r="M1111">
            <v>15.02</v>
          </cell>
        </row>
        <row r="1112">
          <cell r="C1112" t="str">
            <v>10895</v>
          </cell>
          <cell r="D1112" t="str">
            <v>LAYER CAKE MALBEC</v>
          </cell>
          <cell r="E1112" t="str">
            <v>LAYER CAKE WINES</v>
          </cell>
          <cell r="F1112" t="str">
            <v>750</v>
          </cell>
          <cell r="G1112">
            <v>14.5</v>
          </cell>
          <cell r="H1112">
            <v>12</v>
          </cell>
          <cell r="I1112" t="str">
            <v>87388</v>
          </cell>
          <cell r="K1112" t="str">
            <v>VD</v>
          </cell>
          <cell r="L1112">
            <v>1</v>
          </cell>
          <cell r="M1112">
            <v>23.27</v>
          </cell>
        </row>
        <row r="1113">
          <cell r="C1113" t="str">
            <v>27338</v>
          </cell>
          <cell r="D1113" t="str">
            <v>LUIGI BOSCA FINCA OLD VINES MALBEC</v>
          </cell>
          <cell r="E1113" t="str">
            <v>LUIGI BOSCA (LEONCIO ARIZU)</v>
          </cell>
          <cell r="F1113" t="str">
            <v>750</v>
          </cell>
          <cell r="G1113">
            <v>13.7</v>
          </cell>
          <cell r="H1113">
            <v>12</v>
          </cell>
          <cell r="I1113" t="str">
            <v>3238</v>
          </cell>
          <cell r="K1113" t="str">
            <v>VD</v>
          </cell>
          <cell r="L1113">
            <v>1</v>
          </cell>
          <cell r="M1113">
            <v>19.850000000000001</v>
          </cell>
        </row>
        <row r="1114">
          <cell r="C1114" t="str">
            <v>9497</v>
          </cell>
          <cell r="D1114" t="str">
            <v>LUIGI BOSCA MALBEC</v>
          </cell>
          <cell r="E1114" t="str">
            <v>LUIGI BOSCA (LEONCIO ARIZU)</v>
          </cell>
          <cell r="F1114" t="str">
            <v>750</v>
          </cell>
          <cell r="G1114">
            <v>12</v>
          </cell>
          <cell r="H1114">
            <v>12</v>
          </cell>
          <cell r="I1114" t="str">
            <v>3238</v>
          </cell>
          <cell r="K1114" t="str">
            <v>VD</v>
          </cell>
          <cell r="L1114">
            <v>1</v>
          </cell>
          <cell r="M1114">
            <v>22.86</v>
          </cell>
        </row>
        <row r="1115">
          <cell r="C1115" t="str">
            <v>16634</v>
          </cell>
          <cell r="D1115" t="str">
            <v>PASCUAL TOSO CABERNET SAUVIGNON</v>
          </cell>
          <cell r="E1115" t="str">
            <v>PASCUAL TOSO</v>
          </cell>
          <cell r="F1115" t="str">
            <v>750</v>
          </cell>
          <cell r="G1115">
            <v>14</v>
          </cell>
          <cell r="H1115">
            <v>12</v>
          </cell>
          <cell r="I1115" t="str">
            <v>87388</v>
          </cell>
          <cell r="K1115" t="str">
            <v>VD</v>
          </cell>
          <cell r="L1115">
            <v>1</v>
          </cell>
          <cell r="M1115">
            <v>15.32</v>
          </cell>
        </row>
        <row r="1116">
          <cell r="C1116" t="str">
            <v>27340</v>
          </cell>
          <cell r="D1116" t="str">
            <v>PASCUAL TOSO DON APARO MALBEC</v>
          </cell>
          <cell r="E1116" t="str">
            <v>PASCUAL TOSO</v>
          </cell>
          <cell r="F1116" t="str">
            <v>750</v>
          </cell>
          <cell r="G1116">
            <v>14</v>
          </cell>
          <cell r="H1116">
            <v>12</v>
          </cell>
          <cell r="I1116" t="str">
            <v>87388</v>
          </cell>
          <cell r="K1116" t="str">
            <v>VD</v>
          </cell>
          <cell r="L1116">
            <v>1</v>
          </cell>
          <cell r="M1116">
            <v>10.02</v>
          </cell>
        </row>
        <row r="1117">
          <cell r="C1117" t="str">
            <v>17243</v>
          </cell>
          <cell r="D1117" t="str">
            <v>SANTA JULIA CABERNET SAUVIGNON</v>
          </cell>
          <cell r="E1117" t="str">
            <v>FAMILIA ZUCCARDI</v>
          </cell>
          <cell r="F1117" t="str">
            <v>750</v>
          </cell>
          <cell r="G1117">
            <v>13.5</v>
          </cell>
          <cell r="H1117">
            <v>12</v>
          </cell>
          <cell r="I1117" t="str">
            <v>130768</v>
          </cell>
          <cell r="K1117" t="str">
            <v>VD</v>
          </cell>
          <cell r="L1117">
            <v>1</v>
          </cell>
          <cell r="M1117">
            <v>14.01</v>
          </cell>
        </row>
        <row r="1118">
          <cell r="C1118" t="str">
            <v>22531</v>
          </cell>
          <cell r="D1118" t="str">
            <v>SANTA JULIA RESERVE MALBEC</v>
          </cell>
          <cell r="E1118" t="str">
            <v>FAMILIA ZUCCARDI</v>
          </cell>
          <cell r="F1118" t="str">
            <v>750</v>
          </cell>
          <cell r="G1118">
            <v>13.5</v>
          </cell>
          <cell r="H1118">
            <v>12</v>
          </cell>
          <cell r="I1118" t="str">
            <v>130768</v>
          </cell>
          <cell r="K1118" t="str">
            <v>VD</v>
          </cell>
          <cell r="L1118">
            <v>1</v>
          </cell>
          <cell r="M1118">
            <v>17.510000000000002</v>
          </cell>
        </row>
        <row r="1119">
          <cell r="C1119" t="str">
            <v>39853</v>
          </cell>
          <cell r="D1119" t="str">
            <v>TRAPICHE ALARIS CABERNET SAUVIGNON</v>
          </cell>
          <cell r="E1119" t="str">
            <v>GRUPO PENAFLOR S.A.</v>
          </cell>
          <cell r="F1119" t="str">
            <v>750</v>
          </cell>
          <cell r="G1119">
            <v>13.5</v>
          </cell>
          <cell r="H1119">
            <v>12</v>
          </cell>
          <cell r="I1119" t="str">
            <v>1537</v>
          </cell>
          <cell r="K1119" t="str">
            <v>VD</v>
          </cell>
          <cell r="L1119">
            <v>1</v>
          </cell>
          <cell r="M1119">
            <v>11.04</v>
          </cell>
        </row>
        <row r="1120">
          <cell r="C1120" t="str">
            <v>3026</v>
          </cell>
          <cell r="D1120" t="str">
            <v>TRAPICHE ALARIS MALBEC</v>
          </cell>
          <cell r="E1120" t="str">
            <v>BODEGAS TRAPICHE</v>
          </cell>
          <cell r="F1120" t="str">
            <v>750</v>
          </cell>
          <cell r="G1120">
            <v>13</v>
          </cell>
          <cell r="H1120">
            <v>12</v>
          </cell>
          <cell r="I1120" t="str">
            <v>1537</v>
          </cell>
          <cell r="K1120" t="str">
            <v>VD</v>
          </cell>
          <cell r="L1120">
            <v>1</v>
          </cell>
          <cell r="M1120">
            <v>11.04</v>
          </cell>
        </row>
        <row r="1121">
          <cell r="C1121" t="str">
            <v>14476</v>
          </cell>
          <cell r="D1121" t="str">
            <v>TRAPICHE BROQUEL MALBEC</v>
          </cell>
          <cell r="E1121" t="str">
            <v>BODEGAS TRAPICHE</v>
          </cell>
          <cell r="F1121" t="str">
            <v>750</v>
          </cell>
          <cell r="G1121">
            <v>14</v>
          </cell>
          <cell r="H1121">
            <v>12</v>
          </cell>
          <cell r="I1121" t="str">
            <v>1537</v>
          </cell>
          <cell r="K1121" t="str">
            <v>VD</v>
          </cell>
          <cell r="L1121">
            <v>1</v>
          </cell>
          <cell r="M1121">
            <v>14.17</v>
          </cell>
        </row>
        <row r="1122">
          <cell r="C1122" t="str">
            <v>11893</v>
          </cell>
          <cell r="D1122" t="str">
            <v>TRAPICHE MALBEC RESERVE</v>
          </cell>
          <cell r="E1122" t="str">
            <v>BODEGAS TRAPICHE</v>
          </cell>
          <cell r="F1122" t="str">
            <v>750</v>
          </cell>
          <cell r="G1122">
            <v>14</v>
          </cell>
          <cell r="H1122">
            <v>12</v>
          </cell>
          <cell r="I1122" t="str">
            <v>1537</v>
          </cell>
          <cell r="K1122" t="str">
            <v>VD</v>
          </cell>
          <cell r="L1122">
            <v>1</v>
          </cell>
          <cell r="M1122">
            <v>12.53</v>
          </cell>
        </row>
        <row r="1123">
          <cell r="C1123" t="str">
            <v>21256</v>
          </cell>
          <cell r="D1123" t="str">
            <v>TRAPICHE PURE MALBEC</v>
          </cell>
          <cell r="E1123" t="str">
            <v>BODEGAS TRAPICHE</v>
          </cell>
          <cell r="F1123" t="str">
            <v>750</v>
          </cell>
          <cell r="G1123">
            <v>14</v>
          </cell>
          <cell r="H1123">
            <v>12</v>
          </cell>
          <cell r="I1123" t="str">
            <v>1537</v>
          </cell>
          <cell r="K1123" t="str">
            <v>VD</v>
          </cell>
          <cell r="L1123">
            <v>1</v>
          </cell>
          <cell r="M1123">
            <v>15.03</v>
          </cell>
        </row>
        <row r="1124">
          <cell r="C1124" t="str">
            <v>17254</v>
          </cell>
          <cell r="D1124" t="str">
            <v>TRAPICHE RESERVE MALBEC</v>
          </cell>
          <cell r="E1124" t="str">
            <v>BODEGAS TRAPICHE</v>
          </cell>
          <cell r="F1124" t="str">
            <v>3000</v>
          </cell>
          <cell r="G1124">
            <v>13.5</v>
          </cell>
          <cell r="H1124">
            <v>4</v>
          </cell>
          <cell r="I1124" t="str">
            <v>1537</v>
          </cell>
          <cell r="K1124" t="str">
            <v>VD</v>
          </cell>
          <cell r="L1124">
            <v>1</v>
          </cell>
          <cell r="M1124">
            <v>36.409999999999997</v>
          </cell>
        </row>
        <row r="1125">
          <cell r="C1125" t="str">
            <v>37465</v>
          </cell>
          <cell r="D1125" t="str">
            <v>TRAPICHE TESORO MALBEC</v>
          </cell>
          <cell r="E1125" t="str">
            <v>BODEGAS TRAPICHE</v>
          </cell>
          <cell r="F1125" t="str">
            <v>750</v>
          </cell>
          <cell r="G1125">
            <v>14</v>
          </cell>
          <cell r="H1125">
            <v>12</v>
          </cell>
          <cell r="I1125" t="str">
            <v>1537</v>
          </cell>
          <cell r="K1125" t="str">
            <v>VD</v>
          </cell>
          <cell r="L1125">
            <v>1</v>
          </cell>
          <cell r="M1125">
            <v>12.53</v>
          </cell>
        </row>
        <row r="1126">
          <cell r="C1126" t="str">
            <v>5081</v>
          </cell>
          <cell r="D1126" t="str">
            <v>TRIVENTO GOLD RESERVE MALBEC</v>
          </cell>
          <cell r="E1126" t="str">
            <v>TRIVENTO-VINA PATAGONIA</v>
          </cell>
          <cell r="F1126" t="str">
            <v>750</v>
          </cell>
          <cell r="G1126">
            <v>14.5</v>
          </cell>
          <cell r="H1126">
            <v>12</v>
          </cell>
          <cell r="I1126" t="str">
            <v>205657</v>
          </cell>
          <cell r="K1126" t="str">
            <v>VD</v>
          </cell>
          <cell r="L1126">
            <v>1</v>
          </cell>
          <cell r="M1126">
            <v>21.03</v>
          </cell>
        </row>
        <row r="1127">
          <cell r="C1127" t="str">
            <v>14608</v>
          </cell>
          <cell r="D1127" t="str">
            <v>TRIVENTO RESERVE MALBEC</v>
          </cell>
          <cell r="E1127" t="str">
            <v>TRIVENTO BODEGAS Y VINEDOS</v>
          </cell>
          <cell r="F1127" t="str">
            <v>750</v>
          </cell>
          <cell r="G1127">
            <v>14</v>
          </cell>
          <cell r="H1127">
            <v>12</v>
          </cell>
          <cell r="I1127" t="str">
            <v>205657</v>
          </cell>
          <cell r="K1127" t="str">
            <v>VD</v>
          </cell>
          <cell r="L1127">
            <v>1</v>
          </cell>
          <cell r="M1127">
            <v>12.77</v>
          </cell>
        </row>
        <row r="1128">
          <cell r="C1128" t="str">
            <v>8439</v>
          </cell>
          <cell r="D1128" t="str">
            <v>TRIVENTO TRIBU MALBEC</v>
          </cell>
          <cell r="E1128" t="str">
            <v>TRIVENTO BODEGAS Y VINEDOS</v>
          </cell>
          <cell r="F1128" t="str">
            <v>750</v>
          </cell>
          <cell r="G1128">
            <v>14</v>
          </cell>
          <cell r="H1128">
            <v>12</v>
          </cell>
          <cell r="I1128" t="str">
            <v>205657</v>
          </cell>
          <cell r="K1128" t="str">
            <v>VD</v>
          </cell>
          <cell r="L1128">
            <v>1</v>
          </cell>
          <cell r="M1128">
            <v>10.54</v>
          </cell>
        </row>
        <row r="1129">
          <cell r="C1129" t="str">
            <v>44965</v>
          </cell>
          <cell r="D1129" t="str">
            <v>VIVO RESERVA MALBEC</v>
          </cell>
          <cell r="E1129" t="str">
            <v>ANDREW PELLER LIMITED</v>
          </cell>
          <cell r="F1129" t="str">
            <v>4000</v>
          </cell>
          <cell r="G1129">
            <v>13</v>
          </cell>
          <cell r="H1129">
            <v>4</v>
          </cell>
          <cell r="I1129" t="str">
            <v>4095</v>
          </cell>
          <cell r="K1129" t="str">
            <v>MS</v>
          </cell>
          <cell r="L1129">
            <v>1</v>
          </cell>
          <cell r="M1129">
            <v>37.07</v>
          </cell>
        </row>
        <row r="1130">
          <cell r="C1130" t="str">
            <v>8432</v>
          </cell>
          <cell r="D1130" t="str">
            <v>ALAMOS CHARDONNAY</v>
          </cell>
          <cell r="E1130" t="str">
            <v>BODEGAS CATENA ZAPATA</v>
          </cell>
          <cell r="F1130" t="str">
            <v>750</v>
          </cell>
          <cell r="G1130">
            <v>13.5</v>
          </cell>
          <cell r="H1130">
            <v>12</v>
          </cell>
          <cell r="I1130" t="str">
            <v>3254</v>
          </cell>
          <cell r="K1130" t="str">
            <v>VD</v>
          </cell>
          <cell r="L1130">
            <v>1</v>
          </cell>
          <cell r="M1130">
            <v>14.14</v>
          </cell>
        </row>
        <row r="1131">
          <cell r="C1131" t="str">
            <v>22212</v>
          </cell>
          <cell r="D1131" t="str">
            <v>TRAPICHE ALARIS PINOT GRIGIO</v>
          </cell>
          <cell r="E1131" t="str">
            <v>BODEGAS TRAPICHE</v>
          </cell>
          <cell r="F1131" t="str">
            <v>750</v>
          </cell>
          <cell r="G1131">
            <v>12</v>
          </cell>
          <cell r="H1131">
            <v>12</v>
          </cell>
          <cell r="I1131" t="str">
            <v>1537</v>
          </cell>
          <cell r="K1131" t="str">
            <v>VD</v>
          </cell>
          <cell r="L1131">
            <v>1</v>
          </cell>
          <cell r="M1131">
            <v>11.04</v>
          </cell>
        </row>
        <row r="1132">
          <cell r="C1132" t="str">
            <v>24233</v>
          </cell>
          <cell r="D1132" t="str">
            <v>TRAPICHE RESERVE PINOT GRIGIO</v>
          </cell>
          <cell r="E1132" t="str">
            <v>GRUPO PENAFLOR S.A.</v>
          </cell>
          <cell r="F1132" t="str">
            <v>750</v>
          </cell>
          <cell r="G1132">
            <v>13</v>
          </cell>
          <cell r="H1132">
            <v>12</v>
          </cell>
          <cell r="I1132" t="str">
            <v>1537</v>
          </cell>
          <cell r="K1132" t="str">
            <v>VD</v>
          </cell>
          <cell r="L1132">
            <v>1</v>
          </cell>
          <cell r="M1132">
            <v>13.02</v>
          </cell>
        </row>
        <row r="1133">
          <cell r="C1133" t="str">
            <v>40898</v>
          </cell>
          <cell r="D1133" t="str">
            <v>TRIVENTO RESERVE WHITE MALBEC</v>
          </cell>
          <cell r="E1133" t="str">
            <v>TRIVENTO BODEGAS Y VINEDOS</v>
          </cell>
          <cell r="F1133" t="str">
            <v>750</v>
          </cell>
          <cell r="G1133">
            <v>11</v>
          </cell>
          <cell r="H1133">
            <v>12</v>
          </cell>
          <cell r="I1133" t="str">
            <v>205949</v>
          </cell>
          <cell r="K1133" t="str">
            <v>D</v>
          </cell>
          <cell r="L1133">
            <v>1</v>
          </cell>
          <cell r="M1133">
            <v>12.93</v>
          </cell>
        </row>
        <row r="1134">
          <cell r="C1134" t="str">
            <v>44966</v>
          </cell>
          <cell r="D1134" t="str">
            <v>VIVO RESERVA PINOT GRIGIO</v>
          </cell>
          <cell r="E1134" t="str">
            <v>ANDREW PELLER LIMITED</v>
          </cell>
          <cell r="F1134" t="str">
            <v>4000</v>
          </cell>
          <cell r="G1134">
            <v>12</v>
          </cell>
          <cell r="H1134">
            <v>4</v>
          </cell>
          <cell r="I1134" t="str">
            <v>4095</v>
          </cell>
          <cell r="K1134" t="str">
            <v>MD</v>
          </cell>
          <cell r="L1134">
            <v>1</v>
          </cell>
          <cell r="M1134">
            <v>37.07</v>
          </cell>
        </row>
        <row r="1135">
          <cell r="C1135" t="str">
            <v>12824</v>
          </cell>
          <cell r="D1135" t="str">
            <v>THE SHOW MALBEC</v>
          </cell>
          <cell r="E1135" t="str">
            <v>BODEGA No B-72379</v>
          </cell>
          <cell r="F1135" t="str">
            <v>750</v>
          </cell>
          <cell r="G1135">
            <v>14.1</v>
          </cell>
          <cell r="H1135">
            <v>12</v>
          </cell>
          <cell r="I1135" t="str">
            <v>1537</v>
          </cell>
          <cell r="K1135" t="str">
            <v>VD</v>
          </cell>
          <cell r="L1135">
            <v>1</v>
          </cell>
          <cell r="M1135">
            <v>21</v>
          </cell>
        </row>
        <row r="1136">
          <cell r="C1136" t="str">
            <v>7493</v>
          </cell>
          <cell r="D1136" t="str">
            <v>FINCA LAS MORAS MALBEC</v>
          </cell>
          <cell r="E1136" t="str">
            <v>FINCA LAS MORAS</v>
          </cell>
          <cell r="F1136" t="str">
            <v>750</v>
          </cell>
          <cell r="G1136">
            <v>13.5</v>
          </cell>
          <cell r="H1136">
            <v>12</v>
          </cell>
          <cell r="I1136" t="str">
            <v>205873</v>
          </cell>
          <cell r="K1136" t="str">
            <v>VD</v>
          </cell>
          <cell r="L1136">
            <v>1</v>
          </cell>
          <cell r="M1136">
            <v>10.029999999999999</v>
          </cell>
        </row>
        <row r="1137">
          <cell r="C1137" t="str">
            <v>7496</v>
          </cell>
          <cell r="D1137" t="str">
            <v>FINCA LAS MORAS PINOT GRIGIO</v>
          </cell>
          <cell r="E1137" t="str">
            <v>FINCA LAS MORAS</v>
          </cell>
          <cell r="F1137" t="str">
            <v>750</v>
          </cell>
          <cell r="G1137">
            <v>13.5</v>
          </cell>
          <cell r="H1137">
            <v>12</v>
          </cell>
          <cell r="I1137" t="str">
            <v>205873</v>
          </cell>
          <cell r="K1137" t="str">
            <v>VD</v>
          </cell>
          <cell r="L1137">
            <v>1</v>
          </cell>
          <cell r="M1137">
            <v>10.029999999999999</v>
          </cell>
        </row>
        <row r="1138">
          <cell r="C1138" t="str">
            <v>10912</v>
          </cell>
          <cell r="D1138" t="str">
            <v>GRAFFIGNA CENTENARIO PINOT GRIGIO</v>
          </cell>
          <cell r="E1138" t="str">
            <v>GRAFFIGNA WINERY</v>
          </cell>
          <cell r="F1138" t="str">
            <v>750</v>
          </cell>
          <cell r="G1138">
            <v>13.5</v>
          </cell>
          <cell r="H1138">
            <v>12</v>
          </cell>
          <cell r="I1138" t="str">
            <v>1009</v>
          </cell>
          <cell r="K1138" t="str">
            <v>VD</v>
          </cell>
          <cell r="L1138">
            <v>1</v>
          </cell>
          <cell r="M1138">
            <v>13</v>
          </cell>
        </row>
        <row r="1139">
          <cell r="C1139" t="str">
            <v>13504</v>
          </cell>
          <cell r="D1139" t="str">
            <v>ZUCCARDI Q MALBEC</v>
          </cell>
          <cell r="E1139" t="str">
            <v>FAMILIA ZUCCARDI</v>
          </cell>
          <cell r="F1139" t="str">
            <v>750</v>
          </cell>
          <cell r="G1139">
            <v>14.5</v>
          </cell>
          <cell r="H1139">
            <v>12</v>
          </cell>
          <cell r="I1139" t="str">
            <v>130768</v>
          </cell>
          <cell r="K1139" t="str">
            <v>VD</v>
          </cell>
          <cell r="L1139">
            <v>1</v>
          </cell>
          <cell r="M1139">
            <v>24.01</v>
          </cell>
        </row>
        <row r="1140">
          <cell r="C1140" t="str">
            <v>23349</v>
          </cell>
          <cell r="D1140" t="str">
            <v>BODEGAS SALENTEIN PORTILLO SAUV BLANC</v>
          </cell>
          <cell r="E1140" t="str">
            <v>BODEGAS SALENTEIN</v>
          </cell>
          <cell r="F1140" t="str">
            <v>750</v>
          </cell>
          <cell r="G1140">
            <v>12.5</v>
          </cell>
          <cell r="H1140">
            <v>12</v>
          </cell>
          <cell r="I1140" t="str">
            <v>140473</v>
          </cell>
          <cell r="K1140" t="str">
            <v>VD</v>
          </cell>
          <cell r="L1140">
            <v>1</v>
          </cell>
          <cell r="M1140">
            <v>13.31</v>
          </cell>
        </row>
        <row r="1141">
          <cell r="C1141" t="str">
            <v>17371</v>
          </cell>
          <cell r="D1141" t="str">
            <v>BANROCK STATION PINK MOSCATO</v>
          </cell>
          <cell r="E1141" t="str">
            <v>ACCOLADE WINES AUSTRALIA</v>
          </cell>
          <cell r="F1141" t="str">
            <v>750</v>
          </cell>
          <cell r="G1141">
            <v>6</v>
          </cell>
          <cell r="H1141">
            <v>12</v>
          </cell>
          <cell r="I1141" t="str">
            <v>3245</v>
          </cell>
          <cell r="K1141" t="str">
            <v>VS</v>
          </cell>
          <cell r="L1141">
            <v>1</v>
          </cell>
          <cell r="M1141">
            <v>12.1</v>
          </cell>
        </row>
        <row r="1142">
          <cell r="C1142" t="str">
            <v>36028</v>
          </cell>
          <cell r="D1142" t="str">
            <v>JACOB'S CREEK DOTS MOSCATO LIGHTER ROSE</v>
          </cell>
          <cell r="E1142" t="str">
            <v>VINARCHY AUSTRALIA</v>
          </cell>
          <cell r="F1142" t="str">
            <v>750</v>
          </cell>
          <cell r="G1142">
            <v>8</v>
          </cell>
          <cell r="H1142">
            <v>12</v>
          </cell>
          <cell r="I1142" t="str">
            <v>3237</v>
          </cell>
          <cell r="K1142" t="str">
            <v>S</v>
          </cell>
          <cell r="L1142">
            <v>1</v>
          </cell>
          <cell r="M1142">
            <v>11.2</v>
          </cell>
        </row>
        <row r="1143">
          <cell r="C1143" t="str">
            <v>23808</v>
          </cell>
          <cell r="D1143" t="str">
            <v>JACOB'S CREEK MOSCATO ROSE</v>
          </cell>
          <cell r="E1143" t="str">
            <v>VINARCHY AUSTRALIA</v>
          </cell>
          <cell r="F1143" t="str">
            <v>750</v>
          </cell>
          <cell r="G1143">
            <v>7.5</v>
          </cell>
          <cell r="H1143">
            <v>12</v>
          </cell>
          <cell r="I1143" t="str">
            <v>3237</v>
          </cell>
          <cell r="K1143" t="str">
            <v>VS</v>
          </cell>
          <cell r="L1143">
            <v>1</v>
          </cell>
          <cell r="M1143">
            <v>11.2</v>
          </cell>
        </row>
        <row r="1144">
          <cell r="C1144" t="str">
            <v>33395</v>
          </cell>
          <cell r="D1144" t="str">
            <v>JACOB'S CREEK MOSCATO ROSE</v>
          </cell>
          <cell r="E1144" t="str">
            <v>VINARCHY AUSTRALIA</v>
          </cell>
          <cell r="F1144" t="str">
            <v>1500</v>
          </cell>
          <cell r="G1144">
            <v>7.5</v>
          </cell>
          <cell r="H1144">
            <v>6</v>
          </cell>
          <cell r="I1144" t="str">
            <v>3237</v>
          </cell>
          <cell r="K1144" t="str">
            <v>VS</v>
          </cell>
          <cell r="L1144">
            <v>1</v>
          </cell>
          <cell r="M1144">
            <v>21.92</v>
          </cell>
        </row>
        <row r="1145">
          <cell r="C1145" t="str">
            <v>24070</v>
          </cell>
          <cell r="D1145" t="str">
            <v>19 CRIMES CABERNET SAUVIGNON</v>
          </cell>
          <cell r="E1145" t="str">
            <v>TREASURY WINE ESTATES</v>
          </cell>
          <cell r="F1145" t="str">
            <v>750</v>
          </cell>
          <cell r="G1145">
            <v>14</v>
          </cell>
          <cell r="H1145">
            <v>12</v>
          </cell>
          <cell r="I1145" t="str">
            <v>1009</v>
          </cell>
          <cell r="K1145" t="str">
            <v>VD</v>
          </cell>
          <cell r="L1145">
            <v>1</v>
          </cell>
          <cell r="M1145">
            <v>16.97</v>
          </cell>
        </row>
        <row r="1146">
          <cell r="C1146" t="str">
            <v>35599</v>
          </cell>
          <cell r="D1146" t="str">
            <v>19 CRIMES PINOT NOIR</v>
          </cell>
          <cell r="E1146" t="str">
            <v>TREASURY WINE ESTATES</v>
          </cell>
          <cell r="F1146" t="str">
            <v>750</v>
          </cell>
          <cell r="G1146">
            <v>13.5</v>
          </cell>
          <cell r="H1146">
            <v>12</v>
          </cell>
          <cell r="I1146" t="str">
            <v>1009</v>
          </cell>
          <cell r="K1146" t="str">
            <v>D</v>
          </cell>
          <cell r="L1146">
            <v>1</v>
          </cell>
          <cell r="M1146">
            <v>16.97</v>
          </cell>
        </row>
        <row r="1147">
          <cell r="C1147" t="str">
            <v>4124</v>
          </cell>
          <cell r="D1147" t="str">
            <v>BANROCK STATION SHIRAZ</v>
          </cell>
          <cell r="E1147" t="str">
            <v>ACCOLADE WINES AUSTRALIA</v>
          </cell>
          <cell r="F1147" t="str">
            <v>750</v>
          </cell>
          <cell r="G1147">
            <v>13.5</v>
          </cell>
          <cell r="H1147">
            <v>12</v>
          </cell>
          <cell r="I1147" t="str">
            <v>3245</v>
          </cell>
          <cell r="K1147" t="str">
            <v>D</v>
          </cell>
          <cell r="L1147">
            <v>1</v>
          </cell>
          <cell r="M1147">
            <v>12.01</v>
          </cell>
        </row>
        <row r="1148">
          <cell r="C1148" t="str">
            <v>42905</v>
          </cell>
          <cell r="D1148" t="str">
            <v>BLACK ANGUS CABERNET SAUVIGNON</v>
          </cell>
          <cell r="E1148" t="str">
            <v>ABERDEEN WINE COMPANY</v>
          </cell>
          <cell r="F1148" t="str">
            <v>750</v>
          </cell>
          <cell r="G1148">
            <v>14.3</v>
          </cell>
          <cell r="H1148">
            <v>6</v>
          </cell>
          <cell r="I1148" t="str">
            <v>3293</v>
          </cell>
          <cell r="K1148" t="str">
            <v>VD</v>
          </cell>
          <cell r="L1148">
            <v>1</v>
          </cell>
          <cell r="M1148">
            <v>39.78</v>
          </cell>
        </row>
        <row r="1149">
          <cell r="C1149" t="str">
            <v>43072</v>
          </cell>
          <cell r="D1149" t="str">
            <v>JACOB'S CREEK DOUBLE BARREL CAB SAUV</v>
          </cell>
          <cell r="E1149" t="str">
            <v>VINARCHY AUSTRALIA</v>
          </cell>
          <cell r="F1149" t="str">
            <v>750</v>
          </cell>
          <cell r="G1149">
            <v>14</v>
          </cell>
          <cell r="H1149">
            <v>12</v>
          </cell>
          <cell r="I1149" t="str">
            <v>3237</v>
          </cell>
          <cell r="K1149" t="str">
            <v>D</v>
          </cell>
          <cell r="L1149">
            <v>1</v>
          </cell>
          <cell r="M1149">
            <v>17.399999999999999</v>
          </cell>
        </row>
        <row r="1150">
          <cell r="C1150" t="str">
            <v>24140</v>
          </cell>
          <cell r="D1150" t="str">
            <v>JACOB'S CREEK DOUBLE BARREL SHIRAZ</v>
          </cell>
          <cell r="E1150" t="str">
            <v>VINARCHY AUSTRALIA</v>
          </cell>
          <cell r="F1150" t="str">
            <v>750</v>
          </cell>
          <cell r="G1150">
            <v>14.5</v>
          </cell>
          <cell r="H1150">
            <v>12</v>
          </cell>
          <cell r="I1150" t="str">
            <v>3237</v>
          </cell>
          <cell r="K1150" t="str">
            <v>D</v>
          </cell>
          <cell r="L1150">
            <v>1</v>
          </cell>
          <cell r="M1150">
            <v>17.399999999999999</v>
          </cell>
        </row>
        <row r="1151">
          <cell r="C1151" t="str">
            <v>38636</v>
          </cell>
          <cell r="D1151" t="str">
            <v>JACOB'S CREEK GRENACHE SHIRAZ</v>
          </cell>
          <cell r="E1151" t="str">
            <v>VINARCHY AUSTRALIA</v>
          </cell>
          <cell r="F1151" t="str">
            <v>750</v>
          </cell>
          <cell r="G1151">
            <v>14</v>
          </cell>
          <cell r="H1151">
            <v>12</v>
          </cell>
          <cell r="I1151" t="str">
            <v>3237</v>
          </cell>
          <cell r="K1151" t="str">
            <v>D</v>
          </cell>
          <cell r="L1151">
            <v>1</v>
          </cell>
          <cell r="M1151">
            <v>11.2</v>
          </cell>
        </row>
        <row r="1152">
          <cell r="C1152" t="str">
            <v>27021</v>
          </cell>
          <cell r="D1152" t="str">
            <v>PETER LEHMANN THE BAROSSAN SHIRAZ</v>
          </cell>
          <cell r="E1152" t="str">
            <v>PETER LEHMANN WINES</v>
          </cell>
          <cell r="F1152" t="str">
            <v>750</v>
          </cell>
          <cell r="G1152">
            <v>14.5</v>
          </cell>
          <cell r="H1152">
            <v>12</v>
          </cell>
          <cell r="I1152" t="str">
            <v>1537</v>
          </cell>
          <cell r="K1152" t="str">
            <v>VD</v>
          </cell>
          <cell r="L1152">
            <v>1</v>
          </cell>
          <cell r="M1152">
            <v>19.55</v>
          </cell>
        </row>
        <row r="1153">
          <cell r="C1153" t="str">
            <v>5623</v>
          </cell>
          <cell r="D1153" t="str">
            <v>PIRRAMIMMA WHITE LABEL PETIT VERDOT</v>
          </cell>
          <cell r="E1153" t="str">
            <v>PIRRAMIMMA</v>
          </cell>
          <cell r="F1153" t="str">
            <v>750</v>
          </cell>
          <cell r="G1153">
            <v>14.5</v>
          </cell>
          <cell r="H1153">
            <v>12</v>
          </cell>
          <cell r="I1153" t="str">
            <v>55942</v>
          </cell>
          <cell r="K1153" t="str">
            <v>VD</v>
          </cell>
          <cell r="L1153">
            <v>1</v>
          </cell>
          <cell r="M1153">
            <v>23.71</v>
          </cell>
        </row>
        <row r="1154">
          <cell r="C1154" t="str">
            <v>34292</v>
          </cell>
          <cell r="D1154" t="str">
            <v>RED KNOT CABERNET SAUVIGNON</v>
          </cell>
          <cell r="E1154" t="str">
            <v>SHINGLEBACK WINE PTY LTD</v>
          </cell>
          <cell r="F1154" t="str">
            <v>750</v>
          </cell>
          <cell r="G1154">
            <v>14</v>
          </cell>
          <cell r="H1154">
            <v>12</v>
          </cell>
          <cell r="I1154" t="str">
            <v>152879</v>
          </cell>
          <cell r="K1154" t="str">
            <v>VD</v>
          </cell>
          <cell r="L1154">
            <v>1</v>
          </cell>
          <cell r="M1154">
            <v>17.989999999999998</v>
          </cell>
        </row>
        <row r="1155">
          <cell r="C1155" t="str">
            <v>18810</v>
          </cell>
          <cell r="D1155" t="str">
            <v>RINGBOLT CABERNET SAUVIGNON</v>
          </cell>
          <cell r="E1155" t="str">
            <v>NEGOCIANTS INTERNATIONAL PTY LTD</v>
          </cell>
          <cell r="F1155" t="str">
            <v>750</v>
          </cell>
          <cell r="G1155">
            <v>13</v>
          </cell>
          <cell r="H1155">
            <v>12</v>
          </cell>
          <cell r="I1155" t="str">
            <v>1535</v>
          </cell>
          <cell r="K1155" t="str">
            <v>VD</v>
          </cell>
          <cell r="L1155">
            <v>1</v>
          </cell>
          <cell r="M1155">
            <v>24.99</v>
          </cell>
        </row>
        <row r="1156">
          <cell r="C1156" t="str">
            <v>29041</v>
          </cell>
          <cell r="D1156" t="str">
            <v>SMOKY BAY CABERNET SAUVIGNON</v>
          </cell>
          <cell r="E1156" t="str">
            <v>MAISON DES FUTAILLES</v>
          </cell>
          <cell r="F1156" t="str">
            <v>750</v>
          </cell>
          <cell r="G1156">
            <v>13</v>
          </cell>
          <cell r="H1156">
            <v>12</v>
          </cell>
          <cell r="I1156" t="str">
            <v>205873</v>
          </cell>
          <cell r="K1156" t="str">
            <v>VD</v>
          </cell>
          <cell r="L1156">
            <v>1</v>
          </cell>
          <cell r="M1156">
            <v>9.49</v>
          </cell>
        </row>
        <row r="1157">
          <cell r="C1157" t="str">
            <v>47965</v>
          </cell>
          <cell r="D1157" t="str">
            <v>SMOKY BAY OPULENCE DECADENT CABERNET</v>
          </cell>
          <cell r="E1157" t="str">
            <v>STATION 22</v>
          </cell>
          <cell r="F1157" t="str">
            <v>750</v>
          </cell>
          <cell r="G1157">
            <v>13.5</v>
          </cell>
          <cell r="H1157">
            <v>12</v>
          </cell>
          <cell r="I1157" t="str">
            <v>205873</v>
          </cell>
          <cell r="K1157" t="str">
            <v>D</v>
          </cell>
          <cell r="L1157">
            <v>1</v>
          </cell>
          <cell r="M1157">
            <v>11.51</v>
          </cell>
        </row>
        <row r="1158">
          <cell r="C1158" t="str">
            <v>28515</v>
          </cell>
          <cell r="D1158" t="str">
            <v>THE BLACK CHOOK SHIRAZ VIOGNIER</v>
          </cell>
          <cell r="E1158" t="str">
            <v>PENNY HILL</v>
          </cell>
          <cell r="F1158" t="str">
            <v>750</v>
          </cell>
          <cell r="G1158">
            <v>14.5</v>
          </cell>
          <cell r="H1158">
            <v>12</v>
          </cell>
          <cell r="I1158" t="str">
            <v>3246</v>
          </cell>
          <cell r="K1158" t="str">
            <v>VD</v>
          </cell>
          <cell r="L1158">
            <v>1</v>
          </cell>
          <cell r="M1158">
            <v>17.899999999999999</v>
          </cell>
        </row>
        <row r="1159">
          <cell r="C1159" t="str">
            <v>37220</v>
          </cell>
          <cell r="D1159" t="str">
            <v>TREAD SOFTLY PINOT NOIR</v>
          </cell>
          <cell r="E1159" t="str">
            <v>FOURTH WAVE WINE PARTNERS</v>
          </cell>
          <cell r="F1159" t="str">
            <v>750</v>
          </cell>
          <cell r="G1159">
            <v>11</v>
          </cell>
          <cell r="H1159">
            <v>12</v>
          </cell>
          <cell r="I1159" t="str">
            <v>3246</v>
          </cell>
          <cell r="K1159" t="str">
            <v>VD</v>
          </cell>
          <cell r="L1159">
            <v>1</v>
          </cell>
          <cell r="M1159">
            <v>15.99</v>
          </cell>
        </row>
        <row r="1160">
          <cell r="C1160" t="str">
            <v>8604</v>
          </cell>
          <cell r="D1160" t="str">
            <v>WAKEFIELD ESTATE CABERNET SAUVIGNON</v>
          </cell>
          <cell r="E1160" t="str">
            <v>WAKEFIELD WINES PTY LTD</v>
          </cell>
          <cell r="F1160" t="str">
            <v>750</v>
          </cell>
          <cell r="G1160">
            <v>14</v>
          </cell>
          <cell r="H1160">
            <v>12</v>
          </cell>
          <cell r="I1160" t="str">
            <v>3245</v>
          </cell>
          <cell r="K1160" t="str">
            <v>VD</v>
          </cell>
          <cell r="L1160">
            <v>1</v>
          </cell>
          <cell r="M1160">
            <v>17.100000000000001</v>
          </cell>
        </row>
        <row r="1161">
          <cell r="C1161" t="str">
            <v>1913</v>
          </cell>
          <cell r="D1161" t="str">
            <v>BANROCK STATION UNWOODED CHARDONNAY</v>
          </cell>
          <cell r="E1161" t="str">
            <v>ACCOLADE WINES AUSTRALIA</v>
          </cell>
          <cell r="F1161" t="str">
            <v>750</v>
          </cell>
          <cell r="G1161">
            <v>13</v>
          </cell>
          <cell r="H1161">
            <v>12</v>
          </cell>
          <cell r="I1161" t="str">
            <v>3245</v>
          </cell>
          <cell r="K1161" t="str">
            <v>VD</v>
          </cell>
          <cell r="L1161">
            <v>1</v>
          </cell>
          <cell r="M1161">
            <v>12.01</v>
          </cell>
        </row>
        <row r="1162">
          <cell r="C1162" t="str">
            <v>36029</v>
          </cell>
          <cell r="D1162" t="str">
            <v>JACOB'S CREEK MOSCATO LIGHT</v>
          </cell>
          <cell r="E1162" t="str">
            <v>VINARCHY AUSTRALIA</v>
          </cell>
          <cell r="F1162" t="str">
            <v>750</v>
          </cell>
          <cell r="G1162">
            <v>8</v>
          </cell>
          <cell r="H1162">
            <v>12</v>
          </cell>
          <cell r="I1162" t="str">
            <v>3237</v>
          </cell>
          <cell r="K1162" t="str">
            <v>S</v>
          </cell>
          <cell r="L1162">
            <v>1</v>
          </cell>
          <cell r="M1162">
            <v>11.2</v>
          </cell>
        </row>
        <row r="1163">
          <cell r="C1163" t="str">
            <v>47944</v>
          </cell>
          <cell r="D1163" t="str">
            <v>REWILD PINOT GRIGIO</v>
          </cell>
          <cell r="E1163" t="str">
            <v>ANDREW PELLER LIMITED</v>
          </cell>
          <cell r="F1163" t="str">
            <v>4000</v>
          </cell>
          <cell r="G1163">
            <v>12</v>
          </cell>
          <cell r="H1163">
            <v>4</v>
          </cell>
          <cell r="I1163" t="str">
            <v>4095</v>
          </cell>
          <cell r="K1163" t="str">
            <v>MD</v>
          </cell>
          <cell r="L1163">
            <v>1</v>
          </cell>
          <cell r="M1163">
            <v>35.99</v>
          </cell>
        </row>
        <row r="1164">
          <cell r="C1164" t="str">
            <v>47966</v>
          </cell>
          <cell r="D1164" t="str">
            <v>SMOKY BAY OPULENCE BUTTERY CHARDONNAY</v>
          </cell>
          <cell r="E1164" t="str">
            <v>STATION 22</v>
          </cell>
          <cell r="F1164" t="str">
            <v>750</v>
          </cell>
          <cell r="G1164">
            <v>12.5</v>
          </cell>
          <cell r="H1164">
            <v>12</v>
          </cell>
          <cell r="I1164" t="str">
            <v>205873</v>
          </cell>
          <cell r="K1164" t="str">
            <v>D</v>
          </cell>
          <cell r="L1164">
            <v>1</v>
          </cell>
          <cell r="M1164">
            <v>11.51</v>
          </cell>
        </row>
        <row r="1165">
          <cell r="C1165" t="str">
            <v>28325</v>
          </cell>
          <cell r="D1165" t="str">
            <v>TAKE IT TO THE GRAVE PINOT GRIGIO</v>
          </cell>
          <cell r="E1165" t="str">
            <v>FOURTH WAVE WINE PARTNERS</v>
          </cell>
          <cell r="F1165" t="str">
            <v>750</v>
          </cell>
          <cell r="G1165">
            <v>12.5</v>
          </cell>
          <cell r="H1165">
            <v>12</v>
          </cell>
          <cell r="I1165" t="str">
            <v>3246</v>
          </cell>
          <cell r="K1165" t="str">
            <v>D</v>
          </cell>
          <cell r="L1165">
            <v>1</v>
          </cell>
          <cell r="M1165">
            <v>17.29</v>
          </cell>
        </row>
        <row r="1166">
          <cell r="C1166" t="str">
            <v>29039</v>
          </cell>
          <cell r="D1166" t="str">
            <v>WALLAROO TRAIL CHARDONNAY</v>
          </cell>
          <cell r="E1166" t="str">
            <v>ARTERRA WINES CANADA INC</v>
          </cell>
          <cell r="F1166" t="str">
            <v>4000</v>
          </cell>
          <cell r="G1166">
            <v>12.5</v>
          </cell>
          <cell r="H1166">
            <v>4</v>
          </cell>
          <cell r="I1166" t="str">
            <v>1008</v>
          </cell>
          <cell r="K1166" t="str">
            <v>VD</v>
          </cell>
          <cell r="L1166">
            <v>1</v>
          </cell>
          <cell r="M1166">
            <v>35.36</v>
          </cell>
        </row>
        <row r="1167">
          <cell r="C1167" t="str">
            <v>7108</v>
          </cell>
          <cell r="D1167" t="str">
            <v>WOLF BLASS RED LABEL UNWOODED CHARDONNAY</v>
          </cell>
          <cell r="E1167" t="str">
            <v>TREASURY WINE ESTATES</v>
          </cell>
          <cell r="F1167" t="str">
            <v>750</v>
          </cell>
          <cell r="G1167">
            <v>13</v>
          </cell>
          <cell r="H1167">
            <v>12</v>
          </cell>
          <cell r="I1167" t="str">
            <v>1009</v>
          </cell>
          <cell r="K1167" t="str">
            <v>D</v>
          </cell>
          <cell r="L1167">
            <v>1</v>
          </cell>
          <cell r="M1167">
            <v>12.98</v>
          </cell>
        </row>
        <row r="1168">
          <cell r="C1168" t="str">
            <v>35819</v>
          </cell>
          <cell r="D1168" t="str">
            <v>YELLOW TAIL PURE BRIGHT CHARDONNAY</v>
          </cell>
          <cell r="E1168" t="str">
            <v>CASELLA WINE PTY LTD</v>
          </cell>
          <cell r="F1168" t="str">
            <v>750</v>
          </cell>
          <cell r="G1168">
            <v>9.5</v>
          </cell>
          <cell r="H1168">
            <v>12</v>
          </cell>
          <cell r="I1168" t="str">
            <v>1537</v>
          </cell>
          <cell r="K1168" t="str">
            <v>MD</v>
          </cell>
          <cell r="L1168">
            <v>1</v>
          </cell>
          <cell r="M1168">
            <v>11.53</v>
          </cell>
        </row>
        <row r="1169">
          <cell r="C1169" t="str">
            <v>25045</v>
          </cell>
          <cell r="D1169" t="str">
            <v>JACOB'S CREEK MOSCATO</v>
          </cell>
          <cell r="E1169" t="str">
            <v>VINARCHY AUSTRALIA</v>
          </cell>
          <cell r="F1169" t="str">
            <v>1500</v>
          </cell>
          <cell r="G1169">
            <v>7.7</v>
          </cell>
          <cell r="H1169">
            <v>6</v>
          </cell>
          <cell r="I1169" t="str">
            <v>3237</v>
          </cell>
          <cell r="K1169" t="str">
            <v>VS</v>
          </cell>
          <cell r="L1169">
            <v>1</v>
          </cell>
          <cell r="M1169">
            <v>21.92</v>
          </cell>
        </row>
        <row r="1170">
          <cell r="C1170" t="str">
            <v>23982</v>
          </cell>
          <cell r="D1170" t="str">
            <v>BAROSSA VALLEY ESTATES CAB SAUVIGNON</v>
          </cell>
          <cell r="E1170" t="str">
            <v>BAROSSA VALLEY ESTATE</v>
          </cell>
          <cell r="F1170" t="str">
            <v>750</v>
          </cell>
          <cell r="G1170">
            <v>14</v>
          </cell>
          <cell r="H1170">
            <v>12</v>
          </cell>
          <cell r="I1170" t="str">
            <v>74894</v>
          </cell>
          <cell r="K1170" t="str">
            <v>VD</v>
          </cell>
          <cell r="L1170">
            <v>1</v>
          </cell>
          <cell r="M1170">
            <v>18.32</v>
          </cell>
        </row>
        <row r="1171">
          <cell r="C1171" t="str">
            <v>23986</v>
          </cell>
          <cell r="D1171" t="str">
            <v>BAROSSA VALLEY ESTATES SHIRAZ</v>
          </cell>
          <cell r="E1171" t="str">
            <v>BAROSSA VALLEY ESTATE</v>
          </cell>
          <cell r="F1171" t="str">
            <v>750</v>
          </cell>
          <cell r="G1171">
            <v>14</v>
          </cell>
          <cell r="H1171">
            <v>12</v>
          </cell>
          <cell r="I1171" t="str">
            <v>130768</v>
          </cell>
          <cell r="K1171" t="str">
            <v>VD</v>
          </cell>
          <cell r="L1171">
            <v>1</v>
          </cell>
          <cell r="M1171">
            <v>18.32</v>
          </cell>
        </row>
        <row r="1172">
          <cell r="C1172" t="str">
            <v>28326</v>
          </cell>
          <cell r="D1172" t="str">
            <v>TAKE IT TO THE GRAVE SHIRAZ</v>
          </cell>
          <cell r="E1172" t="str">
            <v>FOURTH WAVE WINE PARTNERS</v>
          </cell>
          <cell r="F1172" t="str">
            <v>750</v>
          </cell>
          <cell r="G1172">
            <v>14</v>
          </cell>
          <cell r="H1172">
            <v>12</v>
          </cell>
          <cell r="I1172" t="str">
            <v>3246</v>
          </cell>
          <cell r="K1172" t="str">
            <v>VD</v>
          </cell>
          <cell r="L1172">
            <v>1</v>
          </cell>
          <cell r="M1172">
            <v>17.29</v>
          </cell>
        </row>
        <row r="1173">
          <cell r="C1173" t="str">
            <v>5434</v>
          </cell>
          <cell r="D1173" t="str">
            <v>YALUMBA Y SERIES VIOGNIER</v>
          </cell>
          <cell r="E1173" t="str">
            <v>YALUMBA WINE COMPANY</v>
          </cell>
          <cell r="F1173" t="str">
            <v>750</v>
          </cell>
          <cell r="G1173">
            <v>13.5</v>
          </cell>
          <cell r="H1173">
            <v>12</v>
          </cell>
          <cell r="I1173" t="str">
            <v>3238</v>
          </cell>
          <cell r="K1173" t="str">
            <v>MD</v>
          </cell>
          <cell r="L1173">
            <v>1</v>
          </cell>
          <cell r="M1173">
            <v>13.43</v>
          </cell>
        </row>
        <row r="1174">
          <cell r="C1174" t="str">
            <v>13353</v>
          </cell>
          <cell r="D1174" t="str">
            <v>JOHNNY Q CABERNET SAUVIGNON</v>
          </cell>
          <cell r="E1174" t="str">
            <v>QUARISA WINES</v>
          </cell>
          <cell r="F1174" t="str">
            <v>750</v>
          </cell>
          <cell r="G1174">
            <v>14.5</v>
          </cell>
          <cell r="H1174">
            <v>12</v>
          </cell>
          <cell r="I1174" t="str">
            <v>3245</v>
          </cell>
          <cell r="K1174" t="str">
            <v>VD</v>
          </cell>
          <cell r="L1174">
            <v>1</v>
          </cell>
          <cell r="M1174">
            <v>13.35</v>
          </cell>
        </row>
        <row r="1175">
          <cell r="C1175" t="str">
            <v>3156</v>
          </cell>
          <cell r="D1175" t="str">
            <v>LINDEMANS BIN 40 MERLOT</v>
          </cell>
          <cell r="E1175" t="str">
            <v>LINDEMANS AUSTRALIA</v>
          </cell>
          <cell r="F1175" t="str">
            <v>750</v>
          </cell>
          <cell r="G1175">
            <v>13</v>
          </cell>
          <cell r="H1175">
            <v>12</v>
          </cell>
          <cell r="I1175" t="str">
            <v>1009</v>
          </cell>
          <cell r="K1175" t="str">
            <v>VD</v>
          </cell>
          <cell r="L1175">
            <v>1</v>
          </cell>
          <cell r="M1175">
            <v>11</v>
          </cell>
        </row>
        <row r="1176">
          <cell r="C1176" t="str">
            <v>1553</v>
          </cell>
          <cell r="D1176" t="str">
            <v>LINDEMANS BIN 45 CABERNET SAUVIGNON</v>
          </cell>
          <cell r="E1176" t="str">
            <v>LINDEMANS AUSTRALIA</v>
          </cell>
          <cell r="F1176" t="str">
            <v>750</v>
          </cell>
          <cell r="G1176">
            <v>12.1</v>
          </cell>
          <cell r="H1176">
            <v>12</v>
          </cell>
          <cell r="I1176" t="str">
            <v>1009</v>
          </cell>
          <cell r="K1176" t="str">
            <v>D</v>
          </cell>
          <cell r="L1176">
            <v>1</v>
          </cell>
          <cell r="M1176">
            <v>11</v>
          </cell>
        </row>
        <row r="1177">
          <cell r="C1177" t="str">
            <v>4127</v>
          </cell>
          <cell r="D1177" t="str">
            <v>LINDEMANS BIN 50 SHIRAZ</v>
          </cell>
          <cell r="E1177" t="str">
            <v>LINDEMANS AUSTRALIA</v>
          </cell>
          <cell r="F1177" t="str">
            <v>750</v>
          </cell>
          <cell r="G1177">
            <v>12.5</v>
          </cell>
          <cell r="H1177">
            <v>12</v>
          </cell>
          <cell r="I1177" t="str">
            <v>1009</v>
          </cell>
          <cell r="K1177" t="str">
            <v>VD</v>
          </cell>
          <cell r="L1177">
            <v>1</v>
          </cell>
          <cell r="M1177">
            <v>11</v>
          </cell>
        </row>
        <row r="1178">
          <cell r="C1178" t="str">
            <v>1840</v>
          </cell>
          <cell r="D1178" t="str">
            <v>LINDEMANS CAWARRA SHIRAZ CABERNET</v>
          </cell>
          <cell r="E1178" t="str">
            <v>LINDEMANS AUSTRALIA</v>
          </cell>
          <cell r="F1178" t="str">
            <v>1500</v>
          </cell>
          <cell r="G1178">
            <v>13</v>
          </cell>
          <cell r="H1178">
            <v>6</v>
          </cell>
          <cell r="I1178" t="str">
            <v>1009</v>
          </cell>
          <cell r="K1178" t="str">
            <v>VD</v>
          </cell>
          <cell r="L1178">
            <v>1</v>
          </cell>
          <cell r="M1178">
            <v>18.02</v>
          </cell>
        </row>
        <row r="1179">
          <cell r="C1179" t="str">
            <v>2851</v>
          </cell>
          <cell r="D1179" t="str">
            <v>PENFOLDS KOONUNGA SHIRAZ CABERNET</v>
          </cell>
          <cell r="E1179" t="str">
            <v>PENFOLDS WINERY</v>
          </cell>
          <cell r="F1179" t="str">
            <v>750</v>
          </cell>
          <cell r="G1179">
            <v>13</v>
          </cell>
          <cell r="H1179">
            <v>12</v>
          </cell>
          <cell r="I1179" t="str">
            <v>1009</v>
          </cell>
          <cell r="K1179" t="str">
            <v>VD</v>
          </cell>
          <cell r="L1179">
            <v>1</v>
          </cell>
          <cell r="M1179">
            <v>18</v>
          </cell>
        </row>
        <row r="1180">
          <cell r="C1180" t="str">
            <v>4123</v>
          </cell>
          <cell r="D1180" t="str">
            <v>ROSEMOUNT DIAMOND LABEL SHIRAZ</v>
          </cell>
          <cell r="E1180" t="str">
            <v>ROSEMOUNT ESTATE WINERY</v>
          </cell>
          <cell r="F1180" t="str">
            <v>750</v>
          </cell>
          <cell r="G1180">
            <v>12</v>
          </cell>
          <cell r="H1180">
            <v>12</v>
          </cell>
          <cell r="I1180" t="str">
            <v>1009</v>
          </cell>
          <cell r="K1180" t="str">
            <v>VD</v>
          </cell>
          <cell r="L1180">
            <v>1</v>
          </cell>
          <cell r="M1180">
            <v>14</v>
          </cell>
        </row>
        <row r="1181">
          <cell r="C1181" t="str">
            <v>1552</v>
          </cell>
          <cell r="D1181" t="str">
            <v>WYNDHAM BIN 444 HUNTER VALLEY CAB SAUV</v>
          </cell>
          <cell r="E1181" t="str">
            <v>VINARCHY AUSTRALIA</v>
          </cell>
          <cell r="F1181" t="str">
            <v>750</v>
          </cell>
          <cell r="G1181">
            <v>14.5</v>
          </cell>
          <cell r="H1181">
            <v>12</v>
          </cell>
          <cell r="I1181" t="str">
            <v>3237</v>
          </cell>
          <cell r="K1181" t="str">
            <v>VD</v>
          </cell>
          <cell r="L1181">
            <v>1</v>
          </cell>
          <cell r="M1181">
            <v>15.3</v>
          </cell>
        </row>
        <row r="1182">
          <cell r="C1182" t="str">
            <v>4128</v>
          </cell>
          <cell r="D1182" t="str">
            <v>WYNDHAM BIN 555 HUNTER VALLEY SHIRAZ</v>
          </cell>
          <cell r="E1182" t="str">
            <v>VINARCHY AUSTRALIA</v>
          </cell>
          <cell r="F1182" t="str">
            <v>750</v>
          </cell>
          <cell r="G1182">
            <v>14.5</v>
          </cell>
          <cell r="H1182">
            <v>12</v>
          </cell>
          <cell r="I1182" t="str">
            <v>3237</v>
          </cell>
          <cell r="K1182" t="str">
            <v>VD</v>
          </cell>
          <cell r="L1182">
            <v>1</v>
          </cell>
          <cell r="M1182">
            <v>15.3</v>
          </cell>
        </row>
        <row r="1183">
          <cell r="C1183" t="str">
            <v>1881</v>
          </cell>
          <cell r="D1183" t="str">
            <v>LINDEMANS BIN 65 CHARDONNAY</v>
          </cell>
          <cell r="E1183" t="str">
            <v>LINDEMANS AUSTRALIA</v>
          </cell>
          <cell r="F1183" t="str">
            <v>750</v>
          </cell>
          <cell r="G1183">
            <v>12.3</v>
          </cell>
          <cell r="H1183">
            <v>12</v>
          </cell>
          <cell r="I1183" t="str">
            <v>1009</v>
          </cell>
          <cell r="K1183" t="str">
            <v>D</v>
          </cell>
          <cell r="L1183">
            <v>1</v>
          </cell>
          <cell r="M1183">
            <v>11</v>
          </cell>
        </row>
        <row r="1184">
          <cell r="C1184" t="str">
            <v>3964</v>
          </cell>
          <cell r="D1184" t="str">
            <v>LINDEMANS BIN 95 SAUVIGNON BLANC</v>
          </cell>
          <cell r="E1184" t="str">
            <v>LINDEMANS AUSTRALIA</v>
          </cell>
          <cell r="F1184" t="str">
            <v>750</v>
          </cell>
          <cell r="G1184">
            <v>13</v>
          </cell>
          <cell r="H1184">
            <v>12</v>
          </cell>
          <cell r="I1184" t="str">
            <v>1009</v>
          </cell>
          <cell r="K1184" t="str">
            <v>VD</v>
          </cell>
          <cell r="L1184">
            <v>1</v>
          </cell>
          <cell r="M1184">
            <v>11</v>
          </cell>
        </row>
        <row r="1185">
          <cell r="C1185" t="str">
            <v>27207</v>
          </cell>
          <cell r="D1185" t="str">
            <v>19 CRIMES THE BANISHED RED BLEND</v>
          </cell>
          <cell r="E1185" t="str">
            <v>TREASURY WINE ESTATES</v>
          </cell>
          <cell r="F1185" t="str">
            <v>750</v>
          </cell>
          <cell r="G1185">
            <v>14</v>
          </cell>
          <cell r="H1185">
            <v>12</v>
          </cell>
          <cell r="I1185" t="str">
            <v>1009</v>
          </cell>
          <cell r="K1185" t="str">
            <v>MD</v>
          </cell>
          <cell r="L1185">
            <v>1</v>
          </cell>
          <cell r="M1185">
            <v>16.97</v>
          </cell>
        </row>
        <row r="1186">
          <cell r="C1186" t="str">
            <v>32807</v>
          </cell>
          <cell r="D1186" t="str">
            <v>FARM HAND ORGANIC CABERNET SAUVIGNON</v>
          </cell>
          <cell r="E1186" t="str">
            <v>FOURTH WAVE WINE PARTNERS</v>
          </cell>
          <cell r="F1186" t="str">
            <v>750</v>
          </cell>
          <cell r="G1186">
            <v>13.5</v>
          </cell>
          <cell r="H1186">
            <v>12</v>
          </cell>
          <cell r="I1186" t="str">
            <v>3246</v>
          </cell>
          <cell r="K1186" t="str">
            <v>VD</v>
          </cell>
          <cell r="L1186">
            <v>1</v>
          </cell>
          <cell r="M1186">
            <v>15.99</v>
          </cell>
        </row>
        <row r="1187">
          <cell r="C1187" t="str">
            <v>1368</v>
          </cell>
          <cell r="D1187" t="str">
            <v>HERITAGE ROAD BLOODSTONE SHIRAZ GRENACHE</v>
          </cell>
          <cell r="E1187" t="str">
            <v>HERITAGE ROAD WINERY</v>
          </cell>
          <cell r="F1187" t="str">
            <v>750</v>
          </cell>
          <cell r="G1187">
            <v>12.5</v>
          </cell>
          <cell r="H1187">
            <v>12</v>
          </cell>
          <cell r="I1187" t="str">
            <v>1535</v>
          </cell>
          <cell r="K1187" t="str">
            <v>VD</v>
          </cell>
          <cell r="L1187">
            <v>1</v>
          </cell>
          <cell r="M1187">
            <v>12.04</v>
          </cell>
        </row>
        <row r="1188">
          <cell r="C1188" t="str">
            <v>5354</v>
          </cell>
          <cell r="D1188" t="str">
            <v>JACOB'S CREEK SHIRAZ</v>
          </cell>
          <cell r="E1188" t="str">
            <v>VINARCHY AUSTRALIA</v>
          </cell>
          <cell r="F1188" t="str">
            <v>750</v>
          </cell>
          <cell r="G1188">
            <v>14</v>
          </cell>
          <cell r="H1188">
            <v>12</v>
          </cell>
          <cell r="I1188" t="str">
            <v>3237</v>
          </cell>
          <cell r="K1188" t="str">
            <v>VD</v>
          </cell>
          <cell r="L1188">
            <v>1</v>
          </cell>
          <cell r="M1188">
            <v>11.7</v>
          </cell>
        </row>
        <row r="1189">
          <cell r="C1189" t="str">
            <v>2743</v>
          </cell>
          <cell r="D1189" t="str">
            <v>JACOB'S CREEK SHIRAZ CABERNET</v>
          </cell>
          <cell r="E1189" t="str">
            <v>VINARCHY AUSTRALIA</v>
          </cell>
          <cell r="F1189" t="str">
            <v>750</v>
          </cell>
          <cell r="G1189">
            <v>13.5</v>
          </cell>
          <cell r="H1189">
            <v>12</v>
          </cell>
          <cell r="I1189" t="str">
            <v>3237</v>
          </cell>
          <cell r="K1189" t="str">
            <v>VD</v>
          </cell>
          <cell r="L1189">
            <v>1</v>
          </cell>
          <cell r="M1189">
            <v>11.7</v>
          </cell>
        </row>
        <row r="1190">
          <cell r="C1190" t="str">
            <v>34909</v>
          </cell>
          <cell r="D1190" t="str">
            <v>JOHNNY Q SHIRAZ VIOGNIER</v>
          </cell>
          <cell r="E1190" t="str">
            <v>QUARISA WINES</v>
          </cell>
          <cell r="F1190" t="str">
            <v>750</v>
          </cell>
          <cell r="G1190">
            <v>14</v>
          </cell>
          <cell r="H1190">
            <v>12</v>
          </cell>
          <cell r="I1190" t="str">
            <v>3245</v>
          </cell>
          <cell r="K1190" t="str">
            <v>VD</v>
          </cell>
          <cell r="L1190">
            <v>1</v>
          </cell>
          <cell r="M1190">
            <v>13.45</v>
          </cell>
        </row>
        <row r="1191">
          <cell r="C1191" t="str">
            <v>6365</v>
          </cell>
          <cell r="D1191" t="str">
            <v>LANGMEIL SHIRAZ</v>
          </cell>
          <cell r="E1191" t="str">
            <v>LANGMEIL WINERY</v>
          </cell>
          <cell r="F1191" t="str">
            <v>750</v>
          </cell>
          <cell r="G1191">
            <v>14.5</v>
          </cell>
          <cell r="H1191">
            <v>12</v>
          </cell>
          <cell r="I1191" t="str">
            <v>55942</v>
          </cell>
          <cell r="K1191" t="str">
            <v>VD</v>
          </cell>
          <cell r="L1191">
            <v>1</v>
          </cell>
          <cell r="M1191">
            <v>26.01</v>
          </cell>
        </row>
        <row r="1192">
          <cell r="C1192" t="str">
            <v>6240</v>
          </cell>
          <cell r="D1192" t="str">
            <v>PETER LEHMANN CLANCY'S SHIRAZ CAB MERLOT</v>
          </cell>
          <cell r="E1192" t="str">
            <v>PETER LEHMANN WINES</v>
          </cell>
          <cell r="F1192" t="str">
            <v>750</v>
          </cell>
          <cell r="G1192">
            <v>14.5</v>
          </cell>
          <cell r="H1192">
            <v>12</v>
          </cell>
          <cell r="I1192" t="str">
            <v>1537</v>
          </cell>
          <cell r="K1192" t="str">
            <v>VD</v>
          </cell>
          <cell r="L1192">
            <v>1</v>
          </cell>
          <cell r="M1192">
            <v>13.59</v>
          </cell>
        </row>
        <row r="1193">
          <cell r="C1193" t="str">
            <v>14270</v>
          </cell>
          <cell r="D1193" t="str">
            <v>PUNCH IN THE FACE SHIRAZ</v>
          </cell>
          <cell r="E1193" t="str">
            <v>PHILLIPS AUSTRALIA PTY</v>
          </cell>
          <cell r="F1193" t="str">
            <v>750</v>
          </cell>
          <cell r="G1193">
            <v>15</v>
          </cell>
          <cell r="H1193">
            <v>12</v>
          </cell>
          <cell r="I1193" t="str">
            <v>134353</v>
          </cell>
          <cell r="K1193" t="str">
            <v>VD</v>
          </cell>
          <cell r="L1193">
            <v>1</v>
          </cell>
          <cell r="M1193">
            <v>17.23</v>
          </cell>
        </row>
        <row r="1194">
          <cell r="C1194" t="str">
            <v>3781</v>
          </cell>
          <cell r="D1194" t="str">
            <v>WOLF BLASS RED LABEL SHIRAZ CAB SAUV</v>
          </cell>
          <cell r="E1194" t="str">
            <v>TREASURY WINE ESTATES</v>
          </cell>
          <cell r="F1194" t="str">
            <v>750</v>
          </cell>
          <cell r="G1194">
            <v>13.5</v>
          </cell>
          <cell r="H1194">
            <v>12</v>
          </cell>
          <cell r="I1194" t="str">
            <v>1009</v>
          </cell>
          <cell r="K1194" t="str">
            <v>VD</v>
          </cell>
          <cell r="L1194">
            <v>1</v>
          </cell>
          <cell r="M1194">
            <v>12.98</v>
          </cell>
        </row>
        <row r="1195">
          <cell r="C1195" t="str">
            <v>4629</v>
          </cell>
          <cell r="D1195" t="str">
            <v>WOLF BLASS YELLOW LABEL CAB SAUVIGNON</v>
          </cell>
          <cell r="E1195" t="str">
            <v>TREASURY WINE ESTATES</v>
          </cell>
          <cell r="F1195" t="str">
            <v>750</v>
          </cell>
          <cell r="G1195">
            <v>13.5</v>
          </cell>
          <cell r="H1195">
            <v>12</v>
          </cell>
          <cell r="I1195" t="str">
            <v>1009</v>
          </cell>
          <cell r="K1195" t="str">
            <v>VD</v>
          </cell>
          <cell r="L1195">
            <v>1</v>
          </cell>
          <cell r="M1195">
            <v>14.98</v>
          </cell>
        </row>
        <row r="1196">
          <cell r="C1196" t="str">
            <v>1391</v>
          </cell>
          <cell r="D1196" t="str">
            <v>WOLF BLASS YELLOW LABEL MERLOT</v>
          </cell>
          <cell r="E1196" t="str">
            <v>TREASURY WINE ESTATES</v>
          </cell>
          <cell r="F1196" t="str">
            <v>750</v>
          </cell>
          <cell r="G1196">
            <v>14</v>
          </cell>
          <cell r="H1196">
            <v>12</v>
          </cell>
          <cell r="I1196" t="str">
            <v>1009</v>
          </cell>
          <cell r="K1196" t="str">
            <v>VD</v>
          </cell>
          <cell r="L1196">
            <v>1</v>
          </cell>
          <cell r="M1196">
            <v>14.98</v>
          </cell>
        </row>
        <row r="1197">
          <cell r="C1197" t="str">
            <v>2569</v>
          </cell>
          <cell r="D1197" t="str">
            <v>WOLF BLASS YELLOW LABEL SHIRAZ</v>
          </cell>
          <cell r="E1197" t="str">
            <v>TREASURY WINE ESTATES</v>
          </cell>
          <cell r="F1197" t="str">
            <v>750</v>
          </cell>
          <cell r="G1197">
            <v>14</v>
          </cell>
          <cell r="H1197">
            <v>12</v>
          </cell>
          <cell r="I1197" t="str">
            <v>1009</v>
          </cell>
          <cell r="K1197" t="str">
            <v>VD</v>
          </cell>
          <cell r="L1197">
            <v>1</v>
          </cell>
          <cell r="M1197">
            <v>14.98</v>
          </cell>
        </row>
        <row r="1198">
          <cell r="C1198" t="str">
            <v>6055</v>
          </cell>
          <cell r="D1198" t="str">
            <v>YELLOW TAIL CABERNET SAUVIGNON</v>
          </cell>
          <cell r="E1198" t="str">
            <v>CASELLA WINE PTY LTD</v>
          </cell>
          <cell r="F1198" t="str">
            <v>750</v>
          </cell>
          <cell r="G1198">
            <v>13.5</v>
          </cell>
          <cell r="H1198">
            <v>12</v>
          </cell>
          <cell r="I1198" t="str">
            <v>1537</v>
          </cell>
          <cell r="K1198" t="str">
            <v>VD</v>
          </cell>
          <cell r="L1198">
            <v>1</v>
          </cell>
          <cell r="M1198">
            <v>11.53</v>
          </cell>
        </row>
        <row r="1199">
          <cell r="C1199" t="str">
            <v>2742</v>
          </cell>
          <cell r="D1199" t="str">
            <v>JACOB'S CREEK CHARDONNAY</v>
          </cell>
          <cell r="E1199" t="str">
            <v>VINARCHY AUSTRALIA</v>
          </cell>
          <cell r="F1199" t="str">
            <v>750</v>
          </cell>
          <cell r="G1199">
            <v>12.8</v>
          </cell>
          <cell r="H1199">
            <v>12</v>
          </cell>
          <cell r="I1199" t="str">
            <v>3237</v>
          </cell>
          <cell r="K1199" t="str">
            <v>VD</v>
          </cell>
          <cell r="L1199">
            <v>1</v>
          </cell>
          <cell r="M1199">
            <v>11.2</v>
          </cell>
        </row>
        <row r="1200">
          <cell r="C1200" t="str">
            <v>4390</v>
          </cell>
          <cell r="D1200" t="str">
            <v>ROSEMOUNT BLENDS TRAMINER RIESLING</v>
          </cell>
          <cell r="E1200" t="str">
            <v>ROSEMOUNT ESTATE WINERY</v>
          </cell>
          <cell r="F1200" t="str">
            <v>750</v>
          </cell>
          <cell r="G1200">
            <v>11</v>
          </cell>
          <cell r="H1200">
            <v>6</v>
          </cell>
          <cell r="I1200" t="str">
            <v>1009</v>
          </cell>
          <cell r="K1200" t="str">
            <v>D</v>
          </cell>
          <cell r="L1200">
            <v>1</v>
          </cell>
          <cell r="M1200">
            <v>13.01</v>
          </cell>
        </row>
        <row r="1201">
          <cell r="C1201" t="str">
            <v>33276</v>
          </cell>
          <cell r="D1201" t="str">
            <v>TREAD SOFTLY PINOT GRIGIO</v>
          </cell>
          <cell r="E1201" t="str">
            <v>FOURTH WAVE WINE PARTNERS</v>
          </cell>
          <cell r="F1201" t="str">
            <v>750</v>
          </cell>
          <cell r="G1201">
            <v>10</v>
          </cell>
          <cell r="H1201">
            <v>12</v>
          </cell>
          <cell r="I1201" t="str">
            <v>3246</v>
          </cell>
          <cell r="K1201" t="str">
            <v>VD</v>
          </cell>
          <cell r="L1201">
            <v>1</v>
          </cell>
          <cell r="M1201">
            <v>15.99</v>
          </cell>
        </row>
        <row r="1202">
          <cell r="C1202" t="str">
            <v>1909</v>
          </cell>
          <cell r="D1202" t="str">
            <v>WOLF BLASS YELLOW LABEL CHARDONNAY</v>
          </cell>
          <cell r="E1202" t="str">
            <v>TREASURY WINE ESTATES</v>
          </cell>
          <cell r="F1202" t="str">
            <v>750</v>
          </cell>
          <cell r="G1202">
            <v>13</v>
          </cell>
          <cell r="H1202">
            <v>12</v>
          </cell>
          <cell r="I1202" t="str">
            <v>1009</v>
          </cell>
          <cell r="K1202" t="str">
            <v>VD</v>
          </cell>
          <cell r="L1202">
            <v>1</v>
          </cell>
          <cell r="M1202">
            <v>14.98</v>
          </cell>
        </row>
        <row r="1203">
          <cell r="C1203" t="str">
            <v>16838</v>
          </cell>
          <cell r="D1203" t="str">
            <v>WOLF BLASS YELLOW LABEL PINOT GRIGIO</v>
          </cell>
          <cell r="E1203" t="str">
            <v>TREASURY WINE ESTATES</v>
          </cell>
          <cell r="F1203" t="str">
            <v>750</v>
          </cell>
          <cell r="G1203">
            <v>13</v>
          </cell>
          <cell r="H1203">
            <v>12</v>
          </cell>
          <cell r="I1203" t="str">
            <v>1009</v>
          </cell>
          <cell r="K1203" t="str">
            <v>VD</v>
          </cell>
          <cell r="L1203">
            <v>1</v>
          </cell>
          <cell r="M1203">
            <v>14.98</v>
          </cell>
        </row>
        <row r="1204">
          <cell r="C1204" t="str">
            <v>43354</v>
          </cell>
          <cell r="D1204" t="str">
            <v>TAKE IT TO THE GRAVE ROSE</v>
          </cell>
          <cell r="E1204" t="str">
            <v>FOURTH WAVE WINE PARTNERS</v>
          </cell>
          <cell r="F1204" t="str">
            <v>750</v>
          </cell>
          <cell r="G1204">
            <v>12.5</v>
          </cell>
          <cell r="H1204">
            <v>12</v>
          </cell>
          <cell r="I1204" t="str">
            <v>3246</v>
          </cell>
          <cell r="K1204" t="str">
            <v>VD</v>
          </cell>
          <cell r="L1204">
            <v>1</v>
          </cell>
          <cell r="M1204">
            <v>17.29</v>
          </cell>
        </row>
        <row r="1205">
          <cell r="C1205" t="str">
            <v>6381</v>
          </cell>
          <cell r="D1205" t="str">
            <v>ANGUS THE BULL CABERNET SAUVIGNON</v>
          </cell>
          <cell r="E1205" t="str">
            <v>ABERDEEN WINE COMPANY</v>
          </cell>
          <cell r="F1205" t="str">
            <v>750</v>
          </cell>
          <cell r="G1205">
            <v>14</v>
          </cell>
          <cell r="H1205">
            <v>12</v>
          </cell>
          <cell r="I1205" t="str">
            <v>3293</v>
          </cell>
          <cell r="K1205" t="str">
            <v>VD</v>
          </cell>
          <cell r="L1205">
            <v>1</v>
          </cell>
          <cell r="M1205">
            <v>18.68</v>
          </cell>
        </row>
        <row r="1206">
          <cell r="C1206" t="str">
            <v>17875</v>
          </cell>
          <cell r="D1206" t="str">
            <v>ANGUS THE BULL WEE ANGUS MERLOT</v>
          </cell>
          <cell r="E1206" t="str">
            <v>ABERDEEN WINE COMPANY</v>
          </cell>
          <cell r="F1206" t="str">
            <v>750</v>
          </cell>
          <cell r="G1206">
            <v>13.5</v>
          </cell>
          <cell r="H1206">
            <v>12</v>
          </cell>
          <cell r="I1206" t="str">
            <v>3293</v>
          </cell>
          <cell r="K1206" t="str">
            <v>VD</v>
          </cell>
          <cell r="L1206">
            <v>1</v>
          </cell>
          <cell r="M1206">
            <v>16.7</v>
          </cell>
        </row>
        <row r="1207">
          <cell r="C1207" t="str">
            <v>14977</v>
          </cell>
          <cell r="D1207" t="str">
            <v>BERTON METAL LABEL BLACK SHIRAZ</v>
          </cell>
          <cell r="E1207" t="str">
            <v>BERTON VINEYARDS</v>
          </cell>
          <cell r="F1207" t="str">
            <v>750</v>
          </cell>
          <cell r="G1207">
            <v>14</v>
          </cell>
          <cell r="H1207">
            <v>12</v>
          </cell>
          <cell r="I1207" t="str">
            <v>87388</v>
          </cell>
          <cell r="K1207" t="str">
            <v>VD</v>
          </cell>
          <cell r="L1207">
            <v>1</v>
          </cell>
          <cell r="M1207">
            <v>12.49</v>
          </cell>
        </row>
        <row r="1208">
          <cell r="C1208" t="str">
            <v>6861</v>
          </cell>
          <cell r="D1208" t="str">
            <v>HARDYS STAMP SHIRAZ CABERNET</v>
          </cell>
          <cell r="E1208" t="str">
            <v>ACCOLADE WINES AUSTRALIA</v>
          </cell>
          <cell r="F1208" t="str">
            <v>750</v>
          </cell>
          <cell r="G1208">
            <v>13.5</v>
          </cell>
          <cell r="H1208">
            <v>12</v>
          </cell>
          <cell r="I1208" t="str">
            <v>3245</v>
          </cell>
          <cell r="K1208" t="str">
            <v>VD</v>
          </cell>
          <cell r="L1208">
            <v>1</v>
          </cell>
          <cell r="M1208">
            <v>10.9</v>
          </cell>
        </row>
        <row r="1209">
          <cell r="C1209" t="str">
            <v>35977</v>
          </cell>
          <cell r="D1209" t="str">
            <v>KINGS OF PROHIBITION SHIRAZ</v>
          </cell>
          <cell r="E1209" t="str">
            <v>CALABRIA FAMILY WINES</v>
          </cell>
          <cell r="F1209" t="str">
            <v>750</v>
          </cell>
          <cell r="G1209">
            <v>13.5</v>
          </cell>
          <cell r="H1209">
            <v>12</v>
          </cell>
          <cell r="I1209" t="str">
            <v>3230</v>
          </cell>
          <cell r="K1209" t="str">
            <v>MS</v>
          </cell>
          <cell r="L1209">
            <v>1</v>
          </cell>
          <cell r="M1209">
            <v>18.12</v>
          </cell>
        </row>
        <row r="1210">
          <cell r="C1210" t="str">
            <v>12538</v>
          </cell>
          <cell r="D1210" t="str">
            <v>MCGUIGAN BLACK LABEL RED</v>
          </cell>
          <cell r="E1210" t="str">
            <v>McGUIGAN WINES</v>
          </cell>
          <cell r="F1210" t="str">
            <v>750</v>
          </cell>
          <cell r="G1210">
            <v>13.5</v>
          </cell>
          <cell r="H1210">
            <v>12</v>
          </cell>
          <cell r="I1210" t="str">
            <v>1535</v>
          </cell>
          <cell r="K1210" t="str">
            <v>MD</v>
          </cell>
          <cell r="L1210">
            <v>1</v>
          </cell>
          <cell r="M1210">
            <v>9.99</v>
          </cell>
        </row>
        <row r="1211">
          <cell r="C1211" t="str">
            <v>35644</v>
          </cell>
          <cell r="D1211" t="str">
            <v>SMOKY BAY CABERNET SAUVIGNON</v>
          </cell>
          <cell r="E1211" t="str">
            <v>STATION 22</v>
          </cell>
          <cell r="F1211" t="str">
            <v>3000</v>
          </cell>
          <cell r="G1211">
            <v>13.5</v>
          </cell>
          <cell r="H1211">
            <v>4</v>
          </cell>
          <cell r="I1211" t="str">
            <v>205873</v>
          </cell>
          <cell r="K1211" t="str">
            <v>VD</v>
          </cell>
          <cell r="L1211">
            <v>1</v>
          </cell>
          <cell r="M1211">
            <v>31.46</v>
          </cell>
        </row>
        <row r="1212">
          <cell r="C1212" t="str">
            <v>15971</v>
          </cell>
          <cell r="D1212" t="str">
            <v>YELLOW TAIL JAMMY RED ROO</v>
          </cell>
          <cell r="E1212" t="str">
            <v>CASELLA WINE PTY LTD</v>
          </cell>
          <cell r="F1212" t="str">
            <v>750</v>
          </cell>
          <cell r="G1212">
            <v>12</v>
          </cell>
          <cell r="H1212">
            <v>12</v>
          </cell>
          <cell r="I1212" t="str">
            <v>1537</v>
          </cell>
          <cell r="K1212" t="str">
            <v>S</v>
          </cell>
          <cell r="L1212">
            <v>1</v>
          </cell>
          <cell r="M1212">
            <v>11.53</v>
          </cell>
        </row>
        <row r="1213">
          <cell r="C1213" t="str">
            <v>6693</v>
          </cell>
          <cell r="D1213" t="str">
            <v>YELLOW TAIL MERLOT</v>
          </cell>
          <cell r="E1213" t="str">
            <v>CASELLA WINE PTY LTD</v>
          </cell>
          <cell r="F1213" t="str">
            <v>750</v>
          </cell>
          <cell r="G1213">
            <v>13</v>
          </cell>
          <cell r="H1213">
            <v>12</v>
          </cell>
          <cell r="I1213" t="str">
            <v>1537</v>
          </cell>
          <cell r="J1213">
            <v>2012</v>
          </cell>
          <cell r="K1213" t="str">
            <v>VD</v>
          </cell>
          <cell r="L1213">
            <v>1</v>
          </cell>
          <cell r="M1213">
            <v>11.53</v>
          </cell>
        </row>
        <row r="1214">
          <cell r="C1214" t="str">
            <v>6054</v>
          </cell>
          <cell r="D1214" t="str">
            <v>YELLOW TAIL SHIRAZ</v>
          </cell>
          <cell r="E1214" t="str">
            <v>CASELLA WINE PTY LTD</v>
          </cell>
          <cell r="F1214" t="str">
            <v>750</v>
          </cell>
          <cell r="G1214">
            <v>13</v>
          </cell>
          <cell r="H1214">
            <v>12</v>
          </cell>
          <cell r="I1214" t="str">
            <v>1537</v>
          </cell>
          <cell r="K1214" t="str">
            <v>VD</v>
          </cell>
          <cell r="L1214">
            <v>1</v>
          </cell>
          <cell r="M1214">
            <v>11.53</v>
          </cell>
        </row>
        <row r="1215">
          <cell r="C1215" t="str">
            <v>6694</v>
          </cell>
          <cell r="D1215" t="str">
            <v>YELLOW TAIL SHIRAZ</v>
          </cell>
          <cell r="E1215" t="str">
            <v>CASELLA WINE PTY LTD</v>
          </cell>
          <cell r="F1215" t="str">
            <v>1500</v>
          </cell>
          <cell r="G1215">
            <v>13</v>
          </cell>
          <cell r="H1215">
            <v>6</v>
          </cell>
          <cell r="I1215" t="str">
            <v>1537</v>
          </cell>
          <cell r="K1215" t="str">
            <v>VD</v>
          </cell>
          <cell r="L1215">
            <v>1</v>
          </cell>
          <cell r="M1215">
            <v>22.06</v>
          </cell>
        </row>
        <row r="1216">
          <cell r="C1216" t="str">
            <v>38767</v>
          </cell>
          <cell r="D1216" t="str">
            <v>YELLOW TAIL WHISKEY BARREL AGED CAB SAUV</v>
          </cell>
          <cell r="E1216" t="str">
            <v>CASELLA WINE PTY LTD</v>
          </cell>
          <cell r="F1216" t="str">
            <v>750</v>
          </cell>
          <cell r="G1216">
            <v>14.5</v>
          </cell>
          <cell r="H1216">
            <v>12</v>
          </cell>
          <cell r="I1216" t="str">
            <v>1537</v>
          </cell>
          <cell r="K1216" t="str">
            <v>VD</v>
          </cell>
          <cell r="L1216">
            <v>1</v>
          </cell>
          <cell r="M1216">
            <v>12.53</v>
          </cell>
        </row>
        <row r="1217">
          <cell r="C1217" t="str">
            <v>3837</v>
          </cell>
          <cell r="D1217" t="str">
            <v>HARDYS STAMP RIESLING GEWURZTRAMINER</v>
          </cell>
          <cell r="E1217" t="str">
            <v>ACCOLADE WINES AUSTRALIA</v>
          </cell>
          <cell r="F1217" t="str">
            <v>750</v>
          </cell>
          <cell r="G1217">
            <v>12</v>
          </cell>
          <cell r="H1217">
            <v>12</v>
          </cell>
          <cell r="I1217" t="str">
            <v>3245</v>
          </cell>
          <cell r="K1217" t="str">
            <v>MD</v>
          </cell>
          <cell r="L1217">
            <v>1</v>
          </cell>
          <cell r="M1217">
            <v>10.9</v>
          </cell>
        </row>
        <row r="1218">
          <cell r="C1218" t="str">
            <v>24897</v>
          </cell>
          <cell r="D1218" t="str">
            <v>HARDYS STAMP RIESLING GEWURZTRAMINER</v>
          </cell>
          <cell r="E1218" t="str">
            <v>ACCOLADE WINES AUSTRALIA</v>
          </cell>
          <cell r="F1218" t="str">
            <v>3000</v>
          </cell>
          <cell r="G1218">
            <v>11.5</v>
          </cell>
          <cell r="H1218">
            <v>4</v>
          </cell>
          <cell r="I1218" t="str">
            <v>3245</v>
          </cell>
          <cell r="K1218" t="str">
            <v>MS</v>
          </cell>
          <cell r="L1218">
            <v>1</v>
          </cell>
          <cell r="M1218">
            <v>32.31</v>
          </cell>
        </row>
        <row r="1219">
          <cell r="C1219" t="str">
            <v>15367</v>
          </cell>
          <cell r="D1219" t="str">
            <v>JACOB'S CREEK MOSCATO</v>
          </cell>
          <cell r="E1219" t="str">
            <v>VINARCHY AUSTRALIA</v>
          </cell>
          <cell r="F1219" t="str">
            <v>750</v>
          </cell>
          <cell r="G1219">
            <v>8</v>
          </cell>
          <cell r="H1219">
            <v>12</v>
          </cell>
          <cell r="I1219" t="str">
            <v>3237</v>
          </cell>
          <cell r="K1219" t="str">
            <v>S</v>
          </cell>
          <cell r="L1219">
            <v>1</v>
          </cell>
          <cell r="M1219">
            <v>11.2</v>
          </cell>
        </row>
        <row r="1220">
          <cell r="C1220" t="str">
            <v>8455</v>
          </cell>
          <cell r="D1220" t="str">
            <v>JACOB'S CREEK PINOT GRIGIO</v>
          </cell>
          <cell r="E1220" t="str">
            <v>VINARCHY AUSTRALIA</v>
          </cell>
          <cell r="F1220" t="str">
            <v>750</v>
          </cell>
          <cell r="G1220">
            <v>12</v>
          </cell>
          <cell r="H1220">
            <v>12</v>
          </cell>
          <cell r="I1220" t="str">
            <v>3237</v>
          </cell>
          <cell r="K1220" t="str">
            <v>MD</v>
          </cell>
          <cell r="L1220">
            <v>1</v>
          </cell>
          <cell r="M1220">
            <v>11.2</v>
          </cell>
        </row>
        <row r="1221">
          <cell r="C1221" t="str">
            <v>6323</v>
          </cell>
          <cell r="D1221" t="str">
            <v>LINDEMANS BIN 85 PINOT GRIGIO</v>
          </cell>
          <cell r="E1221" t="str">
            <v>LINDEMANS AUSTRALIA</v>
          </cell>
          <cell r="F1221" t="str">
            <v>750</v>
          </cell>
          <cell r="G1221">
            <v>12.5</v>
          </cell>
          <cell r="H1221">
            <v>12</v>
          </cell>
          <cell r="I1221" t="str">
            <v>1009</v>
          </cell>
          <cell r="K1221" t="str">
            <v>VD</v>
          </cell>
          <cell r="L1221">
            <v>1</v>
          </cell>
          <cell r="M1221">
            <v>11</v>
          </cell>
        </row>
        <row r="1222">
          <cell r="C1222" t="str">
            <v>14733</v>
          </cell>
          <cell r="D1222" t="str">
            <v>LINDEMANS BIN 90 MOSCATO</v>
          </cell>
          <cell r="E1222" t="str">
            <v>LINDEMANS AUSTRALIA</v>
          </cell>
          <cell r="F1222" t="str">
            <v>750</v>
          </cell>
          <cell r="G1222">
            <v>9</v>
          </cell>
          <cell r="H1222">
            <v>12</v>
          </cell>
          <cell r="I1222" t="str">
            <v>1009</v>
          </cell>
          <cell r="K1222" t="str">
            <v>VS</v>
          </cell>
          <cell r="L1222">
            <v>1</v>
          </cell>
          <cell r="M1222">
            <v>11</v>
          </cell>
        </row>
        <row r="1223">
          <cell r="C1223" t="str">
            <v>14716</v>
          </cell>
          <cell r="D1223" t="str">
            <v>MCGUIGAN BLACK LABEL MOSCATO</v>
          </cell>
          <cell r="E1223" t="str">
            <v>McGUIGAN WINES</v>
          </cell>
          <cell r="F1223" t="str">
            <v>750</v>
          </cell>
          <cell r="G1223">
            <v>8.5</v>
          </cell>
          <cell r="H1223">
            <v>12</v>
          </cell>
          <cell r="I1223" t="str">
            <v>1535</v>
          </cell>
          <cell r="K1223" t="str">
            <v>VS</v>
          </cell>
          <cell r="L1223">
            <v>1</v>
          </cell>
          <cell r="M1223">
            <v>9.99</v>
          </cell>
        </row>
        <row r="1224">
          <cell r="C1224" t="str">
            <v>24899</v>
          </cell>
          <cell r="D1224" t="str">
            <v>SMOKY BAY PINOT GRIGIO</v>
          </cell>
          <cell r="E1224" t="str">
            <v>STATION 22</v>
          </cell>
          <cell r="F1224" t="str">
            <v>750</v>
          </cell>
          <cell r="G1224">
            <v>12</v>
          </cell>
          <cell r="H1224">
            <v>12</v>
          </cell>
          <cell r="I1224" t="str">
            <v>205873</v>
          </cell>
          <cell r="K1224" t="str">
            <v>MD</v>
          </cell>
          <cell r="L1224">
            <v>1</v>
          </cell>
          <cell r="M1224">
            <v>9.49</v>
          </cell>
        </row>
        <row r="1225">
          <cell r="C1225" t="str">
            <v>28259</v>
          </cell>
          <cell r="D1225" t="str">
            <v>TEMPUS TWO PINOT GRIGIO</v>
          </cell>
          <cell r="E1225" t="str">
            <v>AUSTRALIAN VINTAGE LTD</v>
          </cell>
          <cell r="F1225" t="str">
            <v>750</v>
          </cell>
          <cell r="G1225">
            <v>11</v>
          </cell>
          <cell r="H1225">
            <v>12</v>
          </cell>
          <cell r="I1225" t="str">
            <v>1535</v>
          </cell>
          <cell r="K1225" t="str">
            <v>VD</v>
          </cell>
          <cell r="L1225">
            <v>1</v>
          </cell>
          <cell r="M1225">
            <v>10.99</v>
          </cell>
        </row>
        <row r="1226">
          <cell r="C1226" t="str">
            <v>5935</v>
          </cell>
          <cell r="D1226" t="str">
            <v>YELLOW TAIL CHARDONNAY</v>
          </cell>
          <cell r="E1226" t="str">
            <v>CASELLA WINE PTY LTD</v>
          </cell>
          <cell r="F1226" t="str">
            <v>750</v>
          </cell>
          <cell r="G1226">
            <v>12.5</v>
          </cell>
          <cell r="H1226">
            <v>12</v>
          </cell>
          <cell r="I1226" t="str">
            <v>1537</v>
          </cell>
          <cell r="K1226" t="str">
            <v>VD</v>
          </cell>
          <cell r="L1226">
            <v>1</v>
          </cell>
          <cell r="M1226">
            <v>11.53</v>
          </cell>
        </row>
        <row r="1227">
          <cell r="C1227" t="str">
            <v>7595</v>
          </cell>
          <cell r="D1227" t="str">
            <v>YELLOW TAIL PINOT GRIGIO</v>
          </cell>
          <cell r="E1227" t="str">
            <v>CASELLA WINE PTY LTD</v>
          </cell>
          <cell r="F1227" t="str">
            <v>750</v>
          </cell>
          <cell r="G1227">
            <v>11.5</v>
          </cell>
          <cell r="H1227">
            <v>12</v>
          </cell>
          <cell r="I1227" t="str">
            <v>1537</v>
          </cell>
          <cell r="K1227" t="str">
            <v>D</v>
          </cell>
          <cell r="L1227">
            <v>1</v>
          </cell>
          <cell r="M1227">
            <v>11.53</v>
          </cell>
        </row>
        <row r="1228">
          <cell r="C1228" t="str">
            <v>16843</v>
          </cell>
          <cell r="D1228" t="str">
            <v>19 CRIMES SHIRAZ DURIF</v>
          </cell>
          <cell r="E1228" t="str">
            <v>TREASURY WINE ESTATES</v>
          </cell>
          <cell r="F1228" t="str">
            <v>750</v>
          </cell>
          <cell r="G1228">
            <v>14</v>
          </cell>
          <cell r="H1228">
            <v>12</v>
          </cell>
          <cell r="I1228" t="str">
            <v>1009</v>
          </cell>
          <cell r="K1228" t="str">
            <v>VD</v>
          </cell>
          <cell r="L1228">
            <v>1</v>
          </cell>
          <cell r="M1228">
            <v>16.97</v>
          </cell>
        </row>
        <row r="1229">
          <cell r="C1229" t="str">
            <v>18402</v>
          </cell>
          <cell r="D1229" t="str">
            <v>19 CRIMES SHIRAZ GRENACHE MATARO</v>
          </cell>
          <cell r="E1229" t="str">
            <v>TREASURY WINE ESTATES</v>
          </cell>
          <cell r="F1229" t="str">
            <v>750</v>
          </cell>
          <cell r="G1229">
            <v>15</v>
          </cell>
          <cell r="H1229">
            <v>12</v>
          </cell>
          <cell r="I1229" t="str">
            <v>1009</v>
          </cell>
          <cell r="K1229" t="str">
            <v>VD</v>
          </cell>
          <cell r="L1229">
            <v>1</v>
          </cell>
          <cell r="M1229">
            <v>16.97</v>
          </cell>
        </row>
        <row r="1230">
          <cell r="C1230" t="str">
            <v>23914</v>
          </cell>
          <cell r="D1230" t="str">
            <v>GENTLEMAN'S COLLECTION CAB SAUVIGNON</v>
          </cell>
          <cell r="E1230" t="str">
            <v>WOLF BLASS WINERY</v>
          </cell>
          <cell r="F1230" t="str">
            <v>750</v>
          </cell>
          <cell r="G1230">
            <v>14</v>
          </cell>
          <cell r="H1230">
            <v>12</v>
          </cell>
          <cell r="I1230" t="str">
            <v>1009</v>
          </cell>
          <cell r="K1230" t="str">
            <v>VD</v>
          </cell>
          <cell r="L1230">
            <v>1</v>
          </cell>
          <cell r="M1230">
            <v>17.04</v>
          </cell>
        </row>
        <row r="1231">
          <cell r="C1231" t="str">
            <v>35874</v>
          </cell>
          <cell r="D1231" t="str">
            <v>ADOBE RESERVA ORGANIC ROSE</v>
          </cell>
          <cell r="E1231" t="str">
            <v>VINEDOS EMILIANA S.A.</v>
          </cell>
          <cell r="F1231" t="str">
            <v>750</v>
          </cell>
          <cell r="G1231">
            <v>13</v>
          </cell>
          <cell r="H1231">
            <v>12</v>
          </cell>
          <cell r="I1231" t="str">
            <v>3243</v>
          </cell>
          <cell r="K1231" t="str">
            <v>D</v>
          </cell>
          <cell r="L1231">
            <v>1</v>
          </cell>
          <cell r="M1231">
            <v>11.86</v>
          </cell>
        </row>
        <row r="1232">
          <cell r="C1232" t="str">
            <v>46705</v>
          </cell>
          <cell r="D1232" t="str">
            <v>DIABLO LUMINOUS ROSE</v>
          </cell>
          <cell r="E1232" t="str">
            <v>CONCHA Y TORO SA</v>
          </cell>
          <cell r="F1232" t="str">
            <v>750</v>
          </cell>
          <cell r="G1232">
            <v>12.5</v>
          </cell>
          <cell r="H1232">
            <v>6</v>
          </cell>
          <cell r="I1232" t="str">
            <v>205657</v>
          </cell>
          <cell r="K1232" t="str">
            <v>D</v>
          </cell>
          <cell r="L1232">
            <v>1</v>
          </cell>
          <cell r="M1232">
            <v>10</v>
          </cell>
        </row>
        <row r="1233">
          <cell r="C1233" t="str">
            <v>21921</v>
          </cell>
          <cell r="D1233" t="str">
            <v>ADOBE RESERVA ORGANIC CAB SAUVIGNON</v>
          </cell>
          <cell r="E1233" t="str">
            <v>VINEDOS EMILIANA S.A.</v>
          </cell>
          <cell r="F1233" t="str">
            <v>750</v>
          </cell>
          <cell r="G1233">
            <v>12</v>
          </cell>
          <cell r="H1233">
            <v>12</v>
          </cell>
          <cell r="I1233" t="str">
            <v>3243</v>
          </cell>
          <cell r="K1233" t="str">
            <v>D</v>
          </cell>
          <cell r="L1233">
            <v>1</v>
          </cell>
          <cell r="M1233">
            <v>11.87</v>
          </cell>
        </row>
        <row r="1234">
          <cell r="C1234" t="str">
            <v>6960</v>
          </cell>
          <cell r="D1234" t="str">
            <v>ANTARES CABERNET SAUVIGNON</v>
          </cell>
          <cell r="E1234" t="str">
            <v>VINA SANTA CAROLINA SA</v>
          </cell>
          <cell r="F1234" t="str">
            <v>750</v>
          </cell>
          <cell r="G1234">
            <v>13</v>
          </cell>
          <cell r="H1234">
            <v>12</v>
          </cell>
          <cell r="I1234" t="str">
            <v>1535</v>
          </cell>
          <cell r="K1234" t="str">
            <v>D</v>
          </cell>
          <cell r="L1234">
            <v>1</v>
          </cell>
          <cell r="M1234">
            <v>7.99</v>
          </cell>
        </row>
        <row r="1235">
          <cell r="C1235" t="str">
            <v>3809</v>
          </cell>
          <cell r="D1235" t="str">
            <v>CARMEN GRAN RESERVA CABERNET SAUVIGNON</v>
          </cell>
          <cell r="E1235" t="str">
            <v>VINA CARMEN SA</v>
          </cell>
          <cell r="F1235" t="str">
            <v>750</v>
          </cell>
          <cell r="G1235">
            <v>14</v>
          </cell>
          <cell r="H1235">
            <v>12</v>
          </cell>
          <cell r="I1235" t="str">
            <v>3265</v>
          </cell>
          <cell r="K1235" t="str">
            <v>VD</v>
          </cell>
          <cell r="L1235">
            <v>1</v>
          </cell>
          <cell r="M1235">
            <v>15.71</v>
          </cell>
        </row>
        <row r="1236">
          <cell r="C1236" t="str">
            <v>6380</v>
          </cell>
          <cell r="D1236" t="str">
            <v>CARMEN GRAN RESERVA CARMENERE</v>
          </cell>
          <cell r="E1236" t="str">
            <v>VINA CARMEN SA</v>
          </cell>
          <cell r="F1236" t="str">
            <v>750</v>
          </cell>
          <cell r="G1236">
            <v>14</v>
          </cell>
          <cell r="H1236">
            <v>12</v>
          </cell>
          <cell r="I1236" t="str">
            <v>3265</v>
          </cell>
          <cell r="K1236" t="str">
            <v>VD</v>
          </cell>
          <cell r="L1236">
            <v>1</v>
          </cell>
          <cell r="M1236">
            <v>15.71</v>
          </cell>
        </row>
        <row r="1237">
          <cell r="C1237" t="str">
            <v>19514</v>
          </cell>
          <cell r="D1237" t="str">
            <v>COYAM ORGANIC RED BLEND</v>
          </cell>
          <cell r="E1237" t="str">
            <v>VINEDOS EMILIANA S.A.</v>
          </cell>
          <cell r="F1237" t="str">
            <v>750</v>
          </cell>
          <cell r="G1237">
            <v>14</v>
          </cell>
          <cell r="H1237">
            <v>12</v>
          </cell>
          <cell r="I1237" t="str">
            <v>3243</v>
          </cell>
          <cell r="K1237" t="str">
            <v>VD</v>
          </cell>
          <cell r="L1237">
            <v>1</v>
          </cell>
          <cell r="M1237">
            <v>29.7</v>
          </cell>
        </row>
        <row r="1238">
          <cell r="C1238" t="str">
            <v>24324</v>
          </cell>
          <cell r="D1238" t="str">
            <v>OCHAGAVIA ESPUELA</v>
          </cell>
          <cell r="E1238" t="str">
            <v>VINA SANTA CAROLINA SA</v>
          </cell>
          <cell r="F1238" t="str">
            <v>750</v>
          </cell>
          <cell r="G1238">
            <v>12.5</v>
          </cell>
          <cell r="H1238">
            <v>12</v>
          </cell>
          <cell r="I1238" t="str">
            <v>1535</v>
          </cell>
          <cell r="K1238" t="str">
            <v>VD</v>
          </cell>
          <cell r="L1238">
            <v>1</v>
          </cell>
          <cell r="M1238">
            <v>8.99</v>
          </cell>
        </row>
        <row r="1239">
          <cell r="C1239" t="str">
            <v>46602</v>
          </cell>
          <cell r="D1239" t="str">
            <v>PALO ALTO RED BLEND</v>
          </cell>
          <cell r="E1239" t="str">
            <v>REAL SITIO DE VENTOSILLA</v>
          </cell>
          <cell r="F1239" t="str">
            <v>750</v>
          </cell>
          <cell r="G1239">
            <v>12</v>
          </cell>
          <cell r="H1239">
            <v>12</v>
          </cell>
          <cell r="I1239" t="str">
            <v>205657</v>
          </cell>
          <cell r="K1239" t="str">
            <v>MD</v>
          </cell>
          <cell r="L1239">
            <v>1</v>
          </cell>
          <cell r="M1239">
            <v>6.85</v>
          </cell>
        </row>
        <row r="1240">
          <cell r="C1240" t="str">
            <v>38388</v>
          </cell>
          <cell r="D1240" t="str">
            <v>VIVO RESERVA CABERNET SAUVIGNON</v>
          </cell>
          <cell r="E1240" t="str">
            <v>ANDREW PELLER LIMITED</v>
          </cell>
          <cell r="F1240" t="str">
            <v>750</v>
          </cell>
          <cell r="G1240">
            <v>13</v>
          </cell>
          <cell r="H1240">
            <v>12</v>
          </cell>
          <cell r="I1240" t="str">
            <v>4095</v>
          </cell>
          <cell r="K1240" t="str">
            <v>MD</v>
          </cell>
          <cell r="L1240">
            <v>1</v>
          </cell>
          <cell r="M1240">
            <v>11.62</v>
          </cell>
        </row>
        <row r="1241">
          <cell r="C1241" t="str">
            <v>37563</v>
          </cell>
          <cell r="D1241" t="str">
            <v>VIVO RESERVA CABERNET SAUVIGNON</v>
          </cell>
          <cell r="E1241" t="str">
            <v>ANDREW PELLER LIMITED</v>
          </cell>
          <cell r="F1241" t="str">
            <v>4000</v>
          </cell>
          <cell r="G1241">
            <v>12.5</v>
          </cell>
          <cell r="H1241">
            <v>4</v>
          </cell>
          <cell r="I1241" t="str">
            <v>4095</v>
          </cell>
          <cell r="K1241" t="str">
            <v>MD</v>
          </cell>
          <cell r="L1241">
            <v>1</v>
          </cell>
          <cell r="M1241">
            <v>37.07</v>
          </cell>
        </row>
        <row r="1242">
          <cell r="C1242" t="str">
            <v>19510</v>
          </cell>
          <cell r="D1242" t="str">
            <v>ADOBE RESVERA ORGANIC SAUVIGNON BLANC</v>
          </cell>
          <cell r="E1242" t="str">
            <v>VINEDOS EMILIANA S.A.</v>
          </cell>
          <cell r="F1242" t="str">
            <v>750</v>
          </cell>
          <cell r="G1242">
            <v>12</v>
          </cell>
          <cell r="H1242">
            <v>12</v>
          </cell>
          <cell r="I1242" t="str">
            <v>3243</v>
          </cell>
          <cell r="K1242" t="str">
            <v>VD</v>
          </cell>
          <cell r="L1242">
            <v>1</v>
          </cell>
          <cell r="M1242">
            <v>11.87</v>
          </cell>
        </row>
        <row r="1243">
          <cell r="C1243" t="str">
            <v>6957</v>
          </cell>
          <cell r="D1243" t="str">
            <v>ANTARES SAUVIGNON BLANC</v>
          </cell>
          <cell r="E1243" t="str">
            <v>VINA SANTA CAROLINA SA</v>
          </cell>
          <cell r="F1243" t="str">
            <v>750</v>
          </cell>
          <cell r="G1243">
            <v>12</v>
          </cell>
          <cell r="H1243">
            <v>12</v>
          </cell>
          <cell r="I1243" t="str">
            <v>1535</v>
          </cell>
          <cell r="K1243" t="str">
            <v>D</v>
          </cell>
          <cell r="L1243">
            <v>1</v>
          </cell>
          <cell r="M1243">
            <v>7.99</v>
          </cell>
        </row>
        <row r="1244">
          <cell r="C1244" t="str">
            <v>46603</v>
          </cell>
          <cell r="D1244" t="str">
            <v>PALO ALTO WHITE BLEND</v>
          </cell>
          <cell r="E1244" t="str">
            <v>SOCIEDAD EXP Y COMERICAL VINA MAIPO</v>
          </cell>
          <cell r="F1244" t="str">
            <v>750</v>
          </cell>
          <cell r="G1244">
            <v>12</v>
          </cell>
          <cell r="H1244">
            <v>12</v>
          </cell>
          <cell r="I1244" t="str">
            <v>205657</v>
          </cell>
          <cell r="K1244" t="str">
            <v>MD</v>
          </cell>
          <cell r="L1244">
            <v>1</v>
          </cell>
          <cell r="M1244">
            <v>6.85</v>
          </cell>
        </row>
        <row r="1245">
          <cell r="C1245" t="str">
            <v>30948</v>
          </cell>
          <cell r="D1245" t="str">
            <v>SANTA CAROLINA RESERVA SAUVIGNON BLANC</v>
          </cell>
          <cell r="E1245" t="str">
            <v>VINA SANTA CAROLINA SA</v>
          </cell>
          <cell r="F1245" t="str">
            <v>750</v>
          </cell>
          <cell r="G1245">
            <v>13</v>
          </cell>
          <cell r="H1245">
            <v>12</v>
          </cell>
          <cell r="I1245" t="str">
            <v>1535</v>
          </cell>
          <cell r="K1245" t="str">
            <v>VD</v>
          </cell>
          <cell r="L1245">
            <v>1</v>
          </cell>
          <cell r="M1245">
            <v>12.99</v>
          </cell>
        </row>
        <row r="1246">
          <cell r="C1246" t="str">
            <v>28857</v>
          </cell>
          <cell r="D1246" t="str">
            <v>VINA VENTISQUERO ROOT:1 SAUVIGNON BLANC</v>
          </cell>
          <cell r="E1246" t="str">
            <v>VIÑA VENTISQUERO LTDA</v>
          </cell>
          <cell r="F1246" t="str">
            <v>750</v>
          </cell>
          <cell r="G1246">
            <v>13</v>
          </cell>
          <cell r="H1246">
            <v>12</v>
          </cell>
          <cell r="I1246" t="str">
            <v>205873</v>
          </cell>
          <cell r="K1246" t="str">
            <v>VD</v>
          </cell>
          <cell r="L1246">
            <v>1</v>
          </cell>
          <cell r="M1246">
            <v>11.99</v>
          </cell>
        </row>
        <row r="1247">
          <cell r="C1247" t="str">
            <v>38381</v>
          </cell>
          <cell r="D1247" t="str">
            <v>VIVO RESERVA SAUVIGNON BLANC</v>
          </cell>
          <cell r="E1247" t="str">
            <v>ANDREW PELLER LIMITED</v>
          </cell>
          <cell r="F1247" t="str">
            <v>750</v>
          </cell>
          <cell r="G1247">
            <v>13</v>
          </cell>
          <cell r="H1247">
            <v>12</v>
          </cell>
          <cell r="I1247" t="str">
            <v>4095</v>
          </cell>
          <cell r="K1247" t="str">
            <v>MD</v>
          </cell>
          <cell r="L1247">
            <v>1</v>
          </cell>
          <cell r="M1247">
            <v>11.62</v>
          </cell>
        </row>
        <row r="1248">
          <cell r="C1248" t="str">
            <v>37818</v>
          </cell>
          <cell r="D1248" t="str">
            <v>VIVO RESERVA SAUVIGNON BLANC</v>
          </cell>
          <cell r="E1248" t="str">
            <v>ANDREW PELLER LIMITED</v>
          </cell>
          <cell r="F1248" t="str">
            <v>4000</v>
          </cell>
          <cell r="G1248">
            <v>12</v>
          </cell>
          <cell r="H1248">
            <v>4</v>
          </cell>
          <cell r="I1248" t="str">
            <v>4095</v>
          </cell>
          <cell r="K1248" t="str">
            <v>MD</v>
          </cell>
          <cell r="L1248">
            <v>1</v>
          </cell>
          <cell r="M1248">
            <v>37.07</v>
          </cell>
        </row>
        <row r="1249">
          <cell r="C1249" t="str">
            <v>7807</v>
          </cell>
          <cell r="D1249" t="str">
            <v>ERRAZURIZ ESTATE CARMENERE</v>
          </cell>
          <cell r="E1249" t="str">
            <v>VINA ERRAZURIZ- CHADWICK</v>
          </cell>
          <cell r="F1249" t="str">
            <v>750</v>
          </cell>
          <cell r="G1249">
            <v>13.5</v>
          </cell>
          <cell r="H1249">
            <v>12</v>
          </cell>
          <cell r="I1249" t="str">
            <v>1537</v>
          </cell>
          <cell r="K1249" t="str">
            <v>MD</v>
          </cell>
          <cell r="L1249">
            <v>1</v>
          </cell>
          <cell r="M1249">
            <v>11.97</v>
          </cell>
        </row>
        <row r="1250">
          <cell r="C1250" t="str">
            <v>7095</v>
          </cell>
          <cell r="D1250" t="str">
            <v>ERRAZURIZ ESTATE MERLOT</v>
          </cell>
          <cell r="E1250" t="str">
            <v>VINA ERRAZURIZ- CHADWICK</v>
          </cell>
          <cell r="F1250" t="str">
            <v>750</v>
          </cell>
          <cell r="G1250">
            <v>13.5</v>
          </cell>
          <cell r="H1250">
            <v>12</v>
          </cell>
          <cell r="I1250" t="str">
            <v>1537</v>
          </cell>
          <cell r="K1250" t="str">
            <v>VD</v>
          </cell>
          <cell r="L1250">
            <v>1</v>
          </cell>
          <cell r="M1250">
            <v>11.97</v>
          </cell>
        </row>
        <row r="1251">
          <cell r="C1251" t="str">
            <v>6982</v>
          </cell>
          <cell r="D1251" t="str">
            <v>ERRAZURIZ MAX RESERVA CABERNET SAUVIGNON</v>
          </cell>
          <cell r="E1251" t="str">
            <v>VINA ERRAZURIZ- CHADWICK</v>
          </cell>
          <cell r="F1251" t="str">
            <v>750</v>
          </cell>
          <cell r="G1251">
            <v>14.5</v>
          </cell>
          <cell r="H1251">
            <v>12</v>
          </cell>
          <cell r="I1251" t="str">
            <v>1537</v>
          </cell>
          <cell r="K1251" t="str">
            <v>VD</v>
          </cell>
          <cell r="L1251">
            <v>1</v>
          </cell>
          <cell r="M1251">
            <v>17.989999999999998</v>
          </cell>
        </row>
        <row r="1252">
          <cell r="C1252" t="str">
            <v>11690</v>
          </cell>
          <cell r="D1252" t="str">
            <v>ERRAZURIZ MAX RESERVA CARMENERE</v>
          </cell>
          <cell r="E1252" t="str">
            <v>VINA ERRAZURIZ- CHADWICK</v>
          </cell>
          <cell r="F1252" t="str">
            <v>750</v>
          </cell>
          <cell r="G1252">
            <v>14.5</v>
          </cell>
          <cell r="H1252">
            <v>12</v>
          </cell>
          <cell r="I1252" t="str">
            <v>1537</v>
          </cell>
          <cell r="K1252" t="str">
            <v>VD</v>
          </cell>
          <cell r="L1252">
            <v>1</v>
          </cell>
          <cell r="M1252">
            <v>17.989999999999998</v>
          </cell>
        </row>
        <row r="1253">
          <cell r="C1253" t="str">
            <v>44315</v>
          </cell>
          <cell r="D1253" t="str">
            <v>TIERRA RICA SAUVIGNON BLANC</v>
          </cell>
          <cell r="E1253" t="str">
            <v>VINA SAN PEDRO TARAPACA SA</v>
          </cell>
          <cell r="F1253" t="str">
            <v>750</v>
          </cell>
          <cell r="G1253">
            <v>13</v>
          </cell>
          <cell r="H1253">
            <v>12</v>
          </cell>
          <cell r="I1253" t="str">
            <v>1009</v>
          </cell>
          <cell r="K1253" t="str">
            <v>VD</v>
          </cell>
          <cell r="L1253">
            <v>1</v>
          </cell>
          <cell r="M1253">
            <v>16.03</v>
          </cell>
        </row>
        <row r="1254">
          <cell r="C1254" t="str">
            <v>16629</v>
          </cell>
          <cell r="D1254" t="str">
            <v>ERRAZURIZ MAX SAUVIGNON BLANC</v>
          </cell>
          <cell r="E1254" t="str">
            <v>VINA ERRAZURIZ- CHADWICK</v>
          </cell>
          <cell r="F1254" t="str">
            <v>750</v>
          </cell>
          <cell r="G1254">
            <v>13</v>
          </cell>
          <cell r="H1254">
            <v>12</v>
          </cell>
          <cell r="I1254" t="str">
            <v>1537</v>
          </cell>
          <cell r="K1254" t="str">
            <v>VD</v>
          </cell>
          <cell r="L1254">
            <v>1</v>
          </cell>
          <cell r="M1254">
            <v>19.420000000000002</v>
          </cell>
        </row>
        <row r="1255">
          <cell r="C1255" t="str">
            <v>24112</v>
          </cell>
          <cell r="D1255" t="str">
            <v>CONO SUR BICICLETA PINOT NOIR ROSE</v>
          </cell>
          <cell r="E1255" t="str">
            <v>VINA CONO SUR/TOCORNAL</v>
          </cell>
          <cell r="F1255" t="str">
            <v>750</v>
          </cell>
          <cell r="G1255">
            <v>13</v>
          </cell>
          <cell r="H1255">
            <v>12</v>
          </cell>
          <cell r="I1255" t="str">
            <v>87388</v>
          </cell>
          <cell r="K1255" t="str">
            <v>VD</v>
          </cell>
          <cell r="L1255">
            <v>1</v>
          </cell>
          <cell r="M1255">
            <v>10.51</v>
          </cell>
        </row>
        <row r="1256">
          <cell r="C1256" t="str">
            <v>43885</v>
          </cell>
          <cell r="D1256" t="str">
            <v>CONO SUR ORGANIC ROSE</v>
          </cell>
          <cell r="E1256" t="str">
            <v>VINA CONO SUR/TOCORNAL</v>
          </cell>
          <cell r="F1256" t="str">
            <v>750</v>
          </cell>
          <cell r="G1256">
            <v>13</v>
          </cell>
          <cell r="H1256">
            <v>12</v>
          </cell>
          <cell r="I1256" t="str">
            <v>87388</v>
          </cell>
          <cell r="K1256" t="str">
            <v>VD</v>
          </cell>
          <cell r="L1256">
            <v>1</v>
          </cell>
          <cell r="M1256">
            <v>13.51</v>
          </cell>
        </row>
        <row r="1257">
          <cell r="C1257" t="str">
            <v>37214</v>
          </cell>
          <cell r="D1257" t="str">
            <v>CIGAR BOX PINOT NOIR</v>
          </cell>
          <cell r="E1257" t="str">
            <v>VINA CARMEN SA</v>
          </cell>
          <cell r="F1257" t="str">
            <v>750</v>
          </cell>
          <cell r="G1257">
            <v>13.5</v>
          </cell>
          <cell r="H1257">
            <v>12</v>
          </cell>
          <cell r="I1257" t="str">
            <v>152879</v>
          </cell>
          <cell r="K1257" t="str">
            <v>VD</v>
          </cell>
          <cell r="L1257">
            <v>1</v>
          </cell>
          <cell r="M1257">
            <v>12.8</v>
          </cell>
        </row>
        <row r="1258">
          <cell r="C1258" t="str">
            <v>33368</v>
          </cell>
          <cell r="D1258" t="str">
            <v>CONO SUR ORGANIC PINOT NOIR</v>
          </cell>
          <cell r="E1258" t="str">
            <v>VINA CONO SUR/TOCORNAL</v>
          </cell>
          <cell r="F1258" t="str">
            <v>750</v>
          </cell>
          <cell r="G1258">
            <v>14</v>
          </cell>
          <cell r="H1258">
            <v>12</v>
          </cell>
          <cell r="I1258" t="str">
            <v>87388</v>
          </cell>
          <cell r="K1258" t="str">
            <v>VD</v>
          </cell>
          <cell r="L1258">
            <v>1</v>
          </cell>
          <cell r="M1258">
            <v>13.51</v>
          </cell>
        </row>
        <row r="1259">
          <cell r="C1259" t="str">
            <v>4710</v>
          </cell>
          <cell r="D1259" t="str">
            <v>ERRAZURIZ ESTATE SAUVIGNON BLANC</v>
          </cell>
          <cell r="E1259" t="str">
            <v>VINA ERRAZURIZ- CHADWICK</v>
          </cell>
          <cell r="F1259" t="str">
            <v>750</v>
          </cell>
          <cell r="G1259">
            <v>13.5</v>
          </cell>
          <cell r="H1259">
            <v>12</v>
          </cell>
          <cell r="I1259" t="str">
            <v>1537</v>
          </cell>
          <cell r="K1259" t="str">
            <v>VD</v>
          </cell>
          <cell r="L1259">
            <v>1</v>
          </cell>
          <cell r="M1259">
            <v>11.97</v>
          </cell>
        </row>
        <row r="1260">
          <cell r="C1260" t="str">
            <v>42198</v>
          </cell>
          <cell r="D1260" t="str">
            <v>JABBER SAUVIGNON BLANC</v>
          </cell>
          <cell r="E1260" t="str">
            <v>JABBER WINES</v>
          </cell>
          <cell r="F1260" t="str">
            <v>750</v>
          </cell>
          <cell r="G1260">
            <v>12.8</v>
          </cell>
          <cell r="H1260">
            <v>6</v>
          </cell>
          <cell r="I1260" t="str">
            <v>58104</v>
          </cell>
          <cell r="K1260" t="str">
            <v>VD</v>
          </cell>
          <cell r="L1260">
            <v>1</v>
          </cell>
          <cell r="M1260">
            <v>17.190000000000001</v>
          </cell>
        </row>
        <row r="1261">
          <cell r="C1261" t="str">
            <v>1029</v>
          </cell>
          <cell r="D1261" t="str">
            <v>SANTA RITA 120 SAUVIGNON BLANC</v>
          </cell>
          <cell r="E1261" t="str">
            <v>VINA SANTA RITA</v>
          </cell>
          <cell r="F1261" t="str">
            <v>750</v>
          </cell>
          <cell r="G1261">
            <v>12.5</v>
          </cell>
          <cell r="H1261">
            <v>12</v>
          </cell>
          <cell r="I1261" t="str">
            <v>152879</v>
          </cell>
          <cell r="K1261" t="str">
            <v>VD</v>
          </cell>
          <cell r="L1261">
            <v>1</v>
          </cell>
          <cell r="M1261">
            <v>11.43</v>
          </cell>
        </row>
        <row r="1262">
          <cell r="C1262" t="str">
            <v>1816</v>
          </cell>
          <cell r="D1262" t="str">
            <v>CASILLERO DEL DIABLO CABERNET SAUVIGNON</v>
          </cell>
          <cell r="E1262" t="str">
            <v>CONCHA Y TORO SA</v>
          </cell>
          <cell r="F1262" t="str">
            <v>750</v>
          </cell>
          <cell r="G1262">
            <v>12</v>
          </cell>
          <cell r="H1262">
            <v>12</v>
          </cell>
          <cell r="I1262" t="str">
            <v>205657</v>
          </cell>
          <cell r="K1262" t="str">
            <v>VD</v>
          </cell>
          <cell r="L1262">
            <v>1</v>
          </cell>
          <cell r="M1262">
            <v>12.77</v>
          </cell>
        </row>
        <row r="1263">
          <cell r="C1263" t="str">
            <v>2389</v>
          </cell>
          <cell r="D1263" t="str">
            <v>GATO NEGRO CABERNET SAUVIGNON</v>
          </cell>
          <cell r="E1263" t="str">
            <v>VINA SAN PEDRO TARAPACA SA</v>
          </cell>
          <cell r="F1263" t="str">
            <v>750</v>
          </cell>
          <cell r="G1263">
            <v>13.5</v>
          </cell>
          <cell r="H1263">
            <v>12</v>
          </cell>
          <cell r="I1263" t="str">
            <v>1537</v>
          </cell>
          <cell r="K1263" t="str">
            <v>VD</v>
          </cell>
          <cell r="L1263">
            <v>1</v>
          </cell>
          <cell r="M1263">
            <v>8.57</v>
          </cell>
        </row>
        <row r="1264">
          <cell r="C1264" t="str">
            <v>17253</v>
          </cell>
          <cell r="D1264" t="str">
            <v>GATO NEGRO CABERNET SAUVIGNON</v>
          </cell>
          <cell r="E1264" t="str">
            <v>VINA SAN PEDRO TARAPACA SA</v>
          </cell>
          <cell r="F1264" t="str">
            <v>3000</v>
          </cell>
          <cell r="G1264">
            <v>13.5</v>
          </cell>
          <cell r="H1264">
            <v>4</v>
          </cell>
          <cell r="I1264" t="str">
            <v>1537</v>
          </cell>
          <cell r="K1264" t="str">
            <v>VD</v>
          </cell>
          <cell r="L1264">
            <v>1</v>
          </cell>
          <cell r="M1264">
            <v>28.97</v>
          </cell>
        </row>
        <row r="1265">
          <cell r="C1265" t="str">
            <v>28377</v>
          </cell>
          <cell r="D1265" t="str">
            <v>SANTA CAROLINA CABERNET SAUVIGNON</v>
          </cell>
          <cell r="E1265" t="str">
            <v>VINA SANTA CAROLINA SA</v>
          </cell>
          <cell r="F1265" t="str">
            <v>3000</v>
          </cell>
          <cell r="G1265">
            <v>13</v>
          </cell>
          <cell r="H1265">
            <v>4</v>
          </cell>
          <cell r="I1265" t="str">
            <v>1535</v>
          </cell>
          <cell r="K1265" t="str">
            <v>VD</v>
          </cell>
          <cell r="L1265">
            <v>1</v>
          </cell>
          <cell r="M1265">
            <v>28.99</v>
          </cell>
        </row>
        <row r="1266">
          <cell r="C1266" t="str">
            <v>28379</v>
          </cell>
          <cell r="D1266" t="str">
            <v>CONO SUR ORGANIC CHARDONNAY</v>
          </cell>
          <cell r="E1266" t="str">
            <v>VINA CONO SUR/TOCORNAL</v>
          </cell>
          <cell r="F1266" t="str">
            <v>750</v>
          </cell>
          <cell r="G1266">
            <v>13</v>
          </cell>
          <cell r="H1266">
            <v>12</v>
          </cell>
          <cell r="I1266" t="str">
            <v>87388</v>
          </cell>
          <cell r="K1266" t="str">
            <v>VD</v>
          </cell>
          <cell r="L1266">
            <v>1</v>
          </cell>
          <cell r="M1266">
            <v>13.51</v>
          </cell>
        </row>
        <row r="1267">
          <cell r="C1267" t="str">
            <v>11886</v>
          </cell>
          <cell r="D1267" t="str">
            <v>CONO SUR ORGANIC SAUVIGNON BLANC</v>
          </cell>
          <cell r="E1267" t="str">
            <v>VINA CONO SUR/TOCORNAL</v>
          </cell>
          <cell r="F1267" t="str">
            <v>750</v>
          </cell>
          <cell r="G1267">
            <v>12.5</v>
          </cell>
          <cell r="H1267">
            <v>12</v>
          </cell>
          <cell r="I1267" t="str">
            <v>87388</v>
          </cell>
          <cell r="K1267" t="str">
            <v>D</v>
          </cell>
          <cell r="L1267">
            <v>1</v>
          </cell>
          <cell r="M1267">
            <v>13.51</v>
          </cell>
        </row>
        <row r="1268">
          <cell r="C1268" t="str">
            <v>19367</v>
          </cell>
          <cell r="D1268" t="str">
            <v>GATO NEGRO CHARDONNAY</v>
          </cell>
          <cell r="E1268" t="str">
            <v>VINA SAN PEDRO TARAPACA SA</v>
          </cell>
          <cell r="F1268" t="str">
            <v>750</v>
          </cell>
          <cell r="G1268">
            <v>13.5</v>
          </cell>
          <cell r="H1268">
            <v>12</v>
          </cell>
          <cell r="I1268" t="str">
            <v>1537</v>
          </cell>
          <cell r="K1268" t="str">
            <v>VD</v>
          </cell>
          <cell r="L1268">
            <v>1</v>
          </cell>
          <cell r="M1268">
            <v>8.57</v>
          </cell>
        </row>
        <row r="1269">
          <cell r="C1269" t="str">
            <v>28378</v>
          </cell>
          <cell r="D1269" t="str">
            <v>SANTA CAROLINA SAUVIGNON BLANC</v>
          </cell>
          <cell r="E1269" t="str">
            <v>VINA SANTA CAROLINA SA</v>
          </cell>
          <cell r="F1269" t="str">
            <v>3000</v>
          </cell>
          <cell r="G1269">
            <v>12.5</v>
          </cell>
          <cell r="H1269">
            <v>4</v>
          </cell>
          <cell r="I1269" t="str">
            <v>1535</v>
          </cell>
          <cell r="K1269" t="str">
            <v>VD</v>
          </cell>
          <cell r="L1269">
            <v>1</v>
          </cell>
          <cell r="M1269">
            <v>28.99</v>
          </cell>
        </row>
        <row r="1270">
          <cell r="C1270" t="str">
            <v>6760</v>
          </cell>
          <cell r="D1270" t="str">
            <v>CONO SUR ORGANIC CABERNET CARMENERE</v>
          </cell>
          <cell r="E1270" t="str">
            <v>VINA CONO SUR/TOCORNAL</v>
          </cell>
          <cell r="F1270" t="str">
            <v>750</v>
          </cell>
          <cell r="G1270">
            <v>13.5</v>
          </cell>
          <cell r="H1270">
            <v>12</v>
          </cell>
          <cell r="I1270" t="str">
            <v>87388</v>
          </cell>
          <cell r="K1270" t="str">
            <v>VD</v>
          </cell>
          <cell r="L1270">
            <v>1</v>
          </cell>
          <cell r="M1270">
            <v>13.51</v>
          </cell>
        </row>
        <row r="1271">
          <cell r="C1271" t="str">
            <v>5590</v>
          </cell>
          <cell r="D1271" t="str">
            <v>SANTA CAROLINA RESERVA CAB SAUVIGNON</v>
          </cell>
          <cell r="E1271" t="str">
            <v>VINA SANTA CAROLINA SA</v>
          </cell>
          <cell r="F1271" t="str">
            <v>750</v>
          </cell>
          <cell r="G1271">
            <v>13.5</v>
          </cell>
          <cell r="H1271">
            <v>12</v>
          </cell>
          <cell r="I1271" t="str">
            <v>1535</v>
          </cell>
          <cell r="K1271" t="str">
            <v>VD</v>
          </cell>
          <cell r="L1271">
            <v>1</v>
          </cell>
          <cell r="M1271">
            <v>12.99</v>
          </cell>
        </row>
        <row r="1272">
          <cell r="C1272" t="str">
            <v>19442</v>
          </cell>
          <cell r="D1272" t="str">
            <v>VINA VENTISQUERO ROOT:1 CAB SAUVIGNON</v>
          </cell>
          <cell r="E1272" t="str">
            <v>VIÑA VENTISQUERO LTDA</v>
          </cell>
          <cell r="F1272" t="str">
            <v>750</v>
          </cell>
          <cell r="G1272">
            <v>13.5</v>
          </cell>
          <cell r="H1272">
            <v>12</v>
          </cell>
          <cell r="I1272" t="str">
            <v>205873</v>
          </cell>
          <cell r="K1272" t="str">
            <v>VD</v>
          </cell>
          <cell r="L1272">
            <v>1</v>
          </cell>
          <cell r="M1272">
            <v>11.99</v>
          </cell>
        </row>
        <row r="1273">
          <cell r="C1273" t="str">
            <v>6762</v>
          </cell>
          <cell r="D1273" t="str">
            <v>CONO SUR BICICLETA VIOGNIER</v>
          </cell>
          <cell r="E1273" t="str">
            <v>VINA CONO SUR/TOCORNAL</v>
          </cell>
          <cell r="F1273" t="str">
            <v>750</v>
          </cell>
          <cell r="G1273">
            <v>13.5</v>
          </cell>
          <cell r="H1273">
            <v>12</v>
          </cell>
          <cell r="I1273" t="str">
            <v>87388</v>
          </cell>
          <cell r="K1273" t="str">
            <v>VD</v>
          </cell>
          <cell r="L1273">
            <v>1</v>
          </cell>
          <cell r="M1273">
            <v>10.51</v>
          </cell>
        </row>
        <row r="1274">
          <cell r="C1274" t="str">
            <v>39852</v>
          </cell>
          <cell r="D1274" t="str">
            <v>1865 SELECTED CABERNET SAUVIGNON</v>
          </cell>
          <cell r="E1274" t="str">
            <v>VINA SAN PEDRO TARAPACA SA</v>
          </cell>
          <cell r="F1274" t="str">
            <v>750</v>
          </cell>
          <cell r="G1274">
            <v>14</v>
          </cell>
          <cell r="H1274">
            <v>12</v>
          </cell>
          <cell r="I1274" t="str">
            <v>1537</v>
          </cell>
          <cell r="K1274" t="str">
            <v>VD</v>
          </cell>
          <cell r="L1274">
            <v>1</v>
          </cell>
          <cell r="M1274">
            <v>18.13</v>
          </cell>
        </row>
        <row r="1275">
          <cell r="C1275" t="str">
            <v>7096</v>
          </cell>
          <cell r="D1275" t="str">
            <v>ERRAZURIZ ESTATE CABERNET SAUVIGNON</v>
          </cell>
          <cell r="E1275" t="str">
            <v>VINA ERRAZURIZ- CHADWICK</v>
          </cell>
          <cell r="F1275" t="str">
            <v>750</v>
          </cell>
          <cell r="G1275">
            <v>14.5</v>
          </cell>
          <cell r="H1275">
            <v>12</v>
          </cell>
          <cell r="I1275" t="str">
            <v>1537</v>
          </cell>
          <cell r="K1275" t="str">
            <v>D</v>
          </cell>
          <cell r="L1275">
            <v>1</v>
          </cell>
          <cell r="M1275">
            <v>11.97</v>
          </cell>
        </row>
        <row r="1276">
          <cell r="C1276" t="str">
            <v>1627</v>
          </cell>
          <cell r="D1276" t="str">
            <v>FRONTERA CABERNET SAUVIGNON</v>
          </cell>
          <cell r="E1276" t="str">
            <v>CONCHA Y TORO SA</v>
          </cell>
          <cell r="F1276" t="str">
            <v>750</v>
          </cell>
          <cell r="G1276">
            <v>12.5</v>
          </cell>
          <cell r="H1276">
            <v>12</v>
          </cell>
          <cell r="I1276" t="str">
            <v>205657</v>
          </cell>
          <cell r="K1276" t="str">
            <v>VD</v>
          </cell>
          <cell r="L1276">
            <v>1</v>
          </cell>
          <cell r="M1276">
            <v>8.99</v>
          </cell>
        </row>
        <row r="1277">
          <cell r="C1277" t="str">
            <v>1628</v>
          </cell>
          <cell r="D1277" t="str">
            <v>FRONTERA CABERNET SAUVIGNON</v>
          </cell>
          <cell r="E1277" t="str">
            <v>CONCHA Y TORO SA</v>
          </cell>
          <cell r="F1277" t="str">
            <v>1500</v>
          </cell>
          <cell r="G1277">
            <v>12</v>
          </cell>
          <cell r="H1277">
            <v>6</v>
          </cell>
          <cell r="I1277" t="str">
            <v>205657</v>
          </cell>
          <cell r="K1277" t="str">
            <v>VD</v>
          </cell>
          <cell r="L1277">
            <v>1</v>
          </cell>
          <cell r="M1277">
            <v>16.100000000000001</v>
          </cell>
        </row>
        <row r="1278">
          <cell r="C1278" t="str">
            <v>6545</v>
          </cell>
          <cell r="D1278" t="str">
            <v>FRONTERA CABERNET SAUVIGNON</v>
          </cell>
          <cell r="E1278" t="str">
            <v>CONCHA Y TORO SA</v>
          </cell>
          <cell r="F1278" t="str">
            <v>3000</v>
          </cell>
          <cell r="G1278">
            <v>12.5</v>
          </cell>
          <cell r="H1278">
            <v>4</v>
          </cell>
          <cell r="I1278" t="str">
            <v>205657</v>
          </cell>
          <cell r="K1278" t="str">
            <v>VD</v>
          </cell>
          <cell r="L1278">
            <v>1</v>
          </cell>
          <cell r="M1278">
            <v>30.1</v>
          </cell>
        </row>
        <row r="1279">
          <cell r="C1279" t="str">
            <v>29162</v>
          </cell>
          <cell r="D1279" t="str">
            <v>PEREZ CRUZ RESERVA CAB SAUVIGNON</v>
          </cell>
          <cell r="E1279" t="str">
            <v>VINA PEREZ CRUZ</v>
          </cell>
          <cell r="F1279" t="str">
            <v>750</v>
          </cell>
          <cell r="G1279">
            <v>13.5</v>
          </cell>
          <cell r="H1279">
            <v>12</v>
          </cell>
          <cell r="I1279" t="str">
            <v>1535</v>
          </cell>
          <cell r="K1279" t="str">
            <v>VD</v>
          </cell>
          <cell r="L1279">
            <v>1</v>
          </cell>
          <cell r="M1279">
            <v>15.9</v>
          </cell>
        </row>
        <row r="1280">
          <cell r="C1280" t="str">
            <v>5595</v>
          </cell>
          <cell r="D1280" t="str">
            <v>CASILLERO DEL DIABLO SAUVIGNON BLANC</v>
          </cell>
          <cell r="E1280" t="str">
            <v>CONCHA Y TORO SA</v>
          </cell>
          <cell r="F1280" t="str">
            <v>750</v>
          </cell>
          <cell r="G1280">
            <v>13</v>
          </cell>
          <cell r="H1280">
            <v>12</v>
          </cell>
          <cell r="I1280" t="str">
            <v>205657</v>
          </cell>
          <cell r="K1280" t="str">
            <v>VD</v>
          </cell>
          <cell r="L1280">
            <v>1</v>
          </cell>
          <cell r="M1280">
            <v>12.77</v>
          </cell>
        </row>
        <row r="1281">
          <cell r="C1281" t="str">
            <v>3981</v>
          </cell>
          <cell r="D1281" t="str">
            <v>FRONTERA SAUVIGNON BLANC</v>
          </cell>
          <cell r="E1281" t="str">
            <v>CONCHA Y TORO SA</v>
          </cell>
          <cell r="F1281" t="str">
            <v>750</v>
          </cell>
          <cell r="G1281">
            <v>12.5</v>
          </cell>
          <cell r="H1281">
            <v>12</v>
          </cell>
          <cell r="I1281" t="str">
            <v>205657</v>
          </cell>
          <cell r="K1281" t="str">
            <v>VD</v>
          </cell>
          <cell r="L1281">
            <v>1</v>
          </cell>
          <cell r="M1281">
            <v>8.99</v>
          </cell>
        </row>
        <row r="1282">
          <cell r="C1282" t="str">
            <v>17249</v>
          </cell>
          <cell r="D1282" t="str">
            <v>FRONTERA SAUVIGNON BLANC</v>
          </cell>
          <cell r="E1282" t="str">
            <v>CONCHA Y TORO SA</v>
          </cell>
          <cell r="F1282" t="str">
            <v>3000</v>
          </cell>
          <cell r="G1282">
            <v>13</v>
          </cell>
          <cell r="H1282">
            <v>4</v>
          </cell>
          <cell r="I1282" t="str">
            <v>205657</v>
          </cell>
          <cell r="K1282" t="str">
            <v>VD</v>
          </cell>
          <cell r="L1282">
            <v>1</v>
          </cell>
          <cell r="M1282">
            <v>30.1</v>
          </cell>
        </row>
        <row r="1283">
          <cell r="C1283" t="str">
            <v>44314</v>
          </cell>
          <cell r="D1283" t="str">
            <v>TIERRA RICA CABERNET SAUVIGNON</v>
          </cell>
          <cell r="E1283" t="str">
            <v>VINA SAN PEDRO TARAPACA SA</v>
          </cell>
          <cell r="F1283" t="str">
            <v>750</v>
          </cell>
          <cell r="G1283">
            <v>13.5</v>
          </cell>
          <cell r="H1283">
            <v>12</v>
          </cell>
          <cell r="I1283" t="str">
            <v>1009</v>
          </cell>
          <cell r="K1283" t="str">
            <v>D</v>
          </cell>
          <cell r="L1283">
            <v>1</v>
          </cell>
          <cell r="M1283">
            <v>16.03</v>
          </cell>
        </row>
        <row r="1284">
          <cell r="C1284" t="str">
            <v>6330</v>
          </cell>
          <cell r="D1284" t="str">
            <v>CASILLERO DEL DIABLO CARMENERE</v>
          </cell>
          <cell r="E1284" t="str">
            <v>CONCHA Y TORO SA</v>
          </cell>
          <cell r="F1284" t="str">
            <v>750</v>
          </cell>
          <cell r="G1284">
            <v>13.5</v>
          </cell>
          <cell r="H1284">
            <v>12</v>
          </cell>
          <cell r="I1284" t="str">
            <v>205657</v>
          </cell>
          <cell r="K1284" t="str">
            <v>VD</v>
          </cell>
          <cell r="L1284">
            <v>1</v>
          </cell>
          <cell r="M1284">
            <v>12.77</v>
          </cell>
        </row>
        <row r="1285">
          <cell r="C1285" t="str">
            <v>22544</v>
          </cell>
          <cell r="D1285" t="str">
            <v>CASILLERO DEL DIABLO DEVIL'S RED BLEND</v>
          </cell>
          <cell r="E1285" t="str">
            <v>CONCHA Y TORO SA</v>
          </cell>
          <cell r="F1285" t="str">
            <v>750</v>
          </cell>
          <cell r="G1285">
            <v>14</v>
          </cell>
          <cell r="H1285">
            <v>12</v>
          </cell>
          <cell r="I1285" t="str">
            <v>205657</v>
          </cell>
          <cell r="K1285" t="str">
            <v>D</v>
          </cell>
          <cell r="L1285">
            <v>1</v>
          </cell>
          <cell r="M1285">
            <v>14.55</v>
          </cell>
        </row>
        <row r="1286">
          <cell r="C1286" t="str">
            <v>6701</v>
          </cell>
          <cell r="D1286" t="str">
            <v>CASILLERO DEL DIABLO MALBEC</v>
          </cell>
          <cell r="E1286" t="str">
            <v>CONCHA Y TORO SA</v>
          </cell>
          <cell r="F1286" t="str">
            <v>750</v>
          </cell>
          <cell r="G1286">
            <v>13.5</v>
          </cell>
          <cell r="H1286">
            <v>12</v>
          </cell>
          <cell r="I1286" t="str">
            <v>205657</v>
          </cell>
          <cell r="K1286" t="str">
            <v>VD</v>
          </cell>
          <cell r="L1286">
            <v>1</v>
          </cell>
          <cell r="M1286">
            <v>12.77</v>
          </cell>
        </row>
        <row r="1287">
          <cell r="C1287" t="str">
            <v>3673</v>
          </cell>
          <cell r="D1287" t="str">
            <v>CONO SUR BICICLETA PINOT NOIR</v>
          </cell>
          <cell r="E1287" t="str">
            <v>VINA CONO SUR/TOCORNAL</v>
          </cell>
          <cell r="F1287" t="str">
            <v>750</v>
          </cell>
          <cell r="G1287">
            <v>14</v>
          </cell>
          <cell r="H1287">
            <v>12</v>
          </cell>
          <cell r="I1287" t="str">
            <v>87388</v>
          </cell>
          <cell r="K1287" t="str">
            <v>D</v>
          </cell>
          <cell r="L1287">
            <v>1</v>
          </cell>
          <cell r="M1287">
            <v>10.51</v>
          </cell>
        </row>
        <row r="1288">
          <cell r="C1288" t="str">
            <v>1026</v>
          </cell>
          <cell r="D1288" t="str">
            <v>SANTA RITA 120 CABERNET SAUVIGNON</v>
          </cell>
          <cell r="E1288" t="str">
            <v>VINA SANTA RITA</v>
          </cell>
          <cell r="F1288" t="str">
            <v>750</v>
          </cell>
          <cell r="G1288">
            <v>12</v>
          </cell>
          <cell r="H1288">
            <v>12</v>
          </cell>
          <cell r="I1288" t="str">
            <v>152879</v>
          </cell>
          <cell r="K1288" t="str">
            <v>VD</v>
          </cell>
          <cell r="L1288">
            <v>1</v>
          </cell>
          <cell r="M1288">
            <v>11.43</v>
          </cell>
        </row>
        <row r="1289">
          <cell r="C1289" t="str">
            <v>38795</v>
          </cell>
          <cell r="D1289" t="str">
            <v>FAT BASTARD ROSE</v>
          </cell>
          <cell r="E1289" t="str">
            <v>GMDF (Gabriel Meffre)</v>
          </cell>
          <cell r="F1289" t="str">
            <v>750</v>
          </cell>
          <cell r="G1289">
            <v>12</v>
          </cell>
          <cell r="H1289">
            <v>12</v>
          </cell>
          <cell r="I1289" t="str">
            <v>1382</v>
          </cell>
          <cell r="K1289" t="str">
            <v>VD</v>
          </cell>
          <cell r="L1289">
            <v>1</v>
          </cell>
          <cell r="M1289">
            <v>14.82</v>
          </cell>
        </row>
        <row r="1290">
          <cell r="C1290" t="str">
            <v>31742</v>
          </cell>
          <cell r="D1290" t="str">
            <v>LA VIEILLE FERME ROSE</v>
          </cell>
          <cell r="E1290" t="str">
            <v>PERRIN ET FILS</v>
          </cell>
          <cell r="F1290" t="str">
            <v>3000</v>
          </cell>
          <cell r="G1290">
            <v>13</v>
          </cell>
          <cell r="H1290">
            <v>6</v>
          </cell>
          <cell r="I1290" t="str">
            <v>1535</v>
          </cell>
          <cell r="K1290" t="str">
            <v>MD</v>
          </cell>
          <cell r="L1290">
            <v>1</v>
          </cell>
          <cell r="M1290">
            <v>35.64</v>
          </cell>
        </row>
        <row r="1291">
          <cell r="C1291" t="str">
            <v>43220</v>
          </cell>
          <cell r="D1291" t="str">
            <v>LE PETIT CHAT MALIN ROSE</v>
          </cell>
          <cell r="E1291" t="str">
            <v>BOUTINOT LIMITED</v>
          </cell>
          <cell r="F1291" t="str">
            <v>750</v>
          </cell>
          <cell r="G1291">
            <v>12.5</v>
          </cell>
          <cell r="H1291">
            <v>12</v>
          </cell>
          <cell r="I1291" t="str">
            <v>140473</v>
          </cell>
          <cell r="K1291" t="str">
            <v>D</v>
          </cell>
          <cell r="L1291">
            <v>1</v>
          </cell>
          <cell r="M1291">
            <v>14.47</v>
          </cell>
        </row>
        <row r="1292">
          <cell r="C1292" t="str">
            <v>22226</v>
          </cell>
          <cell r="D1292" t="str">
            <v>LES FLEURS DU MAL CEVENNES ROSE</v>
          </cell>
          <cell r="E1292" t="str">
            <v>DOMAINE DE GOURNIER</v>
          </cell>
          <cell r="F1292" t="str">
            <v>750</v>
          </cell>
          <cell r="G1292">
            <v>12.5</v>
          </cell>
          <cell r="H1292">
            <v>12</v>
          </cell>
          <cell r="I1292" t="str">
            <v>3246</v>
          </cell>
          <cell r="K1292" t="str">
            <v>VD</v>
          </cell>
          <cell r="L1292">
            <v>1</v>
          </cell>
          <cell r="M1292">
            <v>15.99</v>
          </cell>
        </row>
        <row r="1293">
          <cell r="C1293" t="str">
            <v>38686</v>
          </cell>
          <cell r="D1293" t="str">
            <v>STUDIO ROSE BY MIRAVAL</v>
          </cell>
          <cell r="E1293" t="str">
            <v>PERRIN ET FILS</v>
          </cell>
          <cell r="F1293" t="str">
            <v>750</v>
          </cell>
          <cell r="G1293">
            <v>13</v>
          </cell>
          <cell r="H1293">
            <v>12</v>
          </cell>
          <cell r="I1293" t="str">
            <v>1535</v>
          </cell>
          <cell r="K1293" t="str">
            <v>VD</v>
          </cell>
          <cell r="L1293">
            <v>1</v>
          </cell>
          <cell r="M1293">
            <v>19.579999999999998</v>
          </cell>
        </row>
        <row r="1294">
          <cell r="C1294" t="str">
            <v>33053</v>
          </cell>
          <cell r="D1294" t="str">
            <v>YES WAY ROSE</v>
          </cell>
          <cell r="E1294" t="str">
            <v>PRESTIGE BEVERAGE GROUP</v>
          </cell>
          <cell r="F1294" t="str">
            <v>750</v>
          </cell>
          <cell r="G1294">
            <v>13</v>
          </cell>
          <cell r="H1294">
            <v>12</v>
          </cell>
          <cell r="I1294" t="str">
            <v>131637</v>
          </cell>
          <cell r="K1294" t="str">
            <v>VD</v>
          </cell>
          <cell r="L1294">
            <v>1</v>
          </cell>
          <cell r="M1294">
            <v>16.989999999999998</v>
          </cell>
        </row>
        <row r="1295">
          <cell r="C1295" t="str">
            <v>46364</v>
          </cell>
          <cell r="D1295" t="str">
            <v>AVENUE SYRAH GRENACHE</v>
          </cell>
          <cell r="E1295" t="str">
            <v>ANDREW PELLER LIMITED</v>
          </cell>
          <cell r="F1295" t="str">
            <v>750</v>
          </cell>
          <cell r="G1295">
            <v>14.5</v>
          </cell>
          <cell r="H1295">
            <v>12</v>
          </cell>
          <cell r="I1295" t="str">
            <v>4095</v>
          </cell>
          <cell r="K1295" t="str">
            <v>VD</v>
          </cell>
          <cell r="L1295">
            <v>1</v>
          </cell>
          <cell r="M1295">
            <v>13.31</v>
          </cell>
        </row>
        <row r="1296">
          <cell r="C1296" t="str">
            <v>37426</v>
          </cell>
          <cell r="D1296" t="str">
            <v>FAT BASTARD CABERNET SAUVIGNON</v>
          </cell>
          <cell r="E1296" t="str">
            <v>GMDF (Gabriel Meffre)</v>
          </cell>
          <cell r="F1296" t="str">
            <v>750</v>
          </cell>
          <cell r="G1296">
            <v>13.5</v>
          </cell>
          <cell r="H1296">
            <v>12</v>
          </cell>
          <cell r="I1296" t="str">
            <v>1382</v>
          </cell>
          <cell r="K1296" t="str">
            <v>VD</v>
          </cell>
          <cell r="L1296">
            <v>1</v>
          </cell>
          <cell r="M1296">
            <v>14.82</v>
          </cell>
        </row>
        <row r="1297">
          <cell r="C1297" t="str">
            <v>36354</v>
          </cell>
          <cell r="D1297" t="str">
            <v>LA VIEILLE FERME ROUGE</v>
          </cell>
          <cell r="E1297" t="str">
            <v>PERRIN ET FILS</v>
          </cell>
          <cell r="F1297" t="str">
            <v>3000</v>
          </cell>
          <cell r="G1297">
            <v>13.5</v>
          </cell>
          <cell r="H1297">
            <v>6</v>
          </cell>
          <cell r="I1297" t="str">
            <v>1535</v>
          </cell>
          <cell r="K1297" t="str">
            <v>D</v>
          </cell>
          <cell r="L1297">
            <v>1</v>
          </cell>
          <cell r="M1297">
            <v>35.64</v>
          </cell>
        </row>
        <row r="1298">
          <cell r="C1298" t="str">
            <v>42959</v>
          </cell>
          <cell r="D1298" t="str">
            <v>AVENUE SAUVIGNON BLANC</v>
          </cell>
          <cell r="E1298" t="str">
            <v>ANDREW PELLER LIMITED</v>
          </cell>
          <cell r="F1298" t="str">
            <v>750</v>
          </cell>
          <cell r="G1298">
            <v>12.5</v>
          </cell>
          <cell r="H1298">
            <v>12</v>
          </cell>
          <cell r="I1298" t="str">
            <v>4095</v>
          </cell>
          <cell r="K1298" t="str">
            <v>VD</v>
          </cell>
          <cell r="L1298">
            <v>1</v>
          </cell>
          <cell r="M1298">
            <v>13.31</v>
          </cell>
        </row>
        <row r="1299">
          <cell r="C1299" t="str">
            <v>24576</v>
          </cell>
          <cell r="D1299" t="str">
            <v>FAT BASTARD CHARDONNAY</v>
          </cell>
          <cell r="E1299" t="str">
            <v>GMDF (Gabriel Meffre)</v>
          </cell>
          <cell r="F1299" t="str">
            <v>750</v>
          </cell>
          <cell r="G1299">
            <v>13</v>
          </cell>
          <cell r="H1299">
            <v>12</v>
          </cell>
          <cell r="I1299" t="str">
            <v>1382</v>
          </cell>
          <cell r="K1299" t="str">
            <v>VD</v>
          </cell>
          <cell r="L1299">
            <v>1</v>
          </cell>
          <cell r="M1299">
            <v>14.82</v>
          </cell>
        </row>
        <row r="1300">
          <cell r="C1300" t="str">
            <v>36383</v>
          </cell>
          <cell r="D1300" t="str">
            <v>LA VIEILLE FERME WHITE</v>
          </cell>
          <cell r="E1300" t="str">
            <v>PERRIN ET FILS</v>
          </cell>
          <cell r="F1300" t="str">
            <v>3000</v>
          </cell>
          <cell r="G1300">
            <v>13</v>
          </cell>
          <cell r="H1300">
            <v>6</v>
          </cell>
          <cell r="I1300" t="str">
            <v>1535</v>
          </cell>
          <cell r="K1300" t="str">
            <v>VD</v>
          </cell>
          <cell r="L1300">
            <v>1</v>
          </cell>
          <cell r="M1300">
            <v>35.64</v>
          </cell>
        </row>
        <row r="1301">
          <cell r="C1301" t="str">
            <v>2962</v>
          </cell>
          <cell r="D1301" t="str">
            <v>LE VILLAGEOIS WHITE</v>
          </cell>
          <cell r="E1301" t="str">
            <v>ARTERRA WINES CANADA INC</v>
          </cell>
          <cell r="F1301" t="str">
            <v>4000</v>
          </cell>
          <cell r="G1301">
            <v>11.5</v>
          </cell>
          <cell r="H1301">
            <v>4</v>
          </cell>
          <cell r="I1301" t="str">
            <v>1008</v>
          </cell>
          <cell r="K1301" t="str">
            <v>VD</v>
          </cell>
          <cell r="L1301">
            <v>1</v>
          </cell>
          <cell r="M1301">
            <v>28.92</v>
          </cell>
        </row>
        <row r="1302">
          <cell r="C1302" t="str">
            <v>27176</v>
          </cell>
          <cell r="D1302" t="str">
            <v>LES FLEURS DU MAL COTES DE GASCOGNE</v>
          </cell>
          <cell r="E1302" t="str">
            <v>DOMAINE DE MENARD</v>
          </cell>
          <cell r="F1302" t="str">
            <v>750</v>
          </cell>
          <cell r="G1302">
            <v>11.5</v>
          </cell>
          <cell r="H1302">
            <v>12</v>
          </cell>
          <cell r="I1302" t="str">
            <v>3246</v>
          </cell>
          <cell r="K1302" t="str">
            <v>VD</v>
          </cell>
          <cell r="L1302">
            <v>1</v>
          </cell>
          <cell r="M1302">
            <v>15.99</v>
          </cell>
        </row>
        <row r="1303">
          <cell r="C1303" t="str">
            <v>23614</v>
          </cell>
          <cell r="D1303" t="str">
            <v>LES FUMEES BLANCHES SAUVIGNON BLANC</v>
          </cell>
          <cell r="E1303" t="str">
            <v>FRANCOIS LURTON  SA</v>
          </cell>
          <cell r="F1303" t="str">
            <v>750</v>
          </cell>
          <cell r="G1303">
            <v>12</v>
          </cell>
          <cell r="H1303">
            <v>12</v>
          </cell>
          <cell r="I1303" t="str">
            <v>194112</v>
          </cell>
          <cell r="K1303" t="str">
            <v>D</v>
          </cell>
          <cell r="L1303">
            <v>1</v>
          </cell>
          <cell r="M1303">
            <v>14.88</v>
          </cell>
        </row>
        <row r="1304">
          <cell r="C1304" t="str">
            <v>25044</v>
          </cell>
          <cell r="D1304" t="str">
            <v>M. CHAPOUTIER BELLERUCHE ROUGE</v>
          </cell>
          <cell r="E1304" t="str">
            <v>M CHAPOUTIER SA</v>
          </cell>
          <cell r="F1304" t="str">
            <v>750</v>
          </cell>
          <cell r="G1304">
            <v>14.5</v>
          </cell>
          <cell r="H1304">
            <v>12</v>
          </cell>
          <cell r="I1304" t="str">
            <v>1537</v>
          </cell>
          <cell r="K1304" t="str">
            <v>VD</v>
          </cell>
          <cell r="L1304">
            <v>1</v>
          </cell>
          <cell r="M1304">
            <v>18.57</v>
          </cell>
        </row>
        <row r="1305">
          <cell r="C1305" t="str">
            <v>46367</v>
          </cell>
          <cell r="D1305" t="str">
            <v>GERARD BERTRAND COTE DES ROSES LIGHT RED</v>
          </cell>
          <cell r="E1305" t="str">
            <v>GERARD BERTRAND</v>
          </cell>
          <cell r="F1305" t="str">
            <v>750</v>
          </cell>
          <cell r="G1305">
            <v>12.5</v>
          </cell>
          <cell r="H1305">
            <v>12</v>
          </cell>
          <cell r="I1305" t="str">
            <v>3238</v>
          </cell>
          <cell r="K1305" t="str">
            <v>D</v>
          </cell>
          <cell r="L1305">
            <v>1</v>
          </cell>
          <cell r="M1305">
            <v>20.059999999999999</v>
          </cell>
        </row>
        <row r="1306">
          <cell r="C1306" t="str">
            <v>46737</v>
          </cell>
          <cell r="D1306" t="str">
            <v>L'ORATOIRE DES PAPES RED</v>
          </cell>
          <cell r="E1306" t="str">
            <v>ADVINI</v>
          </cell>
          <cell r="F1306" t="str">
            <v>750</v>
          </cell>
          <cell r="G1306">
            <v>15</v>
          </cell>
          <cell r="H1306">
            <v>12</v>
          </cell>
          <cell r="I1306" t="str">
            <v>3265</v>
          </cell>
          <cell r="K1306" t="str">
            <v>VD</v>
          </cell>
          <cell r="L1306">
            <v>1</v>
          </cell>
          <cell r="M1306">
            <v>47.63</v>
          </cell>
        </row>
        <row r="1307">
          <cell r="C1307" t="str">
            <v>48381</v>
          </cell>
          <cell r="D1307" t="str">
            <v>CELLIER DES DAUPHINS VAL SOLEU ROSE</v>
          </cell>
          <cell r="E1307" t="str">
            <v>CELLIER DES DAUPHINS</v>
          </cell>
          <cell r="F1307" t="str">
            <v>750</v>
          </cell>
          <cell r="G1307">
            <v>12.5</v>
          </cell>
          <cell r="H1307">
            <v>12</v>
          </cell>
          <cell r="I1307" t="str">
            <v>3246</v>
          </cell>
          <cell r="K1307" t="str">
            <v>VD</v>
          </cell>
          <cell r="L1307">
            <v>1</v>
          </cell>
          <cell r="M1307">
            <v>19.989999999999998</v>
          </cell>
        </row>
        <row r="1308">
          <cell r="C1308" t="str">
            <v>41002</v>
          </cell>
          <cell r="D1308" t="str">
            <v>LE BIJOU DE SOPHIE VALROSE ROSE</v>
          </cell>
          <cell r="E1308" t="str">
            <v>CRUSH WINES</v>
          </cell>
          <cell r="F1308" t="str">
            <v>750</v>
          </cell>
          <cell r="G1308">
            <v>12.5</v>
          </cell>
          <cell r="H1308">
            <v>12</v>
          </cell>
          <cell r="I1308" t="str">
            <v>55942</v>
          </cell>
          <cell r="K1308" t="str">
            <v>VD</v>
          </cell>
          <cell r="L1308">
            <v>1</v>
          </cell>
          <cell r="M1308">
            <v>19.03</v>
          </cell>
        </row>
        <row r="1309">
          <cell r="C1309" t="str">
            <v>12389</v>
          </cell>
          <cell r="D1309" t="str">
            <v>ARROGANT FROG CABERNET MERLOT RIBBET RED</v>
          </cell>
          <cell r="E1309" t="str">
            <v>DOMAINE PAUL MAS</v>
          </cell>
          <cell r="F1309" t="str">
            <v>750</v>
          </cell>
          <cell r="G1309">
            <v>13.5</v>
          </cell>
          <cell r="H1309">
            <v>12</v>
          </cell>
          <cell r="I1309" t="str">
            <v>1535</v>
          </cell>
          <cell r="K1309" t="str">
            <v>VD</v>
          </cell>
          <cell r="L1309">
            <v>1</v>
          </cell>
          <cell r="M1309">
            <v>13.25</v>
          </cell>
        </row>
        <row r="1310">
          <cell r="C1310" t="str">
            <v>31674</v>
          </cell>
          <cell r="D1310" t="str">
            <v>DUBOEUF FLOWER CHARDONNAY IGP</v>
          </cell>
          <cell r="E1310" t="str">
            <v>LES VINS DE GEORGES DUBOEUF</v>
          </cell>
          <cell r="F1310" t="str">
            <v>750</v>
          </cell>
          <cell r="G1310">
            <v>13.5</v>
          </cell>
          <cell r="H1310">
            <v>12</v>
          </cell>
          <cell r="I1310" t="str">
            <v>1537</v>
          </cell>
          <cell r="K1310" t="str">
            <v>MD</v>
          </cell>
          <cell r="L1310">
            <v>1</v>
          </cell>
          <cell r="M1310">
            <v>18.13</v>
          </cell>
        </row>
        <row r="1311">
          <cell r="C1311" t="str">
            <v>1272</v>
          </cell>
          <cell r="D1311" t="str">
            <v>BOUCHARD AINE BEAUJOLAIS</v>
          </cell>
          <cell r="E1311" t="str">
            <v>BOUCHARD AINE &amp; FILS</v>
          </cell>
          <cell r="F1311" t="str">
            <v>750</v>
          </cell>
          <cell r="G1311">
            <v>13</v>
          </cell>
          <cell r="H1311">
            <v>12</v>
          </cell>
          <cell r="I1311" t="str">
            <v>205873</v>
          </cell>
          <cell r="K1311" t="str">
            <v>D</v>
          </cell>
          <cell r="L1311">
            <v>1</v>
          </cell>
          <cell r="M1311">
            <v>18.03</v>
          </cell>
        </row>
        <row r="1312">
          <cell r="C1312" t="str">
            <v>1968</v>
          </cell>
          <cell r="D1312" t="str">
            <v>CHATEAU LE COLOMBIER COURTEILLAC</v>
          </cell>
          <cell r="E1312" t="str">
            <v>CRUSE ET DOMAINES DE FRANCE</v>
          </cell>
          <cell r="F1312" t="str">
            <v>750</v>
          </cell>
          <cell r="G1312">
            <v>12</v>
          </cell>
          <cell r="H1312">
            <v>12</v>
          </cell>
          <cell r="I1312" t="str">
            <v>3293</v>
          </cell>
          <cell r="K1312" t="str">
            <v>VD</v>
          </cell>
          <cell r="L1312">
            <v>1</v>
          </cell>
          <cell r="M1312">
            <v>14.97</v>
          </cell>
        </row>
        <row r="1313">
          <cell r="C1313" t="str">
            <v>46366</v>
          </cell>
          <cell r="D1313" t="str">
            <v>CHATEAU REDON BORDEAUX</v>
          </cell>
          <cell r="E1313" t="str">
            <v>LES CELLIERS DE BORDEAUX BENAUGES</v>
          </cell>
          <cell r="F1313" t="str">
            <v>750</v>
          </cell>
          <cell r="G1313">
            <v>13.5</v>
          </cell>
          <cell r="H1313">
            <v>12</v>
          </cell>
          <cell r="I1313" t="str">
            <v>3246</v>
          </cell>
          <cell r="K1313" t="str">
            <v>VD</v>
          </cell>
          <cell r="L1313">
            <v>1</v>
          </cell>
          <cell r="M1313">
            <v>18.989999999999998</v>
          </cell>
        </row>
        <row r="1314">
          <cell r="C1314" t="str">
            <v>4691</v>
          </cell>
          <cell r="D1314" t="str">
            <v>CHATEAU PEY LA TOUR</v>
          </cell>
          <cell r="E1314" t="str">
            <v>DOURTHE FRERES</v>
          </cell>
          <cell r="F1314" t="str">
            <v>750</v>
          </cell>
          <cell r="G1314">
            <v>14.5</v>
          </cell>
          <cell r="H1314">
            <v>12</v>
          </cell>
          <cell r="I1314" t="str">
            <v>1537</v>
          </cell>
          <cell r="K1314" t="str">
            <v>VD</v>
          </cell>
          <cell r="L1314">
            <v>1</v>
          </cell>
          <cell r="M1314">
            <v>20.71</v>
          </cell>
        </row>
        <row r="1315">
          <cell r="C1315" t="str">
            <v>17626</v>
          </cell>
          <cell r="D1315" t="str">
            <v>CHATEAU TIMBERLAY BORDEAUX SUPERIOR</v>
          </cell>
          <cell r="E1315" t="str">
            <v>LES GRANDS CHAIS DE FRANCE</v>
          </cell>
          <cell r="F1315" t="str">
            <v>750</v>
          </cell>
          <cell r="G1315">
            <v>13.5</v>
          </cell>
          <cell r="H1315">
            <v>12</v>
          </cell>
          <cell r="I1315" t="str">
            <v>3243</v>
          </cell>
          <cell r="K1315" t="str">
            <v>VD</v>
          </cell>
          <cell r="L1315">
            <v>1</v>
          </cell>
          <cell r="M1315">
            <v>17.47</v>
          </cell>
        </row>
        <row r="1316">
          <cell r="C1316" t="str">
            <v>3355</v>
          </cell>
          <cell r="D1316" t="str">
            <v>ROTHSCHILD MOUTON CADET RED</v>
          </cell>
          <cell r="E1316" t="str">
            <v>BARON PHILIPPE ROTHSCHILD SA</v>
          </cell>
          <cell r="F1316" t="str">
            <v>750</v>
          </cell>
          <cell r="G1316">
            <v>13.5</v>
          </cell>
          <cell r="H1316">
            <v>12</v>
          </cell>
          <cell r="I1316" t="str">
            <v>1535</v>
          </cell>
          <cell r="K1316" t="str">
            <v>VD</v>
          </cell>
          <cell r="L1316">
            <v>1</v>
          </cell>
          <cell r="M1316">
            <v>16.77</v>
          </cell>
        </row>
        <row r="1317">
          <cell r="C1317" t="str">
            <v>19487</v>
          </cell>
          <cell r="D1317" t="str">
            <v>LOUIS LATOUR BOURGOGNE PINOT NOIR</v>
          </cell>
          <cell r="E1317" t="str">
            <v>MAISON LOUIS LATOUR</v>
          </cell>
          <cell r="F1317" t="str">
            <v>750</v>
          </cell>
          <cell r="G1317">
            <v>13</v>
          </cell>
          <cell r="H1317">
            <v>12</v>
          </cell>
          <cell r="I1317" t="str">
            <v>1009</v>
          </cell>
          <cell r="K1317" t="str">
            <v>VD</v>
          </cell>
          <cell r="L1317">
            <v>1</v>
          </cell>
          <cell r="M1317">
            <v>33.090000000000003</v>
          </cell>
        </row>
        <row r="1318">
          <cell r="C1318" t="str">
            <v>1890</v>
          </cell>
          <cell r="D1318" t="str">
            <v>LOUIS LATOUR CHARDONNAY</v>
          </cell>
          <cell r="E1318" t="str">
            <v>MAISON LOUIS LATOUR</v>
          </cell>
          <cell r="F1318" t="str">
            <v>750</v>
          </cell>
          <cell r="G1318">
            <v>13</v>
          </cell>
          <cell r="H1318">
            <v>12</v>
          </cell>
          <cell r="I1318" t="str">
            <v>1009</v>
          </cell>
          <cell r="K1318" t="str">
            <v>VD</v>
          </cell>
          <cell r="L1318">
            <v>1</v>
          </cell>
          <cell r="M1318">
            <v>29</v>
          </cell>
        </row>
        <row r="1319">
          <cell r="C1319" t="str">
            <v>24445</v>
          </cell>
          <cell r="D1319" t="str">
            <v>GERARD BERTRAND COTE DES ROSES ROSE</v>
          </cell>
          <cell r="E1319" t="str">
            <v>GERARD BERTRAND</v>
          </cell>
          <cell r="F1319" t="str">
            <v>750</v>
          </cell>
          <cell r="G1319">
            <v>12.5</v>
          </cell>
          <cell r="H1319">
            <v>12</v>
          </cell>
          <cell r="I1319" t="str">
            <v>3238</v>
          </cell>
          <cell r="K1319" t="str">
            <v>VD</v>
          </cell>
          <cell r="L1319">
            <v>1</v>
          </cell>
          <cell r="M1319">
            <v>19.64</v>
          </cell>
        </row>
        <row r="1320">
          <cell r="C1320" t="str">
            <v>33848</v>
          </cell>
          <cell r="D1320" t="str">
            <v>GERARD BERTRAND COTES D ROSES PINOT NOIR</v>
          </cell>
          <cell r="E1320" t="str">
            <v>GERARD BERTRAND</v>
          </cell>
          <cell r="F1320" t="str">
            <v>750</v>
          </cell>
          <cell r="G1320">
            <v>13.5</v>
          </cell>
          <cell r="H1320">
            <v>12</v>
          </cell>
          <cell r="I1320" t="str">
            <v>3238</v>
          </cell>
          <cell r="K1320" t="str">
            <v>VD</v>
          </cell>
          <cell r="L1320">
            <v>1</v>
          </cell>
          <cell r="M1320">
            <v>20.3</v>
          </cell>
        </row>
        <row r="1321">
          <cell r="C1321" t="str">
            <v>22554</v>
          </cell>
          <cell r="D1321" t="str">
            <v>LES JAMELLES MERLOT</v>
          </cell>
          <cell r="E1321" t="str">
            <v>BADET CLEMENT &amp; CIE</v>
          </cell>
          <cell r="F1321" t="str">
            <v>750</v>
          </cell>
          <cell r="G1321">
            <v>13.5</v>
          </cell>
          <cell r="H1321">
            <v>12</v>
          </cell>
          <cell r="I1321" t="str">
            <v>1537</v>
          </cell>
          <cell r="K1321" t="str">
            <v>VD</v>
          </cell>
          <cell r="L1321">
            <v>1</v>
          </cell>
          <cell r="M1321">
            <v>14.94</v>
          </cell>
        </row>
        <row r="1322">
          <cell r="C1322" t="str">
            <v>33849</v>
          </cell>
          <cell r="D1322" t="str">
            <v>GERARD BERTRAND COTES DES ROSES CHARD</v>
          </cell>
          <cell r="E1322" t="str">
            <v>GERARD BERTRAND</v>
          </cell>
          <cell r="F1322" t="str">
            <v>750</v>
          </cell>
          <cell r="G1322">
            <v>13.5</v>
          </cell>
          <cell r="H1322">
            <v>12</v>
          </cell>
          <cell r="I1322" t="str">
            <v>3238</v>
          </cell>
          <cell r="K1322" t="str">
            <v>VD</v>
          </cell>
          <cell r="L1322">
            <v>1</v>
          </cell>
          <cell r="M1322">
            <v>20.3</v>
          </cell>
        </row>
        <row r="1323">
          <cell r="C1323" t="str">
            <v>44274</v>
          </cell>
          <cell r="D1323" t="str">
            <v>LYV SAUVIGNON BLANC</v>
          </cell>
          <cell r="E1323" t="str">
            <v>ADVINI</v>
          </cell>
          <cell r="F1323" t="str">
            <v>750</v>
          </cell>
          <cell r="G1323">
            <v>12</v>
          </cell>
          <cell r="H1323">
            <v>12</v>
          </cell>
          <cell r="I1323" t="str">
            <v>3265</v>
          </cell>
          <cell r="K1323" t="str">
            <v>VD</v>
          </cell>
          <cell r="L1323">
            <v>1</v>
          </cell>
          <cell r="M1323">
            <v>17.16</v>
          </cell>
        </row>
        <row r="1324">
          <cell r="C1324" t="str">
            <v>6385</v>
          </cell>
          <cell r="D1324" t="str">
            <v>FAT BASTARD MERLOT</v>
          </cell>
          <cell r="E1324" t="str">
            <v>GMDF (Gabriel Meffre)</v>
          </cell>
          <cell r="F1324" t="str">
            <v>750</v>
          </cell>
          <cell r="G1324">
            <v>13</v>
          </cell>
          <cell r="H1324">
            <v>12</v>
          </cell>
          <cell r="I1324" t="str">
            <v>1382</v>
          </cell>
          <cell r="K1324" t="str">
            <v>VD</v>
          </cell>
          <cell r="L1324">
            <v>1</v>
          </cell>
          <cell r="M1324">
            <v>14.82</v>
          </cell>
        </row>
        <row r="1325">
          <cell r="C1325" t="str">
            <v>6286</v>
          </cell>
          <cell r="D1325" t="str">
            <v>ROTHSCHILD PINOT NOIR</v>
          </cell>
          <cell r="E1325" t="str">
            <v>BARON PHILIPPE ROTHSCHILD SA</v>
          </cell>
          <cell r="F1325" t="str">
            <v>750</v>
          </cell>
          <cell r="G1325">
            <v>12.5</v>
          </cell>
          <cell r="H1325">
            <v>12</v>
          </cell>
          <cell r="I1325" t="str">
            <v>1535</v>
          </cell>
          <cell r="K1325" t="str">
            <v>VD</v>
          </cell>
          <cell r="L1325">
            <v>1</v>
          </cell>
          <cell r="M1325">
            <v>14.14</v>
          </cell>
        </row>
        <row r="1326">
          <cell r="C1326" t="str">
            <v>40815</v>
          </cell>
          <cell r="D1326" t="str">
            <v>LYV ROSE IGP</v>
          </cell>
          <cell r="E1326" t="str">
            <v>ADVINI</v>
          </cell>
          <cell r="F1326" t="str">
            <v>750</v>
          </cell>
          <cell r="G1326">
            <v>12</v>
          </cell>
          <cell r="H1326">
            <v>12</v>
          </cell>
          <cell r="I1326" t="str">
            <v>3265</v>
          </cell>
          <cell r="K1326" t="str">
            <v>VD</v>
          </cell>
          <cell r="L1326">
            <v>1</v>
          </cell>
          <cell r="M1326">
            <v>17.23</v>
          </cell>
        </row>
        <row r="1327">
          <cell r="C1327" t="str">
            <v>28767</v>
          </cell>
          <cell r="D1327" t="str">
            <v>FELICETTE CATS IN SPACE GRENACHE ROUGE</v>
          </cell>
          <cell r="E1327" t="str">
            <v>ALLIANCE WINE</v>
          </cell>
          <cell r="F1327" t="str">
            <v>750</v>
          </cell>
          <cell r="G1327">
            <v>12.5</v>
          </cell>
          <cell r="H1327">
            <v>12</v>
          </cell>
          <cell r="I1327" t="str">
            <v>87388</v>
          </cell>
          <cell r="K1327" t="str">
            <v>VD</v>
          </cell>
          <cell r="L1327">
            <v>1</v>
          </cell>
          <cell r="M1327">
            <v>16.89</v>
          </cell>
        </row>
        <row r="1328">
          <cell r="C1328" t="str">
            <v>26865</v>
          </cell>
          <cell r="D1328" t="str">
            <v>WHISPERING ANGEL ROSE</v>
          </cell>
          <cell r="E1328" t="str">
            <v>CAVES d'ESCLANS</v>
          </cell>
          <cell r="F1328" t="str">
            <v>750</v>
          </cell>
          <cell r="G1328">
            <v>13</v>
          </cell>
          <cell r="H1328">
            <v>12</v>
          </cell>
          <cell r="I1328" t="str">
            <v>194112</v>
          </cell>
          <cell r="K1328" t="str">
            <v>VD</v>
          </cell>
          <cell r="L1328">
            <v>1</v>
          </cell>
          <cell r="M1328">
            <v>27.17</v>
          </cell>
        </row>
        <row r="1329">
          <cell r="C1329" t="str">
            <v>4699</v>
          </cell>
          <cell r="D1329" t="str">
            <v>LA VIEILLE FERME COTES DU VENTOUX ROSE</v>
          </cell>
          <cell r="E1329" t="str">
            <v>PERRIN ET FILS</v>
          </cell>
          <cell r="F1329" t="str">
            <v>750</v>
          </cell>
          <cell r="G1329">
            <v>13</v>
          </cell>
          <cell r="H1329">
            <v>12</v>
          </cell>
          <cell r="I1329" t="str">
            <v>1535</v>
          </cell>
          <cell r="K1329" t="str">
            <v>MD</v>
          </cell>
          <cell r="L1329">
            <v>1</v>
          </cell>
          <cell r="M1329">
            <v>12.99</v>
          </cell>
        </row>
        <row r="1330">
          <cell r="C1330" t="str">
            <v>25146</v>
          </cell>
          <cell r="D1330" t="str">
            <v>LOUIS BERNARD COTES DU RHONE ROSE</v>
          </cell>
          <cell r="E1330" t="str">
            <v>LOUIS BERNARD</v>
          </cell>
          <cell r="F1330" t="str">
            <v>750</v>
          </cell>
          <cell r="G1330">
            <v>13</v>
          </cell>
          <cell r="H1330">
            <v>12</v>
          </cell>
          <cell r="I1330" t="str">
            <v>87388</v>
          </cell>
          <cell r="K1330" t="str">
            <v>D</v>
          </cell>
          <cell r="L1330">
            <v>1</v>
          </cell>
          <cell r="M1330">
            <v>16.989999999999998</v>
          </cell>
        </row>
        <row r="1331">
          <cell r="C1331" t="str">
            <v>32091</v>
          </cell>
          <cell r="D1331" t="str">
            <v>M. CHAPOUTIER BELLERUCHE ROSE</v>
          </cell>
          <cell r="E1331" t="str">
            <v>M CHAPOUTIER SA</v>
          </cell>
          <cell r="F1331" t="str">
            <v>750</v>
          </cell>
          <cell r="G1331">
            <v>13.5</v>
          </cell>
          <cell r="H1331">
            <v>12</v>
          </cell>
          <cell r="I1331" t="str">
            <v>1537</v>
          </cell>
          <cell r="K1331" t="str">
            <v>VD</v>
          </cell>
          <cell r="L1331">
            <v>1</v>
          </cell>
          <cell r="M1331">
            <v>18.559999999999999</v>
          </cell>
        </row>
        <row r="1332">
          <cell r="C1332" t="str">
            <v>22551</v>
          </cell>
          <cell r="D1332" t="str">
            <v>BROTTE COTES DU RHONE LA FIOLE</v>
          </cell>
          <cell r="E1332" t="str">
            <v>MAISON BROTTE SA</v>
          </cell>
          <cell r="F1332" t="str">
            <v>750</v>
          </cell>
          <cell r="G1332">
            <v>14</v>
          </cell>
          <cell r="H1332">
            <v>12</v>
          </cell>
          <cell r="I1332" t="str">
            <v>1009</v>
          </cell>
          <cell r="K1332" t="str">
            <v>VD</v>
          </cell>
          <cell r="L1332">
            <v>1</v>
          </cell>
          <cell r="M1332">
            <v>19</v>
          </cell>
        </row>
        <row r="1333">
          <cell r="C1333" t="str">
            <v>2016</v>
          </cell>
          <cell r="D1333" t="str">
            <v>CHATEAUNEUF DU PAPE DE LA GARDINE ROUGE</v>
          </cell>
          <cell r="E1333" t="str">
            <v>BRUNEL PERE ET FILS SARL</v>
          </cell>
          <cell r="F1333" t="str">
            <v>750</v>
          </cell>
          <cell r="G1333">
            <v>14</v>
          </cell>
          <cell r="H1333">
            <v>12</v>
          </cell>
          <cell r="I1333" t="str">
            <v>3245</v>
          </cell>
          <cell r="J1333">
            <v>2007</v>
          </cell>
          <cell r="K1333" t="str">
            <v>VD</v>
          </cell>
          <cell r="L1333">
            <v>1</v>
          </cell>
          <cell r="M1333">
            <v>53.49</v>
          </cell>
        </row>
        <row r="1334">
          <cell r="C1334" t="str">
            <v>6973</v>
          </cell>
          <cell r="D1334" t="str">
            <v>COTES DU RHONE RESERVE - PERRIN</v>
          </cell>
          <cell r="E1334" t="str">
            <v>PERRIN ET FILS</v>
          </cell>
          <cell r="F1334" t="str">
            <v>750</v>
          </cell>
          <cell r="G1334">
            <v>13</v>
          </cell>
          <cell r="H1334">
            <v>12</v>
          </cell>
          <cell r="I1334" t="str">
            <v>1535</v>
          </cell>
          <cell r="K1334" t="str">
            <v>VD</v>
          </cell>
          <cell r="L1334">
            <v>1</v>
          </cell>
          <cell r="M1334">
            <v>16.989999999999998</v>
          </cell>
        </row>
        <row r="1335">
          <cell r="C1335" t="str">
            <v>2887</v>
          </cell>
          <cell r="D1335" t="str">
            <v>LA VIEILLE FERME COTES DU VENTOUX RED</v>
          </cell>
          <cell r="E1335" t="str">
            <v>PERRIN ET FILS</v>
          </cell>
          <cell r="F1335" t="str">
            <v>750</v>
          </cell>
          <cell r="G1335">
            <v>13</v>
          </cell>
          <cell r="H1335">
            <v>12</v>
          </cell>
          <cell r="I1335" t="str">
            <v>1535</v>
          </cell>
          <cell r="K1335" t="str">
            <v>VD</v>
          </cell>
          <cell r="L1335">
            <v>1</v>
          </cell>
          <cell r="M1335">
            <v>12.99</v>
          </cell>
        </row>
        <row r="1336">
          <cell r="C1336" t="str">
            <v>2886</v>
          </cell>
          <cell r="D1336" t="str">
            <v>LA VIEILLE FERME COTES DU LUBERON WHITE</v>
          </cell>
          <cell r="E1336" t="str">
            <v>PERRIN ET FILS</v>
          </cell>
          <cell r="F1336" t="str">
            <v>750</v>
          </cell>
          <cell r="G1336">
            <v>13</v>
          </cell>
          <cell r="H1336">
            <v>12</v>
          </cell>
          <cell r="I1336" t="str">
            <v>3236</v>
          </cell>
          <cell r="K1336" t="str">
            <v>VD</v>
          </cell>
          <cell r="L1336">
            <v>1</v>
          </cell>
          <cell r="M1336">
            <v>12.99</v>
          </cell>
        </row>
        <row r="1337">
          <cell r="C1337" t="str">
            <v>12053</v>
          </cell>
          <cell r="D1337" t="str">
            <v>CHATEAUNEUF DU PAPE LA FIOLE DU PAPE</v>
          </cell>
          <cell r="E1337" t="str">
            <v>MAISON BROTTE SA</v>
          </cell>
          <cell r="F1337" t="str">
            <v>750</v>
          </cell>
          <cell r="G1337">
            <v>14.5</v>
          </cell>
          <cell r="H1337">
            <v>12</v>
          </cell>
          <cell r="I1337" t="str">
            <v>1009</v>
          </cell>
          <cell r="J1337">
            <v>2009</v>
          </cell>
          <cell r="K1337" t="str">
            <v>VD</v>
          </cell>
          <cell r="L1337">
            <v>1</v>
          </cell>
          <cell r="M1337">
            <v>44</v>
          </cell>
        </row>
        <row r="1338">
          <cell r="C1338" t="str">
            <v>32763</v>
          </cell>
          <cell r="D1338" t="str">
            <v>BREE PINOT NOIR ROSE</v>
          </cell>
          <cell r="E1338" t="str">
            <v>PETER MERTES</v>
          </cell>
          <cell r="F1338" t="str">
            <v>750</v>
          </cell>
          <cell r="G1338">
            <v>11</v>
          </cell>
          <cell r="H1338">
            <v>12</v>
          </cell>
          <cell r="I1338" t="str">
            <v>206239</v>
          </cell>
          <cell r="K1338" t="str">
            <v>MS</v>
          </cell>
          <cell r="L1338">
            <v>1</v>
          </cell>
          <cell r="M1338">
            <v>14.99</v>
          </cell>
        </row>
        <row r="1339">
          <cell r="C1339" t="str">
            <v>37047</v>
          </cell>
          <cell r="D1339" t="str">
            <v>BLUE NUN RIESLING</v>
          </cell>
          <cell r="E1339" t="str">
            <v>Zimmermann Graeff &amp; Müller Gmbh</v>
          </cell>
          <cell r="F1339" t="str">
            <v>3000</v>
          </cell>
          <cell r="G1339">
            <v>9</v>
          </cell>
          <cell r="H1339">
            <v>4</v>
          </cell>
          <cell r="I1339" t="str">
            <v>1382</v>
          </cell>
          <cell r="K1339" t="str">
            <v>S</v>
          </cell>
          <cell r="L1339">
            <v>1</v>
          </cell>
          <cell r="M1339">
            <v>38.799999999999997</v>
          </cell>
        </row>
        <row r="1340">
          <cell r="C1340" t="str">
            <v>15743</v>
          </cell>
          <cell r="D1340" t="str">
            <v>RELAX PINOT GRIGIO</v>
          </cell>
          <cell r="E1340" t="str">
            <v>SCHMITT SOHNE GMBH</v>
          </cell>
          <cell r="F1340" t="str">
            <v>750</v>
          </cell>
          <cell r="G1340">
            <v>11</v>
          </cell>
          <cell r="H1340">
            <v>12</v>
          </cell>
          <cell r="I1340" t="str">
            <v>130768</v>
          </cell>
          <cell r="K1340" t="str">
            <v>D</v>
          </cell>
          <cell r="L1340">
            <v>1</v>
          </cell>
          <cell r="M1340">
            <v>13.6</v>
          </cell>
        </row>
        <row r="1341">
          <cell r="C1341" t="str">
            <v>23781</v>
          </cell>
          <cell r="D1341" t="str">
            <v>DR LOOSEN DRY RIESLING</v>
          </cell>
          <cell r="E1341" t="str">
            <v>GEBR. LOOSEN GMBH</v>
          </cell>
          <cell r="F1341" t="str">
            <v>750</v>
          </cell>
          <cell r="G1341">
            <v>12</v>
          </cell>
          <cell r="H1341">
            <v>12</v>
          </cell>
          <cell r="I1341" t="str">
            <v>3265</v>
          </cell>
          <cell r="K1341" t="str">
            <v>MD</v>
          </cell>
          <cell r="L1341">
            <v>1</v>
          </cell>
          <cell r="M1341">
            <v>15.36</v>
          </cell>
        </row>
        <row r="1342">
          <cell r="C1342" t="str">
            <v>7176</v>
          </cell>
          <cell r="D1342" t="str">
            <v>VILLA WOLF RIESLING</v>
          </cell>
          <cell r="E1342" t="str">
            <v>VILLA WOLF GMBH</v>
          </cell>
          <cell r="F1342" t="str">
            <v>750</v>
          </cell>
          <cell r="G1342">
            <v>11</v>
          </cell>
          <cell r="H1342">
            <v>12</v>
          </cell>
          <cell r="I1342" t="str">
            <v>3265</v>
          </cell>
          <cell r="K1342" t="str">
            <v>MD</v>
          </cell>
          <cell r="L1342">
            <v>1</v>
          </cell>
          <cell r="M1342">
            <v>15.62</v>
          </cell>
        </row>
        <row r="1343">
          <cell r="C1343" t="str">
            <v>6911</v>
          </cell>
          <cell r="D1343" t="str">
            <v>AVANTEGARDE RIESLING MOSEL HOCHGEWACH</v>
          </cell>
          <cell r="E1343" t="str">
            <v>MOSELLAND EG WINZERGENOSSENSCHAFT</v>
          </cell>
          <cell r="F1343" t="str">
            <v>750</v>
          </cell>
          <cell r="G1343">
            <v>8.5</v>
          </cell>
          <cell r="H1343">
            <v>6</v>
          </cell>
          <cell r="I1343" t="str">
            <v>3279</v>
          </cell>
          <cell r="K1343" t="str">
            <v>MD</v>
          </cell>
          <cell r="L1343">
            <v>1</v>
          </cell>
          <cell r="M1343">
            <v>21.41</v>
          </cell>
        </row>
        <row r="1344">
          <cell r="C1344" t="str">
            <v>5786</v>
          </cell>
          <cell r="D1344" t="str">
            <v>DR LOOSEN RIESLING</v>
          </cell>
          <cell r="E1344" t="str">
            <v>GEBR. LOOSEN GMBH</v>
          </cell>
          <cell r="F1344" t="str">
            <v>750</v>
          </cell>
          <cell r="G1344">
            <v>8.5</v>
          </cell>
          <cell r="H1344">
            <v>12</v>
          </cell>
          <cell r="I1344" t="str">
            <v>3265</v>
          </cell>
          <cell r="K1344" t="str">
            <v>MD</v>
          </cell>
          <cell r="L1344">
            <v>1</v>
          </cell>
          <cell r="M1344">
            <v>15.36</v>
          </cell>
        </row>
        <row r="1345">
          <cell r="C1345" t="str">
            <v>8598</v>
          </cell>
          <cell r="D1345" t="str">
            <v>RELAX RIESLING QBA</v>
          </cell>
          <cell r="E1345" t="str">
            <v>SCHMITT SOHNE GMBH</v>
          </cell>
          <cell r="F1345" t="str">
            <v>750</v>
          </cell>
          <cell r="G1345">
            <v>9</v>
          </cell>
          <cell r="H1345">
            <v>12</v>
          </cell>
          <cell r="I1345" t="str">
            <v>130768</v>
          </cell>
          <cell r="K1345" t="str">
            <v>MS</v>
          </cell>
          <cell r="L1345">
            <v>1</v>
          </cell>
          <cell r="M1345">
            <v>13.6</v>
          </cell>
        </row>
        <row r="1346">
          <cell r="C1346" t="str">
            <v>12853</v>
          </cell>
          <cell r="D1346" t="str">
            <v>BREE RIESLING</v>
          </cell>
          <cell r="E1346" t="str">
            <v>PETER MERTES</v>
          </cell>
          <cell r="F1346" t="str">
            <v>750</v>
          </cell>
          <cell r="G1346">
            <v>10.5</v>
          </cell>
          <cell r="H1346">
            <v>12</v>
          </cell>
          <cell r="I1346" t="str">
            <v>206239</v>
          </cell>
          <cell r="K1346" t="str">
            <v>S</v>
          </cell>
          <cell r="L1346">
            <v>1</v>
          </cell>
          <cell r="M1346">
            <v>14.99</v>
          </cell>
        </row>
        <row r="1347">
          <cell r="C1347" t="str">
            <v>8765</v>
          </cell>
          <cell r="D1347" t="str">
            <v>DR ZENZEN VINO NOIRE</v>
          </cell>
          <cell r="E1347" t="str">
            <v>EINIG-ZENZEN WEINKELLEREI</v>
          </cell>
          <cell r="F1347" t="str">
            <v>750</v>
          </cell>
          <cell r="G1347">
            <v>11</v>
          </cell>
          <cell r="H1347">
            <v>12</v>
          </cell>
          <cell r="I1347" t="str">
            <v>3314</v>
          </cell>
          <cell r="K1347" t="str">
            <v>S</v>
          </cell>
          <cell r="L1347">
            <v>1</v>
          </cell>
          <cell r="M1347">
            <v>16.5</v>
          </cell>
        </row>
        <row r="1348">
          <cell r="C1348" t="str">
            <v>3641</v>
          </cell>
          <cell r="D1348" t="str">
            <v>DEINHARD PIESPORTER RIESLING</v>
          </cell>
          <cell r="E1348" t="str">
            <v>DEINHARD &amp; CO</v>
          </cell>
          <cell r="F1348" t="str">
            <v>750</v>
          </cell>
          <cell r="G1348">
            <v>10</v>
          </cell>
          <cell r="H1348">
            <v>12</v>
          </cell>
          <cell r="I1348" t="str">
            <v>1009</v>
          </cell>
          <cell r="K1348" t="str">
            <v>S</v>
          </cell>
          <cell r="L1348">
            <v>1</v>
          </cell>
          <cell r="M1348">
            <v>14</v>
          </cell>
        </row>
        <row r="1349">
          <cell r="C1349" t="str">
            <v>46390</v>
          </cell>
          <cell r="D1349" t="str">
            <v>STARLING CASTLE GEWURZTRAMINER</v>
          </cell>
          <cell r="E1349" t="str">
            <v>PETER MERTES</v>
          </cell>
          <cell r="F1349" t="str">
            <v>750</v>
          </cell>
          <cell r="G1349">
            <v>10.5</v>
          </cell>
          <cell r="H1349">
            <v>12</v>
          </cell>
          <cell r="I1349" t="str">
            <v>206239</v>
          </cell>
          <cell r="K1349" t="str">
            <v>MS</v>
          </cell>
          <cell r="L1349">
            <v>1</v>
          </cell>
          <cell r="M1349">
            <v>14.99</v>
          </cell>
        </row>
        <row r="1350">
          <cell r="C1350" t="str">
            <v>9239</v>
          </cell>
          <cell r="D1350" t="str">
            <v>STARLING CASTLE RIESLING</v>
          </cell>
          <cell r="E1350" t="str">
            <v>PETER MERTES</v>
          </cell>
          <cell r="F1350" t="str">
            <v>750</v>
          </cell>
          <cell r="G1350">
            <v>9.5</v>
          </cell>
          <cell r="H1350">
            <v>12</v>
          </cell>
          <cell r="I1350" t="str">
            <v>206239</v>
          </cell>
          <cell r="K1350" t="str">
            <v>MS</v>
          </cell>
          <cell r="L1350">
            <v>1</v>
          </cell>
          <cell r="M1350">
            <v>14.99</v>
          </cell>
        </row>
        <row r="1351">
          <cell r="C1351" t="str">
            <v>2391</v>
          </cell>
          <cell r="D1351" t="str">
            <v>DR ZENZEN RHEINHESSEN KABINETT</v>
          </cell>
          <cell r="E1351" t="str">
            <v>EINIG-ZENZEN WEINKELLEREI</v>
          </cell>
          <cell r="F1351" t="str">
            <v>750</v>
          </cell>
          <cell r="G1351">
            <v>11</v>
          </cell>
          <cell r="H1351">
            <v>12</v>
          </cell>
          <cell r="I1351" t="str">
            <v>3314</v>
          </cell>
          <cell r="K1351" t="str">
            <v>MS</v>
          </cell>
          <cell r="L1351">
            <v>1</v>
          </cell>
          <cell r="M1351">
            <v>16.5</v>
          </cell>
        </row>
        <row r="1352">
          <cell r="C1352" t="str">
            <v>3402</v>
          </cell>
          <cell r="D1352" t="str">
            <v>ST URSULA GOLDENER OKTOBER NIERSTEINER</v>
          </cell>
          <cell r="E1352" t="str">
            <v>WEINKELLEREI HECHTSHEIM GMBH</v>
          </cell>
          <cell r="F1352" t="str">
            <v>750</v>
          </cell>
          <cell r="G1352">
            <v>8</v>
          </cell>
          <cell r="H1352">
            <v>12</v>
          </cell>
          <cell r="I1352" t="str">
            <v>3293</v>
          </cell>
          <cell r="K1352" t="str">
            <v>MD</v>
          </cell>
          <cell r="L1352">
            <v>1</v>
          </cell>
          <cell r="M1352">
            <v>12.55</v>
          </cell>
        </row>
        <row r="1353">
          <cell r="C1353" t="str">
            <v>1392</v>
          </cell>
          <cell r="D1353" t="str">
            <v>BLUE NUN</v>
          </cell>
          <cell r="E1353" t="str">
            <v>Zimmermann Graeff &amp; Müller Gmbh</v>
          </cell>
          <cell r="F1353" t="str">
            <v>750</v>
          </cell>
          <cell r="G1353">
            <v>10.199999999999999</v>
          </cell>
          <cell r="H1353">
            <v>12</v>
          </cell>
          <cell r="I1353" t="str">
            <v>3293</v>
          </cell>
          <cell r="K1353" t="str">
            <v>MD</v>
          </cell>
          <cell r="L1353">
            <v>1</v>
          </cell>
          <cell r="M1353">
            <v>10.74</v>
          </cell>
        </row>
        <row r="1354">
          <cell r="C1354" t="str">
            <v>1359</v>
          </cell>
          <cell r="D1354" t="str">
            <v>BLACK TOWER WHITE</v>
          </cell>
          <cell r="E1354" t="str">
            <v>REH-KENDERMANN GMBH</v>
          </cell>
          <cell r="F1354" t="str">
            <v>750</v>
          </cell>
          <cell r="G1354">
            <v>9.5</v>
          </cell>
          <cell r="H1354">
            <v>12</v>
          </cell>
          <cell r="I1354" t="str">
            <v>3243</v>
          </cell>
          <cell r="K1354" t="str">
            <v>MD</v>
          </cell>
          <cell r="L1354">
            <v>1</v>
          </cell>
          <cell r="M1354">
            <v>11.21</v>
          </cell>
        </row>
        <row r="1355">
          <cell r="C1355" t="str">
            <v>4331</v>
          </cell>
          <cell r="D1355" t="str">
            <v>THE BEND IN RIVER WHITE</v>
          </cell>
          <cell r="E1355" t="str">
            <v>REH-KENDERMANN GMBH</v>
          </cell>
          <cell r="F1355" t="str">
            <v>750</v>
          </cell>
          <cell r="G1355">
            <v>9.5</v>
          </cell>
          <cell r="H1355">
            <v>12</v>
          </cell>
          <cell r="I1355" t="str">
            <v>3243</v>
          </cell>
          <cell r="K1355" t="str">
            <v>D</v>
          </cell>
          <cell r="L1355">
            <v>1</v>
          </cell>
          <cell r="M1355">
            <v>11.81</v>
          </cell>
        </row>
        <row r="1356">
          <cell r="C1356" t="str">
            <v>13899</v>
          </cell>
          <cell r="D1356" t="str">
            <v>RELAX RED BLEND QBA</v>
          </cell>
          <cell r="E1356" t="str">
            <v>SCHMITT SOHNE GMBH</v>
          </cell>
          <cell r="F1356" t="str">
            <v>750</v>
          </cell>
          <cell r="G1356">
            <v>10</v>
          </cell>
          <cell r="H1356">
            <v>12</v>
          </cell>
          <cell r="I1356" t="str">
            <v>130768</v>
          </cell>
          <cell r="K1356" t="str">
            <v>MD</v>
          </cell>
          <cell r="L1356">
            <v>1</v>
          </cell>
          <cell r="M1356">
            <v>13.6</v>
          </cell>
        </row>
        <row r="1357">
          <cell r="C1357" t="str">
            <v>15291</v>
          </cell>
          <cell r="D1357" t="str">
            <v>CAVIT ROSCATO ROSSO FRIZZANTE</v>
          </cell>
          <cell r="E1357" t="str">
            <v>CAVIT CANTINA VITICOLTORI S.C.A.R.L.</v>
          </cell>
          <cell r="F1357" t="str">
            <v>750</v>
          </cell>
          <cell r="G1357">
            <v>7</v>
          </cell>
          <cell r="H1357">
            <v>12</v>
          </cell>
          <cell r="I1357" t="str">
            <v>206245</v>
          </cell>
          <cell r="K1357" t="str">
            <v>MS</v>
          </cell>
          <cell r="L1357">
            <v>1</v>
          </cell>
          <cell r="M1357">
            <v>11.85</v>
          </cell>
        </row>
        <row r="1358">
          <cell r="C1358" t="str">
            <v>38885</v>
          </cell>
          <cell r="D1358" t="str">
            <v>LAVIS CABERNET SAUVIGNON</v>
          </cell>
          <cell r="E1358" t="str">
            <v>Cantine la Vis  e Val di Cembra sca</v>
          </cell>
          <cell r="F1358" t="str">
            <v>750</v>
          </cell>
          <cell r="G1358">
            <v>14</v>
          </cell>
          <cell r="H1358">
            <v>12</v>
          </cell>
          <cell r="I1358" t="str">
            <v>205873</v>
          </cell>
          <cell r="K1358" t="str">
            <v>VD</v>
          </cell>
          <cell r="L1358">
            <v>1</v>
          </cell>
          <cell r="M1358">
            <v>15.94</v>
          </cell>
        </row>
        <row r="1359">
          <cell r="C1359" t="str">
            <v>24982</v>
          </cell>
          <cell r="D1359" t="str">
            <v>MASI MODELLO MERLOT</v>
          </cell>
          <cell r="E1359" t="str">
            <v>MASI AGRICOLA SPA</v>
          </cell>
          <cell r="F1359" t="str">
            <v>750</v>
          </cell>
          <cell r="G1359">
            <v>12</v>
          </cell>
          <cell r="H1359">
            <v>12</v>
          </cell>
          <cell r="I1359" t="str">
            <v>87388</v>
          </cell>
          <cell r="K1359" t="str">
            <v>D</v>
          </cell>
          <cell r="L1359">
            <v>1</v>
          </cell>
          <cell r="M1359">
            <v>14.79</v>
          </cell>
        </row>
        <row r="1360">
          <cell r="C1360" t="str">
            <v>29245</v>
          </cell>
          <cell r="D1360" t="str">
            <v>VINO ROSSO VARIETALE ASIO OTUS</v>
          </cell>
          <cell r="E1360" t="str">
            <v>MGM MONDO DEL VINO SRL</v>
          </cell>
          <cell r="F1360" t="str">
            <v>3000</v>
          </cell>
          <cell r="G1360">
            <v>13</v>
          </cell>
          <cell r="H1360">
            <v>4</v>
          </cell>
          <cell r="I1360" t="str">
            <v>205873</v>
          </cell>
          <cell r="K1360" t="str">
            <v>MD</v>
          </cell>
          <cell r="L1360">
            <v>1</v>
          </cell>
          <cell r="M1360">
            <v>36.6</v>
          </cell>
        </row>
        <row r="1361">
          <cell r="C1361" t="str">
            <v>41945</v>
          </cell>
          <cell r="D1361" t="str">
            <v>AMA BENE PINOT GRIGIO</v>
          </cell>
          <cell r="E1361" t="str">
            <v>ANDREW PELLER LIMITED</v>
          </cell>
          <cell r="F1361" t="str">
            <v>750</v>
          </cell>
          <cell r="G1361">
            <v>12</v>
          </cell>
          <cell r="H1361">
            <v>12</v>
          </cell>
          <cell r="I1361" t="str">
            <v>4095</v>
          </cell>
          <cell r="K1361" t="str">
            <v>D</v>
          </cell>
          <cell r="L1361">
            <v>1</v>
          </cell>
          <cell r="M1361">
            <v>11.61</v>
          </cell>
        </row>
        <row r="1362">
          <cell r="C1362" t="str">
            <v>44414</v>
          </cell>
          <cell r="D1362" t="str">
            <v>CAVIT CLOUD 9 PINOT GRIGIO</v>
          </cell>
          <cell r="E1362" t="str">
            <v>CAVIT CANTINA VITICOLTORI S.C.A.R.L.</v>
          </cell>
          <cell r="F1362" t="str">
            <v>750</v>
          </cell>
          <cell r="G1362">
            <v>9</v>
          </cell>
          <cell r="H1362">
            <v>12</v>
          </cell>
          <cell r="I1362" t="str">
            <v>206245</v>
          </cell>
          <cell r="K1362" t="str">
            <v>D</v>
          </cell>
          <cell r="L1362">
            <v>1</v>
          </cell>
          <cell r="M1362">
            <v>12.54</v>
          </cell>
        </row>
        <row r="1363">
          <cell r="C1363" t="str">
            <v>6772</v>
          </cell>
          <cell r="D1363" t="str">
            <v>SANTA MARGHERITA VALDADIGE PINOT GRIGIO</v>
          </cell>
          <cell r="E1363" t="str">
            <v>SANTA MARGHERITA SPA</v>
          </cell>
          <cell r="F1363" t="str">
            <v>750</v>
          </cell>
          <cell r="G1363">
            <v>12.5</v>
          </cell>
          <cell r="H1363">
            <v>12</v>
          </cell>
          <cell r="I1363" t="str">
            <v>1537</v>
          </cell>
          <cell r="K1363" t="str">
            <v>VD</v>
          </cell>
          <cell r="L1363">
            <v>1</v>
          </cell>
          <cell r="M1363">
            <v>17.75</v>
          </cell>
        </row>
        <row r="1364">
          <cell r="C1364" t="str">
            <v>46370</v>
          </cell>
          <cell r="D1364" t="str">
            <v>MONTEZOVO VALPOLICELLA RIPASSO DOC</v>
          </cell>
          <cell r="E1364" t="str">
            <v>COTTINI SPA</v>
          </cell>
          <cell r="F1364" t="str">
            <v>750</v>
          </cell>
          <cell r="G1364">
            <v>14</v>
          </cell>
          <cell r="H1364">
            <v>12</v>
          </cell>
          <cell r="I1364" t="str">
            <v>3246</v>
          </cell>
          <cell r="K1364" t="str">
            <v>D</v>
          </cell>
          <cell r="L1364">
            <v>1</v>
          </cell>
          <cell r="M1364">
            <v>25.99</v>
          </cell>
        </row>
        <row r="1365">
          <cell r="C1365" t="str">
            <v>46365</v>
          </cell>
          <cell r="D1365" t="str">
            <v>CAVIT PINOT GRIGIO</v>
          </cell>
          <cell r="E1365" t="str">
            <v>CAVIT CANTINA VITICOLTORI S.C.A.R.L.</v>
          </cell>
          <cell r="F1365" t="str">
            <v>1500</v>
          </cell>
          <cell r="G1365">
            <v>12</v>
          </cell>
          <cell r="H1365">
            <v>6</v>
          </cell>
          <cell r="I1365" t="str">
            <v>206245</v>
          </cell>
          <cell r="K1365" t="str">
            <v>VD</v>
          </cell>
          <cell r="L1365">
            <v>1</v>
          </cell>
          <cell r="M1365">
            <v>22.02</v>
          </cell>
        </row>
        <row r="1366">
          <cell r="C1366" t="str">
            <v>37098</v>
          </cell>
          <cell r="D1366" t="str">
            <v>FREIXENET PINOT GRIGIO DOC</v>
          </cell>
          <cell r="E1366" t="str">
            <v>FREIXENET SA</v>
          </cell>
          <cell r="F1366" t="str">
            <v>750</v>
          </cell>
          <cell r="G1366">
            <v>11.5</v>
          </cell>
          <cell r="H1366">
            <v>12</v>
          </cell>
          <cell r="I1366" t="str">
            <v>3245</v>
          </cell>
          <cell r="K1366" t="str">
            <v>VD</v>
          </cell>
          <cell r="L1366">
            <v>1</v>
          </cell>
          <cell r="M1366">
            <v>17.010000000000002</v>
          </cell>
        </row>
        <row r="1367">
          <cell r="C1367" t="str">
            <v>27521</v>
          </cell>
          <cell r="D1367" t="str">
            <v>CAVIT ROSCATO ROSE IGT</v>
          </cell>
          <cell r="E1367" t="str">
            <v>CAVIT CANTINA VITICOLTORI S.C.A.R.L.</v>
          </cell>
          <cell r="F1367" t="str">
            <v>750</v>
          </cell>
          <cell r="G1367">
            <v>7</v>
          </cell>
          <cell r="H1367">
            <v>12</v>
          </cell>
          <cell r="I1367" t="str">
            <v>206245</v>
          </cell>
          <cell r="K1367" t="str">
            <v>VS</v>
          </cell>
          <cell r="L1367">
            <v>1</v>
          </cell>
          <cell r="M1367">
            <v>11.85</v>
          </cell>
        </row>
        <row r="1368">
          <cell r="C1368" t="str">
            <v>5644</v>
          </cell>
          <cell r="D1368" t="str">
            <v>FARNESE FANTINI SANGIOVESE</v>
          </cell>
          <cell r="E1368" t="str">
            <v>FANTINI GROUP VINI S.R.L.</v>
          </cell>
          <cell r="F1368" t="str">
            <v>750</v>
          </cell>
          <cell r="G1368">
            <v>12</v>
          </cell>
          <cell r="H1368">
            <v>12</v>
          </cell>
          <cell r="I1368" t="str">
            <v>87388</v>
          </cell>
          <cell r="K1368" t="str">
            <v>VD</v>
          </cell>
          <cell r="L1368">
            <v>1</v>
          </cell>
          <cell r="M1368">
            <v>12.99</v>
          </cell>
        </row>
        <row r="1369">
          <cell r="C1369" t="str">
            <v>3671</v>
          </cell>
          <cell r="D1369" t="str">
            <v>BOLLA DELLE VENEZIE PINOT GRIGIO IGT</v>
          </cell>
          <cell r="E1369" t="str">
            <v>GRUPPO ITALIANO VINI S.P.A.</v>
          </cell>
          <cell r="F1369" t="str">
            <v>750</v>
          </cell>
          <cell r="G1369">
            <v>12</v>
          </cell>
          <cell r="H1369">
            <v>12</v>
          </cell>
          <cell r="I1369" t="str">
            <v>1537</v>
          </cell>
          <cell r="K1369" t="str">
            <v>VD</v>
          </cell>
          <cell r="L1369">
            <v>1</v>
          </cell>
          <cell r="M1369">
            <v>13.42</v>
          </cell>
        </row>
        <row r="1370">
          <cell r="C1370" t="str">
            <v>37081</v>
          </cell>
          <cell r="D1370" t="str">
            <v>FOLONARI PINOT GRIGIO IGT</v>
          </cell>
          <cell r="E1370" t="str">
            <v>GRUPPO ITALIANO VINI S.P.A.</v>
          </cell>
          <cell r="F1370" t="str">
            <v>3000</v>
          </cell>
          <cell r="G1370">
            <v>12</v>
          </cell>
          <cell r="H1370">
            <v>4</v>
          </cell>
          <cell r="I1370" t="str">
            <v>1537</v>
          </cell>
          <cell r="K1370" t="str">
            <v>VD</v>
          </cell>
          <cell r="L1370">
            <v>1</v>
          </cell>
          <cell r="M1370">
            <v>42.8</v>
          </cell>
        </row>
        <row r="1371">
          <cell r="C1371" t="str">
            <v>29053</v>
          </cell>
          <cell r="D1371" t="str">
            <v>ZACCAGNINI TRALCETTO PINOT GRI IGT</v>
          </cell>
          <cell r="E1371" t="str">
            <v>AZ AG CICCIO ZACCAGNINI</v>
          </cell>
          <cell r="F1371" t="str">
            <v>750</v>
          </cell>
          <cell r="G1371">
            <v>12.5</v>
          </cell>
          <cell r="H1371">
            <v>12</v>
          </cell>
          <cell r="I1371" t="str">
            <v>140473</v>
          </cell>
          <cell r="K1371" t="str">
            <v>D</v>
          </cell>
          <cell r="L1371">
            <v>1</v>
          </cell>
          <cell r="M1371">
            <v>19.3</v>
          </cell>
        </row>
        <row r="1372">
          <cell r="C1372" t="str">
            <v>39702</v>
          </cell>
          <cell r="D1372" t="str">
            <v>BOSCO MONTEPULCIANO D'ABRUZZO DOC</v>
          </cell>
          <cell r="E1372" t="str">
            <v>BOSCO NESTORE &amp; C. SRL</v>
          </cell>
          <cell r="F1372" t="str">
            <v>750</v>
          </cell>
          <cell r="G1372">
            <v>13.5</v>
          </cell>
          <cell r="H1372">
            <v>12</v>
          </cell>
          <cell r="I1372" t="str">
            <v>205936</v>
          </cell>
          <cell r="K1372" t="str">
            <v>VD</v>
          </cell>
          <cell r="L1372">
            <v>1</v>
          </cell>
          <cell r="M1372">
            <v>14.03</v>
          </cell>
        </row>
        <row r="1373">
          <cell r="C1373" t="str">
            <v>7133</v>
          </cell>
          <cell r="D1373" t="str">
            <v>CAVALIERE D'ORO PINOT GRIGIO</v>
          </cell>
          <cell r="E1373" t="str">
            <v>CASTELLO DI GABBIANO</v>
          </cell>
          <cell r="F1373" t="str">
            <v>750</v>
          </cell>
          <cell r="G1373">
            <v>12</v>
          </cell>
          <cell r="H1373">
            <v>12</v>
          </cell>
          <cell r="I1373" t="str">
            <v>1009</v>
          </cell>
          <cell r="K1373" t="str">
            <v>VD</v>
          </cell>
          <cell r="L1373">
            <v>1</v>
          </cell>
          <cell r="M1373">
            <v>12.98</v>
          </cell>
        </row>
        <row r="1374">
          <cell r="C1374" t="str">
            <v>32105</v>
          </cell>
          <cell r="D1374" t="str">
            <v>UMBERTO CESARI SANGIOVESE RISERVA</v>
          </cell>
          <cell r="E1374" t="str">
            <v>UMBERTO CESARI SRL</v>
          </cell>
          <cell r="F1374" t="str">
            <v>750</v>
          </cell>
          <cell r="G1374">
            <v>13.5</v>
          </cell>
          <cell r="H1374">
            <v>12</v>
          </cell>
          <cell r="I1374" t="str">
            <v>205873</v>
          </cell>
          <cell r="K1374" t="str">
            <v>VD</v>
          </cell>
          <cell r="L1374">
            <v>1</v>
          </cell>
          <cell r="M1374">
            <v>19.3</v>
          </cell>
        </row>
        <row r="1375">
          <cell r="C1375" t="str">
            <v>3846</v>
          </cell>
          <cell r="D1375" t="str">
            <v>RIUNITE LAMBRUSCO</v>
          </cell>
          <cell r="E1375" t="str">
            <v>CANTINE COOP RIUNITE SRL</v>
          </cell>
          <cell r="F1375" t="str">
            <v>750</v>
          </cell>
          <cell r="G1375">
            <v>8</v>
          </cell>
          <cell r="H1375">
            <v>12</v>
          </cell>
          <cell r="I1375" t="str">
            <v>1537</v>
          </cell>
          <cell r="K1375" t="str">
            <v>MD</v>
          </cell>
          <cell r="L1375">
            <v>1</v>
          </cell>
          <cell r="M1375">
            <v>9.73</v>
          </cell>
        </row>
        <row r="1376">
          <cell r="C1376" t="str">
            <v>3847</v>
          </cell>
          <cell r="D1376" t="str">
            <v>RIUNITE LAMBRUSCO</v>
          </cell>
          <cell r="E1376" t="str">
            <v>CANTINE COOP RIUNITE SRL</v>
          </cell>
          <cell r="F1376" t="str">
            <v>1500</v>
          </cell>
          <cell r="G1376">
            <v>8</v>
          </cell>
          <cell r="H1376">
            <v>6</v>
          </cell>
          <cell r="I1376" t="str">
            <v>1537</v>
          </cell>
          <cell r="K1376" t="str">
            <v>MD</v>
          </cell>
          <cell r="L1376">
            <v>1</v>
          </cell>
          <cell r="M1376">
            <v>16.899999999999999</v>
          </cell>
        </row>
        <row r="1377">
          <cell r="C1377" t="str">
            <v>3844</v>
          </cell>
          <cell r="D1377" t="str">
            <v>RIUNITE BIANCO FRIZZANTE</v>
          </cell>
          <cell r="E1377" t="str">
            <v>CANTINE COOP RIUNITE SRL</v>
          </cell>
          <cell r="F1377" t="str">
            <v>750</v>
          </cell>
          <cell r="G1377">
            <v>8</v>
          </cell>
          <cell r="H1377">
            <v>12</v>
          </cell>
          <cell r="I1377" t="str">
            <v>1537</v>
          </cell>
          <cell r="K1377" t="str">
            <v>MS</v>
          </cell>
          <cell r="L1377">
            <v>1</v>
          </cell>
          <cell r="M1377">
            <v>9.73</v>
          </cell>
        </row>
        <row r="1378">
          <cell r="C1378" t="str">
            <v>40186</v>
          </cell>
          <cell r="D1378" t="str">
            <v>BENVOLIO PINOT GRIGIO</v>
          </cell>
          <cell r="E1378" t="str">
            <v>JACKSON WINE ESTATES INTERNATIONAL</v>
          </cell>
          <cell r="F1378" t="str">
            <v>750</v>
          </cell>
          <cell r="G1378">
            <v>12.5</v>
          </cell>
          <cell r="H1378">
            <v>12</v>
          </cell>
          <cell r="I1378" t="str">
            <v>58104</v>
          </cell>
          <cell r="K1378" t="str">
            <v>VD</v>
          </cell>
          <cell r="L1378">
            <v>1</v>
          </cell>
          <cell r="M1378">
            <v>10.98</v>
          </cell>
        </row>
        <row r="1379">
          <cell r="C1379" t="str">
            <v>5367</v>
          </cell>
          <cell r="D1379" t="str">
            <v>RUFFINO PINOT GRIGIO LUMINA VENEZIA</v>
          </cell>
          <cell r="E1379" t="str">
            <v>RUFFINO SRL</v>
          </cell>
          <cell r="F1379" t="str">
            <v>750</v>
          </cell>
          <cell r="G1379">
            <v>12.5</v>
          </cell>
          <cell r="H1379">
            <v>12</v>
          </cell>
          <cell r="I1379" t="str">
            <v>1008</v>
          </cell>
          <cell r="K1379" t="str">
            <v>VD</v>
          </cell>
          <cell r="L1379">
            <v>1</v>
          </cell>
          <cell r="M1379">
            <v>12.62</v>
          </cell>
        </row>
        <row r="1380">
          <cell r="C1380" t="str">
            <v>7472</v>
          </cell>
          <cell r="D1380" t="str">
            <v>MONTALTO NERO D'AVOLA CAB SAUVIGNON</v>
          </cell>
          <cell r="E1380" t="str">
            <v>MGM MONDO DEL VINO SRL</v>
          </cell>
          <cell r="F1380" t="str">
            <v>750</v>
          </cell>
          <cell r="G1380">
            <v>14</v>
          </cell>
          <cell r="H1380">
            <v>12</v>
          </cell>
          <cell r="I1380" t="str">
            <v>205873</v>
          </cell>
          <cell r="K1380" t="str">
            <v>VD</v>
          </cell>
          <cell r="L1380">
            <v>1</v>
          </cell>
          <cell r="M1380">
            <v>9.98</v>
          </cell>
        </row>
        <row r="1381">
          <cell r="C1381" t="str">
            <v>1252</v>
          </cell>
          <cell r="D1381" t="str">
            <v>FONTANAFREDDA BAROLO</v>
          </cell>
          <cell r="E1381" t="str">
            <v>FONTANAFREDDA SRL</v>
          </cell>
          <cell r="F1381" t="str">
            <v>750</v>
          </cell>
          <cell r="G1381">
            <v>14</v>
          </cell>
          <cell r="H1381">
            <v>12</v>
          </cell>
          <cell r="I1381" t="str">
            <v>1537</v>
          </cell>
          <cell r="K1381" t="str">
            <v>VD</v>
          </cell>
          <cell r="L1381">
            <v>1</v>
          </cell>
          <cell r="M1381">
            <v>31.34</v>
          </cell>
        </row>
        <row r="1382">
          <cell r="C1382" t="str">
            <v>25179</v>
          </cell>
          <cell r="D1382" t="str">
            <v>RISATA MOSCATO D'ASTI DOCG</v>
          </cell>
          <cell r="E1382" t="str">
            <v>PRESTIGE WINE GROUP</v>
          </cell>
          <cell r="F1382" t="str">
            <v>750</v>
          </cell>
          <cell r="G1382">
            <v>5.5</v>
          </cell>
          <cell r="H1382">
            <v>6</v>
          </cell>
          <cell r="I1382" t="str">
            <v>206239</v>
          </cell>
          <cell r="K1382" t="str">
            <v>VS</v>
          </cell>
          <cell r="L1382">
            <v>1</v>
          </cell>
          <cell r="M1382">
            <v>16.989999999999998</v>
          </cell>
        </row>
        <row r="1383">
          <cell r="C1383" t="str">
            <v>12595</v>
          </cell>
          <cell r="D1383" t="str">
            <v>FARNESE FANTINI PRIMITIVO</v>
          </cell>
          <cell r="E1383" t="str">
            <v>FANTINI GROUP VINI S.R.L.</v>
          </cell>
          <cell r="F1383" t="str">
            <v>750</v>
          </cell>
          <cell r="G1383">
            <v>13.5</v>
          </cell>
          <cell r="H1383">
            <v>12</v>
          </cell>
          <cell r="I1383" t="str">
            <v>87388</v>
          </cell>
          <cell r="K1383" t="str">
            <v>VD</v>
          </cell>
          <cell r="L1383">
            <v>1</v>
          </cell>
          <cell r="M1383">
            <v>12.99</v>
          </cell>
        </row>
        <row r="1384">
          <cell r="C1384" t="str">
            <v>40903</v>
          </cell>
          <cell r="D1384" t="str">
            <v>PASQUA MUCCHIETTO PRIMITIVO IGT</v>
          </cell>
          <cell r="E1384" t="str">
            <v>PASQUA VIGNETI E CANTINE SPA</v>
          </cell>
          <cell r="F1384" t="str">
            <v>750</v>
          </cell>
          <cell r="G1384">
            <v>13.5</v>
          </cell>
          <cell r="H1384">
            <v>6</v>
          </cell>
          <cell r="I1384" t="str">
            <v>1009</v>
          </cell>
          <cell r="K1384" t="str">
            <v>MS</v>
          </cell>
          <cell r="L1384">
            <v>1</v>
          </cell>
          <cell r="M1384">
            <v>18.989999999999998</v>
          </cell>
        </row>
        <row r="1385">
          <cell r="C1385" t="str">
            <v>7479</v>
          </cell>
          <cell r="D1385" t="str">
            <v>MONTALTO PINOT GRIGIO</v>
          </cell>
          <cell r="E1385" t="str">
            <v>MGM MONDO DEL VINO SRL</v>
          </cell>
          <cell r="F1385" t="str">
            <v>750</v>
          </cell>
          <cell r="G1385">
            <v>12</v>
          </cell>
          <cell r="H1385">
            <v>12</v>
          </cell>
          <cell r="I1385" t="str">
            <v>205873</v>
          </cell>
          <cell r="K1385" t="str">
            <v>VD</v>
          </cell>
          <cell r="L1385">
            <v>1</v>
          </cell>
          <cell r="M1385">
            <v>10.3</v>
          </cell>
        </row>
        <row r="1386">
          <cell r="C1386" t="str">
            <v>29168</v>
          </cell>
          <cell r="D1386" t="str">
            <v>CRUDO CATARRATTO ZIBIBBO ORGANIC</v>
          </cell>
          <cell r="E1386" t="str">
            <v>MARE MAGNUM</v>
          </cell>
          <cell r="F1386" t="str">
            <v>750</v>
          </cell>
          <cell r="G1386">
            <v>12</v>
          </cell>
          <cell r="H1386">
            <v>12</v>
          </cell>
          <cell r="I1386" t="str">
            <v>87388</v>
          </cell>
          <cell r="K1386" t="str">
            <v>D</v>
          </cell>
          <cell r="L1386">
            <v>1</v>
          </cell>
          <cell r="M1386">
            <v>17.82</v>
          </cell>
        </row>
        <row r="1387">
          <cell r="C1387" t="str">
            <v>7954</v>
          </cell>
          <cell r="D1387" t="str">
            <v>KRIS PINOT GRIGIO DELLE VENEZIE IGT</v>
          </cell>
          <cell r="E1387" t="str">
            <v>FRANZ HAAS SRL</v>
          </cell>
          <cell r="F1387" t="str">
            <v>750</v>
          </cell>
          <cell r="G1387">
            <v>12.5</v>
          </cell>
          <cell r="H1387">
            <v>12</v>
          </cell>
          <cell r="I1387" t="str">
            <v>55942</v>
          </cell>
          <cell r="K1387" t="str">
            <v>VD</v>
          </cell>
          <cell r="L1387">
            <v>1</v>
          </cell>
          <cell r="M1387">
            <v>15.87</v>
          </cell>
        </row>
        <row r="1388">
          <cell r="C1388" t="str">
            <v>44969</v>
          </cell>
          <cell r="D1388" t="str">
            <v>CARPINETO CHIANTI CLASSICO</v>
          </cell>
          <cell r="E1388" t="str">
            <v>CASA VINICOLA CARPINETO</v>
          </cell>
          <cell r="F1388" t="str">
            <v>750</v>
          </cell>
          <cell r="G1388">
            <v>13</v>
          </cell>
          <cell r="H1388">
            <v>12</v>
          </cell>
          <cell r="I1388" t="str">
            <v>205873</v>
          </cell>
          <cell r="K1388" t="str">
            <v>VD</v>
          </cell>
          <cell r="L1388">
            <v>1</v>
          </cell>
          <cell r="M1388">
            <v>21.95</v>
          </cell>
        </row>
        <row r="1389">
          <cell r="C1389" t="str">
            <v>22733</v>
          </cell>
          <cell r="D1389" t="str">
            <v>CAVALIERE D'ORO CHIANTI CLASSICO</v>
          </cell>
          <cell r="E1389" t="str">
            <v>CASTELLO DI GABBIANO</v>
          </cell>
          <cell r="F1389" t="str">
            <v>750</v>
          </cell>
          <cell r="G1389">
            <v>14</v>
          </cell>
          <cell r="H1389">
            <v>12</v>
          </cell>
          <cell r="I1389" t="str">
            <v>1009</v>
          </cell>
          <cell r="K1389" t="str">
            <v>VD</v>
          </cell>
          <cell r="L1389">
            <v>1</v>
          </cell>
          <cell r="M1389">
            <v>16.27</v>
          </cell>
        </row>
        <row r="1390">
          <cell r="C1390" t="str">
            <v>10005</v>
          </cell>
          <cell r="D1390" t="str">
            <v>CAVALIERE D'ORO CHIANTI RESERVA</v>
          </cell>
          <cell r="E1390" t="str">
            <v>CASTELLO DI GABBIANO</v>
          </cell>
          <cell r="F1390" t="str">
            <v>750</v>
          </cell>
          <cell r="G1390">
            <v>14.5</v>
          </cell>
          <cell r="H1390">
            <v>12</v>
          </cell>
          <cell r="I1390" t="str">
            <v>1009</v>
          </cell>
          <cell r="J1390">
            <v>2008</v>
          </cell>
          <cell r="K1390" t="str">
            <v xml:space="preserve"> </v>
          </cell>
          <cell r="L1390">
            <v>1</v>
          </cell>
          <cell r="M1390">
            <v>18.97</v>
          </cell>
        </row>
        <row r="1391">
          <cell r="C1391" t="str">
            <v>1831</v>
          </cell>
          <cell r="D1391" t="str">
            <v>FRESCOBALDI CASTELLO DI NIPOZZANO</v>
          </cell>
          <cell r="E1391" t="str">
            <v>119</v>
          </cell>
          <cell r="F1391" t="str">
            <v>750</v>
          </cell>
          <cell r="G1391">
            <v>12.5</v>
          </cell>
          <cell r="H1391">
            <v>12</v>
          </cell>
          <cell r="I1391" t="str">
            <v>1537</v>
          </cell>
          <cell r="K1391" t="str">
            <v>VD</v>
          </cell>
          <cell r="L1391">
            <v>1</v>
          </cell>
          <cell r="M1391">
            <v>19.920000000000002</v>
          </cell>
        </row>
        <row r="1392">
          <cell r="C1392" t="str">
            <v>7134</v>
          </cell>
          <cell r="D1392" t="str">
            <v>CAVALIERE D'ORO CHIANTI</v>
          </cell>
          <cell r="E1392" t="str">
            <v>CASTELLO DI GABBIANO</v>
          </cell>
          <cell r="F1392" t="str">
            <v>750</v>
          </cell>
          <cell r="G1392">
            <v>12.5</v>
          </cell>
          <cell r="H1392">
            <v>12</v>
          </cell>
          <cell r="I1392" t="str">
            <v>1009</v>
          </cell>
          <cell r="K1392" t="str">
            <v>VD</v>
          </cell>
          <cell r="L1392">
            <v>1</v>
          </cell>
          <cell r="M1392">
            <v>12.98</v>
          </cell>
        </row>
        <row r="1393">
          <cell r="C1393" t="str">
            <v>37097</v>
          </cell>
          <cell r="D1393" t="str">
            <v>FREIXENET CHIANTI DOCG</v>
          </cell>
          <cell r="E1393" t="str">
            <v>FREIXENET SA</v>
          </cell>
          <cell r="F1393" t="str">
            <v>750</v>
          </cell>
          <cell r="G1393">
            <v>12.5</v>
          </cell>
          <cell r="H1393">
            <v>12</v>
          </cell>
          <cell r="I1393" t="str">
            <v>3245</v>
          </cell>
          <cell r="K1393" t="str">
            <v>VD</v>
          </cell>
          <cell r="L1393">
            <v>1</v>
          </cell>
          <cell r="M1393">
            <v>17.010000000000002</v>
          </cell>
        </row>
        <row r="1394">
          <cell r="C1394" t="str">
            <v>6986</v>
          </cell>
          <cell r="D1394" t="str">
            <v>PEPPOLI CHIANTI CLASSICO DOCG</v>
          </cell>
          <cell r="E1394" t="str">
            <v>MARCHESI ANTINORI SPA</v>
          </cell>
          <cell r="F1394" t="str">
            <v>750</v>
          </cell>
          <cell r="G1394">
            <v>12</v>
          </cell>
          <cell r="H1394">
            <v>12</v>
          </cell>
          <cell r="I1394" t="str">
            <v>1009</v>
          </cell>
          <cell r="J1394">
            <v>2008</v>
          </cell>
          <cell r="K1394" t="str">
            <v>VD</v>
          </cell>
          <cell r="L1394">
            <v>1</v>
          </cell>
          <cell r="M1394">
            <v>28</v>
          </cell>
        </row>
        <row r="1395">
          <cell r="C1395" t="str">
            <v>3843</v>
          </cell>
          <cell r="D1395" t="str">
            <v>RUFFINO CHIANTI CLASSICO RISERVA DUCALE</v>
          </cell>
          <cell r="E1395" t="str">
            <v>RUFFINO SRL</v>
          </cell>
          <cell r="F1395" t="str">
            <v>750</v>
          </cell>
          <cell r="G1395">
            <v>12.5</v>
          </cell>
          <cell r="H1395">
            <v>12</v>
          </cell>
          <cell r="I1395" t="str">
            <v>1008</v>
          </cell>
          <cell r="K1395" t="str">
            <v>VD</v>
          </cell>
          <cell r="L1395">
            <v>1</v>
          </cell>
          <cell r="M1395">
            <v>25.25</v>
          </cell>
        </row>
        <row r="1396">
          <cell r="C1396" t="str">
            <v>2028</v>
          </cell>
          <cell r="D1396" t="str">
            <v>RUFFINO CHIANTI RED</v>
          </cell>
          <cell r="E1396" t="str">
            <v>RUFFINO SRL</v>
          </cell>
          <cell r="F1396" t="str">
            <v>750</v>
          </cell>
          <cell r="G1396">
            <v>13</v>
          </cell>
          <cell r="H1396">
            <v>12</v>
          </cell>
          <cell r="I1396" t="str">
            <v>1008</v>
          </cell>
          <cell r="K1396" t="str">
            <v>VD</v>
          </cell>
          <cell r="L1396">
            <v>1</v>
          </cell>
          <cell r="M1396">
            <v>12.62</v>
          </cell>
        </row>
        <row r="1397">
          <cell r="C1397" t="str">
            <v>13495</v>
          </cell>
          <cell r="D1397" t="str">
            <v>SANTA CRISTINA CHIANTI SUPERIORE DOCG</v>
          </cell>
          <cell r="E1397" t="str">
            <v>MARCHESI ANTINORI SPA</v>
          </cell>
          <cell r="F1397" t="str">
            <v>750</v>
          </cell>
          <cell r="G1397">
            <v>13</v>
          </cell>
          <cell r="H1397">
            <v>12</v>
          </cell>
          <cell r="I1397" t="str">
            <v>1009</v>
          </cell>
          <cell r="K1397" t="str">
            <v>VD</v>
          </cell>
          <cell r="L1397">
            <v>1</v>
          </cell>
          <cell r="M1397">
            <v>23.02</v>
          </cell>
        </row>
        <row r="1398">
          <cell r="C1398" t="str">
            <v>19365</v>
          </cell>
          <cell r="D1398" t="str">
            <v>SANTA MARGHERITA CHIANTI CLASSICO DOCG</v>
          </cell>
          <cell r="E1398" t="str">
            <v>SANTA MARGHERITA SPA</v>
          </cell>
          <cell r="F1398" t="str">
            <v>750</v>
          </cell>
          <cell r="G1398">
            <v>13.5</v>
          </cell>
          <cell r="H1398">
            <v>12</v>
          </cell>
          <cell r="I1398" t="str">
            <v>1537</v>
          </cell>
          <cell r="K1398" t="str">
            <v>VD</v>
          </cell>
          <cell r="L1398">
            <v>1</v>
          </cell>
          <cell r="M1398">
            <v>19.920000000000002</v>
          </cell>
        </row>
        <row r="1399">
          <cell r="C1399" t="str">
            <v>9291</v>
          </cell>
          <cell r="D1399" t="str">
            <v>CARPINETO DOGAJOLO ROSSO IGT</v>
          </cell>
          <cell r="E1399" t="str">
            <v>CASA VINICOLA CARPINETO</v>
          </cell>
          <cell r="F1399" t="str">
            <v>750</v>
          </cell>
          <cell r="G1399">
            <v>13</v>
          </cell>
          <cell r="H1399">
            <v>12</v>
          </cell>
          <cell r="I1399" t="str">
            <v>205873</v>
          </cell>
          <cell r="K1399" t="str">
            <v>VD</v>
          </cell>
          <cell r="L1399">
            <v>1</v>
          </cell>
          <cell r="M1399">
            <v>19.52</v>
          </cell>
        </row>
        <row r="1400">
          <cell r="C1400" t="str">
            <v>3928</v>
          </cell>
          <cell r="D1400" t="str">
            <v>SANTA CRISTINA SANGIOVESE</v>
          </cell>
          <cell r="E1400" t="str">
            <v>MARCHESI ANTINORI SPA</v>
          </cell>
          <cell r="F1400" t="str">
            <v>750</v>
          </cell>
          <cell r="G1400">
            <v>12.5</v>
          </cell>
          <cell r="H1400">
            <v>12</v>
          </cell>
          <cell r="I1400" t="str">
            <v>1009</v>
          </cell>
          <cell r="K1400" t="str">
            <v>VD</v>
          </cell>
          <cell r="L1400">
            <v>1</v>
          </cell>
          <cell r="M1400">
            <v>21.02</v>
          </cell>
        </row>
        <row r="1401">
          <cell r="C1401" t="str">
            <v>13496</v>
          </cell>
          <cell r="D1401" t="str">
            <v>SANTA CRISTINA PINOT GRIGIO IGT</v>
          </cell>
          <cell r="E1401" t="str">
            <v>MARCHESI ANTINORI SPA</v>
          </cell>
          <cell r="F1401" t="str">
            <v>750</v>
          </cell>
          <cell r="G1401">
            <v>12</v>
          </cell>
          <cell r="H1401">
            <v>12</v>
          </cell>
          <cell r="I1401" t="str">
            <v>1009</v>
          </cell>
          <cell r="K1401" t="str">
            <v>VD</v>
          </cell>
          <cell r="L1401">
            <v>1</v>
          </cell>
          <cell r="M1401">
            <v>20</v>
          </cell>
        </row>
        <row r="1402">
          <cell r="C1402" t="str">
            <v>3508</v>
          </cell>
          <cell r="D1402" t="str">
            <v>ANTINORI ORVIETO CLASSICO ABBOCCATO</v>
          </cell>
          <cell r="E1402" t="str">
            <v>MARCHESI ANTINORI SPA</v>
          </cell>
          <cell r="F1402" t="str">
            <v>750</v>
          </cell>
          <cell r="G1402">
            <v>11.5</v>
          </cell>
          <cell r="H1402">
            <v>12</v>
          </cell>
          <cell r="I1402" t="str">
            <v>1009</v>
          </cell>
          <cell r="K1402" t="str">
            <v>MD</v>
          </cell>
          <cell r="L1402">
            <v>1</v>
          </cell>
          <cell r="M1402">
            <v>16</v>
          </cell>
        </row>
        <row r="1403">
          <cell r="C1403" t="str">
            <v>3506</v>
          </cell>
          <cell r="D1403" t="str">
            <v>RUFFINO ORVIETO CLASSICO</v>
          </cell>
          <cell r="E1403" t="str">
            <v>RUFFINO SRL</v>
          </cell>
          <cell r="F1403" t="str">
            <v>750</v>
          </cell>
          <cell r="G1403">
            <v>12</v>
          </cell>
          <cell r="H1403">
            <v>12</v>
          </cell>
          <cell r="I1403" t="str">
            <v>1008</v>
          </cell>
          <cell r="K1403" t="str">
            <v>D</v>
          </cell>
          <cell r="L1403">
            <v>1</v>
          </cell>
          <cell r="M1403">
            <v>12.61</v>
          </cell>
        </row>
        <row r="1404">
          <cell r="C1404" t="str">
            <v>45270</v>
          </cell>
          <cell r="D1404" t="str">
            <v>VILLA TERESA ORGANIC ROSE</v>
          </cell>
          <cell r="E1404" t="str">
            <v>VINI TONON S.R.L.</v>
          </cell>
          <cell r="F1404" t="str">
            <v>750</v>
          </cell>
          <cell r="G1404">
            <v>12</v>
          </cell>
          <cell r="H1404">
            <v>12</v>
          </cell>
          <cell r="I1404" t="str">
            <v>3246</v>
          </cell>
          <cell r="K1404" t="str">
            <v>D</v>
          </cell>
          <cell r="L1404">
            <v>1</v>
          </cell>
          <cell r="M1404">
            <v>16.29</v>
          </cell>
        </row>
        <row r="1405">
          <cell r="C1405" t="str">
            <v>12726</v>
          </cell>
          <cell r="D1405" t="str">
            <v>MASI COSTASERA AMARONE VALPOLICELLA</v>
          </cell>
          <cell r="E1405" t="str">
            <v>MASI AGRICOLA SPA</v>
          </cell>
          <cell r="F1405" t="str">
            <v>750</v>
          </cell>
          <cell r="G1405">
            <v>15</v>
          </cell>
          <cell r="H1405">
            <v>12</v>
          </cell>
          <cell r="I1405" t="str">
            <v>87388</v>
          </cell>
          <cell r="J1405">
            <v>2006</v>
          </cell>
          <cell r="K1405" t="str">
            <v>MD</v>
          </cell>
          <cell r="L1405">
            <v>1</v>
          </cell>
          <cell r="M1405">
            <v>53.25</v>
          </cell>
        </row>
        <row r="1406">
          <cell r="C1406" t="str">
            <v>37096</v>
          </cell>
          <cell r="D1406" t="str">
            <v>SANTA MARGHERITA CABERNET SAUVIGNON</v>
          </cell>
          <cell r="E1406" t="str">
            <v>SANTA MARGHERITA SPA</v>
          </cell>
          <cell r="F1406" t="str">
            <v>750</v>
          </cell>
          <cell r="G1406">
            <v>13</v>
          </cell>
          <cell r="H1406">
            <v>12</v>
          </cell>
          <cell r="I1406" t="str">
            <v>1537</v>
          </cell>
          <cell r="K1406" t="str">
            <v>VD</v>
          </cell>
          <cell r="L1406">
            <v>1</v>
          </cell>
          <cell r="M1406">
            <v>19.45</v>
          </cell>
        </row>
        <row r="1407">
          <cell r="C1407" t="str">
            <v>24577</v>
          </cell>
          <cell r="D1407" t="str">
            <v>CAVIT ROSCATO BIANCO FRIZZANTE</v>
          </cell>
          <cell r="E1407" t="str">
            <v>CAVIT CANTINA VITICOLTORI S.C.A.R.L.</v>
          </cell>
          <cell r="F1407" t="str">
            <v>750</v>
          </cell>
          <cell r="G1407">
            <v>8</v>
          </cell>
          <cell r="H1407">
            <v>12</v>
          </cell>
          <cell r="I1407" t="str">
            <v>206245</v>
          </cell>
          <cell r="K1407" t="str">
            <v>MS</v>
          </cell>
          <cell r="L1407">
            <v>1</v>
          </cell>
          <cell r="M1407">
            <v>11.88</v>
          </cell>
        </row>
        <row r="1408">
          <cell r="C1408" t="str">
            <v>23899</v>
          </cell>
          <cell r="D1408" t="str">
            <v>LADY LOLA PINOT GRIGIO MOSCATO</v>
          </cell>
          <cell r="E1408" t="str">
            <v>ENOITALIA SPA</v>
          </cell>
          <cell r="F1408" t="str">
            <v>750</v>
          </cell>
          <cell r="G1408">
            <v>11.5</v>
          </cell>
          <cell r="H1408">
            <v>12</v>
          </cell>
          <cell r="I1408" t="str">
            <v>152879</v>
          </cell>
          <cell r="K1408" t="str">
            <v>MS</v>
          </cell>
          <cell r="L1408">
            <v>1</v>
          </cell>
          <cell r="M1408">
            <v>11.91</v>
          </cell>
        </row>
        <row r="1409">
          <cell r="C1409" t="str">
            <v>12568</v>
          </cell>
          <cell r="D1409" t="str">
            <v>OGIO PINOT GRIGIO</v>
          </cell>
          <cell r="E1409" t="str">
            <v>CASA VINICOLA BOTTER CARLO CS</v>
          </cell>
          <cell r="F1409" t="str">
            <v>750</v>
          </cell>
          <cell r="G1409">
            <v>12</v>
          </cell>
          <cell r="H1409">
            <v>12</v>
          </cell>
          <cell r="I1409" t="str">
            <v>140473</v>
          </cell>
          <cell r="K1409" t="str">
            <v>MD</v>
          </cell>
          <cell r="L1409">
            <v>1</v>
          </cell>
          <cell r="M1409">
            <v>13.97</v>
          </cell>
        </row>
        <row r="1410">
          <cell r="C1410" t="str">
            <v>15292</v>
          </cell>
          <cell r="D1410" t="str">
            <v>PASQUA PINOT GRIGIO</v>
          </cell>
          <cell r="E1410" t="str">
            <v>PASQUA VIGNETI E CANTINE SPA</v>
          </cell>
          <cell r="F1410" t="str">
            <v>750</v>
          </cell>
          <cell r="G1410">
            <v>12</v>
          </cell>
          <cell r="H1410">
            <v>12</v>
          </cell>
          <cell r="I1410" t="str">
            <v>1009</v>
          </cell>
          <cell r="K1410" t="str">
            <v>VD</v>
          </cell>
          <cell r="L1410">
            <v>1</v>
          </cell>
          <cell r="M1410">
            <v>17</v>
          </cell>
        </row>
        <row r="1411">
          <cell r="C1411" t="str">
            <v>40691</v>
          </cell>
          <cell r="D1411" t="str">
            <v>BRILLA PROSECCO ROSE DOC</v>
          </cell>
          <cell r="E1411" t="str">
            <v>CASA VINICOLA BOTTER CARLO CS</v>
          </cell>
          <cell r="F1411" t="str">
            <v>750</v>
          </cell>
          <cell r="G1411">
            <v>11</v>
          </cell>
          <cell r="H1411">
            <v>12</v>
          </cell>
          <cell r="I1411" t="str">
            <v>140473</v>
          </cell>
          <cell r="K1411" t="str">
            <v>MS</v>
          </cell>
          <cell r="L1411">
            <v>1</v>
          </cell>
          <cell r="M1411">
            <v>19.04</v>
          </cell>
        </row>
        <row r="1412">
          <cell r="C1412" t="str">
            <v>1086</v>
          </cell>
          <cell r="D1412" t="str">
            <v>BOLLA AMARONE DELLA VALPOLICELLA</v>
          </cell>
          <cell r="E1412" t="str">
            <v>GRUPPO ITALIANO VINI S.P.A.</v>
          </cell>
          <cell r="F1412" t="str">
            <v>750</v>
          </cell>
          <cell r="G1412">
            <v>15</v>
          </cell>
          <cell r="H1412">
            <v>12</v>
          </cell>
          <cell r="I1412" t="str">
            <v>1537</v>
          </cell>
          <cell r="K1412" t="str">
            <v>VD</v>
          </cell>
          <cell r="L1412">
            <v>1</v>
          </cell>
          <cell r="M1412">
            <v>37.979999999999997</v>
          </cell>
        </row>
        <row r="1413">
          <cell r="C1413" t="str">
            <v>4433</v>
          </cell>
          <cell r="D1413" t="str">
            <v>BOLLA CLASSICO VALPOLICELLA</v>
          </cell>
          <cell r="E1413" t="str">
            <v>GRUPPO ITALIANO VINI S.P.A.</v>
          </cell>
          <cell r="F1413" t="str">
            <v>750</v>
          </cell>
          <cell r="G1413">
            <v>12.5</v>
          </cell>
          <cell r="H1413">
            <v>12</v>
          </cell>
          <cell r="I1413" t="str">
            <v>1537</v>
          </cell>
          <cell r="K1413" t="str">
            <v>VD</v>
          </cell>
          <cell r="L1413">
            <v>1</v>
          </cell>
          <cell r="M1413">
            <v>15.53</v>
          </cell>
        </row>
        <row r="1414">
          <cell r="C1414" t="str">
            <v>13914</v>
          </cell>
          <cell r="D1414" t="str">
            <v>BOLLA CLASSICO VALPOLICELLA RIPASSO</v>
          </cell>
          <cell r="E1414" t="str">
            <v>GRUPPO ITALIANO VINI S.P.A.</v>
          </cell>
          <cell r="F1414" t="str">
            <v>750</v>
          </cell>
          <cell r="G1414">
            <v>13.5</v>
          </cell>
          <cell r="H1414">
            <v>12</v>
          </cell>
          <cell r="I1414" t="str">
            <v>1537</v>
          </cell>
          <cell r="K1414" t="str">
            <v>D</v>
          </cell>
          <cell r="L1414">
            <v>1</v>
          </cell>
          <cell r="M1414">
            <v>19.54</v>
          </cell>
        </row>
        <row r="1415">
          <cell r="C1415" t="str">
            <v>4431</v>
          </cell>
          <cell r="D1415" t="str">
            <v>FOLONARI VALPOLICELLA</v>
          </cell>
          <cell r="E1415" t="str">
            <v>GRUPPO ITALIANO VINI S.P.A.</v>
          </cell>
          <cell r="F1415" t="str">
            <v>750</v>
          </cell>
          <cell r="G1415">
            <v>12</v>
          </cell>
          <cell r="H1415">
            <v>12</v>
          </cell>
          <cell r="I1415" t="str">
            <v>1537</v>
          </cell>
          <cell r="K1415" t="str">
            <v>VD</v>
          </cell>
          <cell r="L1415">
            <v>1</v>
          </cell>
          <cell r="M1415">
            <v>13.82</v>
          </cell>
        </row>
        <row r="1416">
          <cell r="C1416" t="str">
            <v>37080</v>
          </cell>
          <cell r="D1416" t="str">
            <v>FOLONARI VALPOLICELLA DOC</v>
          </cell>
          <cell r="E1416" t="str">
            <v>GRUPPO ITALIANO VINI S.P.A.</v>
          </cell>
          <cell r="F1416" t="str">
            <v>3000</v>
          </cell>
          <cell r="G1416">
            <v>12.5</v>
          </cell>
          <cell r="H1416">
            <v>4</v>
          </cell>
          <cell r="I1416" t="str">
            <v>1537</v>
          </cell>
          <cell r="K1416" t="str">
            <v>VD</v>
          </cell>
          <cell r="L1416">
            <v>1</v>
          </cell>
          <cell r="M1416">
            <v>45.17</v>
          </cell>
        </row>
        <row r="1417">
          <cell r="C1417" t="str">
            <v>7354</v>
          </cell>
          <cell r="D1417" t="str">
            <v>FOLONARI VALPOLICELLA RIPASSO</v>
          </cell>
          <cell r="E1417" t="str">
            <v>GRUPPO ITALIANO VINI S.P.A.</v>
          </cell>
          <cell r="F1417" t="str">
            <v>750</v>
          </cell>
          <cell r="G1417">
            <v>13.5</v>
          </cell>
          <cell r="H1417">
            <v>12</v>
          </cell>
          <cell r="I1417" t="str">
            <v>1537</v>
          </cell>
          <cell r="K1417" t="str">
            <v>VD</v>
          </cell>
          <cell r="L1417">
            <v>1</v>
          </cell>
          <cell r="M1417">
            <v>18.55</v>
          </cell>
        </row>
        <row r="1418">
          <cell r="C1418" t="str">
            <v>3670</v>
          </cell>
          <cell r="D1418" t="str">
            <v>FOLONARI PINOT GRIGIO DELLE VENEZIE DOC</v>
          </cell>
          <cell r="E1418" t="str">
            <v>GRUPPO ITALIANO VINI S.P.A.</v>
          </cell>
          <cell r="F1418" t="str">
            <v>750</v>
          </cell>
          <cell r="G1418">
            <v>11.5</v>
          </cell>
          <cell r="H1418">
            <v>12</v>
          </cell>
          <cell r="I1418" t="str">
            <v>1537</v>
          </cell>
          <cell r="K1418" t="str">
            <v>VD</v>
          </cell>
          <cell r="L1418">
            <v>1</v>
          </cell>
          <cell r="M1418">
            <v>12.55</v>
          </cell>
        </row>
        <row r="1419">
          <cell r="C1419" t="str">
            <v>6422</v>
          </cell>
          <cell r="D1419" t="str">
            <v>MASI BONACOSTA VALPOLICELLA</v>
          </cell>
          <cell r="E1419" t="str">
            <v>MASI AGRICOLA SPA</v>
          </cell>
          <cell r="F1419" t="str">
            <v>750</v>
          </cell>
          <cell r="G1419">
            <v>12</v>
          </cell>
          <cell r="H1419">
            <v>12</v>
          </cell>
          <cell r="I1419" t="str">
            <v>87388</v>
          </cell>
          <cell r="K1419" t="str">
            <v>VD</v>
          </cell>
          <cell r="L1419">
            <v>1</v>
          </cell>
          <cell r="M1419">
            <v>18.8</v>
          </cell>
        </row>
        <row r="1420">
          <cell r="C1420" t="str">
            <v>40136</v>
          </cell>
          <cell r="D1420" t="str">
            <v>GRAN PASSIONE ROSSO IGT</v>
          </cell>
          <cell r="E1420" t="str">
            <v>CASA VINICOLA BOTTER CARLO CS</v>
          </cell>
          <cell r="F1420" t="str">
            <v>750</v>
          </cell>
          <cell r="G1420">
            <v>14</v>
          </cell>
          <cell r="H1420">
            <v>12</v>
          </cell>
          <cell r="I1420" t="str">
            <v>140473</v>
          </cell>
          <cell r="K1420" t="str">
            <v>D</v>
          </cell>
          <cell r="L1420">
            <v>1</v>
          </cell>
          <cell r="M1420">
            <v>16.579999999999998</v>
          </cell>
        </row>
        <row r="1421">
          <cell r="C1421" t="str">
            <v>1690</v>
          </cell>
          <cell r="D1421" t="str">
            <v>MASI CAMPOFIORIN</v>
          </cell>
          <cell r="E1421" t="str">
            <v>MASI AGRICOLA SPA</v>
          </cell>
          <cell r="F1421" t="str">
            <v>750</v>
          </cell>
          <cell r="G1421">
            <v>13</v>
          </cell>
          <cell r="H1421">
            <v>12</v>
          </cell>
          <cell r="I1421" t="str">
            <v>87388</v>
          </cell>
          <cell r="K1421" t="str">
            <v>VD</v>
          </cell>
          <cell r="L1421">
            <v>1</v>
          </cell>
          <cell r="M1421">
            <v>22.09</v>
          </cell>
        </row>
        <row r="1422">
          <cell r="C1422" t="str">
            <v>41178</v>
          </cell>
          <cell r="D1422" t="str">
            <v>ROSCATO GOLD SWEET RED</v>
          </cell>
          <cell r="E1422" t="str">
            <v>CAVIT CANTINA VITICOLTORI S.C.A.R.L.</v>
          </cell>
          <cell r="F1422" t="str">
            <v>750</v>
          </cell>
          <cell r="G1422">
            <v>8</v>
          </cell>
          <cell r="H1422">
            <v>12</v>
          </cell>
          <cell r="I1422" t="str">
            <v>206245</v>
          </cell>
          <cell r="K1422" t="str">
            <v>VS</v>
          </cell>
          <cell r="L1422">
            <v>1</v>
          </cell>
          <cell r="M1422">
            <v>12.12</v>
          </cell>
        </row>
        <row r="1423">
          <cell r="C1423" t="str">
            <v>4722</v>
          </cell>
          <cell r="D1423" t="str">
            <v>VILLA TERESA ORGANIC MERLOT</v>
          </cell>
          <cell r="E1423" t="str">
            <v>VINI TONON S.R.L.</v>
          </cell>
          <cell r="F1423" t="str">
            <v>750</v>
          </cell>
          <cell r="G1423">
            <v>12</v>
          </cell>
          <cell r="H1423">
            <v>12</v>
          </cell>
          <cell r="I1423" t="str">
            <v>3246</v>
          </cell>
          <cell r="K1423" t="str">
            <v>VD</v>
          </cell>
          <cell r="L1423">
            <v>1</v>
          </cell>
          <cell r="M1423">
            <v>17.29</v>
          </cell>
        </row>
        <row r="1424">
          <cell r="C1424" t="str">
            <v>10887</v>
          </cell>
          <cell r="D1424" t="str">
            <v>CAVIT PINOT GIRGIO VALDADIGE</v>
          </cell>
          <cell r="E1424" t="str">
            <v>CAVIT CANTINA VITICOLTORI S.C.A.R.L.</v>
          </cell>
          <cell r="F1424" t="str">
            <v>750</v>
          </cell>
          <cell r="G1424">
            <v>12</v>
          </cell>
          <cell r="H1424">
            <v>12</v>
          </cell>
          <cell r="I1424" t="str">
            <v>206245</v>
          </cell>
          <cell r="K1424" t="str">
            <v>VD</v>
          </cell>
          <cell r="L1424">
            <v>1</v>
          </cell>
          <cell r="M1424">
            <v>11.88</v>
          </cell>
        </row>
        <row r="1425">
          <cell r="C1425" t="str">
            <v>6442</v>
          </cell>
          <cell r="D1425" t="str">
            <v>MASI MASIANCO</v>
          </cell>
          <cell r="E1425" t="str">
            <v>MASI AGRICOLA SPA</v>
          </cell>
          <cell r="F1425" t="str">
            <v>750</v>
          </cell>
          <cell r="G1425">
            <v>13</v>
          </cell>
          <cell r="H1425">
            <v>12</v>
          </cell>
          <cell r="I1425" t="str">
            <v>87388</v>
          </cell>
          <cell r="K1425" t="str">
            <v>D</v>
          </cell>
          <cell r="L1425">
            <v>1</v>
          </cell>
          <cell r="M1425">
            <v>17.399999999999999</v>
          </cell>
        </row>
        <row r="1426">
          <cell r="C1426" t="str">
            <v>3295</v>
          </cell>
          <cell r="D1426" t="str">
            <v>MASI MODELLO PINOT GRIGIO</v>
          </cell>
          <cell r="E1426" t="str">
            <v>MASI AGRICOLA SPA</v>
          </cell>
          <cell r="F1426" t="str">
            <v>750</v>
          </cell>
          <cell r="G1426">
            <v>12</v>
          </cell>
          <cell r="H1426">
            <v>12</v>
          </cell>
          <cell r="I1426" t="str">
            <v>87388</v>
          </cell>
          <cell r="K1426" t="str">
            <v>VD</v>
          </cell>
          <cell r="L1426">
            <v>1</v>
          </cell>
          <cell r="M1426">
            <v>14.79</v>
          </cell>
        </row>
        <row r="1427">
          <cell r="C1427" t="str">
            <v>4723</v>
          </cell>
          <cell r="D1427" t="str">
            <v>VILLA TERESA ORGANIC PINOT GRIGIO</v>
          </cell>
          <cell r="E1427" t="str">
            <v>VINI TONON S.R.L.</v>
          </cell>
          <cell r="F1427" t="str">
            <v>750</v>
          </cell>
          <cell r="G1427">
            <v>12</v>
          </cell>
          <cell r="H1427">
            <v>12</v>
          </cell>
          <cell r="I1427" t="str">
            <v>3246</v>
          </cell>
          <cell r="K1427" t="str">
            <v>VD</v>
          </cell>
          <cell r="L1427">
            <v>1</v>
          </cell>
          <cell r="M1427">
            <v>17.29</v>
          </cell>
        </row>
        <row r="1428">
          <cell r="C1428" t="str">
            <v>6374</v>
          </cell>
          <cell r="D1428" t="str">
            <v>OYSTER BAY MERLOT</v>
          </cell>
          <cell r="E1428" t="str">
            <v>OYSTER BAY WINES</v>
          </cell>
          <cell r="F1428" t="str">
            <v>750</v>
          </cell>
          <cell r="G1428">
            <v>13.5</v>
          </cell>
          <cell r="H1428">
            <v>12</v>
          </cell>
          <cell r="I1428" t="str">
            <v>74894</v>
          </cell>
          <cell r="K1428" t="str">
            <v>VD</v>
          </cell>
          <cell r="L1428">
            <v>1</v>
          </cell>
          <cell r="M1428">
            <v>17.61</v>
          </cell>
        </row>
        <row r="1429">
          <cell r="C1429" t="str">
            <v>47436</v>
          </cell>
          <cell r="D1429" t="str">
            <v>BABICH HAWKE'S BAY CHARDONNAY</v>
          </cell>
          <cell r="E1429" t="str">
            <v>BABICH WINES LIMITED</v>
          </cell>
          <cell r="F1429" t="str">
            <v>750</v>
          </cell>
          <cell r="G1429">
            <v>13</v>
          </cell>
          <cell r="H1429">
            <v>12</v>
          </cell>
          <cell r="I1429" t="str">
            <v>3293</v>
          </cell>
          <cell r="K1429" t="str">
            <v>VD</v>
          </cell>
          <cell r="L1429">
            <v>1</v>
          </cell>
          <cell r="M1429">
            <v>18.690000000000001</v>
          </cell>
        </row>
        <row r="1430">
          <cell r="C1430" t="str">
            <v>16841</v>
          </cell>
          <cell r="D1430" t="str">
            <v>MATUA HAWKES BAY SAUVIGNON BLANC</v>
          </cell>
          <cell r="E1430" t="str">
            <v>TREASURY WINE ESTATES</v>
          </cell>
          <cell r="F1430" t="str">
            <v>750</v>
          </cell>
          <cell r="G1430">
            <v>13</v>
          </cell>
          <cell r="H1430">
            <v>12</v>
          </cell>
          <cell r="I1430" t="str">
            <v>1009</v>
          </cell>
          <cell r="K1430" t="str">
            <v>VD</v>
          </cell>
          <cell r="L1430">
            <v>1</v>
          </cell>
          <cell r="M1430">
            <v>15.11</v>
          </cell>
        </row>
        <row r="1431">
          <cell r="C1431" t="str">
            <v>17876</v>
          </cell>
          <cell r="D1431" t="str">
            <v>OYSTER BAY PINOT GRIGIO</v>
          </cell>
          <cell r="E1431" t="str">
            <v>OYSTER BAY WINES</v>
          </cell>
          <cell r="F1431" t="str">
            <v>750</v>
          </cell>
          <cell r="G1431">
            <v>12.5</v>
          </cell>
          <cell r="H1431">
            <v>12</v>
          </cell>
          <cell r="I1431" t="str">
            <v>74894</v>
          </cell>
          <cell r="K1431" t="str">
            <v>VD</v>
          </cell>
          <cell r="L1431">
            <v>1</v>
          </cell>
          <cell r="M1431">
            <v>17.61</v>
          </cell>
        </row>
        <row r="1432">
          <cell r="C1432" t="str">
            <v>23900</v>
          </cell>
          <cell r="D1432" t="str">
            <v>KIM CRAWFORD ROSE</v>
          </cell>
          <cell r="E1432" t="str">
            <v>Constellation Brands New Zealand Ltd</v>
          </cell>
          <cell r="F1432" t="str">
            <v>750</v>
          </cell>
          <cell r="G1432">
            <v>13</v>
          </cell>
          <cell r="H1432">
            <v>12</v>
          </cell>
          <cell r="I1432" t="str">
            <v>1008</v>
          </cell>
          <cell r="K1432" t="str">
            <v>D</v>
          </cell>
          <cell r="L1432">
            <v>1</v>
          </cell>
          <cell r="M1432">
            <v>17.61</v>
          </cell>
        </row>
        <row r="1433">
          <cell r="C1433" t="str">
            <v>31106</v>
          </cell>
          <cell r="D1433" t="str">
            <v>OYSTER BAY ROSE</v>
          </cell>
          <cell r="E1433" t="str">
            <v>OYSTER BAY WINES</v>
          </cell>
          <cell r="F1433" t="str">
            <v>750</v>
          </cell>
          <cell r="G1433">
            <v>13</v>
          </cell>
          <cell r="H1433">
            <v>12</v>
          </cell>
          <cell r="I1433" t="str">
            <v>130768</v>
          </cell>
          <cell r="K1433" t="str">
            <v>D</v>
          </cell>
          <cell r="L1433">
            <v>1</v>
          </cell>
          <cell r="M1433">
            <v>17.61</v>
          </cell>
        </row>
        <row r="1434">
          <cell r="C1434" t="str">
            <v>33708</v>
          </cell>
          <cell r="D1434" t="str">
            <v>STONELEIGH LIGHTER ROSE</v>
          </cell>
          <cell r="E1434" t="str">
            <v>PERNOD INTERNATIONAL DIVISION</v>
          </cell>
          <cell r="F1434" t="str">
            <v>750</v>
          </cell>
          <cell r="G1434">
            <v>9.5</v>
          </cell>
          <cell r="H1434">
            <v>6</v>
          </cell>
          <cell r="I1434" t="str">
            <v>3237</v>
          </cell>
          <cell r="K1434" t="str">
            <v>MD</v>
          </cell>
          <cell r="L1434">
            <v>1</v>
          </cell>
          <cell r="M1434">
            <v>17.600000000000001</v>
          </cell>
        </row>
        <row r="1435">
          <cell r="C1435" t="str">
            <v>12831</v>
          </cell>
          <cell r="D1435" t="str">
            <v>KIM  CRAWFORD PINOT NOIR</v>
          </cell>
          <cell r="E1435" t="str">
            <v>Constellation Brands New Zealand Ltd</v>
          </cell>
          <cell r="F1435" t="str">
            <v>750</v>
          </cell>
          <cell r="G1435">
            <v>13.5</v>
          </cell>
          <cell r="H1435">
            <v>12</v>
          </cell>
          <cell r="I1435" t="str">
            <v>1008</v>
          </cell>
          <cell r="K1435" t="str">
            <v>VD</v>
          </cell>
          <cell r="L1435">
            <v>1</v>
          </cell>
          <cell r="M1435">
            <v>20.07</v>
          </cell>
        </row>
        <row r="1436">
          <cell r="C1436" t="str">
            <v>10420</v>
          </cell>
          <cell r="D1436" t="str">
            <v>OYSTER BAY PINOT NOIR</v>
          </cell>
          <cell r="E1436" t="str">
            <v>OYSTER BAY WINES</v>
          </cell>
          <cell r="F1436" t="str">
            <v>750</v>
          </cell>
          <cell r="G1436">
            <v>13.5</v>
          </cell>
          <cell r="H1436">
            <v>12</v>
          </cell>
          <cell r="I1436" t="str">
            <v>74894</v>
          </cell>
          <cell r="K1436" t="str">
            <v>VD</v>
          </cell>
          <cell r="L1436">
            <v>1</v>
          </cell>
          <cell r="M1436">
            <v>20.059999999999999</v>
          </cell>
        </row>
        <row r="1437">
          <cell r="C1437" t="str">
            <v>22138</v>
          </cell>
          <cell r="D1437" t="str">
            <v>BABICH BLACK LABEL SAUVIGNON BLANC</v>
          </cell>
          <cell r="E1437" t="str">
            <v>BABICH WINES LIMITED</v>
          </cell>
          <cell r="F1437" t="str">
            <v>750</v>
          </cell>
          <cell r="G1437">
            <v>13.5</v>
          </cell>
          <cell r="H1437">
            <v>12</v>
          </cell>
          <cell r="I1437" t="str">
            <v>3293</v>
          </cell>
          <cell r="K1437" t="str">
            <v>VD</v>
          </cell>
          <cell r="L1437">
            <v>1</v>
          </cell>
          <cell r="M1437">
            <v>20.29</v>
          </cell>
        </row>
        <row r="1438">
          <cell r="C1438" t="str">
            <v>7076</v>
          </cell>
          <cell r="D1438" t="str">
            <v>BABICH MARLBOROUGH SAUVIGNON BLANC</v>
          </cell>
          <cell r="E1438" t="str">
            <v>BABICH WINES LIMITED</v>
          </cell>
          <cell r="F1438" t="str">
            <v>750</v>
          </cell>
          <cell r="G1438">
            <v>13</v>
          </cell>
          <cell r="H1438">
            <v>12</v>
          </cell>
          <cell r="I1438" t="str">
            <v>3293</v>
          </cell>
          <cell r="K1438" t="str">
            <v>VD</v>
          </cell>
          <cell r="L1438">
            <v>1</v>
          </cell>
          <cell r="M1438">
            <v>17.62</v>
          </cell>
        </row>
        <row r="1439">
          <cell r="C1439" t="str">
            <v>40660</v>
          </cell>
          <cell r="D1439" t="str">
            <v>DUCK HUNTER SAUVIGNON BLANC</v>
          </cell>
          <cell r="E1439" t="str">
            <v>DUCK HUNTER WINES LTD</v>
          </cell>
          <cell r="F1439" t="str">
            <v>750</v>
          </cell>
          <cell r="G1439">
            <v>13</v>
          </cell>
          <cell r="H1439">
            <v>12</v>
          </cell>
          <cell r="I1439" t="str">
            <v>205936</v>
          </cell>
          <cell r="K1439" t="str">
            <v>VD</v>
          </cell>
          <cell r="L1439">
            <v>1</v>
          </cell>
          <cell r="M1439">
            <v>19.52</v>
          </cell>
        </row>
        <row r="1440">
          <cell r="C1440" t="str">
            <v>20040</v>
          </cell>
          <cell r="D1440" t="str">
            <v>KIM CRAWFORD  CHARDONNAY</v>
          </cell>
          <cell r="E1440" t="str">
            <v>KIM CRAWFORD WINES</v>
          </cell>
          <cell r="F1440" t="str">
            <v>750</v>
          </cell>
          <cell r="G1440">
            <v>13.6</v>
          </cell>
          <cell r="H1440">
            <v>12</v>
          </cell>
          <cell r="I1440" t="str">
            <v>3253</v>
          </cell>
          <cell r="K1440" t="str">
            <v>D</v>
          </cell>
          <cell r="L1440">
            <v>1</v>
          </cell>
          <cell r="M1440">
            <v>17.61</v>
          </cell>
        </row>
        <row r="1441">
          <cell r="C1441" t="str">
            <v>36120</v>
          </cell>
          <cell r="D1441" t="str">
            <v>KIM CRAWFORD ILLUMINATE SAUVIGNON BLANC</v>
          </cell>
          <cell r="E1441" t="str">
            <v>Constellation Brands New Zealand Ltd</v>
          </cell>
          <cell r="F1441" t="str">
            <v>750</v>
          </cell>
          <cell r="G1441">
            <v>5</v>
          </cell>
          <cell r="H1441">
            <v>12</v>
          </cell>
          <cell r="I1441" t="str">
            <v>1008</v>
          </cell>
          <cell r="K1441" t="str">
            <v>D</v>
          </cell>
          <cell r="L1441">
            <v>1</v>
          </cell>
          <cell r="M1441">
            <v>17.579999999999998</v>
          </cell>
        </row>
        <row r="1442">
          <cell r="C1442" t="str">
            <v>6763</v>
          </cell>
          <cell r="D1442" t="str">
            <v>KIM CRAWFORD PINOT GRIGIO</v>
          </cell>
          <cell r="E1442" t="str">
            <v>Constellation Brands New Zealand Ltd</v>
          </cell>
          <cell r="F1442" t="str">
            <v>750</v>
          </cell>
          <cell r="G1442">
            <v>14</v>
          </cell>
          <cell r="H1442">
            <v>12</v>
          </cell>
          <cell r="I1442" t="str">
            <v>1008</v>
          </cell>
          <cell r="K1442" t="str">
            <v>VD</v>
          </cell>
          <cell r="L1442">
            <v>1</v>
          </cell>
          <cell r="M1442">
            <v>17.61</v>
          </cell>
        </row>
        <row r="1443">
          <cell r="C1443" t="str">
            <v>5962</v>
          </cell>
          <cell r="D1443" t="str">
            <v>KIM CRAWFORD SAUVIGNON BLANC</v>
          </cell>
          <cell r="E1443" t="str">
            <v>Constellation Brands New Zealand Ltd</v>
          </cell>
          <cell r="F1443" t="str">
            <v>750</v>
          </cell>
          <cell r="G1443">
            <v>13</v>
          </cell>
          <cell r="H1443">
            <v>12</v>
          </cell>
          <cell r="I1443" t="str">
            <v>1008</v>
          </cell>
          <cell r="K1443" t="str">
            <v>VD</v>
          </cell>
          <cell r="L1443">
            <v>1</v>
          </cell>
          <cell r="M1443">
            <v>17.61</v>
          </cell>
        </row>
        <row r="1444">
          <cell r="C1444" t="str">
            <v>47939</v>
          </cell>
          <cell r="D1444" t="str">
            <v>LEFT FIELD PINOT GRIS</v>
          </cell>
          <cell r="E1444" t="str">
            <v>VILLA MARIA ESTATE</v>
          </cell>
          <cell r="F1444" t="str">
            <v>750</v>
          </cell>
          <cell r="G1444">
            <v>13</v>
          </cell>
          <cell r="H1444">
            <v>12</v>
          </cell>
          <cell r="I1444" t="str">
            <v>1537</v>
          </cell>
          <cell r="K1444" t="str">
            <v>MD</v>
          </cell>
          <cell r="L1444">
            <v>1</v>
          </cell>
          <cell r="M1444">
            <v>15.15</v>
          </cell>
        </row>
        <row r="1445">
          <cell r="C1445" t="str">
            <v>29690</v>
          </cell>
          <cell r="D1445" t="str">
            <v>LEFT FIELD SAUVIGNON BLANC</v>
          </cell>
          <cell r="E1445" t="str">
            <v>VILLA MARIA ESTATE</v>
          </cell>
          <cell r="F1445" t="str">
            <v>750</v>
          </cell>
          <cell r="G1445">
            <v>13</v>
          </cell>
          <cell r="H1445">
            <v>12</v>
          </cell>
          <cell r="I1445" t="str">
            <v>1537</v>
          </cell>
          <cell r="K1445" t="str">
            <v>D</v>
          </cell>
          <cell r="L1445">
            <v>1</v>
          </cell>
          <cell r="M1445">
            <v>15.85</v>
          </cell>
        </row>
        <row r="1446">
          <cell r="C1446" t="str">
            <v>48171</v>
          </cell>
          <cell r="D1446" t="str">
            <v>MARISCO THE NED PINOT GRIS</v>
          </cell>
          <cell r="E1446" t="str">
            <v>BERTON VINEYARDS</v>
          </cell>
          <cell r="F1446" t="str">
            <v>750</v>
          </cell>
          <cell r="G1446">
            <v>13</v>
          </cell>
          <cell r="H1446">
            <v>12</v>
          </cell>
          <cell r="I1446" t="str">
            <v>87388</v>
          </cell>
          <cell r="K1446" t="str">
            <v>D</v>
          </cell>
          <cell r="L1446">
            <v>1</v>
          </cell>
          <cell r="M1446">
            <v>15.65</v>
          </cell>
        </row>
        <row r="1447">
          <cell r="C1447" t="str">
            <v>22016</v>
          </cell>
          <cell r="D1447" t="str">
            <v>MUD HOUSE SAUVIGNON BLANC</v>
          </cell>
          <cell r="E1447" t="str">
            <v>VINARCHY NZ LTD</v>
          </cell>
          <cell r="F1447" t="str">
            <v>750</v>
          </cell>
          <cell r="G1447">
            <v>13</v>
          </cell>
          <cell r="H1447">
            <v>12</v>
          </cell>
          <cell r="I1447" t="str">
            <v>3245</v>
          </cell>
          <cell r="K1447" t="str">
            <v>VD</v>
          </cell>
          <cell r="L1447">
            <v>1</v>
          </cell>
          <cell r="M1447">
            <v>19.989999999999998</v>
          </cell>
        </row>
        <row r="1448">
          <cell r="C1448" t="str">
            <v>7337</v>
          </cell>
          <cell r="D1448" t="str">
            <v>OYSTER BAY CHARDONNAY</v>
          </cell>
          <cell r="E1448" t="str">
            <v>OYSTER BAY WINES</v>
          </cell>
          <cell r="F1448" t="str">
            <v>750</v>
          </cell>
          <cell r="G1448">
            <v>13.5</v>
          </cell>
          <cell r="H1448">
            <v>12</v>
          </cell>
          <cell r="I1448" t="str">
            <v>74894</v>
          </cell>
          <cell r="K1448" t="str">
            <v>VD</v>
          </cell>
          <cell r="L1448">
            <v>1</v>
          </cell>
          <cell r="M1448">
            <v>17.61</v>
          </cell>
        </row>
        <row r="1449">
          <cell r="C1449" t="str">
            <v>6373</v>
          </cell>
          <cell r="D1449" t="str">
            <v>OYSTER BAY SAUVIGNON BLANC</v>
          </cell>
          <cell r="E1449" t="str">
            <v>OYSTER BAY WINES</v>
          </cell>
          <cell r="F1449" t="str">
            <v>750</v>
          </cell>
          <cell r="G1449">
            <v>13</v>
          </cell>
          <cell r="H1449">
            <v>12</v>
          </cell>
          <cell r="I1449" t="str">
            <v>74894</v>
          </cell>
          <cell r="K1449" t="str">
            <v>VD</v>
          </cell>
          <cell r="L1449">
            <v>1</v>
          </cell>
          <cell r="M1449">
            <v>17.61</v>
          </cell>
        </row>
        <row r="1450">
          <cell r="C1450" t="str">
            <v>42899</v>
          </cell>
          <cell r="D1450" t="str">
            <v>SAINT CLAIR SAUVIGNON BLANC</v>
          </cell>
          <cell r="E1450" t="str">
            <v>SAINT CLAIR ESTATE WINERY</v>
          </cell>
          <cell r="F1450" t="str">
            <v>750</v>
          </cell>
          <cell r="G1450">
            <v>13</v>
          </cell>
          <cell r="H1450">
            <v>12</v>
          </cell>
          <cell r="I1450" t="str">
            <v>1382</v>
          </cell>
          <cell r="K1450" t="str">
            <v>VD</v>
          </cell>
          <cell r="L1450">
            <v>1</v>
          </cell>
          <cell r="M1450">
            <v>19.600000000000001</v>
          </cell>
        </row>
        <row r="1451">
          <cell r="C1451" t="str">
            <v>8282</v>
          </cell>
          <cell r="D1451" t="str">
            <v>SEVEN TERRACES SAUVIGNON BLANC</v>
          </cell>
          <cell r="E1451" t="str">
            <v>ROSSENDALE</v>
          </cell>
          <cell r="F1451" t="str">
            <v>750</v>
          </cell>
          <cell r="G1451">
            <v>13.5</v>
          </cell>
          <cell r="H1451">
            <v>12</v>
          </cell>
          <cell r="I1451" t="str">
            <v>51396</v>
          </cell>
          <cell r="K1451" t="str">
            <v>VD</v>
          </cell>
          <cell r="L1451">
            <v>1</v>
          </cell>
          <cell r="M1451">
            <v>19.649999999999999</v>
          </cell>
        </row>
        <row r="1452">
          <cell r="C1452" t="str">
            <v>38561</v>
          </cell>
          <cell r="D1452" t="str">
            <v>SPY VALLEY MARLBOROUGH SAUVIGNON BLANC</v>
          </cell>
          <cell r="E1452" t="str">
            <v>SPY VALLEY WINES</v>
          </cell>
          <cell r="F1452" t="str">
            <v>750</v>
          </cell>
          <cell r="G1452">
            <v>12.5</v>
          </cell>
          <cell r="H1452">
            <v>12</v>
          </cell>
          <cell r="I1452" t="str">
            <v>55942</v>
          </cell>
          <cell r="K1452" t="str">
            <v>VD</v>
          </cell>
          <cell r="L1452">
            <v>1</v>
          </cell>
          <cell r="M1452">
            <v>20.84</v>
          </cell>
        </row>
        <row r="1453">
          <cell r="C1453" t="str">
            <v>8498</v>
          </cell>
          <cell r="D1453" t="str">
            <v>STARBOROUGH SAUVIGNON BLANC</v>
          </cell>
          <cell r="E1453" t="str">
            <v>STARBOROUGH WINERY</v>
          </cell>
          <cell r="F1453" t="str">
            <v>750</v>
          </cell>
          <cell r="G1453">
            <v>12.5</v>
          </cell>
          <cell r="H1453">
            <v>12</v>
          </cell>
          <cell r="I1453" t="str">
            <v>206245</v>
          </cell>
          <cell r="K1453" t="str">
            <v>VD</v>
          </cell>
          <cell r="L1453">
            <v>1</v>
          </cell>
          <cell r="M1453">
            <v>20.12</v>
          </cell>
        </row>
        <row r="1454">
          <cell r="C1454" t="str">
            <v>33709</v>
          </cell>
          <cell r="D1454" t="str">
            <v>STONELEIGH LIGHTER SAUVIGNON BLANC</v>
          </cell>
          <cell r="E1454" t="str">
            <v>PERNOD INTERNATIONAL DIVISION</v>
          </cell>
          <cell r="F1454" t="str">
            <v>750</v>
          </cell>
          <cell r="G1454">
            <v>9</v>
          </cell>
          <cell r="H1454">
            <v>12</v>
          </cell>
          <cell r="I1454" t="str">
            <v>3237</v>
          </cell>
          <cell r="K1454" t="str">
            <v>VD</v>
          </cell>
          <cell r="L1454">
            <v>1</v>
          </cell>
          <cell r="M1454">
            <v>17.61</v>
          </cell>
        </row>
        <row r="1455">
          <cell r="C1455" t="str">
            <v>5175</v>
          </cell>
          <cell r="D1455" t="str">
            <v>STONELEIGH SAUVIGNON BLANC</v>
          </cell>
          <cell r="E1455" t="str">
            <v>STONELEIGH VINEYARDS</v>
          </cell>
          <cell r="F1455" t="str">
            <v>750</v>
          </cell>
          <cell r="G1455">
            <v>13.5</v>
          </cell>
          <cell r="H1455">
            <v>12</v>
          </cell>
          <cell r="I1455" t="str">
            <v>3237</v>
          </cell>
          <cell r="K1455" t="str">
            <v>VD</v>
          </cell>
          <cell r="L1455">
            <v>1</v>
          </cell>
          <cell r="M1455">
            <v>17.600000000000001</v>
          </cell>
        </row>
        <row r="1456">
          <cell r="C1456" t="str">
            <v>37068</v>
          </cell>
          <cell r="D1456" t="str">
            <v>SUNDAY SAIL MARLBOROUGH SAUV BLANC</v>
          </cell>
          <cell r="E1456" t="str">
            <v>THE BARREL HUNTER CORPORATION</v>
          </cell>
          <cell r="F1456" t="str">
            <v>750</v>
          </cell>
          <cell r="G1456">
            <v>13</v>
          </cell>
          <cell r="H1456">
            <v>12</v>
          </cell>
          <cell r="I1456" t="str">
            <v>206210</v>
          </cell>
          <cell r="K1456" t="str">
            <v>MD</v>
          </cell>
          <cell r="L1456">
            <v>1</v>
          </cell>
          <cell r="M1456">
            <v>16.66</v>
          </cell>
        </row>
        <row r="1457">
          <cell r="C1457" t="str">
            <v>14529</v>
          </cell>
          <cell r="D1457" t="str">
            <v>THE NED SAUVIGNON BLANC</v>
          </cell>
          <cell r="E1457" t="str">
            <v>MARISCO VINEYARDS LIMITED</v>
          </cell>
          <cell r="F1457" t="str">
            <v>750</v>
          </cell>
          <cell r="G1457">
            <v>13</v>
          </cell>
          <cell r="H1457">
            <v>12</v>
          </cell>
          <cell r="I1457" t="str">
            <v>87388</v>
          </cell>
          <cell r="K1457" t="str">
            <v>VD</v>
          </cell>
          <cell r="L1457">
            <v>1</v>
          </cell>
          <cell r="M1457">
            <v>15.65</v>
          </cell>
        </row>
        <row r="1458">
          <cell r="C1458" t="str">
            <v>7097</v>
          </cell>
          <cell r="D1458" t="str">
            <v>VILLA MARIA PRIVATE BIN SAUVIGNON BLANC</v>
          </cell>
          <cell r="E1458" t="str">
            <v>VILLA MARIA ESTATE</v>
          </cell>
          <cell r="F1458" t="str">
            <v>750</v>
          </cell>
          <cell r="G1458">
            <v>13.5</v>
          </cell>
          <cell r="H1458">
            <v>12</v>
          </cell>
          <cell r="I1458" t="str">
            <v>1537</v>
          </cell>
          <cell r="J1458">
            <v>2011</v>
          </cell>
          <cell r="K1458" t="str">
            <v>VD</v>
          </cell>
          <cell r="L1458">
            <v>1</v>
          </cell>
          <cell r="M1458">
            <v>17.239999999999998</v>
          </cell>
        </row>
        <row r="1459">
          <cell r="C1459" t="str">
            <v>45805</v>
          </cell>
          <cell r="D1459" t="str">
            <v>WHITEHAVEN MARLBOROUGH PINOT GRIS</v>
          </cell>
          <cell r="E1459" t="str">
            <v>E &amp; J GALLO WINERY</v>
          </cell>
          <cell r="F1459" t="str">
            <v>750</v>
          </cell>
          <cell r="G1459">
            <v>13.5</v>
          </cell>
          <cell r="H1459">
            <v>12</v>
          </cell>
          <cell r="I1459" t="str">
            <v>206245</v>
          </cell>
          <cell r="K1459" t="str">
            <v>D</v>
          </cell>
          <cell r="L1459">
            <v>1</v>
          </cell>
          <cell r="M1459">
            <v>18.190000000000001</v>
          </cell>
        </row>
        <row r="1460">
          <cell r="C1460" t="str">
            <v>15329</v>
          </cell>
          <cell r="D1460" t="str">
            <v>WHITEHAVEN SAUVIGNON BLANC</v>
          </cell>
          <cell r="E1460" t="str">
            <v>WHITEHAVEN WINERY</v>
          </cell>
          <cell r="F1460" t="str">
            <v>750</v>
          </cell>
          <cell r="G1460">
            <v>13</v>
          </cell>
          <cell r="H1460">
            <v>12</v>
          </cell>
          <cell r="I1460" t="str">
            <v>206245</v>
          </cell>
          <cell r="K1460" t="str">
            <v>VD</v>
          </cell>
          <cell r="L1460">
            <v>1</v>
          </cell>
          <cell r="M1460">
            <v>18.190000000000001</v>
          </cell>
        </row>
        <row r="1461">
          <cell r="C1461" t="str">
            <v>30585</v>
          </cell>
          <cell r="D1461" t="str">
            <v>SILK &amp; SPICE RED BLEND</v>
          </cell>
          <cell r="E1461" t="str">
            <v>SOGRAPE VINHOS DE PORTUGAL</v>
          </cell>
          <cell r="F1461" t="str">
            <v>750</v>
          </cell>
          <cell r="G1461">
            <v>13</v>
          </cell>
          <cell r="H1461">
            <v>12</v>
          </cell>
          <cell r="I1461" t="str">
            <v>1535</v>
          </cell>
          <cell r="K1461" t="str">
            <v>MS</v>
          </cell>
          <cell r="L1461">
            <v>1</v>
          </cell>
          <cell r="M1461">
            <v>14.29</v>
          </cell>
        </row>
        <row r="1462">
          <cell r="C1462" t="str">
            <v>44163</v>
          </cell>
          <cell r="D1462" t="str">
            <v>SILK &amp; SPICE ROAD INTENSE RED BLEND</v>
          </cell>
          <cell r="E1462" t="str">
            <v>SOGRAPE VINHOS DE PORTUGAL</v>
          </cell>
          <cell r="F1462" t="str">
            <v>750</v>
          </cell>
          <cell r="G1462">
            <v>13.5</v>
          </cell>
          <cell r="H1462">
            <v>12</v>
          </cell>
          <cell r="I1462" t="str">
            <v>1535</v>
          </cell>
          <cell r="K1462" t="str">
            <v>MD</v>
          </cell>
          <cell r="L1462">
            <v>1</v>
          </cell>
          <cell r="M1462">
            <v>16.190000000000001</v>
          </cell>
        </row>
        <row r="1463">
          <cell r="C1463" t="str">
            <v>25364</v>
          </cell>
          <cell r="D1463" t="str">
            <v>AVELEDA CASAL GARCIA VINHO VERDE</v>
          </cell>
          <cell r="E1463" t="str">
            <v>AVELEDA SA</v>
          </cell>
          <cell r="F1463" t="str">
            <v>750</v>
          </cell>
          <cell r="G1463">
            <v>9.5</v>
          </cell>
          <cell r="H1463">
            <v>12</v>
          </cell>
          <cell r="I1463" t="str">
            <v>1537</v>
          </cell>
          <cell r="K1463" t="str">
            <v>MD</v>
          </cell>
          <cell r="L1463">
            <v>1</v>
          </cell>
          <cell r="M1463">
            <v>11.04</v>
          </cell>
        </row>
        <row r="1464">
          <cell r="C1464" t="str">
            <v>1815</v>
          </cell>
          <cell r="D1464" t="str">
            <v>AVELEDA FONTE VINHO VERDE</v>
          </cell>
          <cell r="E1464" t="str">
            <v>AVELEDA SA</v>
          </cell>
          <cell r="F1464" t="str">
            <v>750</v>
          </cell>
          <cell r="G1464">
            <v>9.5</v>
          </cell>
          <cell r="H1464">
            <v>12</v>
          </cell>
          <cell r="I1464" t="str">
            <v>1537</v>
          </cell>
          <cell r="K1464" t="str">
            <v>MS</v>
          </cell>
          <cell r="L1464">
            <v>1</v>
          </cell>
          <cell r="M1464">
            <v>12.33</v>
          </cell>
        </row>
        <row r="1465">
          <cell r="C1465" t="str">
            <v>40346</v>
          </cell>
          <cell r="D1465" t="str">
            <v>SILK &amp; SPICE WHITE BLEND</v>
          </cell>
          <cell r="E1465" t="str">
            <v>SOGRAPE VINHOS DE PORTUGAL</v>
          </cell>
          <cell r="F1465" t="str">
            <v>750</v>
          </cell>
          <cell r="G1465">
            <v>13</v>
          </cell>
          <cell r="H1465">
            <v>12</v>
          </cell>
          <cell r="I1465" t="str">
            <v>1535</v>
          </cell>
          <cell r="K1465" t="str">
            <v>MD</v>
          </cell>
          <cell r="L1465">
            <v>1</v>
          </cell>
          <cell r="M1465">
            <v>14.29</v>
          </cell>
        </row>
        <row r="1466">
          <cell r="C1466" t="str">
            <v>24354</v>
          </cell>
          <cell r="D1466" t="str">
            <v>CASAL GARCIA RED DOC</v>
          </cell>
          <cell r="E1466" t="str">
            <v>AVELEDA SA</v>
          </cell>
          <cell r="F1466" t="str">
            <v>750</v>
          </cell>
          <cell r="G1466">
            <v>13</v>
          </cell>
          <cell r="H1466">
            <v>12</v>
          </cell>
          <cell r="I1466" t="str">
            <v>1537</v>
          </cell>
          <cell r="K1466" t="str">
            <v>VD</v>
          </cell>
          <cell r="L1466">
            <v>1</v>
          </cell>
          <cell r="M1466">
            <v>11.04</v>
          </cell>
        </row>
        <row r="1467">
          <cell r="C1467" t="str">
            <v>42715</v>
          </cell>
          <cell r="D1467" t="str">
            <v>CATEDRAL DOC DAO RESERVA RED</v>
          </cell>
          <cell r="E1467" t="str">
            <v>ENOPORT WINES</v>
          </cell>
          <cell r="F1467" t="str">
            <v>750</v>
          </cell>
          <cell r="G1467">
            <v>13</v>
          </cell>
          <cell r="H1467">
            <v>12</v>
          </cell>
          <cell r="I1467" t="str">
            <v>1382</v>
          </cell>
          <cell r="K1467" t="str">
            <v>MD</v>
          </cell>
          <cell r="L1467">
            <v>1</v>
          </cell>
          <cell r="M1467">
            <v>15.57</v>
          </cell>
        </row>
        <row r="1468">
          <cell r="C1468" t="str">
            <v>6415</v>
          </cell>
          <cell r="D1468" t="str">
            <v>GAZELA VINHO VERDE</v>
          </cell>
          <cell r="E1468" t="str">
            <v>SOGRAPE VINHOS DE PORTUGAL</v>
          </cell>
          <cell r="F1468" t="str">
            <v>750</v>
          </cell>
          <cell r="G1468">
            <v>9</v>
          </cell>
          <cell r="H1468">
            <v>12</v>
          </cell>
          <cell r="I1468" t="str">
            <v>1535</v>
          </cell>
          <cell r="K1468" t="str">
            <v>VD</v>
          </cell>
          <cell r="L1468">
            <v>1</v>
          </cell>
          <cell r="M1468">
            <v>10.99</v>
          </cell>
        </row>
        <row r="1469">
          <cell r="C1469" t="str">
            <v>3053</v>
          </cell>
          <cell r="D1469" t="str">
            <v>MATEUS ROSE-SOGRAPE</v>
          </cell>
          <cell r="E1469" t="str">
            <v>SOGRAPE VINHOS DE PORTUGAL</v>
          </cell>
          <cell r="F1469" t="str">
            <v>750</v>
          </cell>
          <cell r="G1469">
            <v>11</v>
          </cell>
          <cell r="H1469">
            <v>12</v>
          </cell>
          <cell r="I1469" t="str">
            <v>1535</v>
          </cell>
          <cell r="K1469" t="str">
            <v>D</v>
          </cell>
          <cell r="L1469">
            <v>1</v>
          </cell>
          <cell r="M1469">
            <v>10.99</v>
          </cell>
        </row>
        <row r="1470">
          <cell r="C1470" t="str">
            <v>47358</v>
          </cell>
          <cell r="D1470" t="str">
            <v>PAPA FIGOS BRANCO</v>
          </cell>
          <cell r="E1470" t="str">
            <v>SOGRAPE VINHOS DE PORTUGAL</v>
          </cell>
          <cell r="F1470" t="str">
            <v>750</v>
          </cell>
          <cell r="G1470">
            <v>13</v>
          </cell>
          <cell r="H1470">
            <v>12</v>
          </cell>
          <cell r="I1470" t="str">
            <v>87388</v>
          </cell>
          <cell r="K1470" t="str">
            <v>D</v>
          </cell>
          <cell r="L1470">
            <v>1</v>
          </cell>
          <cell r="M1470">
            <v>17.14</v>
          </cell>
        </row>
        <row r="1471">
          <cell r="C1471" t="str">
            <v>18157</v>
          </cell>
          <cell r="D1471" t="str">
            <v>JAM JAR SWEET SHIRAZ</v>
          </cell>
          <cell r="E1471" t="str">
            <v>CAPE CLASSICS</v>
          </cell>
          <cell r="F1471" t="str">
            <v>750</v>
          </cell>
          <cell r="G1471">
            <v>12.5</v>
          </cell>
          <cell r="H1471">
            <v>12</v>
          </cell>
          <cell r="I1471" t="str">
            <v>87388</v>
          </cell>
          <cell r="K1471" t="str">
            <v>MS</v>
          </cell>
          <cell r="L1471">
            <v>1</v>
          </cell>
          <cell r="M1471">
            <v>14.86</v>
          </cell>
        </row>
        <row r="1472">
          <cell r="C1472" t="str">
            <v>10875</v>
          </cell>
          <cell r="D1472" t="str">
            <v>THE WOLFTRAP RED</v>
          </cell>
          <cell r="E1472" t="str">
            <v>BOEKENHOUTSKLOOF WINERY</v>
          </cell>
          <cell r="F1472" t="str">
            <v>750</v>
          </cell>
          <cell r="G1472">
            <v>14.5</v>
          </cell>
          <cell r="H1472">
            <v>12</v>
          </cell>
          <cell r="I1472" t="str">
            <v>205873</v>
          </cell>
          <cell r="K1472" t="str">
            <v>D</v>
          </cell>
          <cell r="L1472">
            <v>1</v>
          </cell>
          <cell r="M1472">
            <v>11.48</v>
          </cell>
        </row>
        <row r="1473">
          <cell r="C1473" t="str">
            <v>5421</v>
          </cell>
          <cell r="D1473" t="str">
            <v>TWO OCEANS SHIRAZ</v>
          </cell>
          <cell r="E1473" t="str">
            <v>TWO OCEANS WINERY</v>
          </cell>
          <cell r="F1473" t="str">
            <v>750</v>
          </cell>
          <cell r="G1473">
            <v>14</v>
          </cell>
          <cell r="H1473">
            <v>12</v>
          </cell>
          <cell r="I1473" t="str">
            <v>3243</v>
          </cell>
          <cell r="K1473" t="str">
            <v>VD</v>
          </cell>
          <cell r="L1473">
            <v>1</v>
          </cell>
          <cell r="M1473">
            <v>10.54</v>
          </cell>
        </row>
        <row r="1474">
          <cell r="C1474" t="str">
            <v>17621</v>
          </cell>
          <cell r="D1474" t="str">
            <v>THE BEACHHOUSE WHITE</v>
          </cell>
          <cell r="E1474" t="str">
            <v>DGB BELLINGHAM INTERNATIONAL</v>
          </cell>
          <cell r="F1474" t="str">
            <v>750</v>
          </cell>
          <cell r="G1474">
            <v>12</v>
          </cell>
          <cell r="H1474">
            <v>12</v>
          </cell>
          <cell r="I1474" t="str">
            <v>3293</v>
          </cell>
          <cell r="K1474" t="str">
            <v>D</v>
          </cell>
          <cell r="L1474">
            <v>1</v>
          </cell>
          <cell r="M1474">
            <v>11.39</v>
          </cell>
        </row>
        <row r="1475">
          <cell r="C1475" t="str">
            <v>23712</v>
          </cell>
          <cell r="D1475" t="str">
            <v>TWO OCEANS MOSCATO</v>
          </cell>
          <cell r="E1475" t="str">
            <v>TWO OCEANS WINERY</v>
          </cell>
          <cell r="F1475" t="str">
            <v>750</v>
          </cell>
          <cell r="G1475">
            <v>8</v>
          </cell>
          <cell r="H1475">
            <v>12</v>
          </cell>
          <cell r="I1475" t="str">
            <v>3243</v>
          </cell>
          <cell r="K1475" t="str">
            <v>VS</v>
          </cell>
          <cell r="L1475">
            <v>1</v>
          </cell>
          <cell r="M1475">
            <v>10.5</v>
          </cell>
        </row>
        <row r="1476">
          <cell r="C1476" t="str">
            <v>26805</v>
          </cell>
          <cell r="D1476" t="str">
            <v>TWO OCEANS SAUVIGNON BLANC</v>
          </cell>
          <cell r="E1476" t="str">
            <v>DISTELL (PTY) LTD</v>
          </cell>
          <cell r="F1476" t="str">
            <v>3000</v>
          </cell>
          <cell r="G1476">
            <v>13</v>
          </cell>
          <cell r="H1476">
            <v>4</v>
          </cell>
          <cell r="I1476" t="str">
            <v>3243</v>
          </cell>
          <cell r="K1476" t="str">
            <v>VD</v>
          </cell>
          <cell r="L1476">
            <v>1</v>
          </cell>
          <cell r="M1476">
            <v>32.590000000000003</v>
          </cell>
        </row>
        <row r="1477">
          <cell r="C1477" t="str">
            <v>5853</v>
          </cell>
          <cell r="D1477" t="str">
            <v>GOATS DO ROAM RED</v>
          </cell>
          <cell r="E1477" t="str">
            <v>FAIRVIEW WINES</v>
          </cell>
          <cell r="F1477" t="str">
            <v>750</v>
          </cell>
          <cell r="G1477">
            <v>14</v>
          </cell>
          <cell r="H1477">
            <v>12</v>
          </cell>
          <cell r="I1477" t="str">
            <v>1382</v>
          </cell>
          <cell r="K1477" t="str">
            <v>VD</v>
          </cell>
          <cell r="L1477">
            <v>1</v>
          </cell>
          <cell r="M1477">
            <v>15.07</v>
          </cell>
        </row>
        <row r="1478">
          <cell r="C1478" t="str">
            <v>3525</v>
          </cell>
          <cell r="D1478" t="str">
            <v>KWV PAARL ROODEBERG</v>
          </cell>
          <cell r="E1478" t="str">
            <v>K.W.V.</v>
          </cell>
          <cell r="F1478" t="str">
            <v>750</v>
          </cell>
          <cell r="G1478">
            <v>12.5</v>
          </cell>
          <cell r="H1478">
            <v>12</v>
          </cell>
          <cell r="I1478" t="str">
            <v>1537</v>
          </cell>
          <cell r="K1478" t="str">
            <v>VD</v>
          </cell>
          <cell r="L1478">
            <v>1</v>
          </cell>
          <cell r="M1478">
            <v>11.54</v>
          </cell>
        </row>
        <row r="1479">
          <cell r="C1479" t="str">
            <v>1535</v>
          </cell>
          <cell r="D1479" t="str">
            <v>NEDERBURG THE WINEMASTERS CAB SAUVIGNON</v>
          </cell>
          <cell r="E1479" t="str">
            <v>STELLENBOSCH FARMERS WINERY</v>
          </cell>
          <cell r="F1479" t="str">
            <v>750</v>
          </cell>
          <cell r="G1479">
            <v>14</v>
          </cell>
          <cell r="H1479">
            <v>12</v>
          </cell>
          <cell r="I1479" t="str">
            <v>3243</v>
          </cell>
          <cell r="K1479" t="str">
            <v>VD</v>
          </cell>
          <cell r="L1479">
            <v>1</v>
          </cell>
          <cell r="M1479">
            <v>13.36</v>
          </cell>
        </row>
        <row r="1480">
          <cell r="C1480" t="str">
            <v>44711</v>
          </cell>
          <cell r="D1480" t="str">
            <v>CAPE FYNBOS WILD BOUQUET SHIRAZ</v>
          </cell>
          <cell r="E1480" t="str">
            <v>THE GRAPE GRINDER PTY LTD</v>
          </cell>
          <cell r="F1480" t="str">
            <v>750</v>
          </cell>
          <cell r="G1480">
            <v>14</v>
          </cell>
          <cell r="H1480">
            <v>6</v>
          </cell>
          <cell r="I1480" t="str">
            <v>3246</v>
          </cell>
          <cell r="K1480" t="str">
            <v>VD</v>
          </cell>
          <cell r="L1480">
            <v>1</v>
          </cell>
          <cell r="M1480">
            <v>23.99</v>
          </cell>
        </row>
        <row r="1481">
          <cell r="C1481" t="str">
            <v>20810</v>
          </cell>
          <cell r="D1481" t="str">
            <v>INCEPTION DEEP LAYERED RED</v>
          </cell>
          <cell r="E1481" t="str">
            <v>DISTELL WINES &amp; SPIRITS (CANADA) INC</v>
          </cell>
          <cell r="F1481" t="str">
            <v>750</v>
          </cell>
          <cell r="G1481">
            <v>14</v>
          </cell>
          <cell r="H1481">
            <v>12</v>
          </cell>
          <cell r="I1481" t="str">
            <v>3243</v>
          </cell>
          <cell r="K1481" t="str">
            <v>D</v>
          </cell>
          <cell r="L1481">
            <v>1</v>
          </cell>
          <cell r="M1481">
            <v>14.4</v>
          </cell>
        </row>
        <row r="1482">
          <cell r="C1482" t="str">
            <v>1629</v>
          </cell>
          <cell r="D1482" t="str">
            <v>TWO OCEANS CABERNET SAUVIGNON MERLOT</v>
          </cell>
          <cell r="E1482" t="str">
            <v>TWO OCEANS WINERY</v>
          </cell>
          <cell r="F1482" t="str">
            <v>750</v>
          </cell>
          <cell r="G1482">
            <v>13.5</v>
          </cell>
          <cell r="H1482">
            <v>12</v>
          </cell>
          <cell r="I1482" t="str">
            <v>3243</v>
          </cell>
          <cell r="K1482" t="str">
            <v>VD</v>
          </cell>
          <cell r="L1482">
            <v>1</v>
          </cell>
          <cell r="M1482">
            <v>10.5</v>
          </cell>
        </row>
        <row r="1483">
          <cell r="C1483" t="str">
            <v>15658</v>
          </cell>
          <cell r="D1483" t="str">
            <v>TWO OCEANS PINOT GRIGIO</v>
          </cell>
          <cell r="E1483" t="str">
            <v>TWO OCEANS WINERY</v>
          </cell>
          <cell r="F1483" t="str">
            <v>750</v>
          </cell>
          <cell r="G1483">
            <v>12.5</v>
          </cell>
          <cell r="H1483">
            <v>12</v>
          </cell>
          <cell r="I1483" t="str">
            <v>3243</v>
          </cell>
          <cell r="K1483" t="str">
            <v>D</v>
          </cell>
          <cell r="L1483">
            <v>1</v>
          </cell>
          <cell r="M1483">
            <v>10.5</v>
          </cell>
        </row>
        <row r="1484">
          <cell r="C1484" t="str">
            <v>3972</v>
          </cell>
          <cell r="D1484" t="str">
            <v>TWO OCEANS SAUVIGNON BLANC</v>
          </cell>
          <cell r="E1484" t="str">
            <v>TWO OCEANS WINERY</v>
          </cell>
          <cell r="F1484" t="str">
            <v>750</v>
          </cell>
          <cell r="G1484">
            <v>11</v>
          </cell>
          <cell r="H1484">
            <v>12</v>
          </cell>
          <cell r="I1484" t="str">
            <v>3243</v>
          </cell>
          <cell r="K1484" t="str">
            <v>VD</v>
          </cell>
          <cell r="L1484">
            <v>1</v>
          </cell>
          <cell r="M1484">
            <v>10.5</v>
          </cell>
        </row>
        <row r="1485">
          <cell r="C1485" t="str">
            <v>47353</v>
          </cell>
          <cell r="D1485" t="str">
            <v>CAPE FYNBOS CHENIN BLANC</v>
          </cell>
          <cell r="E1485" t="str">
            <v>THE GRAPE GRINDER PTY LTD</v>
          </cell>
          <cell r="F1485" t="str">
            <v>750</v>
          </cell>
          <cell r="G1485">
            <v>13</v>
          </cell>
          <cell r="H1485">
            <v>12</v>
          </cell>
          <cell r="I1485" t="str">
            <v>3246</v>
          </cell>
          <cell r="K1485" t="str">
            <v>D</v>
          </cell>
          <cell r="L1485">
            <v>1</v>
          </cell>
          <cell r="M1485">
            <v>14.99</v>
          </cell>
        </row>
        <row r="1486">
          <cell r="C1486" t="str">
            <v>27805</v>
          </cell>
          <cell r="D1486" t="str">
            <v>WILD OLIVE OLD VINE CHENIN BLANC</v>
          </cell>
          <cell r="E1486" t="str">
            <v>THE GRAPE GRINDER PTY LTD</v>
          </cell>
          <cell r="F1486" t="str">
            <v>750</v>
          </cell>
          <cell r="G1486">
            <v>13</v>
          </cell>
          <cell r="H1486">
            <v>12</v>
          </cell>
          <cell r="I1486" t="str">
            <v>3246</v>
          </cell>
          <cell r="K1486" t="str">
            <v>VD</v>
          </cell>
          <cell r="L1486">
            <v>1</v>
          </cell>
          <cell r="M1486">
            <v>13.99</v>
          </cell>
        </row>
        <row r="1487">
          <cell r="C1487" t="str">
            <v>38804</v>
          </cell>
          <cell r="D1487" t="str">
            <v>CAMPO VIEJO CRISP ROSE</v>
          </cell>
          <cell r="E1487" t="str">
            <v>VINARCHY SPAIN S A U</v>
          </cell>
          <cell r="F1487" t="str">
            <v>750</v>
          </cell>
          <cell r="G1487">
            <v>13.5</v>
          </cell>
          <cell r="H1487">
            <v>6</v>
          </cell>
          <cell r="I1487" t="str">
            <v>3237</v>
          </cell>
          <cell r="K1487" t="str">
            <v>VD</v>
          </cell>
          <cell r="L1487">
            <v>1</v>
          </cell>
          <cell r="M1487">
            <v>14.31</v>
          </cell>
        </row>
        <row r="1488">
          <cell r="C1488" t="str">
            <v>45268</v>
          </cell>
          <cell r="D1488" t="str">
            <v>FREIXENET STILL SPANISH STILL ROSADO</v>
          </cell>
          <cell r="E1488" t="str">
            <v>FREIXENET SA</v>
          </cell>
          <cell r="F1488" t="str">
            <v>750</v>
          </cell>
          <cell r="G1488">
            <v>12.5</v>
          </cell>
          <cell r="H1488">
            <v>12</v>
          </cell>
          <cell r="I1488" t="str">
            <v>3245</v>
          </cell>
          <cell r="K1488" t="str">
            <v>D</v>
          </cell>
          <cell r="L1488">
            <v>1</v>
          </cell>
          <cell r="M1488">
            <v>15.92</v>
          </cell>
        </row>
        <row r="1489">
          <cell r="C1489" t="str">
            <v>26597</v>
          </cell>
          <cell r="D1489" t="str">
            <v>RELAX PINK ROSE</v>
          </cell>
          <cell r="E1489" t="str">
            <v>SCHMITT SOHNE GMBH</v>
          </cell>
          <cell r="F1489" t="str">
            <v>750</v>
          </cell>
          <cell r="G1489">
            <v>11</v>
          </cell>
          <cell r="H1489">
            <v>12</v>
          </cell>
          <cell r="I1489" t="str">
            <v>130768</v>
          </cell>
          <cell r="K1489" t="str">
            <v>S</v>
          </cell>
          <cell r="L1489">
            <v>1</v>
          </cell>
          <cell r="M1489">
            <v>12.72</v>
          </cell>
        </row>
        <row r="1490">
          <cell r="C1490" t="str">
            <v>42896</v>
          </cell>
          <cell r="D1490" t="str">
            <v>BODEGAS MANZANOS EL TOREAU TEMPRANILLO</v>
          </cell>
          <cell r="E1490" t="str">
            <v>BODEGAS MANZANOS</v>
          </cell>
          <cell r="F1490" t="str">
            <v>750</v>
          </cell>
          <cell r="G1490">
            <v>13</v>
          </cell>
          <cell r="H1490">
            <v>12</v>
          </cell>
          <cell r="I1490" t="str">
            <v>3246</v>
          </cell>
          <cell r="K1490" t="str">
            <v>VD</v>
          </cell>
          <cell r="L1490">
            <v>1</v>
          </cell>
          <cell r="M1490">
            <v>15.29</v>
          </cell>
        </row>
        <row r="1491">
          <cell r="C1491" t="str">
            <v>23456</v>
          </cell>
          <cell r="D1491" t="str">
            <v>CASTILLO DE MONSERAN GARNACHA</v>
          </cell>
          <cell r="E1491" t="str">
            <v>R-WINES</v>
          </cell>
          <cell r="F1491" t="str">
            <v>750</v>
          </cell>
          <cell r="G1491">
            <v>12.5</v>
          </cell>
          <cell r="H1491">
            <v>12</v>
          </cell>
          <cell r="I1491" t="str">
            <v>1535</v>
          </cell>
          <cell r="K1491" t="str">
            <v>VD</v>
          </cell>
          <cell r="L1491">
            <v>1</v>
          </cell>
          <cell r="M1491">
            <v>12.92</v>
          </cell>
        </row>
        <row r="1492">
          <cell r="C1492" t="str">
            <v>39874</v>
          </cell>
          <cell r="D1492" t="str">
            <v>EL TOCADOR TEMPRANILLO</v>
          </cell>
          <cell r="E1492" t="str">
            <v>HAMMEKEN CELLARS</v>
          </cell>
          <cell r="F1492" t="str">
            <v>750</v>
          </cell>
          <cell r="G1492">
            <v>13.5</v>
          </cell>
          <cell r="H1492">
            <v>12</v>
          </cell>
          <cell r="I1492" t="str">
            <v>3293</v>
          </cell>
          <cell r="K1492" t="str">
            <v>VD</v>
          </cell>
          <cell r="L1492">
            <v>1</v>
          </cell>
          <cell r="M1492">
            <v>13.1</v>
          </cell>
        </row>
        <row r="1493">
          <cell r="C1493" t="str">
            <v>38379</v>
          </cell>
          <cell r="D1493" t="str">
            <v>MUCHO MAS RED</v>
          </cell>
          <cell r="E1493" t="str">
            <v>FELIX SOLIS SA</v>
          </cell>
          <cell r="F1493" t="str">
            <v>750</v>
          </cell>
          <cell r="G1493">
            <v>14.5</v>
          </cell>
          <cell r="H1493">
            <v>12</v>
          </cell>
          <cell r="I1493" t="str">
            <v>3265</v>
          </cell>
          <cell r="K1493" t="str">
            <v>MS</v>
          </cell>
          <cell r="L1493">
            <v>1</v>
          </cell>
          <cell r="M1493">
            <v>12.61</v>
          </cell>
        </row>
        <row r="1494">
          <cell r="C1494" t="str">
            <v>24343</v>
          </cell>
          <cell r="D1494" t="str">
            <v>TORO LOCO TEMPRANILLO</v>
          </cell>
          <cell r="E1494" t="str">
            <v>MAISON DES FUTAILLES</v>
          </cell>
          <cell r="F1494" t="str">
            <v>750</v>
          </cell>
          <cell r="G1494">
            <v>12.5</v>
          </cell>
          <cell r="H1494">
            <v>12</v>
          </cell>
          <cell r="I1494" t="str">
            <v>205873</v>
          </cell>
          <cell r="K1494" t="str">
            <v>D</v>
          </cell>
          <cell r="L1494">
            <v>1</v>
          </cell>
          <cell r="M1494">
            <v>8.8699999999999992</v>
          </cell>
        </row>
        <row r="1495">
          <cell r="C1495" t="str">
            <v>42777</v>
          </cell>
          <cell r="D1495" t="str">
            <v>ADARAS LLUVIA DO ALMANSA</v>
          </cell>
          <cell r="E1495" t="str">
            <v>BODEGAS Y VINEDOS VENTA LA VEGA</v>
          </cell>
          <cell r="F1495" t="str">
            <v>750</v>
          </cell>
          <cell r="G1495">
            <v>12.5</v>
          </cell>
          <cell r="H1495">
            <v>12</v>
          </cell>
          <cell r="I1495" t="str">
            <v>205871</v>
          </cell>
          <cell r="K1495" t="str">
            <v>D</v>
          </cell>
          <cell r="L1495">
            <v>1</v>
          </cell>
          <cell r="M1495">
            <v>16.05</v>
          </cell>
        </row>
        <row r="1496">
          <cell r="C1496" t="str">
            <v>39319</v>
          </cell>
          <cell r="D1496" t="str">
            <v>EL ABUELO ORGANIC TEMPRANILLO MONASTRELL</v>
          </cell>
          <cell r="E1496" t="str">
            <v>BODEGAS PIQUERAS, S.A..</v>
          </cell>
          <cell r="F1496" t="str">
            <v>750</v>
          </cell>
          <cell r="G1496">
            <v>14</v>
          </cell>
          <cell r="H1496">
            <v>12</v>
          </cell>
          <cell r="I1496" t="str">
            <v>3293</v>
          </cell>
          <cell r="K1496" t="str">
            <v>D</v>
          </cell>
          <cell r="L1496">
            <v>1</v>
          </cell>
          <cell r="M1496">
            <v>10.79</v>
          </cell>
        </row>
        <row r="1497">
          <cell r="C1497" t="str">
            <v>39320</v>
          </cell>
          <cell r="D1497" t="str">
            <v>EL ABUELO ORGANIC VERDEJO SAUV BLANC</v>
          </cell>
          <cell r="E1497" t="str">
            <v>BODEGAS PIQUERAS, S.A..</v>
          </cell>
          <cell r="F1497" t="str">
            <v>750</v>
          </cell>
          <cell r="G1497">
            <v>12</v>
          </cell>
          <cell r="H1497">
            <v>12</v>
          </cell>
          <cell r="I1497" t="str">
            <v>3293</v>
          </cell>
          <cell r="K1497" t="str">
            <v>D</v>
          </cell>
          <cell r="L1497">
            <v>1</v>
          </cell>
          <cell r="M1497">
            <v>10.79</v>
          </cell>
        </row>
        <row r="1498">
          <cell r="C1498" t="str">
            <v>1833</v>
          </cell>
          <cell r="D1498" t="str">
            <v>PIQUERAS CASTILLO ALMANSA TINTO</v>
          </cell>
          <cell r="E1498" t="str">
            <v>BODEGAS PIQUERAS, S.A..</v>
          </cell>
          <cell r="F1498" t="str">
            <v>750</v>
          </cell>
          <cell r="G1498">
            <v>14</v>
          </cell>
          <cell r="H1498">
            <v>12</v>
          </cell>
          <cell r="I1498" t="str">
            <v>3293</v>
          </cell>
          <cell r="K1498" t="str">
            <v>VD</v>
          </cell>
          <cell r="L1498">
            <v>1</v>
          </cell>
          <cell r="M1498">
            <v>12</v>
          </cell>
        </row>
        <row r="1499">
          <cell r="C1499" t="str">
            <v>31125</v>
          </cell>
          <cell r="D1499" t="str">
            <v>TIME WAITS FOR NO ONE TWO SKULLS</v>
          </cell>
          <cell r="E1499" t="str">
            <v>FINCA BACARA SL</v>
          </cell>
          <cell r="F1499" t="str">
            <v>750</v>
          </cell>
          <cell r="G1499">
            <v>14</v>
          </cell>
          <cell r="H1499">
            <v>12</v>
          </cell>
          <cell r="I1499" t="str">
            <v>1382</v>
          </cell>
          <cell r="K1499" t="str">
            <v>VD</v>
          </cell>
          <cell r="L1499">
            <v>1</v>
          </cell>
          <cell r="M1499">
            <v>18.39</v>
          </cell>
        </row>
        <row r="1500">
          <cell r="C1500" t="str">
            <v>47354</v>
          </cell>
          <cell r="D1500" t="str">
            <v>CASTILLO DE ENERIZ NAVARRA GARNACHA</v>
          </cell>
          <cell r="E1500" t="str">
            <v>BODEGAS MANZANOS</v>
          </cell>
          <cell r="F1500" t="str">
            <v>750</v>
          </cell>
          <cell r="G1500">
            <v>13.5</v>
          </cell>
          <cell r="H1500">
            <v>12</v>
          </cell>
          <cell r="I1500" t="str">
            <v>3246</v>
          </cell>
          <cell r="K1500" t="str">
            <v>VD</v>
          </cell>
          <cell r="L1500">
            <v>1</v>
          </cell>
          <cell r="M1500">
            <v>13.99</v>
          </cell>
        </row>
        <row r="1501">
          <cell r="C1501" t="str">
            <v>10160</v>
          </cell>
          <cell r="D1501" t="str">
            <v>TORRES CELESTE DO RIBERA DEL DUERO</v>
          </cell>
          <cell r="E1501" t="str">
            <v>VINICOLA MIGUEL TORRES LTDA</v>
          </cell>
          <cell r="F1501" t="str">
            <v>750</v>
          </cell>
          <cell r="G1501">
            <v>14.5</v>
          </cell>
          <cell r="H1501">
            <v>12</v>
          </cell>
          <cell r="I1501" t="str">
            <v>1537</v>
          </cell>
          <cell r="K1501" t="str">
            <v>VD</v>
          </cell>
          <cell r="L1501">
            <v>1</v>
          </cell>
          <cell r="M1501">
            <v>22.5</v>
          </cell>
        </row>
        <row r="1502">
          <cell r="C1502" t="str">
            <v>4459</v>
          </cell>
          <cell r="D1502" t="str">
            <v>MONTECILLO CRIANZA</v>
          </cell>
          <cell r="E1502" t="str">
            <v>BODEGAS MONTECILLO</v>
          </cell>
          <cell r="F1502" t="str">
            <v>750</v>
          </cell>
          <cell r="G1502">
            <v>13.5</v>
          </cell>
          <cell r="H1502">
            <v>12</v>
          </cell>
          <cell r="I1502" t="str">
            <v>3243</v>
          </cell>
          <cell r="K1502" t="str">
            <v>VD</v>
          </cell>
          <cell r="L1502">
            <v>1</v>
          </cell>
          <cell r="M1502">
            <v>16.739999999999998</v>
          </cell>
        </row>
        <row r="1503">
          <cell r="C1503" t="str">
            <v>7623</v>
          </cell>
          <cell r="D1503" t="str">
            <v>MONTECILLO RESERVA</v>
          </cell>
          <cell r="E1503" t="str">
            <v>BODEGAS MONTECILLO</v>
          </cell>
          <cell r="F1503" t="str">
            <v>750</v>
          </cell>
          <cell r="G1503">
            <v>13.5</v>
          </cell>
          <cell r="H1503">
            <v>12</v>
          </cell>
          <cell r="I1503" t="str">
            <v>3243</v>
          </cell>
          <cell r="K1503" t="str">
            <v>VD</v>
          </cell>
          <cell r="L1503">
            <v>1</v>
          </cell>
          <cell r="M1503">
            <v>19.71</v>
          </cell>
        </row>
        <row r="1504">
          <cell r="C1504" t="str">
            <v>40659</v>
          </cell>
          <cell r="D1504" t="str">
            <v>ANCIANO NO. 10 RIOJA GRAN RESERVA DOC</v>
          </cell>
          <cell r="E1504" t="str">
            <v>GUY ANDERSON WINES LTD</v>
          </cell>
          <cell r="F1504" t="str">
            <v>750</v>
          </cell>
          <cell r="G1504">
            <v>13</v>
          </cell>
          <cell r="H1504">
            <v>12</v>
          </cell>
          <cell r="I1504" t="str">
            <v>87388</v>
          </cell>
          <cell r="K1504" t="str">
            <v>VD</v>
          </cell>
          <cell r="L1504">
            <v>1</v>
          </cell>
          <cell r="M1504">
            <v>22.09</v>
          </cell>
        </row>
        <row r="1505">
          <cell r="C1505" t="str">
            <v>40307</v>
          </cell>
          <cell r="D1505" t="str">
            <v>ANCIANO NO. 7 RIOJA RESERVA DOC</v>
          </cell>
          <cell r="E1505" t="str">
            <v>GUY ANDERSON WINES LTD</v>
          </cell>
          <cell r="F1505" t="str">
            <v>750</v>
          </cell>
          <cell r="G1505">
            <v>13</v>
          </cell>
          <cell r="H1505">
            <v>12</v>
          </cell>
          <cell r="I1505" t="str">
            <v>87388</v>
          </cell>
          <cell r="K1505" t="str">
            <v>VD</v>
          </cell>
          <cell r="L1505">
            <v>1</v>
          </cell>
          <cell r="M1505">
            <v>16.489999999999998</v>
          </cell>
        </row>
        <row r="1506">
          <cell r="C1506" t="str">
            <v>25919</v>
          </cell>
          <cell r="D1506" t="str">
            <v>CAMPO VIEJO RESERVA DOC</v>
          </cell>
          <cell r="E1506" t="str">
            <v>VINARCHY SPAIN S A U</v>
          </cell>
          <cell r="F1506" t="str">
            <v>750</v>
          </cell>
          <cell r="G1506">
            <v>13.5</v>
          </cell>
          <cell r="H1506">
            <v>12</v>
          </cell>
          <cell r="I1506" t="str">
            <v>3237</v>
          </cell>
          <cell r="K1506" t="str">
            <v>VD</v>
          </cell>
          <cell r="L1506">
            <v>1</v>
          </cell>
          <cell r="M1506">
            <v>18.100000000000001</v>
          </cell>
        </row>
        <row r="1507">
          <cell r="C1507" t="str">
            <v>29315</v>
          </cell>
          <cell r="D1507" t="str">
            <v>LA MALDITA GARNACHA</v>
          </cell>
          <cell r="E1507" t="str">
            <v>VIVANCO</v>
          </cell>
          <cell r="F1507" t="str">
            <v>750</v>
          </cell>
          <cell r="G1507">
            <v>14</v>
          </cell>
          <cell r="H1507">
            <v>12</v>
          </cell>
          <cell r="I1507" t="str">
            <v>1009</v>
          </cell>
          <cell r="K1507" t="str">
            <v>VD</v>
          </cell>
          <cell r="L1507">
            <v>1</v>
          </cell>
          <cell r="M1507">
            <v>15</v>
          </cell>
        </row>
        <row r="1508">
          <cell r="C1508" t="str">
            <v>12632</v>
          </cell>
          <cell r="D1508" t="str">
            <v>BERONIA RESERVA</v>
          </cell>
          <cell r="E1508" t="str">
            <v>GONZALEZ BYASS SA</v>
          </cell>
          <cell r="F1508" t="str">
            <v>750</v>
          </cell>
          <cell r="G1508">
            <v>14</v>
          </cell>
          <cell r="H1508">
            <v>12</v>
          </cell>
          <cell r="I1508" t="str">
            <v>205873</v>
          </cell>
          <cell r="K1508" t="str">
            <v>VD</v>
          </cell>
          <cell r="L1508">
            <v>1</v>
          </cell>
          <cell r="M1508">
            <v>21.2</v>
          </cell>
        </row>
        <row r="1509">
          <cell r="C1509" t="str">
            <v>17245</v>
          </cell>
          <cell r="D1509" t="str">
            <v>CAMPO VIEJO TEMPRANILLO</v>
          </cell>
          <cell r="E1509" t="str">
            <v>VINARCHY SPAIN S A U</v>
          </cell>
          <cell r="F1509" t="str">
            <v>750</v>
          </cell>
          <cell r="G1509">
            <v>13.5</v>
          </cell>
          <cell r="H1509">
            <v>12</v>
          </cell>
          <cell r="I1509" t="str">
            <v>3237</v>
          </cell>
          <cell r="K1509" t="str">
            <v>VD</v>
          </cell>
          <cell r="L1509">
            <v>1</v>
          </cell>
          <cell r="M1509">
            <v>14.31</v>
          </cell>
        </row>
        <row r="1510">
          <cell r="C1510" t="str">
            <v>23675</v>
          </cell>
          <cell r="D1510" t="str">
            <v>RADIO BOKA TEMPRANILLO</v>
          </cell>
          <cell r="E1510" t="str">
            <v>HAMMEKEN CELLARS</v>
          </cell>
          <cell r="F1510" t="str">
            <v>750</v>
          </cell>
          <cell r="G1510">
            <v>13</v>
          </cell>
          <cell r="H1510">
            <v>12</v>
          </cell>
          <cell r="I1510" t="str">
            <v>3293</v>
          </cell>
          <cell r="K1510" t="str">
            <v>MD</v>
          </cell>
          <cell r="L1510">
            <v>1</v>
          </cell>
          <cell r="M1510">
            <v>12.62</v>
          </cell>
        </row>
        <row r="1511">
          <cell r="C1511" t="str">
            <v>19481</v>
          </cell>
          <cell r="D1511" t="str">
            <v>RADIO BOKA TEMPRANILLO</v>
          </cell>
          <cell r="E1511" t="str">
            <v>HAMMEKEN CELLARS</v>
          </cell>
          <cell r="F1511" t="str">
            <v>3000</v>
          </cell>
          <cell r="G1511">
            <v>13</v>
          </cell>
          <cell r="H1511">
            <v>4</v>
          </cell>
          <cell r="I1511" t="str">
            <v>3293</v>
          </cell>
          <cell r="K1511" t="str">
            <v>MD</v>
          </cell>
          <cell r="L1511">
            <v>1</v>
          </cell>
          <cell r="M1511">
            <v>35.479999999999997</v>
          </cell>
        </row>
        <row r="1512">
          <cell r="C1512" t="str">
            <v>31482</v>
          </cell>
          <cell r="D1512" t="str">
            <v>DECOY CALIFORNIA ROSE</v>
          </cell>
          <cell r="E1512" t="str">
            <v>DUCKHORN VINYARDS</v>
          </cell>
          <cell r="F1512" t="str">
            <v>750</v>
          </cell>
          <cell r="G1512">
            <v>13.9</v>
          </cell>
          <cell r="H1512">
            <v>12</v>
          </cell>
          <cell r="I1512" t="str">
            <v>3293</v>
          </cell>
          <cell r="K1512" t="str">
            <v>VD</v>
          </cell>
          <cell r="L1512">
            <v>1</v>
          </cell>
          <cell r="M1512">
            <v>22.79</v>
          </cell>
        </row>
        <row r="1513">
          <cell r="C1513" t="str">
            <v>41001</v>
          </cell>
          <cell r="D1513" t="str">
            <v>1924 BOURBON BARREL CABERNET SAUVIGNON</v>
          </cell>
          <cell r="E1513" t="str">
            <v>DELICATO VINEYARDS DBA BLACK STALLION WI</v>
          </cell>
          <cell r="F1513" t="str">
            <v>750</v>
          </cell>
          <cell r="G1513">
            <v>15</v>
          </cell>
          <cell r="H1513">
            <v>12</v>
          </cell>
          <cell r="I1513" t="str">
            <v>1008</v>
          </cell>
          <cell r="K1513" t="str">
            <v>D</v>
          </cell>
          <cell r="L1513">
            <v>1</v>
          </cell>
          <cell r="M1513">
            <v>16.079999999999998</v>
          </cell>
        </row>
        <row r="1514">
          <cell r="C1514" t="str">
            <v>33205</v>
          </cell>
          <cell r="D1514" t="str">
            <v>APOTHIC CABERNET SAUVIGNON</v>
          </cell>
          <cell r="E1514" t="str">
            <v>APOTHIC RED WINERY</v>
          </cell>
          <cell r="F1514" t="str">
            <v>750</v>
          </cell>
          <cell r="G1514">
            <v>13.5</v>
          </cell>
          <cell r="H1514">
            <v>12</v>
          </cell>
          <cell r="I1514" t="str">
            <v>206245</v>
          </cell>
          <cell r="K1514" t="str">
            <v>MS</v>
          </cell>
          <cell r="L1514">
            <v>1</v>
          </cell>
          <cell r="M1514">
            <v>14.33</v>
          </cell>
        </row>
        <row r="1515">
          <cell r="C1515" t="str">
            <v>38418</v>
          </cell>
          <cell r="D1515" t="str">
            <v>APOTHIC MERLOT</v>
          </cell>
          <cell r="E1515" t="str">
            <v>E &amp; J GALLO WINERY</v>
          </cell>
          <cell r="F1515" t="str">
            <v>750</v>
          </cell>
          <cell r="G1515">
            <v>13.5</v>
          </cell>
          <cell r="H1515">
            <v>12</v>
          </cell>
          <cell r="I1515" t="str">
            <v>206245</v>
          </cell>
          <cell r="K1515" t="str">
            <v>MD</v>
          </cell>
          <cell r="L1515">
            <v>1</v>
          </cell>
          <cell r="M1515">
            <v>14.3</v>
          </cell>
        </row>
        <row r="1516">
          <cell r="C1516" t="str">
            <v>37633</v>
          </cell>
          <cell r="D1516" t="str">
            <v>BREAD &amp; BUTTER SAUVIGNON BLANC</v>
          </cell>
          <cell r="E1516" t="str">
            <v>WINERY EXCHANGE BRANDS</v>
          </cell>
          <cell r="F1516" t="str">
            <v>750</v>
          </cell>
          <cell r="G1516">
            <v>13</v>
          </cell>
          <cell r="H1516">
            <v>12</v>
          </cell>
          <cell r="I1516" t="str">
            <v>140473</v>
          </cell>
          <cell r="K1516" t="str">
            <v>D</v>
          </cell>
          <cell r="L1516">
            <v>1</v>
          </cell>
          <cell r="M1516">
            <v>20.93</v>
          </cell>
        </row>
        <row r="1517">
          <cell r="C1517" t="str">
            <v>1920</v>
          </cell>
          <cell r="D1517" t="str">
            <v>KENDALL JACKSON VINTNER'S RESERVE CHARD</v>
          </cell>
          <cell r="E1517" t="str">
            <v>KENDALL-JACKSON INTERNATIONAL</v>
          </cell>
          <cell r="F1517" t="str">
            <v>750</v>
          </cell>
          <cell r="G1517">
            <v>13.5</v>
          </cell>
          <cell r="H1517">
            <v>12</v>
          </cell>
          <cell r="I1517" t="str">
            <v>58104</v>
          </cell>
          <cell r="K1517" t="str">
            <v>MD</v>
          </cell>
          <cell r="L1517">
            <v>1</v>
          </cell>
          <cell r="M1517">
            <v>22.59</v>
          </cell>
        </row>
        <row r="1518">
          <cell r="C1518" t="str">
            <v>14176</v>
          </cell>
          <cell r="D1518" t="str">
            <v>CUPCAKE RED VELVET</v>
          </cell>
          <cell r="E1518" t="str">
            <v>THE WINE GROUP LLC</v>
          </cell>
          <cell r="F1518" t="str">
            <v>750</v>
          </cell>
          <cell r="G1518">
            <v>13.5</v>
          </cell>
          <cell r="H1518">
            <v>12</v>
          </cell>
          <cell r="I1518" t="str">
            <v>130768</v>
          </cell>
          <cell r="J1518">
            <v>2012</v>
          </cell>
          <cell r="K1518" t="str">
            <v>MD</v>
          </cell>
          <cell r="L1518">
            <v>1</v>
          </cell>
          <cell r="M1518">
            <v>13.1</v>
          </cell>
        </row>
        <row r="1519">
          <cell r="C1519" t="str">
            <v>6275</v>
          </cell>
          <cell r="D1519" t="str">
            <v>LIBERTY SCHOOL CABERNET SAUVIGNON</v>
          </cell>
          <cell r="E1519" t="str">
            <v>TREANA WINERY DBA HOPE FAMILY WINES</v>
          </cell>
          <cell r="F1519" t="str">
            <v>750</v>
          </cell>
          <cell r="G1519">
            <v>13.5</v>
          </cell>
          <cell r="H1519">
            <v>12</v>
          </cell>
          <cell r="I1519" t="str">
            <v>1009</v>
          </cell>
          <cell r="K1519" t="str">
            <v>VD</v>
          </cell>
          <cell r="L1519">
            <v>1</v>
          </cell>
          <cell r="M1519">
            <v>18.36</v>
          </cell>
        </row>
        <row r="1520">
          <cell r="C1520" t="str">
            <v>7105</v>
          </cell>
          <cell r="D1520" t="str">
            <v>MIRASSOU CALIFORNIA PINOT NOIR</v>
          </cell>
          <cell r="E1520" t="str">
            <v>MIRASSOU VINEYARDS</v>
          </cell>
          <cell r="F1520" t="str">
            <v>750</v>
          </cell>
          <cell r="G1520">
            <v>13.5</v>
          </cell>
          <cell r="H1520">
            <v>12</v>
          </cell>
          <cell r="I1520" t="str">
            <v>206245</v>
          </cell>
          <cell r="K1520" t="str">
            <v>VD</v>
          </cell>
          <cell r="L1520">
            <v>1</v>
          </cell>
          <cell r="M1520">
            <v>14.63</v>
          </cell>
        </row>
        <row r="1521">
          <cell r="C1521" t="str">
            <v>5603</v>
          </cell>
          <cell r="D1521" t="str">
            <v>STERLING VINTNER'S COLLECTION CAB SAUV</v>
          </cell>
          <cell r="E1521" t="str">
            <v>STERLING VINEYARDS</v>
          </cell>
          <cell r="F1521" t="str">
            <v>750</v>
          </cell>
          <cell r="G1521">
            <v>13.5</v>
          </cell>
          <cell r="H1521">
            <v>12</v>
          </cell>
          <cell r="I1521" t="str">
            <v>1009</v>
          </cell>
          <cell r="K1521" t="str">
            <v>VD</v>
          </cell>
          <cell r="L1521">
            <v>1</v>
          </cell>
          <cell r="M1521">
            <v>17.010000000000002</v>
          </cell>
        </row>
        <row r="1522">
          <cell r="C1522" t="str">
            <v>16541</v>
          </cell>
          <cell r="D1522" t="str">
            <v>STERLING VINTNER'S COLLECTION PINOT NOIR</v>
          </cell>
          <cell r="E1522" t="str">
            <v>STERLING VINEYARDS</v>
          </cell>
          <cell r="F1522" t="str">
            <v>750</v>
          </cell>
          <cell r="G1522">
            <v>13.5</v>
          </cell>
          <cell r="H1522">
            <v>12</v>
          </cell>
          <cell r="I1522" t="str">
            <v>1009</v>
          </cell>
          <cell r="K1522" t="str">
            <v>VD</v>
          </cell>
          <cell r="L1522">
            <v>1</v>
          </cell>
          <cell r="M1522">
            <v>12.61</v>
          </cell>
        </row>
        <row r="1523">
          <cell r="C1523" t="str">
            <v>2061</v>
          </cell>
          <cell r="D1523" t="str">
            <v>VINT CABERNET  SAUVIGNON</v>
          </cell>
          <cell r="E1523" t="str">
            <v>WOODBRIDGE WINERY</v>
          </cell>
          <cell r="F1523" t="str">
            <v>750</v>
          </cell>
          <cell r="G1523">
            <v>13.5</v>
          </cell>
          <cell r="H1523">
            <v>12</v>
          </cell>
          <cell r="I1523" t="str">
            <v>1009</v>
          </cell>
          <cell r="K1523" t="str">
            <v>VD</v>
          </cell>
          <cell r="L1523">
            <v>1</v>
          </cell>
          <cell r="M1523">
            <v>14.98</v>
          </cell>
        </row>
        <row r="1524">
          <cell r="C1524" t="str">
            <v>14177</v>
          </cell>
          <cell r="D1524" t="str">
            <v>CUPCAKE CHARDONNAY</v>
          </cell>
          <cell r="E1524" t="str">
            <v>THE WINE GROUP LLC</v>
          </cell>
          <cell r="F1524" t="str">
            <v>750</v>
          </cell>
          <cell r="G1524">
            <v>13.5</v>
          </cell>
          <cell r="H1524">
            <v>12</v>
          </cell>
          <cell r="I1524" t="str">
            <v>3245</v>
          </cell>
          <cell r="K1524" t="str">
            <v>D</v>
          </cell>
          <cell r="L1524">
            <v>1</v>
          </cell>
          <cell r="M1524">
            <v>12.86</v>
          </cell>
        </row>
        <row r="1525">
          <cell r="C1525" t="str">
            <v>3854</v>
          </cell>
          <cell r="D1525" t="str">
            <v>J LOHR RIVERSTONE ESTATE CHARDONNAY</v>
          </cell>
          <cell r="E1525" t="str">
            <v>J. LOHR WINERY</v>
          </cell>
          <cell r="F1525" t="str">
            <v>750</v>
          </cell>
          <cell r="G1525">
            <v>12</v>
          </cell>
          <cell r="H1525">
            <v>12</v>
          </cell>
          <cell r="I1525" t="str">
            <v>1382</v>
          </cell>
          <cell r="K1525" t="str">
            <v>VD</v>
          </cell>
          <cell r="L1525">
            <v>1</v>
          </cell>
          <cell r="M1525">
            <v>23.98</v>
          </cell>
        </row>
        <row r="1526">
          <cell r="C1526" t="str">
            <v>5601</v>
          </cell>
          <cell r="D1526" t="str">
            <v>STERLING VINTNER'S COLLECTION CHARDONNAY</v>
          </cell>
          <cell r="E1526" t="str">
            <v>STERLING VINEYARDS</v>
          </cell>
          <cell r="F1526" t="str">
            <v>750</v>
          </cell>
          <cell r="G1526">
            <v>13.5</v>
          </cell>
          <cell r="H1526">
            <v>12</v>
          </cell>
          <cell r="I1526" t="str">
            <v>1009</v>
          </cell>
          <cell r="K1526" t="str">
            <v>VD</v>
          </cell>
          <cell r="L1526">
            <v>1</v>
          </cell>
          <cell r="M1526">
            <v>17.010000000000002</v>
          </cell>
        </row>
        <row r="1527">
          <cell r="C1527" t="str">
            <v>1646</v>
          </cell>
          <cell r="D1527" t="str">
            <v>CARLO ROSSI CALIFORNIA BLUSH</v>
          </cell>
          <cell r="E1527" t="str">
            <v>CARLO ROSSI VINEYARDS</v>
          </cell>
          <cell r="F1527" t="str">
            <v>1500</v>
          </cell>
          <cell r="G1527">
            <v>8.5</v>
          </cell>
          <cell r="H1527">
            <v>6</v>
          </cell>
          <cell r="I1527" t="str">
            <v>206245</v>
          </cell>
          <cell r="K1527" t="str">
            <v>D</v>
          </cell>
          <cell r="L1527">
            <v>1</v>
          </cell>
          <cell r="M1527">
            <v>15.9</v>
          </cell>
        </row>
        <row r="1528">
          <cell r="C1528" t="str">
            <v>4550</v>
          </cell>
          <cell r="D1528" t="str">
            <v>E&amp;J GALLO RESERVE WHITE ZINFANDEL</v>
          </cell>
          <cell r="E1528" t="str">
            <v>E &amp; J GALLO WINERY</v>
          </cell>
          <cell r="F1528" t="str">
            <v>750</v>
          </cell>
          <cell r="G1528">
            <v>9.5</v>
          </cell>
          <cell r="H1528">
            <v>12</v>
          </cell>
          <cell r="I1528" t="str">
            <v>3254</v>
          </cell>
          <cell r="K1528" t="str">
            <v>D</v>
          </cell>
          <cell r="L1528">
            <v>1</v>
          </cell>
          <cell r="M1528">
            <v>10.08</v>
          </cell>
        </row>
        <row r="1529">
          <cell r="C1529" t="str">
            <v>4551</v>
          </cell>
          <cell r="D1529" t="str">
            <v>E&amp;J GALLO RESERVE WHITE ZINFANDEL</v>
          </cell>
          <cell r="E1529" t="str">
            <v>E &amp; J GALLO WINERY</v>
          </cell>
          <cell r="F1529" t="str">
            <v>1500</v>
          </cell>
          <cell r="G1529">
            <v>9.5</v>
          </cell>
          <cell r="H1529">
            <v>6</v>
          </cell>
          <cell r="I1529" t="str">
            <v>206245</v>
          </cell>
          <cell r="K1529" t="str">
            <v>D</v>
          </cell>
          <cell r="L1529">
            <v>1</v>
          </cell>
          <cell r="M1529">
            <v>19.559999999999999</v>
          </cell>
        </row>
        <row r="1530">
          <cell r="C1530" t="str">
            <v>4590</v>
          </cell>
          <cell r="D1530" t="str">
            <v>FRANZIA WINETAP BLUSH</v>
          </cell>
          <cell r="E1530" t="str">
            <v>FRANZIA</v>
          </cell>
          <cell r="F1530" t="str">
            <v>3000</v>
          </cell>
          <cell r="G1530">
            <v>9</v>
          </cell>
          <cell r="H1530">
            <v>6</v>
          </cell>
          <cell r="I1530" t="str">
            <v>1009</v>
          </cell>
          <cell r="K1530" t="str">
            <v>D</v>
          </cell>
          <cell r="L1530">
            <v>1</v>
          </cell>
          <cell r="M1530">
            <v>26.4</v>
          </cell>
        </row>
        <row r="1531">
          <cell r="C1531" t="str">
            <v>1660</v>
          </cell>
          <cell r="D1531" t="str">
            <v>CARLO ROSSI CALIFORNIA RED</v>
          </cell>
          <cell r="E1531" t="str">
            <v>CARLO ROSSI VINEYARDS</v>
          </cell>
          <cell r="F1531" t="str">
            <v>1500</v>
          </cell>
          <cell r="G1531">
            <v>12</v>
          </cell>
          <cell r="H1531">
            <v>6</v>
          </cell>
          <cell r="I1531" t="str">
            <v>206245</v>
          </cell>
          <cell r="K1531" t="str">
            <v>D</v>
          </cell>
          <cell r="L1531">
            <v>1</v>
          </cell>
          <cell r="M1531">
            <v>15.9</v>
          </cell>
        </row>
        <row r="1532">
          <cell r="C1532" t="str">
            <v>1661</v>
          </cell>
          <cell r="D1532" t="str">
            <v>CARLO ROSSI CALIFORNIA RED</v>
          </cell>
          <cell r="E1532" t="str">
            <v>CARLO ROSSI VINEYARDS</v>
          </cell>
          <cell r="F1532" t="str">
            <v>3000</v>
          </cell>
          <cell r="G1532">
            <v>11</v>
          </cell>
          <cell r="H1532">
            <v>4</v>
          </cell>
          <cell r="I1532" t="str">
            <v>206245</v>
          </cell>
          <cell r="K1532" t="str">
            <v>D</v>
          </cell>
          <cell r="L1532">
            <v>1</v>
          </cell>
          <cell r="M1532">
            <v>30.51</v>
          </cell>
        </row>
        <row r="1533">
          <cell r="C1533" t="str">
            <v>6878</v>
          </cell>
          <cell r="D1533" t="str">
            <v>CARLO ROSSI SANGRIA</v>
          </cell>
          <cell r="E1533" t="str">
            <v>CARLO ROSSI VINEYARDS</v>
          </cell>
          <cell r="F1533" t="str">
            <v>1500</v>
          </cell>
          <cell r="G1533">
            <v>10</v>
          </cell>
          <cell r="H1533">
            <v>6</v>
          </cell>
          <cell r="I1533" t="str">
            <v>206245</v>
          </cell>
          <cell r="K1533" t="str">
            <v>MD</v>
          </cell>
          <cell r="L1533">
            <v>1</v>
          </cell>
          <cell r="M1533">
            <v>15.9</v>
          </cell>
        </row>
        <row r="1534">
          <cell r="C1534" t="str">
            <v>1581</v>
          </cell>
          <cell r="D1534" t="str">
            <v>E&amp;J GALLO FAMILY VINEYARDS CAB SAUVIGNON</v>
          </cell>
          <cell r="E1534" t="str">
            <v>E &amp; J GALLO WINERY</v>
          </cell>
          <cell r="F1534" t="str">
            <v>750</v>
          </cell>
          <cell r="G1534">
            <v>13</v>
          </cell>
          <cell r="H1534">
            <v>12</v>
          </cell>
          <cell r="I1534" t="str">
            <v>206245</v>
          </cell>
          <cell r="K1534" t="str">
            <v>VD</v>
          </cell>
          <cell r="L1534">
            <v>1</v>
          </cell>
          <cell r="M1534">
            <v>10.08</v>
          </cell>
        </row>
        <row r="1535">
          <cell r="C1535" t="str">
            <v>3143</v>
          </cell>
          <cell r="D1535" t="str">
            <v>E&amp;J GALLO MERLOT</v>
          </cell>
          <cell r="E1535" t="str">
            <v>E &amp; J GALLO WINERY</v>
          </cell>
          <cell r="F1535" t="str">
            <v>750</v>
          </cell>
          <cell r="G1535">
            <v>13</v>
          </cell>
          <cell r="H1535">
            <v>12</v>
          </cell>
          <cell r="I1535" t="str">
            <v>206245</v>
          </cell>
          <cell r="K1535" t="str">
            <v>VD</v>
          </cell>
          <cell r="L1535">
            <v>1</v>
          </cell>
          <cell r="M1535">
            <v>10.08</v>
          </cell>
        </row>
        <row r="1536">
          <cell r="C1536" t="str">
            <v>1665</v>
          </cell>
          <cell r="D1536" t="str">
            <v>CARLO ROSSI CALIFORNIA WHITE</v>
          </cell>
          <cell r="E1536" t="str">
            <v>CARLO ROSSI VINEYARDS</v>
          </cell>
          <cell r="F1536" t="str">
            <v>1500</v>
          </cell>
          <cell r="G1536">
            <v>11</v>
          </cell>
          <cell r="H1536">
            <v>6</v>
          </cell>
          <cell r="I1536" t="str">
            <v>3254</v>
          </cell>
          <cell r="K1536" t="str">
            <v>D</v>
          </cell>
          <cell r="L1536">
            <v>1</v>
          </cell>
          <cell r="M1536">
            <v>15.9</v>
          </cell>
        </row>
        <row r="1537">
          <cell r="C1537" t="str">
            <v>1666</v>
          </cell>
          <cell r="D1537" t="str">
            <v>CARLO ROSSI CALIFORNIA WHITE</v>
          </cell>
          <cell r="E1537" t="str">
            <v>CARLO ROSSI VINEYARDS</v>
          </cell>
          <cell r="F1537" t="str">
            <v>3000</v>
          </cell>
          <cell r="G1537">
            <v>11</v>
          </cell>
          <cell r="H1537">
            <v>4</v>
          </cell>
          <cell r="I1537" t="str">
            <v>206245</v>
          </cell>
          <cell r="K1537" t="str">
            <v>D</v>
          </cell>
          <cell r="L1537">
            <v>1</v>
          </cell>
          <cell r="M1537">
            <v>30.51</v>
          </cell>
        </row>
        <row r="1538">
          <cell r="C1538" t="str">
            <v>3818</v>
          </cell>
          <cell r="D1538" t="str">
            <v>CARLO ROSSI FRUITY WHITE</v>
          </cell>
          <cell r="E1538" t="str">
            <v>CARLO ROSSI VINEYARDS</v>
          </cell>
          <cell r="F1538" t="str">
            <v>1500</v>
          </cell>
          <cell r="G1538">
            <v>9.5</v>
          </cell>
          <cell r="H1538">
            <v>6</v>
          </cell>
          <cell r="I1538" t="str">
            <v>206245</v>
          </cell>
          <cell r="K1538" t="str">
            <v>MD</v>
          </cell>
          <cell r="L1538">
            <v>1</v>
          </cell>
          <cell r="M1538">
            <v>15.9</v>
          </cell>
        </row>
        <row r="1539">
          <cell r="C1539" t="str">
            <v>3957</v>
          </cell>
          <cell r="D1539" t="str">
            <v>E&amp;J GALLO SAUVIGNON BLANC</v>
          </cell>
          <cell r="E1539" t="str">
            <v>E &amp; J GALLO WINERY</v>
          </cell>
          <cell r="F1539" t="str">
            <v>750</v>
          </cell>
          <cell r="G1539">
            <v>11.6</v>
          </cell>
          <cell r="H1539">
            <v>12</v>
          </cell>
          <cell r="I1539" t="str">
            <v>206245</v>
          </cell>
          <cell r="K1539" t="str">
            <v>VD</v>
          </cell>
          <cell r="L1539">
            <v>1</v>
          </cell>
          <cell r="M1539">
            <v>10.08</v>
          </cell>
        </row>
        <row r="1540">
          <cell r="C1540" t="str">
            <v>1667</v>
          </cell>
          <cell r="D1540" t="str">
            <v>FRANZIA CALIFORNIA WHITE</v>
          </cell>
          <cell r="E1540" t="str">
            <v>FRANZIA</v>
          </cell>
          <cell r="F1540" t="str">
            <v>3000</v>
          </cell>
          <cell r="G1540">
            <v>10</v>
          </cell>
          <cell r="H1540">
            <v>6</v>
          </cell>
          <cell r="I1540" t="str">
            <v>1009</v>
          </cell>
          <cell r="K1540" t="str">
            <v>VD</v>
          </cell>
          <cell r="L1540">
            <v>1</v>
          </cell>
          <cell r="M1540">
            <v>26.4</v>
          </cell>
        </row>
        <row r="1541">
          <cell r="C1541" t="str">
            <v>1555</v>
          </cell>
          <cell r="D1541" t="str">
            <v>BONTERRA ORGANIC CABERNET SAUVIGNON</v>
          </cell>
          <cell r="E1541" t="str">
            <v>FETZER VINEYARDS</v>
          </cell>
          <cell r="F1541" t="str">
            <v>750</v>
          </cell>
          <cell r="G1541">
            <v>13.9</v>
          </cell>
          <cell r="H1541">
            <v>12</v>
          </cell>
          <cell r="I1541" t="str">
            <v>205657</v>
          </cell>
          <cell r="K1541" t="str">
            <v>VD</v>
          </cell>
          <cell r="L1541">
            <v>1</v>
          </cell>
          <cell r="M1541">
            <v>20.03</v>
          </cell>
        </row>
        <row r="1542">
          <cell r="C1542" t="str">
            <v>2405</v>
          </cell>
          <cell r="D1542" t="str">
            <v>FETZER GEWURZTRAMINER</v>
          </cell>
          <cell r="E1542" t="str">
            <v>FETZER VINEYARDS</v>
          </cell>
          <cell r="F1542" t="str">
            <v>750</v>
          </cell>
          <cell r="G1542">
            <v>12</v>
          </cell>
          <cell r="H1542">
            <v>12</v>
          </cell>
          <cell r="I1542" t="str">
            <v>1230</v>
          </cell>
          <cell r="K1542" t="str">
            <v>MD</v>
          </cell>
          <cell r="L1542">
            <v>1</v>
          </cell>
          <cell r="M1542">
            <v>13.61</v>
          </cell>
        </row>
        <row r="1543">
          <cell r="C1543" t="str">
            <v>6642</v>
          </cell>
          <cell r="D1543" t="str">
            <v>DIAMOND COLLECTION SILVER LBL PINOT NOIR</v>
          </cell>
          <cell r="E1543" t="str">
            <v>FRANCIS FORD COPPOLA WINERY</v>
          </cell>
          <cell r="F1543" t="str">
            <v>750</v>
          </cell>
          <cell r="G1543">
            <v>13.5</v>
          </cell>
          <cell r="H1543">
            <v>12</v>
          </cell>
          <cell r="I1543" t="str">
            <v>3245</v>
          </cell>
          <cell r="K1543" t="str">
            <v>VD</v>
          </cell>
          <cell r="L1543">
            <v>1</v>
          </cell>
          <cell r="M1543">
            <v>23.05</v>
          </cell>
        </row>
        <row r="1544">
          <cell r="C1544" t="str">
            <v>6339</v>
          </cell>
          <cell r="D1544" t="str">
            <v>GNARLY HEAD OLD VINE ZINFANDEL</v>
          </cell>
          <cell r="E1544" t="str">
            <v>DELICATO VINEYARDS DBA BLACK STALLION WI</v>
          </cell>
          <cell r="F1544" t="str">
            <v>750</v>
          </cell>
          <cell r="G1544">
            <v>14.5</v>
          </cell>
          <cell r="H1544">
            <v>12</v>
          </cell>
          <cell r="I1544" t="str">
            <v>1008</v>
          </cell>
          <cell r="K1544" t="str">
            <v>VD</v>
          </cell>
          <cell r="L1544">
            <v>1</v>
          </cell>
          <cell r="M1544">
            <v>14.81</v>
          </cell>
        </row>
        <row r="1545">
          <cell r="C1545" t="str">
            <v>4553</v>
          </cell>
          <cell r="D1545" t="str">
            <v>BERINGER MAIN &amp; VINE WHITE ZINFANDEL</v>
          </cell>
          <cell r="E1545" t="str">
            <v>THE WINE GROUP LLC</v>
          </cell>
          <cell r="F1545" t="str">
            <v>750</v>
          </cell>
          <cell r="G1545">
            <v>13.1</v>
          </cell>
          <cell r="H1545">
            <v>12</v>
          </cell>
          <cell r="I1545" t="str">
            <v>1009</v>
          </cell>
          <cell r="K1545" t="str">
            <v>MD</v>
          </cell>
          <cell r="L1545">
            <v>1</v>
          </cell>
          <cell r="M1545">
            <v>9.57</v>
          </cell>
        </row>
        <row r="1546">
          <cell r="C1546" t="str">
            <v>29043</v>
          </cell>
          <cell r="D1546" t="str">
            <v>BERINGER BROTHERS RED BLEND</v>
          </cell>
          <cell r="E1546" t="str">
            <v>BERINGER VINEYARDS</v>
          </cell>
          <cell r="F1546" t="str">
            <v>750</v>
          </cell>
          <cell r="G1546">
            <v>14.5</v>
          </cell>
          <cell r="H1546">
            <v>12</v>
          </cell>
          <cell r="I1546" t="str">
            <v>1009</v>
          </cell>
          <cell r="K1546" t="str">
            <v>D</v>
          </cell>
          <cell r="L1546">
            <v>1</v>
          </cell>
          <cell r="M1546">
            <v>15.54</v>
          </cell>
        </row>
        <row r="1547">
          <cell r="C1547" t="str">
            <v>1561</v>
          </cell>
          <cell r="D1547" t="str">
            <v>BERINGER FOUNDERS' ESTATE CAB SAUVIGNON</v>
          </cell>
          <cell r="E1547" t="str">
            <v>THE WINE GROUP LLC</v>
          </cell>
          <cell r="F1547" t="str">
            <v>750</v>
          </cell>
          <cell r="G1547">
            <v>13.9</v>
          </cell>
          <cell r="H1547">
            <v>12</v>
          </cell>
          <cell r="I1547" t="str">
            <v>1009</v>
          </cell>
          <cell r="K1547" t="str">
            <v>VD</v>
          </cell>
          <cell r="L1547">
            <v>1</v>
          </cell>
          <cell r="M1547">
            <v>15.59</v>
          </cell>
        </row>
        <row r="1548">
          <cell r="C1548" t="str">
            <v>8109</v>
          </cell>
          <cell r="D1548" t="str">
            <v>BERINGER MAIN &amp; VINE CABERNET SAUVIGNON</v>
          </cell>
          <cell r="E1548" t="str">
            <v>THE WINE GROUP LLC</v>
          </cell>
          <cell r="F1548" t="str">
            <v>750</v>
          </cell>
          <cell r="G1548">
            <v>13.5</v>
          </cell>
          <cell r="H1548">
            <v>12</v>
          </cell>
          <cell r="I1548" t="str">
            <v>1009</v>
          </cell>
          <cell r="K1548" t="str">
            <v>VD</v>
          </cell>
          <cell r="L1548">
            <v>1</v>
          </cell>
          <cell r="M1548">
            <v>9.57</v>
          </cell>
        </row>
        <row r="1549">
          <cell r="C1549" t="str">
            <v>5501</v>
          </cell>
          <cell r="D1549" t="str">
            <v>CAYMUS NAPA VALLEY CABERNET SAUV</v>
          </cell>
          <cell r="E1549" t="str">
            <v>WAGNER FAMILY OF WINE</v>
          </cell>
          <cell r="F1549" t="str">
            <v>750</v>
          </cell>
          <cell r="G1549">
            <v>14.6</v>
          </cell>
          <cell r="H1549">
            <v>12</v>
          </cell>
          <cell r="I1549" t="str">
            <v>206226</v>
          </cell>
          <cell r="K1549" t="str">
            <v>VD</v>
          </cell>
          <cell r="L1549">
            <v>1</v>
          </cell>
          <cell r="M1549">
            <v>85.15</v>
          </cell>
        </row>
        <row r="1550">
          <cell r="C1550" t="str">
            <v>6641</v>
          </cell>
          <cell r="D1550" t="str">
            <v>DIAMOND COLLECTION BLACK LABEL CLARET</v>
          </cell>
          <cell r="E1550" t="str">
            <v>FRANCIS FORD COPPOLA WINERY</v>
          </cell>
          <cell r="F1550" t="str">
            <v>750</v>
          </cell>
          <cell r="G1550">
            <v>13.5</v>
          </cell>
          <cell r="H1550">
            <v>12</v>
          </cell>
          <cell r="I1550" t="str">
            <v>3245</v>
          </cell>
          <cell r="J1550">
            <v>2011</v>
          </cell>
          <cell r="K1550" t="str">
            <v>VD</v>
          </cell>
          <cell r="L1550">
            <v>1</v>
          </cell>
          <cell r="M1550">
            <v>26.69</v>
          </cell>
        </row>
        <row r="1551">
          <cell r="C1551" t="str">
            <v>43322</v>
          </cell>
          <cell r="D1551" t="str">
            <v>FRANZIA CABERNET SAUVIGNON</v>
          </cell>
          <cell r="E1551" t="str">
            <v>FRANZIA</v>
          </cell>
          <cell r="F1551" t="str">
            <v>3000</v>
          </cell>
          <cell r="G1551">
            <v>12.5</v>
          </cell>
          <cell r="H1551">
            <v>4</v>
          </cell>
          <cell r="I1551" t="str">
            <v>1009</v>
          </cell>
          <cell r="K1551" t="str">
            <v>MD</v>
          </cell>
          <cell r="L1551">
            <v>1</v>
          </cell>
          <cell r="M1551">
            <v>30.28</v>
          </cell>
        </row>
        <row r="1552">
          <cell r="C1552" t="str">
            <v>16235</v>
          </cell>
          <cell r="D1552" t="str">
            <v>HAHN PINOT NOIR</v>
          </cell>
          <cell r="E1552" t="str">
            <v>HAHN FAMILY WINES</v>
          </cell>
          <cell r="F1552" t="str">
            <v>750</v>
          </cell>
          <cell r="G1552">
            <v>14.5</v>
          </cell>
          <cell r="H1552">
            <v>12</v>
          </cell>
          <cell r="I1552" t="str">
            <v>206245</v>
          </cell>
          <cell r="J1552">
            <v>2011</v>
          </cell>
          <cell r="K1552" t="str">
            <v>VD</v>
          </cell>
          <cell r="L1552">
            <v>1</v>
          </cell>
          <cell r="M1552">
            <v>21.52</v>
          </cell>
        </row>
        <row r="1553">
          <cell r="C1553" t="str">
            <v>14744</v>
          </cell>
          <cell r="D1553" t="str">
            <v>JOEL GOTT 815 CABERNET SAUVIGNON</v>
          </cell>
          <cell r="E1553" t="str">
            <v>TRINCHERO FAMILY ESTATES</v>
          </cell>
          <cell r="F1553" t="str">
            <v>750</v>
          </cell>
          <cell r="G1553">
            <v>13.9</v>
          </cell>
          <cell r="H1553">
            <v>12</v>
          </cell>
          <cell r="I1553" t="str">
            <v>1537</v>
          </cell>
          <cell r="K1553" t="str">
            <v>VD</v>
          </cell>
          <cell r="L1553">
            <v>1</v>
          </cell>
          <cell r="M1553">
            <v>22.89</v>
          </cell>
        </row>
        <row r="1554">
          <cell r="C1554" t="str">
            <v>6363</v>
          </cell>
          <cell r="D1554" t="str">
            <v>JOSEPH PHELPS CABERNET SAUVIGNON</v>
          </cell>
          <cell r="E1554" t="str">
            <v>JOSEPH PHELPS VINEYARDS</v>
          </cell>
          <cell r="F1554" t="str">
            <v>750</v>
          </cell>
          <cell r="G1554">
            <v>14.5</v>
          </cell>
          <cell r="H1554">
            <v>6</v>
          </cell>
          <cell r="I1554" t="str">
            <v>1535</v>
          </cell>
          <cell r="K1554" t="str">
            <v>VD</v>
          </cell>
          <cell r="L1554">
            <v>1</v>
          </cell>
          <cell r="M1554">
            <v>131.19999999999999</v>
          </cell>
        </row>
        <row r="1555">
          <cell r="C1555" t="str">
            <v>21314</v>
          </cell>
          <cell r="D1555" t="str">
            <v>MENAGE A TROIS MIDNIGHT</v>
          </cell>
          <cell r="E1555" t="str">
            <v>TRINCHERO FAMILY ESTATES</v>
          </cell>
          <cell r="F1555" t="str">
            <v>750</v>
          </cell>
          <cell r="G1555">
            <v>13.5</v>
          </cell>
          <cell r="H1555">
            <v>12</v>
          </cell>
          <cell r="I1555" t="str">
            <v>1537</v>
          </cell>
          <cell r="K1555" t="str">
            <v>VD</v>
          </cell>
          <cell r="L1555">
            <v>1</v>
          </cell>
          <cell r="M1555">
            <v>16.14</v>
          </cell>
        </row>
        <row r="1556">
          <cell r="C1556" t="str">
            <v>7100</v>
          </cell>
          <cell r="D1556" t="str">
            <v>MENAGE A TROIS RED BLEND</v>
          </cell>
          <cell r="E1556" t="str">
            <v>TRINCHERO FAMILY ESTATES</v>
          </cell>
          <cell r="F1556" t="str">
            <v>750</v>
          </cell>
          <cell r="G1556">
            <v>13.5</v>
          </cell>
          <cell r="H1556">
            <v>12</v>
          </cell>
          <cell r="I1556" t="str">
            <v>1537</v>
          </cell>
          <cell r="K1556" t="str">
            <v>VD</v>
          </cell>
          <cell r="L1556">
            <v>1</v>
          </cell>
          <cell r="M1556">
            <v>15.94</v>
          </cell>
        </row>
        <row r="1557">
          <cell r="C1557" t="str">
            <v>24586</v>
          </cell>
          <cell r="D1557" t="str">
            <v>MENAGE A TROIS SILK</v>
          </cell>
          <cell r="E1557" t="str">
            <v>TRINCHERO FAMILY ESTATES</v>
          </cell>
          <cell r="F1557" t="str">
            <v>750</v>
          </cell>
          <cell r="G1557">
            <v>13.7</v>
          </cell>
          <cell r="H1557">
            <v>12</v>
          </cell>
          <cell r="I1557" t="str">
            <v>1537</v>
          </cell>
          <cell r="K1557" t="str">
            <v>VD</v>
          </cell>
          <cell r="L1557">
            <v>1</v>
          </cell>
          <cell r="M1557">
            <v>16.14</v>
          </cell>
        </row>
        <row r="1558">
          <cell r="C1558" t="str">
            <v>37549</v>
          </cell>
          <cell r="D1558" t="str">
            <v>OPUS ONE 2018</v>
          </cell>
          <cell r="E1558" t="str">
            <v>OPUS ONE</v>
          </cell>
          <cell r="F1558" t="str">
            <v>750</v>
          </cell>
          <cell r="G1558">
            <v>14</v>
          </cell>
          <cell r="H1558">
            <v>6</v>
          </cell>
          <cell r="I1558" t="str">
            <v>206302</v>
          </cell>
          <cell r="J1558">
            <v>2018</v>
          </cell>
          <cell r="K1558" t="str">
            <v>VD</v>
          </cell>
          <cell r="L1558">
            <v>1</v>
          </cell>
          <cell r="M1558">
            <v>574.08000000000004</v>
          </cell>
        </row>
        <row r="1559">
          <cell r="C1559" t="str">
            <v>39844</v>
          </cell>
          <cell r="D1559" t="str">
            <v>OPUS ONE 2019</v>
          </cell>
          <cell r="E1559" t="str">
            <v>OPUS ONE</v>
          </cell>
          <cell r="F1559" t="str">
            <v>750</v>
          </cell>
          <cell r="G1559">
            <v>13.5</v>
          </cell>
          <cell r="H1559">
            <v>6</v>
          </cell>
          <cell r="I1559" t="str">
            <v>206302</v>
          </cell>
          <cell r="K1559" t="str">
            <v>VD</v>
          </cell>
          <cell r="L1559">
            <v>1</v>
          </cell>
          <cell r="M1559">
            <v>563.61</v>
          </cell>
        </row>
        <row r="1560">
          <cell r="C1560" t="str">
            <v>11929</v>
          </cell>
          <cell r="D1560" t="str">
            <v>STAGS' LEAP PETITE SYRAH</v>
          </cell>
          <cell r="E1560" t="str">
            <v>STAGS' LEAP WINERY</v>
          </cell>
          <cell r="F1560" t="str">
            <v>750</v>
          </cell>
          <cell r="G1560">
            <v>14.1</v>
          </cell>
          <cell r="H1560">
            <v>12</v>
          </cell>
          <cell r="I1560" t="str">
            <v>1009</v>
          </cell>
          <cell r="J1560">
            <v>2011</v>
          </cell>
          <cell r="K1560" t="str">
            <v>VD</v>
          </cell>
          <cell r="L1560">
            <v>1</v>
          </cell>
          <cell r="M1560">
            <v>45.68</v>
          </cell>
        </row>
        <row r="1561">
          <cell r="C1561" t="str">
            <v>22725</v>
          </cell>
          <cell r="D1561" t="str">
            <v>THE DREAMING TREE CABERNET SAUVIGNON</v>
          </cell>
          <cell r="E1561" t="str">
            <v>THE WINE GROUP LLC</v>
          </cell>
          <cell r="F1561" t="str">
            <v>750</v>
          </cell>
          <cell r="G1561">
            <v>13.5</v>
          </cell>
          <cell r="H1561">
            <v>12</v>
          </cell>
          <cell r="I1561" t="str">
            <v>1009</v>
          </cell>
          <cell r="K1561" t="str">
            <v>VD</v>
          </cell>
          <cell r="L1561">
            <v>1</v>
          </cell>
          <cell r="M1561">
            <v>13.36</v>
          </cell>
        </row>
        <row r="1562">
          <cell r="C1562" t="str">
            <v>11269</v>
          </cell>
          <cell r="D1562" t="str">
            <v>THE PRISONER RED BLEND</v>
          </cell>
          <cell r="E1562" t="str">
            <v>ROBERT MONDAVI WINERY</v>
          </cell>
          <cell r="F1562" t="str">
            <v>750</v>
          </cell>
          <cell r="G1562">
            <v>15.2</v>
          </cell>
          <cell r="H1562">
            <v>12</v>
          </cell>
          <cell r="I1562" t="str">
            <v>1008</v>
          </cell>
          <cell r="K1562" t="str">
            <v>D</v>
          </cell>
          <cell r="L1562">
            <v>1</v>
          </cell>
          <cell r="M1562">
            <v>53.41</v>
          </cell>
        </row>
        <row r="1563">
          <cell r="C1563" t="str">
            <v>4617</v>
          </cell>
          <cell r="D1563" t="str">
            <v>WOODBRIDGE CABERNET SAUVIGNON</v>
          </cell>
          <cell r="E1563" t="str">
            <v>WOODBRIDGE WINERY</v>
          </cell>
          <cell r="F1563" t="str">
            <v>750</v>
          </cell>
          <cell r="G1563">
            <v>13</v>
          </cell>
          <cell r="H1563">
            <v>12</v>
          </cell>
          <cell r="I1563" t="str">
            <v>3245</v>
          </cell>
          <cell r="K1563" t="str">
            <v>VD</v>
          </cell>
          <cell r="L1563">
            <v>1</v>
          </cell>
          <cell r="M1563">
            <v>10.95</v>
          </cell>
        </row>
        <row r="1564">
          <cell r="C1564" t="str">
            <v>4619</v>
          </cell>
          <cell r="D1564" t="str">
            <v>WOODBRIDGE MERLOT</v>
          </cell>
          <cell r="E1564" t="str">
            <v>WOODBRIDGE WINERY</v>
          </cell>
          <cell r="F1564" t="str">
            <v>750</v>
          </cell>
          <cell r="G1564">
            <v>13.5</v>
          </cell>
          <cell r="H1564">
            <v>12</v>
          </cell>
          <cell r="I1564" t="str">
            <v>3245</v>
          </cell>
          <cell r="K1564" t="str">
            <v>D</v>
          </cell>
          <cell r="L1564">
            <v>1</v>
          </cell>
          <cell r="M1564">
            <v>12.94</v>
          </cell>
        </row>
        <row r="1565">
          <cell r="C1565" t="str">
            <v>41691</v>
          </cell>
          <cell r="D1565" t="str">
            <v>19 CRIMES CALI BLANC</v>
          </cell>
          <cell r="E1565" t="str">
            <v>Treasury Wine Estates Americas Company</v>
          </cell>
          <cell r="F1565" t="str">
            <v>750</v>
          </cell>
          <cell r="G1565">
            <v>13</v>
          </cell>
          <cell r="H1565">
            <v>12</v>
          </cell>
          <cell r="I1565" t="str">
            <v>1009</v>
          </cell>
          <cell r="K1565" t="str">
            <v>MS</v>
          </cell>
          <cell r="L1565">
            <v>1</v>
          </cell>
          <cell r="M1565">
            <v>17.27</v>
          </cell>
        </row>
        <row r="1566">
          <cell r="C1566" t="str">
            <v>10598</v>
          </cell>
          <cell r="D1566" t="str">
            <v>BERINGER MAIN &amp; VINE CHARDONNAY</v>
          </cell>
          <cell r="E1566" t="str">
            <v>THE WINE GROUP LLC</v>
          </cell>
          <cell r="F1566" t="str">
            <v>750</v>
          </cell>
          <cell r="G1566">
            <v>13</v>
          </cell>
          <cell r="H1566">
            <v>12</v>
          </cell>
          <cell r="I1566" t="str">
            <v>1009</v>
          </cell>
          <cell r="K1566" t="str">
            <v>MD</v>
          </cell>
          <cell r="L1566">
            <v>1</v>
          </cell>
          <cell r="M1566">
            <v>9.6</v>
          </cell>
        </row>
        <row r="1567">
          <cell r="C1567" t="str">
            <v>7109</v>
          </cell>
          <cell r="D1567" t="str">
            <v>BERINGER MAIN &amp; VINE PINOT GRIGIO</v>
          </cell>
          <cell r="E1567" t="str">
            <v>THE WINE GROUP LLC</v>
          </cell>
          <cell r="F1567" t="str">
            <v>750</v>
          </cell>
          <cell r="G1567">
            <v>12.5</v>
          </cell>
          <cell r="H1567">
            <v>12</v>
          </cell>
          <cell r="I1567" t="str">
            <v>1009</v>
          </cell>
          <cell r="K1567" t="str">
            <v>VD</v>
          </cell>
          <cell r="L1567">
            <v>1</v>
          </cell>
          <cell r="M1567">
            <v>9.57</v>
          </cell>
        </row>
        <row r="1568">
          <cell r="C1568" t="str">
            <v>2086</v>
          </cell>
          <cell r="D1568" t="str">
            <v>CAYMUS CONUNDRUM WHITE</v>
          </cell>
          <cell r="E1568" t="str">
            <v>WAGNER FAMILY OF WINE</v>
          </cell>
          <cell r="F1568" t="str">
            <v>750</v>
          </cell>
          <cell r="G1568">
            <v>13.5</v>
          </cell>
          <cell r="H1568">
            <v>12</v>
          </cell>
          <cell r="I1568" t="str">
            <v>206226</v>
          </cell>
          <cell r="J1568">
            <v>2012</v>
          </cell>
          <cell r="K1568" t="str">
            <v>VD</v>
          </cell>
          <cell r="L1568">
            <v>1</v>
          </cell>
          <cell r="M1568">
            <v>17.98</v>
          </cell>
        </row>
        <row r="1569">
          <cell r="C1569" t="str">
            <v>10201</v>
          </cell>
          <cell r="D1569" t="str">
            <v>WOODBRIDGE PINOT GRIGIO</v>
          </cell>
          <cell r="E1569" t="str">
            <v>WOODBRIDGE WINERY</v>
          </cell>
          <cell r="F1569" t="str">
            <v>750</v>
          </cell>
          <cell r="G1569">
            <v>12</v>
          </cell>
          <cell r="H1569">
            <v>12</v>
          </cell>
          <cell r="I1569" t="str">
            <v>3245</v>
          </cell>
          <cell r="K1569" t="str">
            <v>VD</v>
          </cell>
          <cell r="L1569">
            <v>1</v>
          </cell>
          <cell r="M1569">
            <v>10.94</v>
          </cell>
        </row>
        <row r="1570">
          <cell r="C1570" t="str">
            <v>4620</v>
          </cell>
          <cell r="D1570" t="str">
            <v>WOODBRIDGE SAUVIGNON BLANC</v>
          </cell>
          <cell r="E1570" t="str">
            <v>WOODBRIDGE WINERY</v>
          </cell>
          <cell r="F1570" t="str">
            <v>750</v>
          </cell>
          <cell r="G1570">
            <v>13</v>
          </cell>
          <cell r="H1570">
            <v>12</v>
          </cell>
          <cell r="I1570" t="str">
            <v>3245</v>
          </cell>
          <cell r="K1570" t="str">
            <v>VD</v>
          </cell>
          <cell r="L1570">
            <v>1</v>
          </cell>
          <cell r="M1570">
            <v>12.94</v>
          </cell>
        </row>
        <row r="1571">
          <cell r="C1571" t="str">
            <v>31677</v>
          </cell>
          <cell r="D1571" t="str">
            <v>ST HUBERTS THE STAG NORTH COAST CAB SAUV</v>
          </cell>
          <cell r="E1571" t="str">
            <v>Treasury Wine Estates Americas Company</v>
          </cell>
          <cell r="F1571" t="str">
            <v>750</v>
          </cell>
          <cell r="G1571">
            <v>14.4</v>
          </cell>
          <cell r="H1571">
            <v>12</v>
          </cell>
          <cell r="I1571" t="str">
            <v>1009</v>
          </cell>
          <cell r="K1571" t="str">
            <v>D</v>
          </cell>
          <cell r="L1571">
            <v>1</v>
          </cell>
          <cell r="M1571">
            <v>24.32</v>
          </cell>
        </row>
        <row r="1572">
          <cell r="C1572" t="str">
            <v>36021</v>
          </cell>
          <cell r="D1572" t="str">
            <v>19 CRIMES CALI ROSE</v>
          </cell>
          <cell r="E1572" t="str">
            <v>Treasury Wine Estates Americas Company</v>
          </cell>
          <cell r="F1572" t="str">
            <v>750</v>
          </cell>
          <cell r="G1572">
            <v>10.5</v>
          </cell>
          <cell r="H1572">
            <v>12</v>
          </cell>
          <cell r="I1572" t="str">
            <v>1009</v>
          </cell>
          <cell r="K1572" t="str">
            <v>MD</v>
          </cell>
          <cell r="L1572">
            <v>1</v>
          </cell>
          <cell r="M1572">
            <v>17.27</v>
          </cell>
        </row>
        <row r="1573">
          <cell r="C1573" t="str">
            <v>18456</v>
          </cell>
          <cell r="D1573" t="str">
            <v>BAREFOOT CELLARS PINK MOSCATO</v>
          </cell>
          <cell r="E1573" t="str">
            <v>BAREFOOT CELLARS WINERY</v>
          </cell>
          <cell r="F1573" t="str">
            <v>750</v>
          </cell>
          <cell r="G1573">
            <v>9</v>
          </cell>
          <cell r="H1573">
            <v>12</v>
          </cell>
          <cell r="I1573" t="str">
            <v>206245</v>
          </cell>
          <cell r="K1573" t="str">
            <v>MD</v>
          </cell>
          <cell r="L1573">
            <v>1</v>
          </cell>
          <cell r="M1573">
            <v>10.64</v>
          </cell>
        </row>
        <row r="1574">
          <cell r="C1574" t="str">
            <v>9752</v>
          </cell>
          <cell r="D1574" t="str">
            <v>BAREFOOT CELLARS WHITE ZINFANDEL</v>
          </cell>
          <cell r="E1574" t="str">
            <v>BAREFOOT CELLARS WINERY</v>
          </cell>
          <cell r="F1574" t="str">
            <v>750</v>
          </cell>
          <cell r="G1574">
            <v>9</v>
          </cell>
          <cell r="H1574">
            <v>12</v>
          </cell>
          <cell r="I1574" t="str">
            <v>206245</v>
          </cell>
          <cell r="K1574" t="str">
            <v>VD</v>
          </cell>
          <cell r="L1574">
            <v>1</v>
          </cell>
          <cell r="M1574">
            <v>10.64</v>
          </cell>
        </row>
        <row r="1575">
          <cell r="C1575" t="str">
            <v>32121</v>
          </cell>
          <cell r="D1575" t="str">
            <v>BREAD &amp; BUTTER ROSE</v>
          </cell>
          <cell r="E1575" t="str">
            <v>WINERY EXCHANGE BRANDS</v>
          </cell>
          <cell r="F1575" t="str">
            <v>750</v>
          </cell>
          <cell r="G1575">
            <v>12.5</v>
          </cell>
          <cell r="H1575">
            <v>12</v>
          </cell>
          <cell r="I1575" t="str">
            <v>140473</v>
          </cell>
          <cell r="K1575" t="str">
            <v>VD</v>
          </cell>
          <cell r="L1575">
            <v>1</v>
          </cell>
          <cell r="M1575">
            <v>20.92</v>
          </cell>
        </row>
        <row r="1576">
          <cell r="C1576" t="str">
            <v>33677</v>
          </cell>
          <cell r="D1576" t="str">
            <v>DELICATO BOTA BOX ROSE</v>
          </cell>
          <cell r="E1576" t="str">
            <v>DELICATO VINEYARDS DBA BLACK STALLION WI</v>
          </cell>
          <cell r="F1576" t="str">
            <v>3000</v>
          </cell>
          <cell r="G1576">
            <v>11.5</v>
          </cell>
          <cell r="H1576">
            <v>3</v>
          </cell>
          <cell r="I1576" t="str">
            <v>1008</v>
          </cell>
          <cell r="K1576" t="str">
            <v>VD</v>
          </cell>
          <cell r="L1576">
            <v>1</v>
          </cell>
          <cell r="M1576">
            <v>33.200000000000003</v>
          </cell>
        </row>
        <row r="1577">
          <cell r="C1577" t="str">
            <v>35446</v>
          </cell>
          <cell r="D1577" t="str">
            <v>JOSH CELLARS ROSE</v>
          </cell>
          <cell r="E1577" t="str">
            <v>Ray's Station Winery was Grove St Winery</v>
          </cell>
          <cell r="F1577" t="str">
            <v>750</v>
          </cell>
          <cell r="G1577">
            <v>12.5</v>
          </cell>
          <cell r="H1577">
            <v>12</v>
          </cell>
          <cell r="I1577" t="str">
            <v>3245</v>
          </cell>
          <cell r="K1577" t="str">
            <v>D</v>
          </cell>
          <cell r="L1577">
            <v>1</v>
          </cell>
          <cell r="M1577">
            <v>17.55</v>
          </cell>
        </row>
        <row r="1578">
          <cell r="C1578" t="str">
            <v>31676</v>
          </cell>
          <cell r="D1578" t="str">
            <v>LONGSHOT ROSE</v>
          </cell>
          <cell r="E1578" t="str">
            <v>E &amp; J GALLO WINERY</v>
          </cell>
          <cell r="F1578" t="str">
            <v>750</v>
          </cell>
          <cell r="G1578">
            <v>12.5</v>
          </cell>
          <cell r="H1578">
            <v>12</v>
          </cell>
          <cell r="I1578" t="str">
            <v>206245</v>
          </cell>
          <cell r="K1578" t="str">
            <v>MD</v>
          </cell>
          <cell r="L1578">
            <v>1</v>
          </cell>
          <cell r="M1578">
            <v>14.08</v>
          </cell>
        </row>
        <row r="1579">
          <cell r="C1579" t="str">
            <v>45267</v>
          </cell>
          <cell r="D1579" t="str">
            <v>THE DREAMING TREE ROSE</v>
          </cell>
          <cell r="E1579" t="str">
            <v>THE WINE GROUP LLC</v>
          </cell>
          <cell r="F1579" t="str">
            <v>750</v>
          </cell>
          <cell r="G1579">
            <v>12</v>
          </cell>
          <cell r="H1579">
            <v>12</v>
          </cell>
          <cell r="I1579" t="str">
            <v>1009</v>
          </cell>
          <cell r="K1579" t="str">
            <v>D</v>
          </cell>
          <cell r="L1579">
            <v>1</v>
          </cell>
          <cell r="M1579">
            <v>18.78</v>
          </cell>
        </row>
        <row r="1580">
          <cell r="C1580" t="str">
            <v>41345</v>
          </cell>
          <cell r="D1580" t="str">
            <v>TOM GORE ROSE</v>
          </cell>
          <cell r="E1580" t="str">
            <v>FETZER VINEYARDS</v>
          </cell>
          <cell r="F1580" t="str">
            <v>750</v>
          </cell>
          <cell r="G1580">
            <v>13</v>
          </cell>
          <cell r="H1580">
            <v>12</v>
          </cell>
          <cell r="I1580" t="str">
            <v>1008</v>
          </cell>
          <cell r="K1580" t="str">
            <v>D</v>
          </cell>
          <cell r="L1580">
            <v>1</v>
          </cell>
          <cell r="M1580">
            <v>18.07</v>
          </cell>
        </row>
        <row r="1581">
          <cell r="C1581" t="str">
            <v>34437</v>
          </cell>
          <cell r="D1581" t="str">
            <v>19 CRIMES CALI RED</v>
          </cell>
          <cell r="E1581" t="str">
            <v>Treasury Wine Estates Americas Company</v>
          </cell>
          <cell r="F1581" t="str">
            <v>750</v>
          </cell>
          <cell r="G1581">
            <v>14.1</v>
          </cell>
          <cell r="H1581">
            <v>12</v>
          </cell>
          <cell r="I1581" t="str">
            <v>1009</v>
          </cell>
          <cell r="K1581" t="str">
            <v>VD</v>
          </cell>
          <cell r="L1581">
            <v>1</v>
          </cell>
          <cell r="M1581">
            <v>17.27</v>
          </cell>
        </row>
        <row r="1582">
          <cell r="C1582" t="str">
            <v>6583</v>
          </cell>
          <cell r="D1582" t="str">
            <v>7 DEADLY ZINS</v>
          </cell>
          <cell r="E1582" t="str">
            <v>THE WINE GROUP LLC</v>
          </cell>
          <cell r="F1582" t="str">
            <v>750</v>
          </cell>
          <cell r="G1582">
            <v>14.5</v>
          </cell>
          <cell r="H1582">
            <v>12</v>
          </cell>
          <cell r="I1582" t="str">
            <v>3245</v>
          </cell>
          <cell r="K1582" t="str">
            <v>VD</v>
          </cell>
          <cell r="L1582">
            <v>1</v>
          </cell>
          <cell r="M1582">
            <v>22.08</v>
          </cell>
        </row>
        <row r="1583">
          <cell r="C1583" t="str">
            <v>23793</v>
          </cell>
          <cell r="D1583" t="str">
            <v>APOTHIC CRUSH</v>
          </cell>
          <cell r="E1583" t="str">
            <v>E &amp; J GALLO WINERY</v>
          </cell>
          <cell r="F1583" t="str">
            <v>750</v>
          </cell>
          <cell r="G1583">
            <v>14.5</v>
          </cell>
          <cell r="H1583">
            <v>12</v>
          </cell>
          <cell r="I1583" t="str">
            <v>206245</v>
          </cell>
          <cell r="K1583" t="str">
            <v>VD</v>
          </cell>
          <cell r="L1583">
            <v>1</v>
          </cell>
          <cell r="M1583">
            <v>14.3</v>
          </cell>
        </row>
        <row r="1584">
          <cell r="C1584" t="str">
            <v>20915</v>
          </cell>
          <cell r="D1584" t="str">
            <v>APOTHIC DARK</v>
          </cell>
          <cell r="E1584" t="str">
            <v>APOTHIC RED WINERY</v>
          </cell>
          <cell r="F1584" t="str">
            <v>750</v>
          </cell>
          <cell r="G1584">
            <v>14</v>
          </cell>
          <cell r="H1584">
            <v>12</v>
          </cell>
          <cell r="I1584" t="str">
            <v>3254</v>
          </cell>
          <cell r="K1584" t="str">
            <v>VD</v>
          </cell>
          <cell r="L1584">
            <v>1</v>
          </cell>
          <cell r="M1584">
            <v>14.37</v>
          </cell>
        </row>
        <row r="1585">
          <cell r="C1585" t="str">
            <v>12591</v>
          </cell>
          <cell r="D1585" t="str">
            <v>APOTHIC RED</v>
          </cell>
          <cell r="E1585" t="str">
            <v>APOTHIC RED WINERY</v>
          </cell>
          <cell r="F1585" t="str">
            <v>750</v>
          </cell>
          <cell r="G1585">
            <v>13</v>
          </cell>
          <cell r="H1585">
            <v>12</v>
          </cell>
          <cell r="I1585" t="str">
            <v>3254</v>
          </cell>
          <cell r="K1585" t="str">
            <v>MS</v>
          </cell>
          <cell r="L1585">
            <v>1</v>
          </cell>
          <cell r="M1585">
            <v>14.33</v>
          </cell>
        </row>
        <row r="1586">
          <cell r="C1586" t="str">
            <v>29042</v>
          </cell>
          <cell r="D1586" t="str">
            <v>APOTHIC RED</v>
          </cell>
          <cell r="E1586" t="str">
            <v>APOTHIC RED WINERY</v>
          </cell>
          <cell r="F1586" t="str">
            <v>3000</v>
          </cell>
          <cell r="G1586">
            <v>13.5</v>
          </cell>
          <cell r="H1586">
            <v>6</v>
          </cell>
          <cell r="I1586" t="str">
            <v>206245</v>
          </cell>
          <cell r="K1586" t="str">
            <v>MS</v>
          </cell>
          <cell r="L1586">
            <v>1</v>
          </cell>
          <cell r="M1586">
            <v>46.16</v>
          </cell>
        </row>
        <row r="1587">
          <cell r="C1587" t="str">
            <v>6663</v>
          </cell>
          <cell r="D1587" t="str">
            <v>BAREFOOT CELLARS CABERNET SAUVIGNON</v>
          </cell>
          <cell r="E1587" t="str">
            <v>BAREFOOT CELLARS WINERY</v>
          </cell>
          <cell r="F1587" t="str">
            <v>750</v>
          </cell>
          <cell r="G1587">
            <v>13</v>
          </cell>
          <cell r="H1587">
            <v>12</v>
          </cell>
          <cell r="I1587" t="str">
            <v>206245</v>
          </cell>
          <cell r="K1587" t="str">
            <v>VD</v>
          </cell>
          <cell r="L1587">
            <v>1</v>
          </cell>
          <cell r="M1587">
            <v>10.64</v>
          </cell>
        </row>
        <row r="1588">
          <cell r="C1588" t="str">
            <v>6660</v>
          </cell>
          <cell r="D1588" t="str">
            <v>BAREFOOT CELLARS MERLOT</v>
          </cell>
          <cell r="E1588" t="str">
            <v>BAREFOOT CELLARS WINERY</v>
          </cell>
          <cell r="F1588" t="str">
            <v>750</v>
          </cell>
          <cell r="G1588">
            <v>13.5</v>
          </cell>
          <cell r="H1588">
            <v>12</v>
          </cell>
          <cell r="I1588" t="str">
            <v>206245</v>
          </cell>
          <cell r="K1588" t="str">
            <v>VD</v>
          </cell>
          <cell r="L1588">
            <v>1</v>
          </cell>
          <cell r="M1588">
            <v>10.64</v>
          </cell>
        </row>
        <row r="1589">
          <cell r="C1589" t="str">
            <v>24409</v>
          </cell>
          <cell r="D1589" t="str">
            <v>BAREFOOT CELLARS RED MOSCATO</v>
          </cell>
          <cell r="E1589" t="str">
            <v>E &amp; J GALLO WINERY</v>
          </cell>
          <cell r="F1589" t="str">
            <v>750</v>
          </cell>
          <cell r="G1589">
            <v>9</v>
          </cell>
          <cell r="H1589">
            <v>12</v>
          </cell>
          <cell r="I1589" t="str">
            <v>206245</v>
          </cell>
          <cell r="K1589" t="str">
            <v>MD</v>
          </cell>
          <cell r="L1589">
            <v>1</v>
          </cell>
          <cell r="M1589">
            <v>10.61</v>
          </cell>
        </row>
        <row r="1590">
          <cell r="C1590" t="str">
            <v>6665</v>
          </cell>
          <cell r="D1590" t="str">
            <v>BAREFOOT CELLARS SHIRAZ</v>
          </cell>
          <cell r="E1590" t="str">
            <v>BAREFOOT CELLARS WINERY</v>
          </cell>
          <cell r="F1590" t="str">
            <v>750</v>
          </cell>
          <cell r="G1590">
            <v>13</v>
          </cell>
          <cell r="H1590">
            <v>12</v>
          </cell>
          <cell r="I1590" t="str">
            <v>206245</v>
          </cell>
          <cell r="K1590" t="str">
            <v>VD</v>
          </cell>
          <cell r="L1590">
            <v>1</v>
          </cell>
          <cell r="M1590">
            <v>10.64</v>
          </cell>
        </row>
        <row r="1591">
          <cell r="C1591" t="str">
            <v>3678</v>
          </cell>
          <cell r="D1591" t="str">
            <v>BERINGER FOUNDERS' ESTATE PINOT NOIR</v>
          </cell>
          <cell r="E1591" t="str">
            <v>THE WINE GROUP LLC</v>
          </cell>
          <cell r="F1591" t="str">
            <v>750</v>
          </cell>
          <cell r="G1591">
            <v>13.9</v>
          </cell>
          <cell r="H1591">
            <v>12</v>
          </cell>
          <cell r="I1591" t="str">
            <v>1009</v>
          </cell>
          <cell r="K1591" t="str">
            <v>VD</v>
          </cell>
          <cell r="L1591">
            <v>1</v>
          </cell>
          <cell r="M1591">
            <v>15.59</v>
          </cell>
        </row>
        <row r="1592">
          <cell r="C1592" t="str">
            <v>7143</v>
          </cell>
          <cell r="D1592" t="str">
            <v>BERINGER KNIGHTS VALLEY CAB SAUVIGNON</v>
          </cell>
          <cell r="E1592" t="str">
            <v>BERINGER VINEYARDS</v>
          </cell>
          <cell r="F1592" t="str">
            <v>750</v>
          </cell>
          <cell r="G1592">
            <v>14.5</v>
          </cell>
          <cell r="H1592">
            <v>12</v>
          </cell>
          <cell r="I1592" t="str">
            <v>1009</v>
          </cell>
          <cell r="K1592" t="str">
            <v>D</v>
          </cell>
          <cell r="L1592">
            <v>1</v>
          </cell>
          <cell r="M1592">
            <v>43.04</v>
          </cell>
        </row>
        <row r="1593">
          <cell r="C1593" t="str">
            <v>14720</v>
          </cell>
          <cell r="D1593" t="str">
            <v>BOTA BOX CABERNET SAUVIGNON</v>
          </cell>
          <cell r="E1593" t="str">
            <v>DELICATO VINEYARDS DBA BLACK STALLION WI</v>
          </cell>
          <cell r="F1593" t="str">
            <v>3000</v>
          </cell>
          <cell r="G1593">
            <v>13.5</v>
          </cell>
          <cell r="H1593">
            <v>4</v>
          </cell>
          <cell r="I1593" t="str">
            <v>1008</v>
          </cell>
          <cell r="K1593" t="str">
            <v>VD</v>
          </cell>
          <cell r="L1593">
            <v>1</v>
          </cell>
          <cell r="M1593">
            <v>33.869999999999997</v>
          </cell>
        </row>
        <row r="1594">
          <cell r="C1594" t="str">
            <v>32119</v>
          </cell>
          <cell r="D1594" t="str">
            <v>BREAD &amp; BUTTER CABERNET SAUVIGNON</v>
          </cell>
          <cell r="E1594" t="str">
            <v>WINERY EXCHANGE BRANDS</v>
          </cell>
          <cell r="F1594" t="str">
            <v>750</v>
          </cell>
          <cell r="G1594">
            <v>13.5</v>
          </cell>
          <cell r="H1594">
            <v>12</v>
          </cell>
          <cell r="I1594" t="str">
            <v>140473</v>
          </cell>
          <cell r="K1594" t="str">
            <v>VD</v>
          </cell>
          <cell r="L1594">
            <v>1</v>
          </cell>
          <cell r="M1594">
            <v>20.93</v>
          </cell>
        </row>
        <row r="1595">
          <cell r="C1595" t="str">
            <v>41705</v>
          </cell>
          <cell r="D1595" t="str">
            <v>BREAD &amp; BUTTER MERLOT</v>
          </cell>
          <cell r="E1595" t="str">
            <v>WINERY EXCHANGE BRANDS</v>
          </cell>
          <cell r="F1595" t="str">
            <v>750</v>
          </cell>
          <cell r="G1595">
            <v>13.5</v>
          </cell>
          <cell r="H1595">
            <v>12</v>
          </cell>
          <cell r="I1595" t="str">
            <v>140473</v>
          </cell>
          <cell r="K1595" t="str">
            <v>D</v>
          </cell>
          <cell r="L1595">
            <v>1</v>
          </cell>
          <cell r="M1595">
            <v>20.93</v>
          </cell>
        </row>
        <row r="1596">
          <cell r="C1596" t="str">
            <v>32021</v>
          </cell>
          <cell r="D1596" t="str">
            <v>BREAD &amp; BUTTER PINOT NOIR</v>
          </cell>
          <cell r="E1596" t="str">
            <v>WINERY EXCHANGE BRANDS</v>
          </cell>
          <cell r="F1596" t="str">
            <v>750</v>
          </cell>
          <cell r="G1596">
            <v>13.5</v>
          </cell>
          <cell r="H1596">
            <v>12</v>
          </cell>
          <cell r="I1596" t="str">
            <v>140473</v>
          </cell>
          <cell r="K1596" t="str">
            <v>VD</v>
          </cell>
          <cell r="L1596">
            <v>1</v>
          </cell>
          <cell r="M1596">
            <v>20.93</v>
          </cell>
        </row>
        <row r="1597">
          <cell r="C1597" t="str">
            <v>20034</v>
          </cell>
          <cell r="D1597" t="str">
            <v>CARNIVOR CABERNET SAUVIGNON</v>
          </cell>
          <cell r="E1597" t="str">
            <v>E &amp; J GALLO WINERY</v>
          </cell>
          <cell r="F1597" t="str">
            <v>750</v>
          </cell>
          <cell r="G1597">
            <v>13.5</v>
          </cell>
          <cell r="H1597">
            <v>12</v>
          </cell>
          <cell r="I1597" t="str">
            <v>1009</v>
          </cell>
          <cell r="K1597" t="str">
            <v>VD</v>
          </cell>
          <cell r="L1597">
            <v>1</v>
          </cell>
          <cell r="M1597">
            <v>15.8</v>
          </cell>
        </row>
        <row r="1598">
          <cell r="C1598" t="str">
            <v>21141</v>
          </cell>
          <cell r="D1598" t="str">
            <v>CAYMUS CONUNDRUM RED</v>
          </cell>
          <cell r="E1598" t="str">
            <v>WAGNER FAMILY OF WINE</v>
          </cell>
          <cell r="F1598" t="str">
            <v>750</v>
          </cell>
          <cell r="G1598">
            <v>14.2</v>
          </cell>
          <cell r="H1598">
            <v>12</v>
          </cell>
          <cell r="I1598" t="str">
            <v>206226</v>
          </cell>
          <cell r="K1598" t="str">
            <v>VD</v>
          </cell>
          <cell r="L1598">
            <v>1</v>
          </cell>
          <cell r="M1598">
            <v>22.27</v>
          </cell>
        </row>
        <row r="1599">
          <cell r="C1599" t="str">
            <v>16630</v>
          </cell>
          <cell r="D1599" t="str">
            <v>DELICATO BOTA BOX MERLOT</v>
          </cell>
          <cell r="E1599" t="str">
            <v>DELICATO VINEYARDS DBA BLACK STALLION WI</v>
          </cell>
          <cell r="F1599" t="str">
            <v>3000</v>
          </cell>
          <cell r="G1599">
            <v>13</v>
          </cell>
          <cell r="H1599">
            <v>3</v>
          </cell>
          <cell r="I1599" t="str">
            <v>1008</v>
          </cell>
          <cell r="K1599" t="str">
            <v>VD</v>
          </cell>
          <cell r="L1599">
            <v>1</v>
          </cell>
          <cell r="M1599">
            <v>33.19</v>
          </cell>
        </row>
        <row r="1600">
          <cell r="C1600" t="str">
            <v>10667</v>
          </cell>
          <cell r="D1600" t="str">
            <v>DUCKHORN DECOY CABERNET SAUVIGNON</v>
          </cell>
          <cell r="E1600" t="str">
            <v>DUCKHORN VINYARDS</v>
          </cell>
          <cell r="F1600" t="str">
            <v>750</v>
          </cell>
          <cell r="G1600">
            <v>13.9</v>
          </cell>
          <cell r="H1600">
            <v>12</v>
          </cell>
          <cell r="I1600" t="str">
            <v>3293</v>
          </cell>
          <cell r="K1600" t="str">
            <v>MS</v>
          </cell>
          <cell r="L1600">
            <v>1</v>
          </cell>
          <cell r="M1600">
            <v>27.45</v>
          </cell>
        </row>
        <row r="1601">
          <cell r="C1601" t="str">
            <v>23999</v>
          </cell>
          <cell r="D1601" t="str">
            <v>JOSH CELLARS CABERNET SAUVIGNON</v>
          </cell>
          <cell r="E1601" t="str">
            <v>Ray's Station Winery was Grove St Winery</v>
          </cell>
          <cell r="F1601" t="str">
            <v>750</v>
          </cell>
          <cell r="G1601">
            <v>13.5</v>
          </cell>
          <cell r="H1601">
            <v>12</v>
          </cell>
          <cell r="I1601" t="str">
            <v>3245</v>
          </cell>
          <cell r="K1601" t="str">
            <v>VD</v>
          </cell>
          <cell r="L1601">
            <v>1</v>
          </cell>
          <cell r="M1601">
            <v>17.55</v>
          </cell>
        </row>
        <row r="1602">
          <cell r="C1602" t="str">
            <v>34075</v>
          </cell>
          <cell r="D1602" t="str">
            <v>JOSH CELLARS MERLOT</v>
          </cell>
          <cell r="E1602" t="str">
            <v>Ray's Station Winery was Grove St Winery</v>
          </cell>
          <cell r="F1602" t="str">
            <v>750</v>
          </cell>
          <cell r="G1602">
            <v>13.5</v>
          </cell>
          <cell r="H1602">
            <v>12</v>
          </cell>
          <cell r="I1602" t="str">
            <v>3245</v>
          </cell>
          <cell r="K1602" t="str">
            <v>D</v>
          </cell>
          <cell r="L1602">
            <v>1</v>
          </cell>
          <cell r="M1602">
            <v>17.55</v>
          </cell>
        </row>
        <row r="1603">
          <cell r="C1603" t="str">
            <v>23862</v>
          </cell>
          <cell r="D1603" t="str">
            <v>LAKE SONOMA CABERNET SAUVIGNON</v>
          </cell>
          <cell r="E1603" t="str">
            <v>WEST COAST WINE PARTNERS</v>
          </cell>
          <cell r="F1603" t="str">
            <v>750</v>
          </cell>
          <cell r="G1603">
            <v>14.3</v>
          </cell>
          <cell r="H1603">
            <v>12</v>
          </cell>
          <cell r="I1603" t="str">
            <v>144514</v>
          </cell>
          <cell r="K1603" t="str">
            <v>VD</v>
          </cell>
          <cell r="L1603">
            <v>1</v>
          </cell>
          <cell r="M1603">
            <v>29.26</v>
          </cell>
        </row>
        <row r="1604">
          <cell r="C1604" t="str">
            <v>14457</v>
          </cell>
          <cell r="D1604" t="str">
            <v>LAYER CAKE CABERNET SAUVIGNON</v>
          </cell>
          <cell r="E1604" t="str">
            <v>LAYER CAKE WINES</v>
          </cell>
          <cell r="F1604" t="str">
            <v>750</v>
          </cell>
          <cell r="G1604">
            <v>13.5</v>
          </cell>
          <cell r="H1604">
            <v>12</v>
          </cell>
          <cell r="I1604" t="str">
            <v>87388</v>
          </cell>
          <cell r="K1604" t="str">
            <v>VD</v>
          </cell>
          <cell r="L1604">
            <v>1</v>
          </cell>
          <cell r="M1604">
            <v>23.66</v>
          </cell>
        </row>
        <row r="1605">
          <cell r="C1605" t="str">
            <v>28525</v>
          </cell>
          <cell r="D1605" t="str">
            <v>LONGSHOT CABERNET SAUVIGNON</v>
          </cell>
          <cell r="E1605" t="str">
            <v>E &amp; J GALLO WINERY</v>
          </cell>
          <cell r="F1605" t="str">
            <v>750</v>
          </cell>
          <cell r="G1605">
            <v>13.5</v>
          </cell>
          <cell r="H1605">
            <v>12</v>
          </cell>
          <cell r="I1605" t="str">
            <v>3254</v>
          </cell>
          <cell r="K1605" t="str">
            <v>MD</v>
          </cell>
          <cell r="L1605">
            <v>1</v>
          </cell>
          <cell r="M1605">
            <v>14.08</v>
          </cell>
        </row>
        <row r="1606">
          <cell r="C1606" t="str">
            <v>34014</v>
          </cell>
          <cell r="D1606" t="str">
            <v>LOST POET RED BLEND</v>
          </cell>
          <cell r="E1606" t="str">
            <v>WINC WINE COMPANY</v>
          </cell>
          <cell r="F1606" t="str">
            <v>750</v>
          </cell>
          <cell r="G1606">
            <v>13.9</v>
          </cell>
          <cell r="H1606">
            <v>12</v>
          </cell>
          <cell r="I1606" t="str">
            <v>1382</v>
          </cell>
          <cell r="K1606" t="str">
            <v>MD</v>
          </cell>
          <cell r="L1606">
            <v>1</v>
          </cell>
          <cell r="M1606">
            <v>20.09</v>
          </cell>
        </row>
        <row r="1607">
          <cell r="C1607" t="str">
            <v>26256</v>
          </cell>
          <cell r="D1607" t="str">
            <v>MATCHBOOK CABERNET SAUVIGNON</v>
          </cell>
          <cell r="E1607" t="str">
            <v>MATCHBOOK WINE CO</v>
          </cell>
          <cell r="F1607" t="str">
            <v>750</v>
          </cell>
          <cell r="G1607">
            <v>13.9</v>
          </cell>
          <cell r="H1607">
            <v>12</v>
          </cell>
          <cell r="I1607" t="str">
            <v>55942</v>
          </cell>
          <cell r="K1607" t="str">
            <v>VD</v>
          </cell>
          <cell r="L1607">
            <v>1</v>
          </cell>
          <cell r="M1607">
            <v>19.73</v>
          </cell>
        </row>
        <row r="1608">
          <cell r="C1608" t="str">
            <v>9405</v>
          </cell>
          <cell r="D1608" t="str">
            <v>MCMANIS CABERNET SAUVIGNON</v>
          </cell>
          <cell r="E1608" t="str">
            <v>McMANIS FAMILY VINEYARDS</v>
          </cell>
          <cell r="F1608" t="str">
            <v>750</v>
          </cell>
          <cell r="G1608">
            <v>13.5</v>
          </cell>
          <cell r="H1608">
            <v>12</v>
          </cell>
          <cell r="I1608" t="str">
            <v>55942</v>
          </cell>
          <cell r="K1608" t="str">
            <v>VD</v>
          </cell>
          <cell r="L1608">
            <v>1</v>
          </cell>
          <cell r="M1608">
            <v>21.01</v>
          </cell>
        </row>
        <row r="1609">
          <cell r="C1609" t="str">
            <v>43997</v>
          </cell>
          <cell r="D1609" t="str">
            <v>MEIOMI BRIGHT PINOT NOIR</v>
          </cell>
          <cell r="E1609" t="str">
            <v>WOODBRIDGE WINERY</v>
          </cell>
          <cell r="F1609" t="str">
            <v>750</v>
          </cell>
          <cell r="G1609">
            <v>8</v>
          </cell>
          <cell r="H1609">
            <v>12</v>
          </cell>
          <cell r="I1609" t="str">
            <v>1009</v>
          </cell>
          <cell r="K1609" t="str">
            <v>MS</v>
          </cell>
          <cell r="L1609">
            <v>1</v>
          </cell>
          <cell r="M1609">
            <v>21.85</v>
          </cell>
        </row>
        <row r="1610">
          <cell r="C1610" t="str">
            <v>37104</v>
          </cell>
          <cell r="D1610" t="str">
            <v>MEIOMI CABERNET SAUVIGNON</v>
          </cell>
          <cell r="E1610" t="str">
            <v>WOODBRIDGE WINERY</v>
          </cell>
          <cell r="F1610" t="str">
            <v>750</v>
          </cell>
          <cell r="G1610">
            <v>14.5</v>
          </cell>
          <cell r="H1610">
            <v>12</v>
          </cell>
          <cell r="I1610" t="str">
            <v>1009</v>
          </cell>
          <cell r="K1610" t="str">
            <v>D</v>
          </cell>
          <cell r="L1610">
            <v>1</v>
          </cell>
          <cell r="M1610">
            <v>22.65</v>
          </cell>
        </row>
        <row r="1611">
          <cell r="C1611" t="str">
            <v>9477</v>
          </cell>
          <cell r="D1611" t="str">
            <v>MURPHY GOODE CABERNET SAUVIGNON</v>
          </cell>
          <cell r="E1611" t="str">
            <v>MURPHY GOODE WINERY</v>
          </cell>
          <cell r="F1611" t="str">
            <v>750</v>
          </cell>
          <cell r="G1611">
            <v>13.5</v>
          </cell>
          <cell r="H1611">
            <v>12</v>
          </cell>
          <cell r="I1611" t="str">
            <v>58104</v>
          </cell>
          <cell r="K1611" t="str">
            <v>MD</v>
          </cell>
          <cell r="L1611">
            <v>1</v>
          </cell>
          <cell r="M1611">
            <v>21.61</v>
          </cell>
        </row>
        <row r="1612">
          <cell r="C1612" t="str">
            <v>13498</v>
          </cell>
          <cell r="D1612" t="str">
            <v>NOBLE VINES 337 CABERNET SAUVIGNON</v>
          </cell>
          <cell r="E1612" t="str">
            <v>DELICATO VINEYARDS DBA BLACK STALLION WI</v>
          </cell>
          <cell r="F1612" t="str">
            <v>750</v>
          </cell>
          <cell r="G1612">
            <v>14.5</v>
          </cell>
          <cell r="H1612">
            <v>12</v>
          </cell>
          <cell r="I1612" t="str">
            <v>1008</v>
          </cell>
          <cell r="K1612" t="str">
            <v>VD</v>
          </cell>
          <cell r="L1612">
            <v>1</v>
          </cell>
          <cell r="M1612">
            <v>16.36</v>
          </cell>
        </row>
        <row r="1613">
          <cell r="C1613" t="str">
            <v>26838</v>
          </cell>
          <cell r="D1613" t="str">
            <v>PROPHECY PINOT NOIR</v>
          </cell>
          <cell r="E1613" t="str">
            <v>E &amp; J GALLO WINERY</v>
          </cell>
          <cell r="F1613" t="str">
            <v>750</v>
          </cell>
          <cell r="G1613">
            <v>13.8</v>
          </cell>
          <cell r="H1613">
            <v>12</v>
          </cell>
          <cell r="I1613" t="str">
            <v>206245</v>
          </cell>
          <cell r="K1613" t="str">
            <v>VD</v>
          </cell>
          <cell r="L1613">
            <v>1</v>
          </cell>
          <cell r="M1613">
            <v>16.829999999999998</v>
          </cell>
        </row>
        <row r="1614">
          <cell r="C1614" t="str">
            <v>9915</v>
          </cell>
          <cell r="D1614" t="str">
            <v>RAVENSWOOD LODI OLD VINES ZINFANDEL</v>
          </cell>
          <cell r="E1614" t="str">
            <v>RAVENSWOOD WINERY</v>
          </cell>
          <cell r="F1614" t="str">
            <v>750</v>
          </cell>
          <cell r="G1614">
            <v>14.5</v>
          </cell>
          <cell r="H1614">
            <v>12</v>
          </cell>
          <cell r="I1614" t="str">
            <v>206245</v>
          </cell>
          <cell r="K1614" t="str">
            <v>D</v>
          </cell>
          <cell r="L1614">
            <v>1</v>
          </cell>
          <cell r="M1614">
            <v>22.46</v>
          </cell>
        </row>
        <row r="1615">
          <cell r="C1615" t="str">
            <v>14305</v>
          </cell>
          <cell r="D1615" t="str">
            <v>ROBERT MONDAVI PRIVATE SELECTION MERLOT</v>
          </cell>
          <cell r="E1615" t="str">
            <v>WOODBRIDGE WINERY</v>
          </cell>
          <cell r="F1615" t="str">
            <v>750</v>
          </cell>
          <cell r="G1615">
            <v>13.5</v>
          </cell>
          <cell r="H1615">
            <v>12</v>
          </cell>
          <cell r="I1615" t="str">
            <v>1009</v>
          </cell>
          <cell r="K1615" t="str">
            <v>VD</v>
          </cell>
          <cell r="L1615">
            <v>1</v>
          </cell>
          <cell r="M1615">
            <v>14.95</v>
          </cell>
        </row>
        <row r="1616">
          <cell r="C1616" t="str">
            <v>34257</v>
          </cell>
          <cell r="D1616" t="str">
            <v>SEA SUN PINOT NOIR</v>
          </cell>
          <cell r="E1616" t="str">
            <v>WAGNER FAMILY OF WINE</v>
          </cell>
          <cell r="F1616" t="str">
            <v>750</v>
          </cell>
          <cell r="G1616">
            <v>14.2</v>
          </cell>
          <cell r="H1616">
            <v>12</v>
          </cell>
          <cell r="I1616" t="str">
            <v>206226</v>
          </cell>
          <cell r="K1616" t="str">
            <v>MD</v>
          </cell>
          <cell r="L1616">
            <v>1</v>
          </cell>
          <cell r="M1616">
            <v>21.32</v>
          </cell>
        </row>
        <row r="1617">
          <cell r="C1617" t="str">
            <v>35212</v>
          </cell>
          <cell r="D1617" t="str">
            <v>SLOW PRESS CABERNET SAUVIGNON</v>
          </cell>
          <cell r="E1617" t="str">
            <v>THE WINE GROUP LLC</v>
          </cell>
          <cell r="F1617" t="str">
            <v>750</v>
          </cell>
          <cell r="G1617">
            <v>13.5</v>
          </cell>
          <cell r="H1617">
            <v>12</v>
          </cell>
          <cell r="I1617" t="str">
            <v>3237</v>
          </cell>
          <cell r="K1617" t="str">
            <v>VD</v>
          </cell>
          <cell r="L1617">
            <v>1</v>
          </cell>
          <cell r="M1617">
            <v>19.29</v>
          </cell>
        </row>
        <row r="1618">
          <cell r="C1618" t="str">
            <v>16328</v>
          </cell>
          <cell r="D1618" t="str">
            <v>SMOKING LOON CABERNET SAUVIGNON</v>
          </cell>
          <cell r="E1618" t="str">
            <v>DON  &amp; SONS</v>
          </cell>
          <cell r="F1618" t="str">
            <v>750</v>
          </cell>
          <cell r="G1618">
            <v>13.5</v>
          </cell>
          <cell r="H1618">
            <v>12</v>
          </cell>
          <cell r="I1618" t="str">
            <v>3265</v>
          </cell>
          <cell r="K1618" t="str">
            <v>VD</v>
          </cell>
          <cell r="L1618">
            <v>1</v>
          </cell>
          <cell r="M1618">
            <v>12.54</v>
          </cell>
        </row>
        <row r="1619">
          <cell r="C1619" t="str">
            <v>23907</v>
          </cell>
          <cell r="D1619" t="str">
            <v>SMOKING LOON OLD VINE ZINFANDEL</v>
          </cell>
          <cell r="E1619" t="str">
            <v>DON  &amp; SONS</v>
          </cell>
          <cell r="F1619" t="str">
            <v>750</v>
          </cell>
          <cell r="G1619">
            <v>14</v>
          </cell>
          <cell r="H1619">
            <v>12</v>
          </cell>
          <cell r="I1619" t="str">
            <v>3265</v>
          </cell>
          <cell r="K1619" t="str">
            <v>D</v>
          </cell>
          <cell r="L1619">
            <v>1</v>
          </cell>
          <cell r="M1619">
            <v>12.58</v>
          </cell>
        </row>
        <row r="1620">
          <cell r="C1620" t="str">
            <v>1620</v>
          </cell>
          <cell r="D1620" t="str">
            <v>SOUTHERN HILLS CABERNET SAUVIGNON</v>
          </cell>
          <cell r="E1620" t="str">
            <v>WENTE VINEYARDS</v>
          </cell>
          <cell r="F1620" t="str">
            <v>750</v>
          </cell>
          <cell r="G1620">
            <v>13.5</v>
          </cell>
          <cell r="H1620">
            <v>12</v>
          </cell>
          <cell r="I1620" t="str">
            <v>3279</v>
          </cell>
          <cell r="K1620" t="str">
            <v>VD</v>
          </cell>
          <cell r="L1620">
            <v>1</v>
          </cell>
          <cell r="M1620">
            <v>20.85</v>
          </cell>
        </row>
        <row r="1621">
          <cell r="C1621" t="str">
            <v>27551</v>
          </cell>
          <cell r="D1621" t="str">
            <v>STAVE &amp; STEEL CABERNET SAUVIGNON</v>
          </cell>
          <cell r="E1621" t="str">
            <v>THE WINE GROUP LLC</v>
          </cell>
          <cell r="F1621" t="str">
            <v>750</v>
          </cell>
          <cell r="G1621">
            <v>13.5</v>
          </cell>
          <cell r="H1621">
            <v>12</v>
          </cell>
          <cell r="I1621" t="str">
            <v>3237</v>
          </cell>
          <cell r="K1621" t="str">
            <v>VD</v>
          </cell>
          <cell r="L1621">
            <v>1</v>
          </cell>
          <cell r="M1621">
            <v>19.12</v>
          </cell>
        </row>
        <row r="1622">
          <cell r="C1622" t="str">
            <v>43327</v>
          </cell>
          <cell r="D1622" t="str">
            <v>STEL + MAR LODI CABERNET SAUVIGNON</v>
          </cell>
          <cell r="E1622" t="str">
            <v>SHEEP BLACK WINE USA</v>
          </cell>
          <cell r="F1622" t="str">
            <v>750</v>
          </cell>
          <cell r="G1622">
            <v>13.7</v>
          </cell>
          <cell r="H1622">
            <v>12</v>
          </cell>
          <cell r="I1622" t="str">
            <v>3246</v>
          </cell>
          <cell r="K1622" t="str">
            <v>D</v>
          </cell>
          <cell r="L1622">
            <v>1</v>
          </cell>
          <cell r="M1622">
            <v>22</v>
          </cell>
        </row>
        <row r="1623">
          <cell r="C1623" t="str">
            <v>15975</v>
          </cell>
          <cell r="D1623" t="str">
            <v>THE DREAMING TREE CRUSH</v>
          </cell>
          <cell r="E1623" t="str">
            <v>THE WINE GROUP LLC</v>
          </cell>
          <cell r="F1623" t="str">
            <v>750</v>
          </cell>
          <cell r="G1623">
            <v>13.5</v>
          </cell>
          <cell r="H1623">
            <v>12</v>
          </cell>
          <cell r="I1623" t="str">
            <v>1009</v>
          </cell>
          <cell r="K1623" t="str">
            <v>D</v>
          </cell>
          <cell r="L1623">
            <v>1</v>
          </cell>
          <cell r="M1623">
            <v>18.600000000000001</v>
          </cell>
        </row>
        <row r="1624">
          <cell r="C1624" t="str">
            <v>7101</v>
          </cell>
          <cell r="D1624" t="str">
            <v>THE SHOW CABERNET SAUVIGNON</v>
          </cell>
          <cell r="E1624" t="str">
            <v>TRINCHERO FAMILY ESTATES</v>
          </cell>
          <cell r="F1624" t="str">
            <v>750</v>
          </cell>
          <cell r="G1624">
            <v>13.9</v>
          </cell>
          <cell r="H1624">
            <v>12</v>
          </cell>
          <cell r="I1624" t="str">
            <v>1537</v>
          </cell>
          <cell r="K1624" t="str">
            <v>VD</v>
          </cell>
          <cell r="L1624">
            <v>1</v>
          </cell>
          <cell r="M1624">
            <v>20.52</v>
          </cell>
        </row>
        <row r="1625">
          <cell r="C1625" t="str">
            <v>37425</v>
          </cell>
          <cell r="D1625" t="str">
            <v>THREE FINGERED JACK CAB SAUVIGNON</v>
          </cell>
          <cell r="E1625" t="str">
            <v>DELICATO VINEYARDS DBA BLACK STALLION WI</v>
          </cell>
          <cell r="F1625" t="str">
            <v>750</v>
          </cell>
          <cell r="G1625">
            <v>14</v>
          </cell>
          <cell r="H1625">
            <v>12</v>
          </cell>
          <cell r="I1625" t="str">
            <v>1008</v>
          </cell>
          <cell r="K1625" t="str">
            <v>VD</v>
          </cell>
          <cell r="L1625">
            <v>1</v>
          </cell>
          <cell r="M1625">
            <v>21.35</v>
          </cell>
        </row>
        <row r="1626">
          <cell r="C1626" t="str">
            <v>25533</v>
          </cell>
          <cell r="D1626" t="str">
            <v>THREE THIEVES CABERNET SAUVIGNON</v>
          </cell>
          <cell r="E1626" t="str">
            <v>TRINCHERO FAMILY ESTATES</v>
          </cell>
          <cell r="F1626" t="str">
            <v>750</v>
          </cell>
          <cell r="G1626">
            <v>13.45</v>
          </cell>
          <cell r="H1626">
            <v>12</v>
          </cell>
          <cell r="I1626" t="str">
            <v>1537</v>
          </cell>
          <cell r="K1626" t="str">
            <v>VD</v>
          </cell>
          <cell r="L1626">
            <v>1</v>
          </cell>
          <cell r="M1626">
            <v>15.86</v>
          </cell>
        </row>
        <row r="1627">
          <cell r="C1627" t="str">
            <v>24094</v>
          </cell>
          <cell r="D1627" t="str">
            <v>TOM GORE CABERNET SAUVIGNON</v>
          </cell>
          <cell r="E1627" t="str">
            <v>ARTERRA WINES CANADA INC</v>
          </cell>
          <cell r="F1627" t="str">
            <v>750</v>
          </cell>
          <cell r="G1627">
            <v>13.5</v>
          </cell>
          <cell r="H1627">
            <v>12</v>
          </cell>
          <cell r="I1627" t="str">
            <v>1008</v>
          </cell>
          <cell r="K1627" t="str">
            <v>VD</v>
          </cell>
          <cell r="L1627">
            <v>1</v>
          </cell>
          <cell r="M1627">
            <v>18.190000000000001</v>
          </cell>
        </row>
        <row r="1628">
          <cell r="C1628" t="str">
            <v>41797</v>
          </cell>
          <cell r="D1628" t="str">
            <v>TOM GORE FARMERS BLEND</v>
          </cell>
          <cell r="E1628" t="str">
            <v>FETZER VINEYARDS</v>
          </cell>
          <cell r="F1628" t="str">
            <v>750</v>
          </cell>
          <cell r="G1628">
            <v>13.5</v>
          </cell>
          <cell r="H1628">
            <v>12</v>
          </cell>
          <cell r="I1628" t="str">
            <v>1008</v>
          </cell>
          <cell r="K1628" t="str">
            <v>D</v>
          </cell>
          <cell r="L1628">
            <v>1</v>
          </cell>
          <cell r="M1628">
            <v>18.07</v>
          </cell>
        </row>
        <row r="1629">
          <cell r="C1629" t="str">
            <v>43326</v>
          </cell>
          <cell r="D1629" t="str">
            <v>TOM GORE PINOT NOIR</v>
          </cell>
          <cell r="E1629" t="str">
            <v>FETZER VINEYARDS</v>
          </cell>
          <cell r="F1629" t="str">
            <v>750</v>
          </cell>
          <cell r="G1629">
            <v>13.5</v>
          </cell>
          <cell r="H1629">
            <v>12</v>
          </cell>
          <cell r="I1629" t="str">
            <v>1008</v>
          </cell>
          <cell r="K1629" t="str">
            <v>D</v>
          </cell>
          <cell r="L1629">
            <v>1</v>
          </cell>
          <cell r="M1629">
            <v>18.079999999999998</v>
          </cell>
        </row>
        <row r="1630">
          <cell r="C1630" t="str">
            <v>23822</v>
          </cell>
          <cell r="D1630" t="str">
            <v>WOODBRIDGE CABERNET SAUVIGNON</v>
          </cell>
          <cell r="E1630" t="str">
            <v>ARTERRA WINES CANADA INC</v>
          </cell>
          <cell r="F1630" t="str">
            <v>3000</v>
          </cell>
          <cell r="G1630">
            <v>13.5</v>
          </cell>
          <cell r="H1630">
            <v>4</v>
          </cell>
          <cell r="I1630" t="str">
            <v>1008</v>
          </cell>
          <cell r="K1630" t="str">
            <v>VD</v>
          </cell>
          <cell r="L1630">
            <v>1</v>
          </cell>
          <cell r="M1630">
            <v>37.729999999999997</v>
          </cell>
        </row>
        <row r="1631">
          <cell r="C1631" t="str">
            <v>22476</v>
          </cell>
          <cell r="D1631" t="str">
            <v>WOODWORK CABERNET SAUVIGNON</v>
          </cell>
          <cell r="E1631" t="str">
            <v>DIAGEO CHATEAU &amp; ESTATE WINES</v>
          </cell>
          <cell r="F1631" t="str">
            <v>750</v>
          </cell>
          <cell r="G1631">
            <v>13</v>
          </cell>
          <cell r="H1631">
            <v>12</v>
          </cell>
          <cell r="I1631" t="str">
            <v>1009</v>
          </cell>
          <cell r="K1631" t="str">
            <v>VD</v>
          </cell>
          <cell r="L1631">
            <v>1</v>
          </cell>
          <cell r="M1631">
            <v>13.49</v>
          </cell>
        </row>
        <row r="1632">
          <cell r="C1632" t="str">
            <v>41377</v>
          </cell>
          <cell r="D1632" t="str">
            <v>APOTHIC CHARDONNAY</v>
          </cell>
          <cell r="E1632" t="str">
            <v>APOTHIC RED WINERY</v>
          </cell>
          <cell r="F1632" t="str">
            <v>750</v>
          </cell>
          <cell r="G1632">
            <v>13.5</v>
          </cell>
          <cell r="H1632">
            <v>12</v>
          </cell>
          <cell r="I1632" t="str">
            <v>206245</v>
          </cell>
          <cell r="K1632" t="str">
            <v>D</v>
          </cell>
          <cell r="L1632">
            <v>1</v>
          </cell>
          <cell r="M1632">
            <v>14.3</v>
          </cell>
        </row>
        <row r="1633">
          <cell r="C1633" t="str">
            <v>16244</v>
          </cell>
          <cell r="D1633" t="str">
            <v>APOTHIC WHITE</v>
          </cell>
          <cell r="E1633" t="str">
            <v>APOTHIC RED WINERY</v>
          </cell>
          <cell r="F1633" t="str">
            <v>750</v>
          </cell>
          <cell r="G1633">
            <v>12.5</v>
          </cell>
          <cell r="H1633">
            <v>12</v>
          </cell>
          <cell r="I1633" t="str">
            <v>206245</v>
          </cell>
          <cell r="K1633" t="str">
            <v>S</v>
          </cell>
          <cell r="L1633">
            <v>1</v>
          </cell>
          <cell r="M1633">
            <v>14.33</v>
          </cell>
        </row>
        <row r="1634">
          <cell r="C1634" t="str">
            <v>8488</v>
          </cell>
          <cell r="D1634" t="str">
            <v>BAREFOOT CELLARS MOSCATO</v>
          </cell>
          <cell r="E1634" t="str">
            <v>BAREFOOT CELLARS WINERY</v>
          </cell>
          <cell r="F1634" t="str">
            <v>750</v>
          </cell>
          <cell r="G1634">
            <v>9</v>
          </cell>
          <cell r="H1634">
            <v>12</v>
          </cell>
          <cell r="I1634" t="str">
            <v>206245</v>
          </cell>
          <cell r="K1634" t="str">
            <v>MD</v>
          </cell>
          <cell r="L1634">
            <v>1</v>
          </cell>
          <cell r="M1634">
            <v>10.64</v>
          </cell>
        </row>
        <row r="1635">
          <cell r="C1635" t="str">
            <v>6664</v>
          </cell>
          <cell r="D1635" t="str">
            <v>BAREFOOT CELLARS PINOT GRIGIO</v>
          </cell>
          <cell r="E1635" t="str">
            <v>BAREFOOT CELLARS WINERY</v>
          </cell>
          <cell r="F1635" t="str">
            <v>750</v>
          </cell>
          <cell r="G1635">
            <v>13</v>
          </cell>
          <cell r="H1635">
            <v>12</v>
          </cell>
          <cell r="I1635" t="str">
            <v>206245</v>
          </cell>
          <cell r="K1635" t="str">
            <v>VD</v>
          </cell>
          <cell r="L1635">
            <v>1</v>
          </cell>
          <cell r="M1635">
            <v>10.64</v>
          </cell>
        </row>
        <row r="1636">
          <cell r="C1636" t="str">
            <v>15550</v>
          </cell>
          <cell r="D1636" t="str">
            <v>BAREFOOT CELLARS RIESLING</v>
          </cell>
          <cell r="E1636" t="str">
            <v>BAREFOOT CELLARS WINERY</v>
          </cell>
          <cell r="F1636" t="str">
            <v>750</v>
          </cell>
          <cell r="G1636">
            <v>8</v>
          </cell>
          <cell r="H1636">
            <v>12</v>
          </cell>
          <cell r="I1636" t="str">
            <v>206245</v>
          </cell>
          <cell r="K1636" t="str">
            <v>MD</v>
          </cell>
          <cell r="L1636">
            <v>1</v>
          </cell>
          <cell r="M1636">
            <v>10.64</v>
          </cell>
        </row>
        <row r="1637">
          <cell r="C1637" t="str">
            <v>30848</v>
          </cell>
          <cell r="D1637" t="str">
            <v>BREAD &amp; BUTTER CHARDONNAY</v>
          </cell>
          <cell r="E1637" t="str">
            <v>WINERY EXCHANGE BRANDS</v>
          </cell>
          <cell r="F1637" t="str">
            <v>750</v>
          </cell>
          <cell r="G1637">
            <v>13.5</v>
          </cell>
          <cell r="H1637">
            <v>12</v>
          </cell>
          <cell r="I1637" t="str">
            <v>140473</v>
          </cell>
          <cell r="K1637" t="str">
            <v>D</v>
          </cell>
          <cell r="L1637">
            <v>1</v>
          </cell>
          <cell r="M1637">
            <v>20.93</v>
          </cell>
        </row>
        <row r="1638">
          <cell r="C1638" t="str">
            <v>43321</v>
          </cell>
          <cell r="D1638" t="str">
            <v>BREAD &amp; BUTTER SLICED CHARDONNAY</v>
          </cell>
          <cell r="E1638" t="str">
            <v>WINERY EXCHANGE BRANDS</v>
          </cell>
          <cell r="F1638" t="str">
            <v>750</v>
          </cell>
          <cell r="G1638">
            <v>9</v>
          </cell>
          <cell r="H1638">
            <v>12</v>
          </cell>
          <cell r="I1638" t="str">
            <v>140473</v>
          </cell>
          <cell r="K1638" t="str">
            <v>D</v>
          </cell>
          <cell r="L1638">
            <v>1</v>
          </cell>
          <cell r="M1638">
            <v>20.87</v>
          </cell>
        </row>
        <row r="1639">
          <cell r="C1639" t="str">
            <v>14719</v>
          </cell>
          <cell r="D1639" t="str">
            <v>DELICATO BOTA BOX PINOT GRIGIO</v>
          </cell>
          <cell r="E1639" t="str">
            <v>DELICATO VINEYARDS DBA BLACK STALLION WI</v>
          </cell>
          <cell r="F1639" t="str">
            <v>3000</v>
          </cell>
          <cell r="G1639">
            <v>12.5</v>
          </cell>
          <cell r="H1639">
            <v>3</v>
          </cell>
          <cell r="I1639" t="str">
            <v>1008</v>
          </cell>
          <cell r="K1639" t="str">
            <v>VD</v>
          </cell>
          <cell r="L1639">
            <v>1</v>
          </cell>
          <cell r="M1639">
            <v>33.200000000000003</v>
          </cell>
        </row>
        <row r="1640">
          <cell r="C1640" t="str">
            <v>12774</v>
          </cell>
          <cell r="D1640" t="str">
            <v>JOEL GOTT UNOAKED CHARDONNAY</v>
          </cell>
          <cell r="E1640" t="str">
            <v>TRINCHERO FAMILY ESTATES</v>
          </cell>
          <cell r="F1640" t="str">
            <v>750</v>
          </cell>
          <cell r="G1640">
            <v>13.9</v>
          </cell>
          <cell r="H1640">
            <v>12</v>
          </cell>
          <cell r="I1640" t="str">
            <v>1537</v>
          </cell>
          <cell r="K1640" t="str">
            <v>VD</v>
          </cell>
          <cell r="L1640">
            <v>1</v>
          </cell>
          <cell r="M1640">
            <v>22.89</v>
          </cell>
        </row>
        <row r="1641">
          <cell r="C1641" t="str">
            <v>28663</v>
          </cell>
          <cell r="D1641" t="str">
            <v>JOSH CELLARS CHARDONNAY</v>
          </cell>
          <cell r="E1641" t="str">
            <v>Ray's Station Winery was Grove St Winery</v>
          </cell>
          <cell r="F1641" t="str">
            <v>750</v>
          </cell>
          <cell r="G1641">
            <v>13.5</v>
          </cell>
          <cell r="H1641">
            <v>12</v>
          </cell>
          <cell r="I1641" t="str">
            <v>3245</v>
          </cell>
          <cell r="K1641" t="str">
            <v>VD</v>
          </cell>
          <cell r="L1641">
            <v>1</v>
          </cell>
          <cell r="M1641">
            <v>17.55</v>
          </cell>
        </row>
        <row r="1642">
          <cell r="C1642" t="str">
            <v>35443</v>
          </cell>
          <cell r="D1642" t="str">
            <v>JOSH CELLARS PINOT GRIGIO</v>
          </cell>
          <cell r="E1642" t="str">
            <v>Ray's Station Winery was Grove St Winery</v>
          </cell>
          <cell r="F1642" t="str">
            <v>750</v>
          </cell>
          <cell r="G1642">
            <v>12.5</v>
          </cell>
          <cell r="H1642">
            <v>12</v>
          </cell>
          <cell r="I1642" t="str">
            <v>3245</v>
          </cell>
          <cell r="K1642" t="str">
            <v>VD</v>
          </cell>
          <cell r="L1642">
            <v>1</v>
          </cell>
          <cell r="M1642">
            <v>17.55</v>
          </cell>
        </row>
        <row r="1643">
          <cell r="C1643" t="str">
            <v>28526</v>
          </cell>
          <cell r="D1643" t="str">
            <v>LONGSHOT PINOT GRIGIO</v>
          </cell>
          <cell r="E1643" t="str">
            <v>E &amp; J GALLO WINERY</v>
          </cell>
          <cell r="F1643" t="str">
            <v>750</v>
          </cell>
          <cell r="G1643">
            <v>13</v>
          </cell>
          <cell r="H1643">
            <v>12</v>
          </cell>
          <cell r="I1643" t="str">
            <v>206245</v>
          </cell>
          <cell r="K1643" t="str">
            <v>MD</v>
          </cell>
          <cell r="L1643">
            <v>1</v>
          </cell>
          <cell r="M1643">
            <v>14.08</v>
          </cell>
        </row>
        <row r="1644">
          <cell r="C1644" t="str">
            <v>23413</v>
          </cell>
          <cell r="D1644" t="str">
            <v>MEIOMI CHARDONNAY</v>
          </cell>
          <cell r="E1644" t="str">
            <v>WOODBRIDGE WINERY</v>
          </cell>
          <cell r="F1644" t="str">
            <v>750</v>
          </cell>
          <cell r="G1644">
            <v>13.6</v>
          </cell>
          <cell r="H1644">
            <v>12</v>
          </cell>
          <cell r="I1644" t="str">
            <v>1009</v>
          </cell>
          <cell r="K1644" t="str">
            <v>D</v>
          </cell>
          <cell r="L1644">
            <v>1</v>
          </cell>
          <cell r="M1644">
            <v>22.6</v>
          </cell>
        </row>
        <row r="1645">
          <cell r="C1645" t="str">
            <v>32042</v>
          </cell>
          <cell r="D1645" t="str">
            <v>SMOKING LOON PINOT GRIGIO</v>
          </cell>
          <cell r="E1645" t="str">
            <v>DON  &amp; SONS</v>
          </cell>
          <cell r="F1645" t="str">
            <v>750</v>
          </cell>
          <cell r="G1645">
            <v>13</v>
          </cell>
          <cell r="H1645">
            <v>12</v>
          </cell>
          <cell r="I1645" t="str">
            <v>3265</v>
          </cell>
          <cell r="K1645" t="str">
            <v>VD</v>
          </cell>
          <cell r="L1645">
            <v>1</v>
          </cell>
          <cell r="M1645">
            <v>12.54</v>
          </cell>
        </row>
        <row r="1646">
          <cell r="C1646" t="str">
            <v>34020</v>
          </cell>
          <cell r="D1646" t="str">
            <v>THREE THIEVES PINOT GRIGIO</v>
          </cell>
          <cell r="E1646" t="str">
            <v>TRINCHERO FAMILY ESTATES</v>
          </cell>
          <cell r="F1646" t="str">
            <v>750</v>
          </cell>
          <cell r="G1646">
            <v>13.3</v>
          </cell>
          <cell r="H1646">
            <v>12</v>
          </cell>
          <cell r="I1646" t="str">
            <v>1537</v>
          </cell>
          <cell r="K1646" t="str">
            <v>D</v>
          </cell>
          <cell r="L1646">
            <v>1</v>
          </cell>
          <cell r="M1646">
            <v>15.86</v>
          </cell>
        </row>
        <row r="1647">
          <cell r="C1647" t="str">
            <v>29425</v>
          </cell>
          <cell r="D1647" t="str">
            <v>TOM GORE SAUVIGNON BLANC</v>
          </cell>
          <cell r="E1647" t="str">
            <v>FETZER VINEYARDS</v>
          </cell>
          <cell r="F1647" t="str">
            <v>750</v>
          </cell>
          <cell r="G1647">
            <v>13.6</v>
          </cell>
          <cell r="H1647">
            <v>12</v>
          </cell>
          <cell r="I1647" t="str">
            <v>1008</v>
          </cell>
          <cell r="K1647" t="str">
            <v>VD</v>
          </cell>
          <cell r="L1647">
            <v>1</v>
          </cell>
          <cell r="M1647">
            <v>18.260000000000002</v>
          </cell>
        </row>
        <row r="1648">
          <cell r="C1648" t="str">
            <v>1550</v>
          </cell>
          <cell r="D1648" t="str">
            <v>J LOHR PASO ROBLES SEVEN OAKS CAB SAUV</v>
          </cell>
          <cell r="E1648" t="str">
            <v>J. LOHR WINERY</v>
          </cell>
          <cell r="F1648" t="str">
            <v>750</v>
          </cell>
          <cell r="G1648">
            <v>13.5</v>
          </cell>
          <cell r="H1648">
            <v>12</v>
          </cell>
          <cell r="I1648" t="str">
            <v>1382</v>
          </cell>
          <cell r="K1648" t="str">
            <v>VD</v>
          </cell>
          <cell r="L1648">
            <v>1</v>
          </cell>
          <cell r="M1648">
            <v>25.13</v>
          </cell>
        </row>
        <row r="1649">
          <cell r="C1649" t="str">
            <v>12350</v>
          </cell>
          <cell r="D1649" t="str">
            <v>JOEL GOTT ZINFANDEL</v>
          </cell>
          <cell r="E1649" t="str">
            <v>TRINCHERO FAMILY ESTATES</v>
          </cell>
          <cell r="F1649" t="str">
            <v>750</v>
          </cell>
          <cell r="G1649">
            <v>14.3</v>
          </cell>
          <cell r="H1649">
            <v>12</v>
          </cell>
          <cell r="I1649" t="str">
            <v>1537</v>
          </cell>
          <cell r="K1649" t="str">
            <v>VD</v>
          </cell>
          <cell r="L1649">
            <v>1</v>
          </cell>
          <cell r="M1649">
            <v>22.94</v>
          </cell>
        </row>
        <row r="1650">
          <cell r="C1650" t="str">
            <v>13430</v>
          </cell>
          <cell r="D1650" t="str">
            <v>LOUIS M MARTINI SONOMA CAB SAUV</v>
          </cell>
          <cell r="E1650" t="str">
            <v>LOUIS M MARTINI WINERY</v>
          </cell>
          <cell r="F1650" t="str">
            <v>750</v>
          </cell>
          <cell r="G1650">
            <v>14</v>
          </cell>
          <cell r="H1650">
            <v>12</v>
          </cell>
          <cell r="I1650" t="str">
            <v>206245</v>
          </cell>
          <cell r="K1650" t="str">
            <v>D</v>
          </cell>
          <cell r="L1650">
            <v>1</v>
          </cell>
          <cell r="M1650">
            <v>24.36</v>
          </cell>
        </row>
        <row r="1651">
          <cell r="C1651" t="str">
            <v>8703</v>
          </cell>
          <cell r="D1651" t="str">
            <v>MEIOMI PINOT NOIR</v>
          </cell>
          <cell r="E1651" t="str">
            <v>WOODBRIDGE WINERY</v>
          </cell>
          <cell r="F1651" t="str">
            <v>750</v>
          </cell>
          <cell r="G1651">
            <v>13.8</v>
          </cell>
          <cell r="H1651">
            <v>12</v>
          </cell>
          <cell r="I1651" t="str">
            <v>1009</v>
          </cell>
          <cell r="J1651">
            <v>2013</v>
          </cell>
          <cell r="K1651" t="str">
            <v>VD</v>
          </cell>
          <cell r="L1651">
            <v>1</v>
          </cell>
          <cell r="M1651">
            <v>22.6</v>
          </cell>
        </row>
        <row r="1652">
          <cell r="C1652" t="str">
            <v>4649</v>
          </cell>
          <cell r="D1652" t="str">
            <v>RAVENSWOOD VINTNERS BLEND ZINFANDEL</v>
          </cell>
          <cell r="E1652" t="str">
            <v>RAVENSWOOD WINERY</v>
          </cell>
          <cell r="F1652" t="str">
            <v>750</v>
          </cell>
          <cell r="G1652">
            <v>13.5</v>
          </cell>
          <cell r="H1652">
            <v>12</v>
          </cell>
          <cell r="I1652" t="str">
            <v>206245</v>
          </cell>
          <cell r="K1652" t="str">
            <v>VD</v>
          </cell>
          <cell r="L1652">
            <v>1</v>
          </cell>
          <cell r="M1652">
            <v>21.05</v>
          </cell>
        </row>
        <row r="1653">
          <cell r="C1653" t="str">
            <v>24706</v>
          </cell>
          <cell r="D1653" t="str">
            <v>RODNEY STRONG ALEXANDER CAB SAUV</v>
          </cell>
          <cell r="E1653" t="str">
            <v>RODNEY STRONG VINEYARDS</v>
          </cell>
          <cell r="F1653" t="str">
            <v>750</v>
          </cell>
          <cell r="G1653">
            <v>14.5</v>
          </cell>
          <cell r="H1653">
            <v>12</v>
          </cell>
          <cell r="I1653" t="str">
            <v>1009</v>
          </cell>
          <cell r="K1653" t="str">
            <v>VD</v>
          </cell>
          <cell r="L1653">
            <v>1</v>
          </cell>
          <cell r="M1653">
            <v>29.02</v>
          </cell>
        </row>
        <row r="1654">
          <cell r="C1654" t="str">
            <v>10944</v>
          </cell>
          <cell r="D1654" t="str">
            <v>RODNEY STRONG RUSSIAN RIVER PINOT NOIR</v>
          </cell>
          <cell r="E1654" t="str">
            <v>RODNEY STRONG VINEYARDS</v>
          </cell>
          <cell r="F1654" t="str">
            <v>750</v>
          </cell>
          <cell r="G1654">
            <v>14.4</v>
          </cell>
          <cell r="H1654">
            <v>12</v>
          </cell>
          <cell r="I1654" t="str">
            <v>1009</v>
          </cell>
          <cell r="K1654" t="str">
            <v>VD</v>
          </cell>
          <cell r="L1654">
            <v>1</v>
          </cell>
          <cell r="M1654">
            <v>24.52</v>
          </cell>
        </row>
        <row r="1655">
          <cell r="C1655" t="str">
            <v>6424</v>
          </cell>
          <cell r="D1655" t="str">
            <v>RODNEY STRONG VINEYARDS CAB SAUVIGNON</v>
          </cell>
          <cell r="E1655" t="str">
            <v>RODNEY STRONG VINEYARDS</v>
          </cell>
          <cell r="F1655" t="str">
            <v>750</v>
          </cell>
          <cell r="G1655">
            <v>13.8</v>
          </cell>
          <cell r="H1655">
            <v>12</v>
          </cell>
          <cell r="I1655" t="str">
            <v>1009</v>
          </cell>
          <cell r="K1655" t="str">
            <v>VD</v>
          </cell>
          <cell r="L1655">
            <v>1</v>
          </cell>
          <cell r="M1655">
            <v>25.52</v>
          </cell>
        </row>
        <row r="1656">
          <cell r="C1656" t="str">
            <v>6008</v>
          </cell>
          <cell r="D1656" t="str">
            <v>ST FRANCIS SONOMA CABERNET SAUVIGNON</v>
          </cell>
          <cell r="E1656" t="str">
            <v>ST FRANCIS WINERY &amp; Vineyard, LP</v>
          </cell>
          <cell r="F1656" t="str">
            <v>750</v>
          </cell>
          <cell r="G1656">
            <v>14.8</v>
          </cell>
          <cell r="H1656">
            <v>12</v>
          </cell>
          <cell r="I1656" t="str">
            <v>1535</v>
          </cell>
          <cell r="K1656" t="str">
            <v>VD</v>
          </cell>
          <cell r="L1656">
            <v>1</v>
          </cell>
          <cell r="M1656">
            <v>31.29</v>
          </cell>
        </row>
        <row r="1657">
          <cell r="C1657" t="str">
            <v>8702</v>
          </cell>
          <cell r="D1657" t="str">
            <v>LA CREMA SONOMA COAST CHARDONNAY</v>
          </cell>
          <cell r="E1657" t="str">
            <v>LA CREMA WINERY</v>
          </cell>
          <cell r="F1657" t="str">
            <v>750</v>
          </cell>
          <cell r="G1657">
            <v>14</v>
          </cell>
          <cell r="H1657">
            <v>12</v>
          </cell>
          <cell r="I1657" t="str">
            <v>58104</v>
          </cell>
          <cell r="K1657" t="str">
            <v>VD</v>
          </cell>
          <cell r="L1657">
            <v>1</v>
          </cell>
          <cell r="M1657">
            <v>25.84</v>
          </cell>
        </row>
        <row r="1658">
          <cell r="C1658" t="str">
            <v>31414</v>
          </cell>
          <cell r="D1658" t="str">
            <v>BONANZA CABERNET SAUVIGNON</v>
          </cell>
          <cell r="E1658" t="str">
            <v>WAGNER FAMILY OF WINE</v>
          </cell>
          <cell r="F1658" t="str">
            <v>750</v>
          </cell>
          <cell r="G1658">
            <v>13.8</v>
          </cell>
          <cell r="H1658">
            <v>12</v>
          </cell>
          <cell r="I1658" t="str">
            <v>206226</v>
          </cell>
          <cell r="K1658" t="str">
            <v>MD</v>
          </cell>
          <cell r="L1658">
            <v>1</v>
          </cell>
          <cell r="M1658">
            <v>25.32</v>
          </cell>
        </row>
        <row r="1659">
          <cell r="C1659" t="str">
            <v>37455</v>
          </cell>
          <cell r="D1659" t="str">
            <v>JOSH CELLARS CAB-SAUV RES BOURBON AGE</v>
          </cell>
          <cell r="E1659" t="str">
            <v>Ray's Station Winery was Grove St Winery</v>
          </cell>
          <cell r="F1659" t="str">
            <v>750</v>
          </cell>
          <cell r="G1659">
            <v>14.5</v>
          </cell>
          <cell r="H1659">
            <v>12</v>
          </cell>
          <cell r="I1659" t="str">
            <v>3245</v>
          </cell>
          <cell r="K1659" t="str">
            <v>VD</v>
          </cell>
          <cell r="L1659">
            <v>1</v>
          </cell>
          <cell r="M1659">
            <v>22.37</v>
          </cell>
        </row>
        <row r="1660">
          <cell r="C1660" t="str">
            <v>36791</v>
          </cell>
          <cell r="D1660" t="str">
            <v>UNSHACKLED CABERNET SAUVINGON</v>
          </cell>
          <cell r="E1660" t="str">
            <v>CONSTELLATION WINES US</v>
          </cell>
          <cell r="F1660" t="str">
            <v>750</v>
          </cell>
          <cell r="G1660">
            <v>14.5</v>
          </cell>
          <cell r="H1660">
            <v>12</v>
          </cell>
          <cell r="I1660" t="str">
            <v>1008</v>
          </cell>
          <cell r="K1660" t="str">
            <v>VD</v>
          </cell>
          <cell r="L1660">
            <v>1</v>
          </cell>
          <cell r="M1660">
            <v>23.58</v>
          </cell>
        </row>
        <row r="1661">
          <cell r="C1661" t="str">
            <v>9698</v>
          </cell>
          <cell r="D1661" t="str">
            <v>CHARLES SMITH THE VELVET DEVIL MERLOT</v>
          </cell>
          <cell r="E1661" t="str">
            <v>ACKLEY BRANDS LTD</v>
          </cell>
          <cell r="F1661" t="str">
            <v>750</v>
          </cell>
          <cell r="G1661">
            <v>13.5</v>
          </cell>
          <cell r="H1661">
            <v>12</v>
          </cell>
          <cell r="I1661" t="str">
            <v>1009</v>
          </cell>
          <cell r="K1661" t="str">
            <v>VD</v>
          </cell>
          <cell r="L1661">
            <v>1</v>
          </cell>
          <cell r="M1661">
            <v>15.29</v>
          </cell>
        </row>
        <row r="1662">
          <cell r="C1662" t="str">
            <v>6296</v>
          </cell>
          <cell r="D1662" t="str">
            <v>CHATEAU STE MICHELLE COLUMBIA VALLEY CAB</v>
          </cell>
          <cell r="E1662" t="str">
            <v>STE MICHELLE WINE ESTATES</v>
          </cell>
          <cell r="F1662" t="str">
            <v>750</v>
          </cell>
          <cell r="G1662">
            <v>13.5</v>
          </cell>
          <cell r="H1662">
            <v>12</v>
          </cell>
          <cell r="I1662" t="str">
            <v>1537</v>
          </cell>
          <cell r="K1662" t="str">
            <v>D</v>
          </cell>
          <cell r="L1662">
            <v>1</v>
          </cell>
          <cell r="M1662">
            <v>19.32</v>
          </cell>
        </row>
        <row r="1663">
          <cell r="C1663" t="str">
            <v>13574</v>
          </cell>
          <cell r="D1663" t="str">
            <v>COLUMBIA CREST H3 CABERNET SAUVIGNON</v>
          </cell>
          <cell r="E1663" t="str">
            <v>COLUMBIA CREST WINERY</v>
          </cell>
          <cell r="F1663" t="str">
            <v>750</v>
          </cell>
          <cell r="G1663">
            <v>14.5</v>
          </cell>
          <cell r="H1663">
            <v>12</v>
          </cell>
          <cell r="I1663" t="str">
            <v>1537</v>
          </cell>
          <cell r="K1663" t="str">
            <v>D</v>
          </cell>
          <cell r="L1663">
            <v>1</v>
          </cell>
          <cell r="M1663">
            <v>19.59</v>
          </cell>
        </row>
        <row r="1664">
          <cell r="C1664" t="str">
            <v>34826</v>
          </cell>
          <cell r="D1664" t="str">
            <v>GREENWING COLUMBIA VALLEY CAB SAUV</v>
          </cell>
          <cell r="E1664" t="str">
            <v>WILD CAPE LIQUEURS</v>
          </cell>
          <cell r="F1664" t="str">
            <v>750</v>
          </cell>
          <cell r="G1664">
            <v>13.9</v>
          </cell>
          <cell r="H1664">
            <v>12</v>
          </cell>
          <cell r="I1664" t="str">
            <v>3293</v>
          </cell>
          <cell r="K1664" t="str">
            <v>D</v>
          </cell>
          <cell r="L1664">
            <v>1</v>
          </cell>
          <cell r="M1664">
            <v>27.61</v>
          </cell>
        </row>
        <row r="1665">
          <cell r="C1665" t="str">
            <v>40644</v>
          </cell>
          <cell r="D1665" t="str">
            <v>LOST PEAK CABERNET SAUVIGNON</v>
          </cell>
          <cell r="E1665" t="str">
            <v>MARK ANTHONY BRANDS LTD.</v>
          </cell>
          <cell r="F1665" t="str">
            <v>750</v>
          </cell>
          <cell r="G1665">
            <v>14</v>
          </cell>
          <cell r="H1665">
            <v>12</v>
          </cell>
          <cell r="I1665" t="str">
            <v>1009</v>
          </cell>
          <cell r="K1665" t="str">
            <v>VD</v>
          </cell>
          <cell r="L1665">
            <v>1</v>
          </cell>
          <cell r="M1665">
            <v>16.350000000000001</v>
          </cell>
        </row>
        <row r="1666">
          <cell r="C1666" t="str">
            <v>30497</v>
          </cell>
          <cell r="D1666" t="str">
            <v>MERF CABERNET SAUVIGNON</v>
          </cell>
          <cell r="E1666" t="str">
            <v>STE MICHELLE WINE ESTATES</v>
          </cell>
          <cell r="F1666" t="str">
            <v>750</v>
          </cell>
          <cell r="G1666">
            <v>14.5</v>
          </cell>
          <cell r="H1666">
            <v>12</v>
          </cell>
          <cell r="I1666" t="str">
            <v>1537</v>
          </cell>
          <cell r="K1666" t="str">
            <v>VD</v>
          </cell>
          <cell r="L1666">
            <v>1</v>
          </cell>
          <cell r="M1666">
            <v>24.3</v>
          </cell>
        </row>
        <row r="1667">
          <cell r="C1667" t="str">
            <v>41476</v>
          </cell>
          <cell r="D1667" t="str">
            <v>WINES OF SUBSTANCE CABERNET SAUVIGNON</v>
          </cell>
          <cell r="E1667" t="str">
            <v>O'NEILL VINTNERS &amp; DISTILLERS</v>
          </cell>
          <cell r="F1667" t="str">
            <v>750</v>
          </cell>
          <cell r="G1667">
            <v>14</v>
          </cell>
          <cell r="H1667">
            <v>12</v>
          </cell>
          <cell r="I1667" t="str">
            <v>87388</v>
          </cell>
          <cell r="K1667" t="str">
            <v>VD</v>
          </cell>
          <cell r="L1667">
            <v>1</v>
          </cell>
          <cell r="M1667">
            <v>26.29</v>
          </cell>
        </row>
        <row r="1668">
          <cell r="C1668" t="str">
            <v>19146</v>
          </cell>
          <cell r="D1668" t="str">
            <v>CHATEAU STE MICHELLE CHARDONNAY</v>
          </cell>
          <cell r="E1668" t="str">
            <v>STE MICHELLE WINE ESTATES</v>
          </cell>
          <cell r="F1668" t="str">
            <v>750</v>
          </cell>
          <cell r="G1668">
            <v>14</v>
          </cell>
          <cell r="H1668">
            <v>12</v>
          </cell>
          <cell r="I1668" t="str">
            <v>1537</v>
          </cell>
          <cell r="K1668" t="str">
            <v>VD</v>
          </cell>
          <cell r="L1668">
            <v>1</v>
          </cell>
          <cell r="M1668">
            <v>19.54</v>
          </cell>
        </row>
        <row r="1669">
          <cell r="C1669" t="str">
            <v>9671</v>
          </cell>
          <cell r="D1669" t="str">
            <v>CHATEAU STE MICHELLE COLUMBIA RIESLING</v>
          </cell>
          <cell r="E1669" t="str">
            <v>STE MICHELLE WINE ESTATES</v>
          </cell>
          <cell r="F1669" t="str">
            <v>750</v>
          </cell>
          <cell r="G1669">
            <v>12</v>
          </cell>
          <cell r="H1669">
            <v>12</v>
          </cell>
          <cell r="I1669" t="str">
            <v>1537</v>
          </cell>
          <cell r="J1669">
            <v>2011</v>
          </cell>
          <cell r="K1669" t="str">
            <v>S</v>
          </cell>
          <cell r="L1669">
            <v>1</v>
          </cell>
          <cell r="M1669">
            <v>15.3</v>
          </cell>
        </row>
        <row r="1670">
          <cell r="C1670" t="str">
            <v>1483</v>
          </cell>
          <cell r="D1670" t="str">
            <v>BRIGHTS SPUMANTE BAMBINO</v>
          </cell>
          <cell r="E1670" t="str">
            <v>ARTERRA WINES CANADA INC</v>
          </cell>
          <cell r="F1670" t="str">
            <v>1500</v>
          </cell>
          <cell r="G1670">
            <v>7</v>
          </cell>
          <cell r="H1670">
            <v>6</v>
          </cell>
          <cell r="I1670" t="str">
            <v>1008</v>
          </cell>
          <cell r="K1670" t="str">
            <v>MS</v>
          </cell>
          <cell r="L1670">
            <v>1</v>
          </cell>
          <cell r="M1670">
            <v>11.63</v>
          </cell>
        </row>
        <row r="1671">
          <cell r="C1671" t="str">
            <v>1093</v>
          </cell>
          <cell r="D1671" t="str">
            <v>ANDRES BABY DUCK</v>
          </cell>
          <cell r="E1671" t="str">
            <v>ANDREW PELLER LIMITED</v>
          </cell>
          <cell r="F1671" t="str">
            <v>750</v>
          </cell>
          <cell r="G1671">
            <v>7</v>
          </cell>
          <cell r="H1671">
            <v>12</v>
          </cell>
          <cell r="I1671" t="str">
            <v>4095</v>
          </cell>
          <cell r="K1671" t="str">
            <v>MS</v>
          </cell>
          <cell r="L1671">
            <v>1</v>
          </cell>
          <cell r="M1671">
            <v>7.51</v>
          </cell>
        </row>
        <row r="1672">
          <cell r="C1672" t="str">
            <v>1094</v>
          </cell>
          <cell r="D1672" t="str">
            <v>ANDRES BABY DUCK</v>
          </cell>
          <cell r="E1672" t="str">
            <v>ANDREW PELLER LIMITED</v>
          </cell>
          <cell r="F1672" t="str">
            <v>1500</v>
          </cell>
          <cell r="G1672">
            <v>7</v>
          </cell>
          <cell r="H1672">
            <v>6</v>
          </cell>
          <cell r="I1672" t="str">
            <v>4095</v>
          </cell>
          <cell r="K1672" t="str">
            <v>MS</v>
          </cell>
          <cell r="L1672">
            <v>1</v>
          </cell>
          <cell r="M1672">
            <v>14.62</v>
          </cell>
        </row>
        <row r="1673">
          <cell r="C1673" t="str">
            <v>1091</v>
          </cell>
          <cell r="D1673" t="str">
            <v>ANDRES BABY CANADIAN SPARKLING WINE</v>
          </cell>
          <cell r="E1673" t="str">
            <v>ANDREW PELLER LIMITED</v>
          </cell>
          <cell r="F1673" t="str">
            <v>750</v>
          </cell>
          <cell r="G1673">
            <v>7</v>
          </cell>
          <cell r="H1673">
            <v>12</v>
          </cell>
          <cell r="I1673" t="str">
            <v>4095</v>
          </cell>
          <cell r="K1673" t="str">
            <v>MD</v>
          </cell>
          <cell r="L1673">
            <v>1</v>
          </cell>
          <cell r="M1673">
            <v>7.51</v>
          </cell>
        </row>
        <row r="1674">
          <cell r="C1674" t="str">
            <v>1092</v>
          </cell>
          <cell r="D1674" t="str">
            <v>ANDRES BABY CANADIAN SPARKLING WINE</v>
          </cell>
          <cell r="E1674" t="str">
            <v>ANDREW PELLER LIMITED</v>
          </cell>
          <cell r="F1674" t="str">
            <v>1500</v>
          </cell>
          <cell r="G1674">
            <v>7</v>
          </cell>
          <cell r="H1674">
            <v>6</v>
          </cell>
          <cell r="I1674" t="str">
            <v>4095</v>
          </cell>
          <cell r="K1674" t="str">
            <v>MD</v>
          </cell>
          <cell r="L1674">
            <v>1</v>
          </cell>
          <cell r="M1674">
            <v>14.82</v>
          </cell>
        </row>
        <row r="1675">
          <cell r="C1675" t="str">
            <v>7157</v>
          </cell>
          <cell r="D1675" t="str">
            <v>PELLER LA SCALA SPUMANTE</v>
          </cell>
          <cell r="E1675" t="str">
            <v>ANDREW PELLER LIMITED</v>
          </cell>
          <cell r="F1675" t="str">
            <v>750</v>
          </cell>
          <cell r="G1675">
            <v>7</v>
          </cell>
          <cell r="H1675">
            <v>12</v>
          </cell>
          <cell r="I1675" t="str">
            <v>4095</v>
          </cell>
          <cell r="K1675" t="str">
            <v>MS</v>
          </cell>
          <cell r="L1675">
            <v>1</v>
          </cell>
          <cell r="M1675">
            <v>7.51</v>
          </cell>
        </row>
        <row r="1676">
          <cell r="C1676" t="str">
            <v>7158</v>
          </cell>
          <cell r="D1676" t="str">
            <v>PELLER LA SCALA SPUMANTE</v>
          </cell>
          <cell r="E1676" t="str">
            <v>ANDREW PELLER LIMITED</v>
          </cell>
          <cell r="F1676" t="str">
            <v>1500</v>
          </cell>
          <cell r="G1676">
            <v>7</v>
          </cell>
          <cell r="H1676">
            <v>6</v>
          </cell>
          <cell r="I1676" t="str">
            <v>4095</v>
          </cell>
          <cell r="K1676" t="str">
            <v>MD</v>
          </cell>
          <cell r="L1676">
            <v>1</v>
          </cell>
          <cell r="M1676">
            <v>14.62</v>
          </cell>
        </row>
        <row r="1677">
          <cell r="C1677" t="str">
            <v>43754</v>
          </cell>
          <cell r="D1677" t="str">
            <v>PELLER VINEYARDS SPARKLING PINOT GRIGIO</v>
          </cell>
          <cell r="E1677" t="str">
            <v>ANDREW PELLER LIMITED</v>
          </cell>
          <cell r="F1677" t="str">
            <v>750</v>
          </cell>
          <cell r="G1677">
            <v>12</v>
          </cell>
          <cell r="H1677">
            <v>12</v>
          </cell>
          <cell r="I1677" t="str">
            <v>4095</v>
          </cell>
          <cell r="K1677" t="str">
            <v>MS</v>
          </cell>
          <cell r="L1677">
            <v>1</v>
          </cell>
          <cell r="M1677">
            <v>8.6</v>
          </cell>
        </row>
        <row r="1678">
          <cell r="C1678" t="str">
            <v>46041</v>
          </cell>
          <cell r="D1678" t="str">
            <v>PELEE ISLAND LOLA LIGHT ROSE VQA</v>
          </cell>
          <cell r="E1678" t="str">
            <v>PELEE ISLAND WINERY</v>
          </cell>
          <cell r="F1678" t="str">
            <v>750</v>
          </cell>
          <cell r="G1678">
            <v>9</v>
          </cell>
          <cell r="H1678">
            <v>12</v>
          </cell>
          <cell r="I1678" t="str">
            <v>3278</v>
          </cell>
          <cell r="K1678" t="str">
            <v>MD</v>
          </cell>
          <cell r="L1678">
            <v>1</v>
          </cell>
          <cell r="M1678">
            <v>16.5</v>
          </cell>
        </row>
        <row r="1679">
          <cell r="C1679" t="str">
            <v>37000</v>
          </cell>
          <cell r="D1679" t="str">
            <v>PELEE ISLAND LOLA ROSE VQA</v>
          </cell>
          <cell r="E1679" t="str">
            <v>PELEE ISLAND WINERY</v>
          </cell>
          <cell r="F1679" t="str">
            <v>250</v>
          </cell>
          <cell r="G1679">
            <v>11.5</v>
          </cell>
          <cell r="H1679">
            <v>24</v>
          </cell>
          <cell r="I1679" t="str">
            <v>3278</v>
          </cell>
          <cell r="K1679" t="str">
            <v>MS</v>
          </cell>
          <cell r="L1679">
            <v>1</v>
          </cell>
          <cell r="M1679">
            <v>5.77</v>
          </cell>
        </row>
        <row r="1680">
          <cell r="C1680" t="str">
            <v>26467</v>
          </cell>
          <cell r="D1680" t="str">
            <v>PELEE ISLAND LOLA ROSE VQA</v>
          </cell>
          <cell r="E1680" t="str">
            <v>PELEE ISLAND WINERY</v>
          </cell>
          <cell r="F1680" t="str">
            <v>750</v>
          </cell>
          <cell r="G1680">
            <v>12</v>
          </cell>
          <cell r="H1680">
            <v>12</v>
          </cell>
          <cell r="I1680" t="str">
            <v>1044</v>
          </cell>
          <cell r="K1680" t="str">
            <v>VD</v>
          </cell>
          <cell r="L1680">
            <v>1</v>
          </cell>
          <cell r="M1680">
            <v>16.5</v>
          </cell>
        </row>
        <row r="1681">
          <cell r="C1681" t="str">
            <v>29560</v>
          </cell>
          <cell r="D1681" t="str">
            <v>MAGNOTTA STARLIGHT SPARKLING VQA</v>
          </cell>
          <cell r="E1681" t="str">
            <v>MAGNOTTA WINERY.</v>
          </cell>
          <cell r="F1681" t="str">
            <v>750</v>
          </cell>
          <cell r="G1681">
            <v>12.5</v>
          </cell>
          <cell r="H1681">
            <v>6</v>
          </cell>
          <cell r="I1681" t="str">
            <v>3245</v>
          </cell>
          <cell r="K1681" t="str">
            <v>MS</v>
          </cell>
          <cell r="L1681">
            <v>1</v>
          </cell>
          <cell r="M1681">
            <v>23</v>
          </cell>
        </row>
        <row r="1682">
          <cell r="C1682" t="str">
            <v>46044</v>
          </cell>
          <cell r="D1682" t="str">
            <v>TAWSE SPARK! RIESLING</v>
          </cell>
          <cell r="E1682" t="str">
            <v>TAWSE WINERY</v>
          </cell>
          <cell r="F1682" t="str">
            <v>750</v>
          </cell>
          <cell r="G1682">
            <v>12</v>
          </cell>
          <cell r="H1682">
            <v>6</v>
          </cell>
          <cell r="I1682" t="str">
            <v>152879</v>
          </cell>
          <cell r="K1682" t="str">
            <v>VD</v>
          </cell>
          <cell r="L1682">
            <v>1</v>
          </cell>
          <cell r="M1682">
            <v>22.3</v>
          </cell>
        </row>
        <row r="1683">
          <cell r="C1683" t="str">
            <v>29553</v>
          </cell>
          <cell r="D1683" t="str">
            <v>JACOB'S CREEK SPARKLING MOSCATO ROSE</v>
          </cell>
          <cell r="E1683" t="str">
            <v>VINARCHY AUSTRALIA</v>
          </cell>
          <cell r="F1683" t="str">
            <v>750</v>
          </cell>
          <cell r="G1683">
            <v>12</v>
          </cell>
          <cell r="H1683">
            <v>6</v>
          </cell>
          <cell r="I1683" t="str">
            <v>3237</v>
          </cell>
          <cell r="K1683" t="str">
            <v>VS</v>
          </cell>
          <cell r="L1683">
            <v>1</v>
          </cell>
          <cell r="M1683">
            <v>12.1</v>
          </cell>
        </row>
        <row r="1684">
          <cell r="C1684" t="str">
            <v>16513</v>
          </cell>
          <cell r="D1684" t="str">
            <v>PASSION POP PINK</v>
          </cell>
          <cell r="E1684" t="str">
            <v>AUSTRALIAN VINTAGE LTD</v>
          </cell>
          <cell r="F1684" t="str">
            <v>750</v>
          </cell>
          <cell r="G1684">
            <v>9.5</v>
          </cell>
          <cell r="H1684">
            <v>12</v>
          </cell>
          <cell r="I1684" t="str">
            <v>1535</v>
          </cell>
          <cell r="K1684" t="str">
            <v>S</v>
          </cell>
          <cell r="L1684">
            <v>1</v>
          </cell>
          <cell r="M1684">
            <v>9.8000000000000007</v>
          </cell>
        </row>
        <row r="1685">
          <cell r="C1685" t="str">
            <v>6197</v>
          </cell>
          <cell r="D1685" t="str">
            <v>JACOB'S CREEK SPARKLING CHARD PINOT NOIR</v>
          </cell>
          <cell r="E1685" t="str">
            <v>VINARCHY AUSTRALIA</v>
          </cell>
          <cell r="F1685" t="str">
            <v>750</v>
          </cell>
          <cell r="G1685">
            <v>11.5</v>
          </cell>
          <cell r="H1685">
            <v>6</v>
          </cell>
          <cell r="I1685" t="str">
            <v>3237</v>
          </cell>
          <cell r="K1685" t="str">
            <v>D</v>
          </cell>
          <cell r="L1685">
            <v>1</v>
          </cell>
          <cell r="M1685">
            <v>14.9</v>
          </cell>
        </row>
        <row r="1686">
          <cell r="C1686" t="str">
            <v>7087</v>
          </cell>
          <cell r="D1686" t="str">
            <v>YELLOW TAIL BUBBLES</v>
          </cell>
          <cell r="E1686" t="str">
            <v>CASELLA WINE PTY LTD</v>
          </cell>
          <cell r="F1686" t="str">
            <v>750</v>
          </cell>
          <cell r="G1686">
            <v>11.5</v>
          </cell>
          <cell r="H1686">
            <v>12</v>
          </cell>
          <cell r="I1686" t="str">
            <v>1537</v>
          </cell>
          <cell r="K1686" t="str">
            <v>D</v>
          </cell>
          <cell r="L1686">
            <v>1</v>
          </cell>
          <cell r="M1686">
            <v>12.32</v>
          </cell>
        </row>
        <row r="1687">
          <cell r="C1687" t="str">
            <v>16512</v>
          </cell>
          <cell r="D1687" t="str">
            <v>VEUVE CLICQUOT ROSE</v>
          </cell>
          <cell r="E1687" t="str">
            <v>MHCS</v>
          </cell>
          <cell r="F1687" t="str">
            <v>750</v>
          </cell>
          <cell r="G1687">
            <v>12.5</v>
          </cell>
          <cell r="H1687">
            <v>6</v>
          </cell>
          <cell r="I1687" t="str">
            <v>1535</v>
          </cell>
          <cell r="K1687" t="str">
            <v>VD</v>
          </cell>
          <cell r="L1687">
            <v>1</v>
          </cell>
          <cell r="M1687">
            <v>84.03</v>
          </cell>
        </row>
        <row r="1688">
          <cell r="C1688" t="str">
            <v>3356</v>
          </cell>
          <cell r="D1688" t="str">
            <v>GH MUMM GRAND CORDON</v>
          </cell>
          <cell r="E1688" t="str">
            <v>GH MUMM &amp; CO LTD</v>
          </cell>
          <cell r="F1688" t="str">
            <v>750</v>
          </cell>
          <cell r="G1688">
            <v>12.5</v>
          </cell>
          <cell r="H1688">
            <v>6</v>
          </cell>
          <cell r="I1688" t="str">
            <v>3237</v>
          </cell>
          <cell r="K1688" t="str">
            <v>VD</v>
          </cell>
          <cell r="L1688">
            <v>1</v>
          </cell>
          <cell r="M1688">
            <v>60.4</v>
          </cell>
        </row>
        <row r="1689">
          <cell r="C1689" t="str">
            <v>3298</v>
          </cell>
          <cell r="D1689" t="str">
            <v>MOET &amp; CHANDON BRUT IMPERIAL</v>
          </cell>
          <cell r="E1689" t="str">
            <v>MHCS</v>
          </cell>
          <cell r="F1689" t="str">
            <v>750</v>
          </cell>
          <cell r="G1689">
            <v>12</v>
          </cell>
          <cell r="H1689">
            <v>6</v>
          </cell>
          <cell r="I1689" t="str">
            <v>1535</v>
          </cell>
          <cell r="K1689" t="str">
            <v>VD</v>
          </cell>
          <cell r="L1689">
            <v>1</v>
          </cell>
          <cell r="M1689">
            <v>65.989999999999995</v>
          </cell>
        </row>
        <row r="1690">
          <cell r="C1690" t="str">
            <v>3302</v>
          </cell>
          <cell r="D1690" t="str">
            <v>MOET &amp; CHANDON DOM PERIGNON</v>
          </cell>
          <cell r="E1690" t="str">
            <v>MHCS</v>
          </cell>
          <cell r="F1690" t="str">
            <v>750</v>
          </cell>
          <cell r="G1690">
            <v>12.5</v>
          </cell>
          <cell r="H1690">
            <v>6</v>
          </cell>
          <cell r="I1690" t="str">
            <v>1535</v>
          </cell>
          <cell r="K1690" t="str">
            <v>VD</v>
          </cell>
          <cell r="L1690">
            <v>1</v>
          </cell>
          <cell r="M1690">
            <v>270.04000000000002</v>
          </cell>
        </row>
        <row r="1691">
          <cell r="C1691" t="str">
            <v>20585</v>
          </cell>
          <cell r="D1691" t="str">
            <v>MOET &amp; CHANDON NECTAR IMPERIAL BRUT</v>
          </cell>
          <cell r="E1691" t="str">
            <v>MHCS</v>
          </cell>
          <cell r="F1691" t="str">
            <v>750</v>
          </cell>
          <cell r="G1691">
            <v>12</v>
          </cell>
          <cell r="H1691">
            <v>6</v>
          </cell>
          <cell r="I1691" t="str">
            <v>1535</v>
          </cell>
          <cell r="K1691" t="str">
            <v>S</v>
          </cell>
          <cell r="L1691">
            <v>1</v>
          </cell>
          <cell r="M1691">
            <v>72.040000000000006</v>
          </cell>
        </row>
        <row r="1692">
          <cell r="C1692" t="str">
            <v>3698</v>
          </cell>
          <cell r="D1692" t="str">
            <v>PIPER  HEIDSIECK BRUT</v>
          </cell>
          <cell r="E1692" t="str">
            <v>PIPER &amp; CHARLES HEIDSIECK</v>
          </cell>
          <cell r="F1692" t="str">
            <v>750</v>
          </cell>
          <cell r="G1692">
            <v>12</v>
          </cell>
          <cell r="H1692">
            <v>6</v>
          </cell>
          <cell r="I1692" t="str">
            <v>1537</v>
          </cell>
          <cell r="K1692" t="str">
            <v>VD</v>
          </cell>
          <cell r="L1692">
            <v>1</v>
          </cell>
          <cell r="M1692">
            <v>55.06</v>
          </cell>
        </row>
        <row r="1693">
          <cell r="C1693" t="str">
            <v>4442</v>
          </cell>
          <cell r="D1693" t="str">
            <v>VEUVE CLICQUOT YELLOW LABEL BRUT</v>
          </cell>
          <cell r="E1693" t="str">
            <v>MHCS</v>
          </cell>
          <cell r="F1693" t="str">
            <v>750</v>
          </cell>
          <cell r="G1693">
            <v>12</v>
          </cell>
          <cell r="H1693">
            <v>6</v>
          </cell>
          <cell r="I1693" t="str">
            <v>1535</v>
          </cell>
          <cell r="K1693" t="str">
            <v>VD</v>
          </cell>
          <cell r="L1693">
            <v>1</v>
          </cell>
          <cell r="M1693">
            <v>69.989999999999995</v>
          </cell>
        </row>
        <row r="1694">
          <cell r="C1694" t="str">
            <v>40229</v>
          </cell>
          <cell r="D1694" t="str">
            <v>NICOLAS FEUILLATTE RESERVE EXC BRUT</v>
          </cell>
          <cell r="E1694" t="str">
            <v>NICOLAS FEUILLATTE</v>
          </cell>
          <cell r="F1694" t="str">
            <v>750</v>
          </cell>
          <cell r="G1694">
            <v>11</v>
          </cell>
          <cell r="H1694">
            <v>6</v>
          </cell>
          <cell r="I1694" t="str">
            <v>3246</v>
          </cell>
          <cell r="K1694" t="str">
            <v>D</v>
          </cell>
          <cell r="L1694">
            <v>1</v>
          </cell>
          <cell r="M1694">
            <v>64.989999999999995</v>
          </cell>
        </row>
        <row r="1695">
          <cell r="C1695" t="str">
            <v>12789</v>
          </cell>
          <cell r="D1695" t="str">
            <v>HENKELL TROCKEN BRUT ROSE</v>
          </cell>
          <cell r="E1695" t="str">
            <v>Henkell &amp; Co. Sektkellerei KG</v>
          </cell>
          <cell r="F1695" t="str">
            <v>750</v>
          </cell>
          <cell r="G1695">
            <v>12</v>
          </cell>
          <cell r="H1695">
            <v>12</v>
          </cell>
          <cell r="I1695" t="str">
            <v>1009</v>
          </cell>
          <cell r="K1695" t="str">
            <v>D</v>
          </cell>
          <cell r="L1695">
            <v>1</v>
          </cell>
          <cell r="M1695">
            <v>14</v>
          </cell>
        </row>
        <row r="1696">
          <cell r="C1696" t="str">
            <v>14913</v>
          </cell>
          <cell r="D1696" t="str">
            <v>HENKELL TROCKEN BRUT ROSE PICCOLO</v>
          </cell>
          <cell r="E1696" t="str">
            <v>Henkell &amp; Co. Sektkellerei KG</v>
          </cell>
          <cell r="F1696" t="str">
            <v>600</v>
          </cell>
          <cell r="G1696">
            <v>12</v>
          </cell>
          <cell r="H1696">
            <v>8</v>
          </cell>
          <cell r="I1696" t="str">
            <v>1009</v>
          </cell>
          <cell r="K1696" t="str">
            <v>MS</v>
          </cell>
          <cell r="L1696">
            <v>3</v>
          </cell>
          <cell r="M1696">
            <v>13</v>
          </cell>
        </row>
        <row r="1697">
          <cell r="C1697" t="str">
            <v>23671</v>
          </cell>
          <cell r="D1697" t="str">
            <v>BLUE NUN 24 K GOLD EDITION</v>
          </cell>
          <cell r="E1697" t="str">
            <v>Zimmermann Graeff &amp; Müller Gmbh</v>
          </cell>
          <cell r="F1697" t="str">
            <v>750</v>
          </cell>
          <cell r="G1697">
            <v>11</v>
          </cell>
          <cell r="H1697">
            <v>12</v>
          </cell>
          <cell r="I1697" t="str">
            <v>3293</v>
          </cell>
          <cell r="K1697" t="str">
            <v>S</v>
          </cell>
          <cell r="L1697">
            <v>1</v>
          </cell>
          <cell r="M1697">
            <v>15.22</v>
          </cell>
        </row>
        <row r="1698">
          <cell r="C1698" t="str">
            <v>2628</v>
          </cell>
          <cell r="D1698" t="str">
            <v>HENKELL TROCKEN DRY SEC</v>
          </cell>
          <cell r="E1698" t="str">
            <v>Henkell &amp; Co. Sektkellerei KG</v>
          </cell>
          <cell r="F1698" t="str">
            <v>750</v>
          </cell>
          <cell r="G1698">
            <v>11.5</v>
          </cell>
          <cell r="H1698">
            <v>12</v>
          </cell>
          <cell r="I1698" t="str">
            <v>1009</v>
          </cell>
          <cell r="K1698" t="str">
            <v>D</v>
          </cell>
          <cell r="L1698">
            <v>1</v>
          </cell>
          <cell r="M1698">
            <v>14</v>
          </cell>
        </row>
        <row r="1699">
          <cell r="C1699" t="str">
            <v>7082</v>
          </cell>
          <cell r="D1699" t="str">
            <v>HENKELL TROCKEN DRY SEC</v>
          </cell>
          <cell r="E1699" t="str">
            <v>Henkell &amp; Co. Sektkellerei KG</v>
          </cell>
          <cell r="F1699" t="str">
            <v>1500</v>
          </cell>
          <cell r="G1699">
            <v>11.5</v>
          </cell>
          <cell r="H1699">
            <v>3</v>
          </cell>
          <cell r="I1699" t="str">
            <v>1009</v>
          </cell>
          <cell r="K1699" t="str">
            <v>D</v>
          </cell>
          <cell r="L1699">
            <v>1</v>
          </cell>
          <cell r="M1699">
            <v>35.020000000000003</v>
          </cell>
        </row>
        <row r="1700">
          <cell r="C1700" t="str">
            <v>2627</v>
          </cell>
          <cell r="D1700" t="str">
            <v>HENKELL TROCKEN DRY SEC PICCOLO</v>
          </cell>
          <cell r="E1700" t="str">
            <v>Henkell &amp; Co. Sektkellerei KG</v>
          </cell>
          <cell r="F1700" t="str">
            <v>600</v>
          </cell>
          <cell r="G1700">
            <v>11.5</v>
          </cell>
          <cell r="H1700">
            <v>8</v>
          </cell>
          <cell r="I1700" t="str">
            <v>1009</v>
          </cell>
          <cell r="K1700" t="str">
            <v>D</v>
          </cell>
          <cell r="L1700">
            <v>3</v>
          </cell>
          <cell r="M1700">
            <v>13</v>
          </cell>
        </row>
        <row r="1701">
          <cell r="C1701" t="str">
            <v>39009</v>
          </cell>
          <cell r="D1701" t="str">
            <v>FREIXENET ITALIAN ROSE</v>
          </cell>
          <cell r="E1701" t="str">
            <v>FREIXENET SA</v>
          </cell>
          <cell r="F1701" t="str">
            <v>200</v>
          </cell>
          <cell r="G1701">
            <v>11</v>
          </cell>
          <cell r="H1701">
            <v>24</v>
          </cell>
          <cell r="I1701" t="str">
            <v>3245</v>
          </cell>
          <cell r="K1701" t="str">
            <v>MS</v>
          </cell>
          <cell r="L1701">
            <v>1</v>
          </cell>
          <cell r="M1701">
            <v>6.8</v>
          </cell>
        </row>
        <row r="1702">
          <cell r="C1702" t="str">
            <v>30932</v>
          </cell>
          <cell r="D1702" t="str">
            <v>FREIXENET ITALIAN ROSE</v>
          </cell>
          <cell r="E1702" t="str">
            <v>FREIXENET SA</v>
          </cell>
          <cell r="F1702" t="str">
            <v>750</v>
          </cell>
          <cell r="G1702">
            <v>11</v>
          </cell>
          <cell r="H1702">
            <v>6</v>
          </cell>
          <cell r="I1702" t="str">
            <v>3245</v>
          </cell>
          <cell r="K1702" t="str">
            <v>MS</v>
          </cell>
          <cell r="L1702">
            <v>1</v>
          </cell>
          <cell r="M1702">
            <v>21.01</v>
          </cell>
        </row>
        <row r="1703">
          <cell r="C1703" t="str">
            <v>30895</v>
          </cell>
          <cell r="D1703" t="str">
            <v>MARTINI ROSE</v>
          </cell>
          <cell r="E1703" t="str">
            <v>MARTINI &amp; ROSSI</v>
          </cell>
          <cell r="F1703" t="str">
            <v>750</v>
          </cell>
          <cell r="G1703">
            <v>11.5</v>
          </cell>
          <cell r="H1703">
            <v>6</v>
          </cell>
          <cell r="I1703" t="str">
            <v>3233</v>
          </cell>
          <cell r="K1703" t="str">
            <v>VD</v>
          </cell>
          <cell r="L1703">
            <v>1</v>
          </cell>
          <cell r="M1703">
            <v>14.5</v>
          </cell>
        </row>
        <row r="1704">
          <cell r="C1704" t="str">
            <v>35959</v>
          </cell>
          <cell r="D1704" t="str">
            <v>MIONETTO PRESTIGE PROSECCO ROSE DOC</v>
          </cell>
          <cell r="E1704" t="str">
            <v>MIONETTO SPUMANTI SRL SPA</v>
          </cell>
          <cell r="F1704" t="str">
            <v>750</v>
          </cell>
          <cell r="G1704">
            <v>12.5</v>
          </cell>
          <cell r="H1704">
            <v>12</v>
          </cell>
          <cell r="I1704" t="str">
            <v>1009</v>
          </cell>
          <cell r="K1704" t="str">
            <v>D</v>
          </cell>
          <cell r="L1704">
            <v>1</v>
          </cell>
          <cell r="M1704">
            <v>17.329999999999998</v>
          </cell>
        </row>
        <row r="1705">
          <cell r="C1705" t="str">
            <v>30641</v>
          </cell>
          <cell r="D1705" t="str">
            <v>FIOL PROSECCO</v>
          </cell>
          <cell r="E1705" t="str">
            <v>3GP S.R.L.</v>
          </cell>
          <cell r="F1705" t="str">
            <v>750</v>
          </cell>
          <cell r="G1705">
            <v>11</v>
          </cell>
          <cell r="H1705">
            <v>12</v>
          </cell>
          <cell r="I1705" t="str">
            <v>1535</v>
          </cell>
          <cell r="K1705" t="str">
            <v>MS</v>
          </cell>
          <cell r="L1705">
            <v>1</v>
          </cell>
          <cell r="M1705">
            <v>18.989999999999998</v>
          </cell>
        </row>
        <row r="1706">
          <cell r="C1706" t="str">
            <v>25288</v>
          </cell>
          <cell r="D1706" t="str">
            <v>LA MARCA PROSECCO</v>
          </cell>
          <cell r="E1706" t="str">
            <v>E &amp; J GALLO WINERY</v>
          </cell>
          <cell r="F1706" t="str">
            <v>187</v>
          </cell>
          <cell r="G1706">
            <v>11</v>
          </cell>
          <cell r="H1706">
            <v>24</v>
          </cell>
          <cell r="I1706" t="str">
            <v>206245</v>
          </cell>
          <cell r="K1706" t="str">
            <v>D</v>
          </cell>
          <cell r="L1706">
            <v>1</v>
          </cell>
          <cell r="M1706">
            <v>6.73</v>
          </cell>
        </row>
        <row r="1707">
          <cell r="C1707" t="str">
            <v>12572</v>
          </cell>
          <cell r="D1707" t="str">
            <v>LA MARCA PROSECCO</v>
          </cell>
          <cell r="E1707" t="str">
            <v>LA MARCA</v>
          </cell>
          <cell r="F1707" t="str">
            <v>750</v>
          </cell>
          <cell r="G1707">
            <v>11</v>
          </cell>
          <cell r="H1707">
            <v>6</v>
          </cell>
          <cell r="I1707" t="str">
            <v>3254</v>
          </cell>
          <cell r="K1707" t="str">
            <v>VD</v>
          </cell>
          <cell r="L1707">
            <v>1</v>
          </cell>
          <cell r="M1707">
            <v>18.079999999999998</v>
          </cell>
        </row>
        <row r="1708">
          <cell r="C1708" t="str">
            <v>3042</v>
          </cell>
          <cell r="D1708" t="str">
            <v>MARTINI &amp; ROSSI ASTI DOCG</v>
          </cell>
          <cell r="E1708" t="str">
            <v>MARTINI &amp; ROSSI</v>
          </cell>
          <cell r="F1708" t="str">
            <v>750</v>
          </cell>
          <cell r="G1708">
            <v>7</v>
          </cell>
          <cell r="H1708">
            <v>6</v>
          </cell>
          <cell r="I1708" t="str">
            <v>3233</v>
          </cell>
          <cell r="K1708" t="str">
            <v>S</v>
          </cell>
          <cell r="L1708">
            <v>1</v>
          </cell>
          <cell r="M1708">
            <v>13.5</v>
          </cell>
        </row>
        <row r="1709">
          <cell r="C1709" t="str">
            <v>3043</v>
          </cell>
          <cell r="D1709" t="str">
            <v>MARTINI &amp; ROSSI ASTI DOCG</v>
          </cell>
          <cell r="E1709" t="str">
            <v>MARTINI &amp; ROSSI</v>
          </cell>
          <cell r="F1709" t="str">
            <v>1500</v>
          </cell>
          <cell r="G1709">
            <v>7</v>
          </cell>
          <cell r="H1709">
            <v>6</v>
          </cell>
          <cell r="I1709" t="str">
            <v>3233</v>
          </cell>
          <cell r="K1709" t="str">
            <v>S</v>
          </cell>
          <cell r="L1709">
            <v>1</v>
          </cell>
          <cell r="M1709">
            <v>30.5</v>
          </cell>
        </row>
        <row r="1710">
          <cell r="C1710" t="str">
            <v>17172</v>
          </cell>
          <cell r="D1710" t="str">
            <v>MARTINI &amp; ROSSI PROSECCO</v>
          </cell>
          <cell r="E1710" t="str">
            <v>MARTINI &amp; ROSSI</v>
          </cell>
          <cell r="F1710" t="str">
            <v>750</v>
          </cell>
          <cell r="G1710">
            <v>11</v>
          </cell>
          <cell r="H1710">
            <v>6</v>
          </cell>
          <cell r="I1710" t="str">
            <v>3233</v>
          </cell>
          <cell r="K1710" t="str">
            <v>D</v>
          </cell>
          <cell r="L1710">
            <v>1</v>
          </cell>
          <cell r="M1710">
            <v>14.5</v>
          </cell>
        </row>
        <row r="1711">
          <cell r="C1711" t="str">
            <v>10186</v>
          </cell>
          <cell r="D1711" t="str">
            <v>CINZANO PROSECCO DOC</v>
          </cell>
          <cell r="E1711" t="str">
            <v>FRANCESCO CINZANO &amp; COMPANY</v>
          </cell>
          <cell r="F1711" t="str">
            <v>750</v>
          </cell>
          <cell r="G1711">
            <v>11</v>
          </cell>
          <cell r="H1711">
            <v>6</v>
          </cell>
          <cell r="I1711" t="str">
            <v>205873</v>
          </cell>
          <cell r="K1711" t="str">
            <v>MS</v>
          </cell>
          <cell r="L1711">
            <v>1</v>
          </cell>
          <cell r="M1711">
            <v>17.52</v>
          </cell>
        </row>
        <row r="1712">
          <cell r="C1712" t="str">
            <v>39010</v>
          </cell>
          <cell r="D1712" t="str">
            <v>FREIXENET PROSECCO EXTRA DRY DOC</v>
          </cell>
          <cell r="E1712" t="str">
            <v>FREIXENET SA</v>
          </cell>
          <cell r="F1712" t="str">
            <v>200</v>
          </cell>
          <cell r="G1712">
            <v>11</v>
          </cell>
          <cell r="H1712">
            <v>24</v>
          </cell>
          <cell r="I1712" t="str">
            <v>3245</v>
          </cell>
          <cell r="K1712" t="str">
            <v>MS</v>
          </cell>
          <cell r="L1712">
            <v>1</v>
          </cell>
          <cell r="M1712">
            <v>6.8</v>
          </cell>
        </row>
        <row r="1713">
          <cell r="C1713" t="str">
            <v>28876</v>
          </cell>
          <cell r="D1713" t="str">
            <v>GIGGLEWATER PROSECCO DOC</v>
          </cell>
          <cell r="E1713" t="str">
            <v>CA'DI RAJO</v>
          </cell>
          <cell r="F1713" t="str">
            <v>750</v>
          </cell>
          <cell r="G1713">
            <v>12</v>
          </cell>
          <cell r="H1713">
            <v>12</v>
          </cell>
          <cell r="I1713" t="str">
            <v>3250</v>
          </cell>
          <cell r="K1713" t="str">
            <v>D</v>
          </cell>
          <cell r="L1713">
            <v>1</v>
          </cell>
          <cell r="M1713">
            <v>19.09</v>
          </cell>
        </row>
        <row r="1714">
          <cell r="C1714" t="str">
            <v>38159</v>
          </cell>
          <cell r="D1714" t="str">
            <v>JOSH CELLARS PROSECCO D.O.C.</v>
          </cell>
          <cell r="E1714" t="str">
            <v>CANTINE SACCHETTO SRL</v>
          </cell>
          <cell r="F1714" t="str">
            <v>750</v>
          </cell>
          <cell r="G1714">
            <v>12</v>
          </cell>
          <cell r="H1714">
            <v>12</v>
          </cell>
          <cell r="I1714" t="str">
            <v>3245</v>
          </cell>
          <cell r="K1714" t="str">
            <v>VD</v>
          </cell>
          <cell r="L1714">
            <v>1</v>
          </cell>
          <cell r="M1714">
            <v>19.05</v>
          </cell>
        </row>
        <row r="1715">
          <cell r="C1715" t="str">
            <v>41552</v>
          </cell>
          <cell r="D1715" t="str">
            <v>KIM CRAWFORD PROSECCO DOC</v>
          </cell>
          <cell r="E1715" t="str">
            <v>RUFFINO SRL</v>
          </cell>
          <cell r="F1715" t="str">
            <v>750</v>
          </cell>
          <cell r="G1715">
            <v>11</v>
          </cell>
          <cell r="H1715">
            <v>6</v>
          </cell>
          <cell r="I1715" t="str">
            <v>1008</v>
          </cell>
          <cell r="K1715" t="str">
            <v>MS</v>
          </cell>
          <cell r="L1715">
            <v>1</v>
          </cell>
          <cell r="M1715">
            <v>17.61</v>
          </cell>
        </row>
        <row r="1716">
          <cell r="C1716" t="str">
            <v>21403</v>
          </cell>
          <cell r="D1716" t="str">
            <v>RUFFINO PROSECCO</v>
          </cell>
          <cell r="E1716" t="str">
            <v>RUFFINO SRL</v>
          </cell>
          <cell r="F1716" t="str">
            <v>750</v>
          </cell>
          <cell r="G1716">
            <v>11</v>
          </cell>
          <cell r="H1716">
            <v>6</v>
          </cell>
          <cell r="I1716" t="str">
            <v>1008</v>
          </cell>
          <cell r="K1716" t="str">
            <v>MS</v>
          </cell>
          <cell r="L1716">
            <v>1</v>
          </cell>
          <cell r="M1716">
            <v>17.27</v>
          </cell>
        </row>
        <row r="1717">
          <cell r="C1717" t="str">
            <v>19320</v>
          </cell>
          <cell r="D1717" t="str">
            <v>ZONIN PROSECCO 1821 DOC</v>
          </cell>
          <cell r="E1717" t="str">
            <v>CASA VINICOLA ZONIN SPA</v>
          </cell>
          <cell r="F1717" t="str">
            <v>750</v>
          </cell>
          <cell r="G1717">
            <v>11</v>
          </cell>
          <cell r="H1717">
            <v>12</v>
          </cell>
          <cell r="I1717" t="str">
            <v>194112</v>
          </cell>
          <cell r="K1717" t="str">
            <v>MS</v>
          </cell>
          <cell r="L1717">
            <v>1</v>
          </cell>
          <cell r="M1717">
            <v>15.88</v>
          </cell>
        </row>
        <row r="1718">
          <cell r="C1718" t="str">
            <v>12730</v>
          </cell>
          <cell r="D1718" t="str">
            <v>SANTA MARGHERITA PROSECCO SUPERIOR</v>
          </cell>
          <cell r="E1718" t="str">
            <v>SANTA MARGHERITA SPA</v>
          </cell>
          <cell r="F1718" t="str">
            <v>750</v>
          </cell>
          <cell r="G1718">
            <v>11</v>
          </cell>
          <cell r="H1718">
            <v>12</v>
          </cell>
          <cell r="I1718" t="str">
            <v>1537</v>
          </cell>
          <cell r="K1718" t="str">
            <v>D</v>
          </cell>
          <cell r="L1718">
            <v>1</v>
          </cell>
          <cell r="M1718">
            <v>17.78</v>
          </cell>
        </row>
        <row r="1719">
          <cell r="C1719" t="str">
            <v>36795</v>
          </cell>
          <cell r="D1719" t="str">
            <v>RIUNITE BUTTERFLY SPARKLING MOSCATO IGT</v>
          </cell>
          <cell r="E1719" t="str">
            <v>CANTINE COOP RIUNITE SRL</v>
          </cell>
          <cell r="F1719" t="str">
            <v>750</v>
          </cell>
          <cell r="G1719">
            <v>6</v>
          </cell>
          <cell r="H1719">
            <v>6</v>
          </cell>
          <cell r="I1719" t="str">
            <v>1537</v>
          </cell>
          <cell r="K1719" t="str">
            <v>VS</v>
          </cell>
          <cell r="L1719">
            <v>1</v>
          </cell>
          <cell r="M1719">
            <v>15.72</v>
          </cell>
        </row>
        <row r="1720">
          <cell r="C1720" t="str">
            <v>37665</v>
          </cell>
          <cell r="D1720" t="str">
            <v>GIGGLEWATER PROSECCO ROSE</v>
          </cell>
          <cell r="E1720" t="str">
            <v>CA'DI RAJO</v>
          </cell>
          <cell r="F1720" t="str">
            <v>750</v>
          </cell>
          <cell r="G1720">
            <v>11</v>
          </cell>
          <cell r="H1720">
            <v>12</v>
          </cell>
          <cell r="I1720" t="str">
            <v>3250</v>
          </cell>
          <cell r="K1720" t="str">
            <v>MS</v>
          </cell>
          <cell r="L1720">
            <v>1</v>
          </cell>
          <cell r="M1720">
            <v>19.09</v>
          </cell>
        </row>
        <row r="1721">
          <cell r="C1721" t="str">
            <v>36790</v>
          </cell>
          <cell r="D1721" t="str">
            <v>LA MARCA ROSE PROSECCO</v>
          </cell>
          <cell r="E1721" t="str">
            <v>E &amp; J GALLO WINERY</v>
          </cell>
          <cell r="F1721" t="str">
            <v>750</v>
          </cell>
          <cell r="G1721">
            <v>11</v>
          </cell>
          <cell r="H1721">
            <v>6</v>
          </cell>
          <cell r="I1721" t="str">
            <v>206245</v>
          </cell>
          <cell r="K1721" t="str">
            <v>MD</v>
          </cell>
          <cell r="L1721">
            <v>1</v>
          </cell>
          <cell r="M1721">
            <v>18.079999999999998</v>
          </cell>
        </row>
        <row r="1722">
          <cell r="C1722" t="str">
            <v>43753</v>
          </cell>
          <cell r="D1722" t="str">
            <v>BREAD &amp; BUTTER PROSECCO</v>
          </cell>
          <cell r="E1722" t="str">
            <v>WINERY EXCHANGE BRANDS</v>
          </cell>
          <cell r="F1722" t="str">
            <v>750</v>
          </cell>
          <cell r="G1722">
            <v>11</v>
          </cell>
          <cell r="H1722">
            <v>12</v>
          </cell>
          <cell r="I1722" t="str">
            <v>140473</v>
          </cell>
          <cell r="K1722" t="str">
            <v>D</v>
          </cell>
          <cell r="L1722">
            <v>1</v>
          </cell>
          <cell r="M1722">
            <v>21.64</v>
          </cell>
        </row>
        <row r="1723">
          <cell r="C1723" t="str">
            <v>24374</v>
          </cell>
          <cell r="D1723" t="str">
            <v>CAVIT LUNETTA PROSECCO</v>
          </cell>
          <cell r="E1723" t="str">
            <v>CAVIT CANTINA VITICOLTORI S.C.A.R.L.</v>
          </cell>
          <cell r="F1723" t="str">
            <v>750</v>
          </cell>
          <cell r="G1723">
            <v>11</v>
          </cell>
          <cell r="H1723">
            <v>12</v>
          </cell>
          <cell r="I1723" t="str">
            <v>206245</v>
          </cell>
          <cell r="K1723" t="str">
            <v>MS</v>
          </cell>
          <cell r="L1723">
            <v>1</v>
          </cell>
          <cell r="M1723">
            <v>14.12</v>
          </cell>
        </row>
        <row r="1724">
          <cell r="C1724" t="str">
            <v>36481</v>
          </cell>
          <cell r="D1724" t="str">
            <v>LA MARCA PROSECCO</v>
          </cell>
          <cell r="E1724" t="str">
            <v>E &amp; J GALLO WINERY</v>
          </cell>
          <cell r="F1724" t="str">
            <v>375</v>
          </cell>
          <cell r="G1724">
            <v>11</v>
          </cell>
          <cell r="H1724">
            <v>12</v>
          </cell>
          <cell r="I1724" t="str">
            <v>206245</v>
          </cell>
          <cell r="K1724" t="str">
            <v>D</v>
          </cell>
          <cell r="L1724">
            <v>1</v>
          </cell>
          <cell r="M1724">
            <v>11.97</v>
          </cell>
        </row>
        <row r="1725">
          <cell r="C1725" t="str">
            <v>46033</v>
          </cell>
          <cell r="D1725" t="str">
            <v>LA MARCA PROSECCO DOC</v>
          </cell>
          <cell r="E1725" t="str">
            <v>E &amp; J GALLO WINERY</v>
          </cell>
          <cell r="F1725" t="str">
            <v>1500</v>
          </cell>
          <cell r="G1725">
            <v>11</v>
          </cell>
          <cell r="H1725">
            <v>6</v>
          </cell>
          <cell r="I1725" t="str">
            <v>206245</v>
          </cell>
          <cell r="K1725" t="str">
            <v>MS</v>
          </cell>
          <cell r="L1725">
            <v>1</v>
          </cell>
          <cell r="M1725">
            <v>36.020000000000003</v>
          </cell>
        </row>
        <row r="1726">
          <cell r="C1726" t="str">
            <v>28151</v>
          </cell>
          <cell r="D1726" t="str">
            <v>VILLA TERESA ORGANIC ROSE FRIZZANTE</v>
          </cell>
          <cell r="E1726" t="str">
            <v>VINI TONON S.R.L.</v>
          </cell>
          <cell r="F1726" t="str">
            <v>750</v>
          </cell>
          <cell r="G1726">
            <v>11</v>
          </cell>
          <cell r="H1726">
            <v>12</v>
          </cell>
          <cell r="I1726" t="str">
            <v>3246</v>
          </cell>
          <cell r="K1726" t="str">
            <v>MS</v>
          </cell>
          <cell r="L1726">
            <v>1</v>
          </cell>
          <cell r="M1726">
            <v>17.79</v>
          </cell>
        </row>
        <row r="1727">
          <cell r="C1727" t="str">
            <v>40087</v>
          </cell>
          <cell r="D1727" t="str">
            <v>BRILLA PROSECCO DOC</v>
          </cell>
          <cell r="E1727" t="str">
            <v>CASA VINICOLA BOTTER CARLO CS</v>
          </cell>
          <cell r="F1727" t="str">
            <v>750</v>
          </cell>
          <cell r="G1727">
            <v>11</v>
          </cell>
          <cell r="H1727">
            <v>12</v>
          </cell>
          <cell r="I1727" t="str">
            <v>140473</v>
          </cell>
          <cell r="K1727" t="str">
            <v>MS</v>
          </cell>
          <cell r="L1727">
            <v>1</v>
          </cell>
          <cell r="M1727">
            <v>19.04</v>
          </cell>
        </row>
        <row r="1728">
          <cell r="C1728" t="str">
            <v>27840</v>
          </cell>
          <cell r="D1728" t="str">
            <v>FREIXENET PROSECCO DOC EXTRA DRY</v>
          </cell>
          <cell r="E1728" t="str">
            <v>FREIXENET SA</v>
          </cell>
          <cell r="F1728" t="str">
            <v>750</v>
          </cell>
          <cell r="G1728">
            <v>11</v>
          </cell>
          <cell r="H1728">
            <v>6</v>
          </cell>
          <cell r="I1728" t="str">
            <v>3245</v>
          </cell>
          <cell r="K1728" t="str">
            <v>MS</v>
          </cell>
          <cell r="L1728">
            <v>1</v>
          </cell>
          <cell r="M1728">
            <v>21.01</v>
          </cell>
        </row>
        <row r="1729">
          <cell r="C1729" t="str">
            <v>22176</v>
          </cell>
          <cell r="D1729" t="str">
            <v>MIONETTO PRESTIGE PROSECCO TREVISO DOC</v>
          </cell>
          <cell r="E1729" t="str">
            <v>MIONETTO SPUMANTI SRL SPA</v>
          </cell>
          <cell r="F1729" t="str">
            <v>750</v>
          </cell>
          <cell r="G1729">
            <v>11</v>
          </cell>
          <cell r="H1729">
            <v>12</v>
          </cell>
          <cell r="I1729" t="str">
            <v>1009</v>
          </cell>
          <cell r="K1729" t="str">
            <v>MD</v>
          </cell>
          <cell r="L1729">
            <v>1</v>
          </cell>
          <cell r="M1729">
            <v>17.989999999999998</v>
          </cell>
        </row>
        <row r="1730">
          <cell r="C1730" t="str">
            <v>7730</v>
          </cell>
          <cell r="D1730" t="str">
            <v>VILLA TERESA ORGANIC PROSECCO</v>
          </cell>
          <cell r="E1730" t="str">
            <v>VINI TONON S.R.L.</v>
          </cell>
          <cell r="F1730" t="str">
            <v>750</v>
          </cell>
          <cell r="G1730">
            <v>11</v>
          </cell>
          <cell r="H1730">
            <v>12</v>
          </cell>
          <cell r="I1730" t="str">
            <v>3246</v>
          </cell>
          <cell r="K1730" t="str">
            <v>MS</v>
          </cell>
          <cell r="L1730">
            <v>1</v>
          </cell>
          <cell r="M1730">
            <v>18.79</v>
          </cell>
        </row>
        <row r="1731">
          <cell r="C1731" t="str">
            <v>14912</v>
          </cell>
          <cell r="D1731" t="str">
            <v>OYSTER BAY SPARKLING CUVEE BRUT</v>
          </cell>
          <cell r="E1731" t="str">
            <v>OYSTER BAY WINES</v>
          </cell>
          <cell r="F1731" t="str">
            <v>750</v>
          </cell>
          <cell r="G1731">
            <v>12</v>
          </cell>
          <cell r="H1731">
            <v>6</v>
          </cell>
          <cell r="I1731" t="str">
            <v>74894</v>
          </cell>
          <cell r="K1731" t="str">
            <v>MD</v>
          </cell>
          <cell r="L1731">
            <v>1</v>
          </cell>
          <cell r="M1731">
            <v>19.78</v>
          </cell>
        </row>
        <row r="1732">
          <cell r="C1732" t="str">
            <v>34204</v>
          </cell>
          <cell r="D1732" t="str">
            <v>FREIXENET CORDON NEGRO</v>
          </cell>
          <cell r="E1732" t="str">
            <v>FREIXENET SA</v>
          </cell>
          <cell r="F1732" t="str">
            <v>600</v>
          </cell>
          <cell r="G1732">
            <v>11.5</v>
          </cell>
          <cell r="H1732">
            <v>8</v>
          </cell>
          <cell r="I1732" t="str">
            <v>3245</v>
          </cell>
          <cell r="K1732" t="str">
            <v>MD</v>
          </cell>
          <cell r="L1732">
            <v>3</v>
          </cell>
          <cell r="M1732">
            <v>11.01</v>
          </cell>
        </row>
        <row r="1733">
          <cell r="C1733" t="str">
            <v>26477</v>
          </cell>
          <cell r="D1733" t="str">
            <v>VILLA CONCHI CAVA BRUT SELECCION DO</v>
          </cell>
          <cell r="E1733" t="str">
            <v>ARAEX RIOJA ALAVERSA S.L.</v>
          </cell>
          <cell r="F1733" t="str">
            <v>750</v>
          </cell>
          <cell r="G1733">
            <v>11.5</v>
          </cell>
          <cell r="H1733">
            <v>6</v>
          </cell>
          <cell r="I1733" t="str">
            <v>1537</v>
          </cell>
          <cell r="K1733" t="str">
            <v>MS</v>
          </cell>
          <cell r="L1733">
            <v>1</v>
          </cell>
          <cell r="M1733">
            <v>17.27</v>
          </cell>
        </row>
        <row r="1734">
          <cell r="C1734" t="str">
            <v>2352</v>
          </cell>
          <cell r="D1734" t="str">
            <v>FREIXENET CARTA NEVADA EXTRA DRY</v>
          </cell>
          <cell r="E1734" t="str">
            <v>FREIXENET SA</v>
          </cell>
          <cell r="F1734" t="str">
            <v>750</v>
          </cell>
          <cell r="G1734">
            <v>12</v>
          </cell>
          <cell r="H1734">
            <v>6</v>
          </cell>
          <cell r="I1734" t="str">
            <v>3245</v>
          </cell>
          <cell r="K1734" t="str">
            <v>D</v>
          </cell>
          <cell r="L1734">
            <v>1</v>
          </cell>
          <cell r="M1734">
            <v>13.51</v>
          </cell>
        </row>
        <row r="1735">
          <cell r="C1735" t="str">
            <v>2354</v>
          </cell>
          <cell r="D1735" t="str">
            <v>FREIXENET CORDON NEGRO BRUT</v>
          </cell>
          <cell r="E1735" t="str">
            <v>FREIXENET SA</v>
          </cell>
          <cell r="F1735" t="str">
            <v>750</v>
          </cell>
          <cell r="G1735">
            <v>12</v>
          </cell>
          <cell r="H1735">
            <v>6</v>
          </cell>
          <cell r="I1735" t="str">
            <v>3245</v>
          </cell>
          <cell r="K1735" t="str">
            <v>VD</v>
          </cell>
          <cell r="L1735">
            <v>1</v>
          </cell>
          <cell r="M1735">
            <v>14.01</v>
          </cell>
        </row>
        <row r="1736">
          <cell r="C1736" t="str">
            <v>2355</v>
          </cell>
          <cell r="D1736" t="str">
            <v>FREIXENET CORDON NEGRO BRUT</v>
          </cell>
          <cell r="E1736" t="str">
            <v>FREIXENET SA</v>
          </cell>
          <cell r="F1736" t="str">
            <v>1500</v>
          </cell>
          <cell r="G1736">
            <v>12</v>
          </cell>
          <cell r="H1736">
            <v>6</v>
          </cell>
          <cell r="I1736" t="str">
            <v>3245</v>
          </cell>
          <cell r="K1736" t="str">
            <v>VD</v>
          </cell>
          <cell r="L1736">
            <v>1</v>
          </cell>
          <cell r="M1736">
            <v>27.02</v>
          </cell>
        </row>
        <row r="1737">
          <cell r="C1737" t="str">
            <v>44743</v>
          </cell>
          <cell r="D1737" t="str">
            <v>FAUSTINO CAVA</v>
          </cell>
          <cell r="E1737" t="str">
            <v>GRUPO FAUSTINO</v>
          </cell>
          <cell r="F1737" t="str">
            <v>750</v>
          </cell>
          <cell r="G1737">
            <v>13</v>
          </cell>
          <cell r="H1737">
            <v>12</v>
          </cell>
          <cell r="I1737" t="str">
            <v>3265</v>
          </cell>
          <cell r="K1737" t="str">
            <v>VD</v>
          </cell>
          <cell r="L1737">
            <v>1</v>
          </cell>
          <cell r="M1737">
            <v>16.36</v>
          </cell>
        </row>
        <row r="1738">
          <cell r="C1738" t="str">
            <v>3359</v>
          </cell>
          <cell r="D1738" t="str">
            <v>MUMM PRESTIGE CUVEE</v>
          </cell>
          <cell r="E1738" t="str">
            <v>MUMM CUVEE NAPA ESTATES LLC</v>
          </cell>
          <cell r="F1738" t="str">
            <v>750</v>
          </cell>
          <cell r="G1738">
            <v>13</v>
          </cell>
          <cell r="H1738">
            <v>6</v>
          </cell>
          <cell r="I1738" t="str">
            <v>3237</v>
          </cell>
          <cell r="K1738" t="str">
            <v>MD</v>
          </cell>
          <cell r="L1738">
            <v>1</v>
          </cell>
          <cell r="M1738">
            <v>28.4</v>
          </cell>
        </row>
        <row r="1739">
          <cell r="C1739" t="str">
            <v>39741</v>
          </cell>
          <cell r="D1739" t="str">
            <v>19 CRIMES CALI GOLD</v>
          </cell>
          <cell r="E1739" t="str">
            <v>Treasury Wine Estates Americas Company</v>
          </cell>
          <cell r="F1739" t="str">
            <v>750</v>
          </cell>
          <cell r="G1739">
            <v>11</v>
          </cell>
          <cell r="H1739">
            <v>12</v>
          </cell>
          <cell r="I1739" t="str">
            <v>1009</v>
          </cell>
          <cell r="K1739" t="str">
            <v>VD</v>
          </cell>
          <cell r="L1739">
            <v>1</v>
          </cell>
          <cell r="M1739">
            <v>16.920000000000002</v>
          </cell>
        </row>
        <row r="1740">
          <cell r="C1740" t="str">
            <v>32848</v>
          </cell>
          <cell r="D1740" t="str">
            <v>COLIO GIRLS' NIGHT OUT PEACH RASP RUMBA</v>
          </cell>
          <cell r="E1740" t="str">
            <v>COLIO ESTATE VINEYARDS</v>
          </cell>
          <cell r="F1740" t="str">
            <v>3000</v>
          </cell>
          <cell r="G1740">
            <v>6.5</v>
          </cell>
          <cell r="H1740">
            <v>4</v>
          </cell>
          <cell r="I1740" t="str">
            <v>3245</v>
          </cell>
          <cell r="K1740" t="str">
            <v>VS</v>
          </cell>
          <cell r="L1740">
            <v>1</v>
          </cell>
          <cell r="M1740">
            <v>24.14</v>
          </cell>
        </row>
        <row r="1741">
          <cell r="C1741" t="str">
            <v>22420</v>
          </cell>
          <cell r="D1741" t="str">
            <v>GIRLS' NIGHT OUT SANGRIA</v>
          </cell>
          <cell r="E1741" t="str">
            <v>COLIO ESTATE VINEYARDS</v>
          </cell>
          <cell r="F1741" t="str">
            <v>750</v>
          </cell>
          <cell r="G1741">
            <v>6.5</v>
          </cell>
          <cell r="H1741">
            <v>12</v>
          </cell>
          <cell r="I1741" t="str">
            <v>3245</v>
          </cell>
          <cell r="K1741" t="str">
            <v>VS</v>
          </cell>
          <cell r="L1741">
            <v>1</v>
          </cell>
          <cell r="M1741">
            <v>9.31</v>
          </cell>
        </row>
        <row r="1742">
          <cell r="C1742" t="str">
            <v>28055</v>
          </cell>
          <cell r="D1742" t="str">
            <v>GIRLS NIGHT OUT WHITE SANGRIA</v>
          </cell>
          <cell r="E1742" t="str">
            <v>COLIO ESTATE VINEYARDS</v>
          </cell>
          <cell r="F1742" t="str">
            <v>750</v>
          </cell>
          <cell r="G1742">
            <v>6.5</v>
          </cell>
          <cell r="H1742">
            <v>12</v>
          </cell>
          <cell r="I1742" t="str">
            <v>3245</v>
          </cell>
          <cell r="K1742" t="str">
            <v>MS</v>
          </cell>
          <cell r="L1742">
            <v>1</v>
          </cell>
          <cell r="M1742">
            <v>8.24</v>
          </cell>
        </row>
        <row r="1743">
          <cell r="C1743" t="str">
            <v>13227</v>
          </cell>
          <cell r="D1743" t="str">
            <v>GIRLS NIGHT OUT PINEAPPLE MANGO TANGO</v>
          </cell>
          <cell r="E1743" t="str">
            <v>COLIO ESTATE VINEYARDS</v>
          </cell>
          <cell r="F1743" t="str">
            <v>750</v>
          </cell>
          <cell r="G1743">
            <v>6.5</v>
          </cell>
          <cell r="H1743">
            <v>12</v>
          </cell>
          <cell r="I1743" t="str">
            <v>3245</v>
          </cell>
          <cell r="K1743" t="str">
            <v>MD</v>
          </cell>
          <cell r="L1743">
            <v>1</v>
          </cell>
          <cell r="M1743">
            <v>7.91</v>
          </cell>
        </row>
        <row r="1744">
          <cell r="C1744" t="str">
            <v>13229</v>
          </cell>
          <cell r="D1744" t="str">
            <v>GIRLS NIGHT OUT STRAWBERRY SAMBA</v>
          </cell>
          <cell r="E1744" t="str">
            <v>COLIO ESTATE VINEYARDS</v>
          </cell>
          <cell r="F1744" t="str">
            <v>750</v>
          </cell>
          <cell r="G1744">
            <v>6.5</v>
          </cell>
          <cell r="H1744">
            <v>12</v>
          </cell>
          <cell r="I1744" t="str">
            <v>3245</v>
          </cell>
          <cell r="K1744" t="str">
            <v>MD</v>
          </cell>
          <cell r="L1744">
            <v>1</v>
          </cell>
          <cell r="M1744">
            <v>7.91</v>
          </cell>
        </row>
        <row r="1745">
          <cell r="C1745" t="str">
            <v>22448</v>
          </cell>
          <cell r="D1745" t="str">
            <v>YELLOW TAIL RED SANGRIA</v>
          </cell>
          <cell r="E1745" t="str">
            <v>CASELLA WINE PTY LTD</v>
          </cell>
          <cell r="F1745" t="str">
            <v>750</v>
          </cell>
          <cell r="G1745">
            <v>11.5</v>
          </cell>
          <cell r="H1745">
            <v>12</v>
          </cell>
          <cell r="I1745" t="str">
            <v>1537</v>
          </cell>
          <cell r="K1745" t="str">
            <v>VS</v>
          </cell>
          <cell r="L1745">
            <v>1</v>
          </cell>
          <cell r="M1745">
            <v>11.53</v>
          </cell>
        </row>
        <row r="1746">
          <cell r="C1746" t="str">
            <v>37822</v>
          </cell>
          <cell r="D1746" t="str">
            <v>BAREFOOT FRUITSCATO PEACH</v>
          </cell>
          <cell r="E1746" t="str">
            <v>E &amp; J GALLO WINERY</v>
          </cell>
          <cell r="F1746" t="str">
            <v>750</v>
          </cell>
          <cell r="G1746">
            <v>7.5</v>
          </cell>
          <cell r="H1746">
            <v>12</v>
          </cell>
          <cell r="I1746" t="str">
            <v>3254</v>
          </cell>
          <cell r="K1746" t="str">
            <v>VS</v>
          </cell>
          <cell r="L1746">
            <v>1</v>
          </cell>
          <cell r="M1746">
            <v>9.6300000000000008</v>
          </cell>
        </row>
        <row r="1747">
          <cell r="C1747" t="str">
            <v>37823</v>
          </cell>
          <cell r="D1747" t="str">
            <v>BAREFOOT FRUITSCATO STRAWBERRY</v>
          </cell>
          <cell r="E1747" t="str">
            <v>E &amp; J GALLO WINERY</v>
          </cell>
          <cell r="F1747" t="str">
            <v>750</v>
          </cell>
          <cell r="G1747">
            <v>7.5</v>
          </cell>
          <cell r="H1747">
            <v>12</v>
          </cell>
          <cell r="I1747" t="str">
            <v>3254</v>
          </cell>
          <cell r="K1747" t="str">
            <v>VS</v>
          </cell>
          <cell r="L1747">
            <v>1</v>
          </cell>
          <cell r="M1747">
            <v>9.6300000000000008</v>
          </cell>
        </row>
        <row r="1748">
          <cell r="C1748" t="str">
            <v>1432</v>
          </cell>
          <cell r="D1748" t="str">
            <v>BOONE'S SNOW CREEK BERRY</v>
          </cell>
          <cell r="E1748" t="str">
            <v>BOONE'S FARMS</v>
          </cell>
          <cell r="F1748" t="str">
            <v>750</v>
          </cell>
          <cell r="G1748">
            <v>5</v>
          </cell>
          <cell r="H1748">
            <v>12</v>
          </cell>
          <cell r="I1748" t="str">
            <v>206245</v>
          </cell>
          <cell r="K1748" t="str">
            <v>MD</v>
          </cell>
          <cell r="L1748">
            <v>1</v>
          </cell>
          <cell r="M1748">
            <v>7.33</v>
          </cell>
        </row>
        <row r="1749">
          <cell r="C1749" t="str">
            <v>1133</v>
          </cell>
          <cell r="D1749" t="str">
            <v>ARBOR MIST BLACKBERRY MERLOT</v>
          </cell>
          <cell r="E1749" t="str">
            <v>ARBOR MIST WINERY - CANANDAIGUA</v>
          </cell>
          <cell r="F1749" t="str">
            <v>750</v>
          </cell>
          <cell r="G1749">
            <v>6</v>
          </cell>
          <cell r="H1749">
            <v>12</v>
          </cell>
          <cell r="I1749" t="str">
            <v>206245</v>
          </cell>
          <cell r="K1749" t="str">
            <v>MS</v>
          </cell>
          <cell r="L1749">
            <v>1</v>
          </cell>
          <cell r="M1749">
            <v>10.14</v>
          </cell>
        </row>
        <row r="1750">
          <cell r="C1750" t="str">
            <v>1134</v>
          </cell>
          <cell r="D1750" t="str">
            <v>ARBOR MIST BLACKBERRY MERLOT</v>
          </cell>
          <cell r="E1750" t="str">
            <v>ARBOR MIST WINERY - CANANDAIGUA</v>
          </cell>
          <cell r="F1750" t="str">
            <v>1500</v>
          </cell>
          <cell r="G1750">
            <v>6</v>
          </cell>
          <cell r="H1750">
            <v>6</v>
          </cell>
          <cell r="I1750" t="str">
            <v>206245</v>
          </cell>
          <cell r="K1750" t="str">
            <v>MS</v>
          </cell>
          <cell r="L1750">
            <v>1</v>
          </cell>
          <cell r="M1750">
            <v>18.29</v>
          </cell>
        </row>
        <row r="1751">
          <cell r="C1751" t="str">
            <v>1136</v>
          </cell>
          <cell r="D1751" t="str">
            <v>ARBOR MIST EXOTIC FRUIT WH ZIN</v>
          </cell>
          <cell r="E1751" t="str">
            <v>ARBOR MIST WINERY - CANANDAIGUA</v>
          </cell>
          <cell r="F1751" t="str">
            <v>750</v>
          </cell>
          <cell r="G1751">
            <v>6</v>
          </cell>
          <cell r="H1751">
            <v>12</v>
          </cell>
          <cell r="I1751" t="str">
            <v>206245</v>
          </cell>
          <cell r="K1751" t="str">
            <v>MS</v>
          </cell>
          <cell r="L1751">
            <v>1</v>
          </cell>
          <cell r="M1751">
            <v>10.14</v>
          </cell>
        </row>
        <row r="1752">
          <cell r="C1752" t="str">
            <v>1137</v>
          </cell>
          <cell r="D1752" t="str">
            <v>ARBOR MIST EXOTIC FRUIT WH ZIN</v>
          </cell>
          <cell r="E1752" t="str">
            <v>ARBOR MIST WINERY - CANANDAIGUA</v>
          </cell>
          <cell r="F1752" t="str">
            <v>1500</v>
          </cell>
          <cell r="G1752">
            <v>6</v>
          </cell>
          <cell r="H1752">
            <v>6</v>
          </cell>
          <cell r="I1752" t="str">
            <v>206245</v>
          </cell>
          <cell r="K1752" t="str">
            <v>MS</v>
          </cell>
          <cell r="L1752">
            <v>1</v>
          </cell>
          <cell r="M1752">
            <v>18.29</v>
          </cell>
        </row>
        <row r="1753">
          <cell r="C1753" t="str">
            <v>1141</v>
          </cell>
          <cell r="D1753" t="str">
            <v>ARBOR MIST STRAWBERRY WH ZIN</v>
          </cell>
          <cell r="E1753" t="str">
            <v>ARBOR MIST WINERY - CANANDAIGUA</v>
          </cell>
          <cell r="F1753" t="str">
            <v>750</v>
          </cell>
          <cell r="G1753">
            <v>6</v>
          </cell>
          <cell r="H1753">
            <v>12</v>
          </cell>
          <cell r="I1753" t="str">
            <v>206245</v>
          </cell>
          <cell r="K1753" t="str">
            <v>MS</v>
          </cell>
          <cell r="L1753">
            <v>1</v>
          </cell>
          <cell r="M1753">
            <v>10.14</v>
          </cell>
        </row>
        <row r="1754">
          <cell r="C1754" t="str">
            <v>1142</v>
          </cell>
          <cell r="D1754" t="str">
            <v>ARBOR MIST STRAWBERRY WHITE ZINFANDEL</v>
          </cell>
          <cell r="E1754" t="str">
            <v>ARBOR MIST WINERY - CANANDAIGUA</v>
          </cell>
          <cell r="F1754" t="str">
            <v>1500</v>
          </cell>
          <cell r="G1754">
            <v>6</v>
          </cell>
          <cell r="H1754">
            <v>6</v>
          </cell>
          <cell r="I1754" t="str">
            <v>206245</v>
          </cell>
          <cell r="K1754" t="str">
            <v>MS</v>
          </cell>
          <cell r="L1754">
            <v>1</v>
          </cell>
          <cell r="M1754">
            <v>18.29</v>
          </cell>
        </row>
        <row r="1755">
          <cell r="C1755" t="str">
            <v>27041</v>
          </cell>
          <cell r="D1755" t="str">
            <v>BAREFOOT CELLARS SANGRIA</v>
          </cell>
          <cell r="E1755" t="str">
            <v>BAREFOOT CELLARS WINERY</v>
          </cell>
          <cell r="F1755" t="str">
            <v>750</v>
          </cell>
          <cell r="G1755">
            <v>11</v>
          </cell>
          <cell r="H1755">
            <v>12</v>
          </cell>
          <cell r="I1755" t="str">
            <v>206245</v>
          </cell>
          <cell r="K1755" t="str">
            <v>MD</v>
          </cell>
          <cell r="L1755">
            <v>1</v>
          </cell>
          <cell r="M1755">
            <v>10.61</v>
          </cell>
        </row>
        <row r="1756">
          <cell r="C1756" t="str">
            <v>47429</v>
          </cell>
          <cell r="D1756" t="str">
            <v>ANNEX BAND WAGON LAGER</v>
          </cell>
          <cell r="E1756" t="str">
            <v>ANNEX ALE PROJECT (m)</v>
          </cell>
          <cell r="F1756" t="str">
            <v>4260</v>
          </cell>
          <cell r="G1756">
            <v>4.3</v>
          </cell>
          <cell r="H1756">
            <v>2</v>
          </cell>
          <cell r="I1756" t="str">
            <v>169068</v>
          </cell>
          <cell r="L1756">
            <v>12</v>
          </cell>
          <cell r="M1756">
            <v>27.19</v>
          </cell>
        </row>
        <row r="1757">
          <cell r="C1757" t="str">
            <v>1144</v>
          </cell>
          <cell r="D1757" t="str">
            <v>ASAHI SUPER DRY</v>
          </cell>
          <cell r="E1757" t="str">
            <v>ASAHI BREWERIES LTD</v>
          </cell>
          <cell r="F1757" t="str">
            <v>1980</v>
          </cell>
          <cell r="G1757">
            <v>5.2</v>
          </cell>
          <cell r="H1757">
            <v>4</v>
          </cell>
          <cell r="I1757" t="str">
            <v>206048</v>
          </cell>
          <cell r="L1757">
            <v>6</v>
          </cell>
          <cell r="M1757">
            <v>16.440000000000001</v>
          </cell>
        </row>
        <row r="1758">
          <cell r="C1758" t="str">
            <v>48571</v>
          </cell>
          <cell r="D1758" t="str">
            <v>BEST OF KIN FIRE BLOOM HONEY LAGER</v>
          </cell>
          <cell r="E1758" t="str">
            <v>BEST OF KIN INC (m)</v>
          </cell>
          <cell r="F1758" t="str">
            <v>1892</v>
          </cell>
          <cell r="G1758">
            <v>5</v>
          </cell>
          <cell r="H1758">
            <v>6</v>
          </cell>
          <cell r="I1758" t="str">
            <v>206129</v>
          </cell>
          <cell r="L1758">
            <v>4</v>
          </cell>
          <cell r="M1758">
            <v>14.55</v>
          </cell>
        </row>
        <row r="1759">
          <cell r="C1759" t="str">
            <v>42894</v>
          </cell>
          <cell r="D1759" t="str">
            <v>BLACK BRIDGE BROWN ALE</v>
          </cell>
          <cell r="E1759" t="str">
            <v>BLACK BRIDGE BREWERY (M)</v>
          </cell>
          <cell r="F1759" t="str">
            <v>1892</v>
          </cell>
          <cell r="G1759">
            <v>5</v>
          </cell>
          <cell r="H1759">
            <v>6</v>
          </cell>
          <cell r="I1759" t="str">
            <v>202875</v>
          </cell>
          <cell r="L1759">
            <v>4</v>
          </cell>
          <cell r="M1759">
            <v>12.92</v>
          </cell>
        </row>
        <row r="1760">
          <cell r="C1760" t="str">
            <v>41818</v>
          </cell>
          <cell r="D1760" t="str">
            <v>BLACK BRIDGE CLEVER AS THE DEVIL</v>
          </cell>
          <cell r="E1760" t="str">
            <v>BLACK BRIDGE BREWERY (M)</v>
          </cell>
          <cell r="F1760" t="str">
            <v>1892</v>
          </cell>
          <cell r="G1760">
            <v>8</v>
          </cell>
          <cell r="H1760">
            <v>6</v>
          </cell>
          <cell r="I1760" t="str">
            <v>202875</v>
          </cell>
          <cell r="L1760">
            <v>4</v>
          </cell>
          <cell r="M1760">
            <v>12.92</v>
          </cell>
        </row>
        <row r="1761">
          <cell r="C1761" t="str">
            <v>46161</v>
          </cell>
          <cell r="D1761" t="str">
            <v>BLACK BRIDGE COMMON CALIFORNIA AMBER</v>
          </cell>
          <cell r="E1761" t="str">
            <v>BLACK BRIDGE BREWERY (M)</v>
          </cell>
          <cell r="F1761" t="str">
            <v>1892</v>
          </cell>
          <cell r="G1761">
            <v>5</v>
          </cell>
          <cell r="H1761">
            <v>6</v>
          </cell>
          <cell r="I1761" t="str">
            <v>202875</v>
          </cell>
          <cell r="L1761">
            <v>4</v>
          </cell>
          <cell r="M1761">
            <v>11.39</v>
          </cell>
        </row>
        <row r="1762">
          <cell r="C1762" t="str">
            <v>28170</v>
          </cell>
          <cell r="D1762" t="str">
            <v>BLACK BRIDGE DOUBLE IPA</v>
          </cell>
          <cell r="E1762" t="str">
            <v>BLACK BRIDGE BREWERY (M)</v>
          </cell>
          <cell r="F1762" t="str">
            <v>1892</v>
          </cell>
          <cell r="G1762">
            <v>8.5</v>
          </cell>
          <cell r="H1762">
            <v>6</v>
          </cell>
          <cell r="I1762" t="str">
            <v>202875</v>
          </cell>
          <cell r="L1762">
            <v>4</v>
          </cell>
          <cell r="M1762">
            <v>15.29</v>
          </cell>
        </row>
        <row r="1763">
          <cell r="C1763" t="str">
            <v>35033</v>
          </cell>
          <cell r="D1763" t="str">
            <v>BLACK BRIDGE HOP SERIES IDAHO 7</v>
          </cell>
          <cell r="E1763" t="str">
            <v>BLACK BRIDGE BREWERY (M)</v>
          </cell>
          <cell r="F1763" t="str">
            <v>1892</v>
          </cell>
          <cell r="G1763">
            <v>5.2</v>
          </cell>
          <cell r="H1763">
            <v>6</v>
          </cell>
          <cell r="I1763" t="str">
            <v>202875</v>
          </cell>
          <cell r="L1763">
            <v>4</v>
          </cell>
          <cell r="M1763">
            <v>13.15</v>
          </cell>
        </row>
        <row r="1764">
          <cell r="C1764" t="str">
            <v>27593</v>
          </cell>
          <cell r="D1764" t="str">
            <v>BLACK BRIDGE IPA!</v>
          </cell>
          <cell r="E1764" t="str">
            <v>BLACK BRIDGE BREWERY (M)</v>
          </cell>
          <cell r="F1764" t="str">
            <v>1892</v>
          </cell>
          <cell r="G1764">
            <v>6.5</v>
          </cell>
          <cell r="H1764">
            <v>6</v>
          </cell>
          <cell r="I1764" t="str">
            <v>202875</v>
          </cell>
          <cell r="L1764">
            <v>4</v>
          </cell>
          <cell r="M1764">
            <v>12.16</v>
          </cell>
        </row>
        <row r="1765">
          <cell r="C1765" t="str">
            <v>36270</v>
          </cell>
          <cell r="D1765" t="str">
            <v>BLACK BRIDGE IPA! 12 PACK BOX</v>
          </cell>
          <cell r="E1765" t="str">
            <v>BLACK BRIDGE BREWERY (M)</v>
          </cell>
          <cell r="F1765" t="str">
            <v>5676</v>
          </cell>
          <cell r="G1765">
            <v>6.5</v>
          </cell>
          <cell r="H1765">
            <v>1</v>
          </cell>
          <cell r="I1765" t="str">
            <v>202875</v>
          </cell>
          <cell r="L1765">
            <v>12</v>
          </cell>
          <cell r="M1765">
            <v>34.380000000000003</v>
          </cell>
        </row>
        <row r="1766">
          <cell r="C1766" t="str">
            <v>27594</v>
          </cell>
          <cell r="D1766" t="str">
            <v>BLACK BRIDGE MILK STOUT</v>
          </cell>
          <cell r="E1766" t="str">
            <v>BLACK BRIDGE BREWERY (M)</v>
          </cell>
          <cell r="F1766" t="str">
            <v>1892</v>
          </cell>
          <cell r="G1766">
            <v>5.3</v>
          </cell>
          <cell r="H1766">
            <v>6</v>
          </cell>
          <cell r="I1766" t="str">
            <v>202875</v>
          </cell>
          <cell r="L1766">
            <v>4</v>
          </cell>
          <cell r="M1766">
            <v>11.03</v>
          </cell>
        </row>
        <row r="1767">
          <cell r="C1767" t="str">
            <v>29144</v>
          </cell>
          <cell r="D1767" t="str">
            <v>BLACK BRIDGE NEW ENGLAND IPA</v>
          </cell>
          <cell r="E1767" t="str">
            <v>BLACK BRIDGE BREWERY (M)</v>
          </cell>
          <cell r="F1767" t="str">
            <v>1892</v>
          </cell>
          <cell r="G1767">
            <v>6.2</v>
          </cell>
          <cell r="H1767">
            <v>6</v>
          </cell>
          <cell r="I1767" t="str">
            <v>202875</v>
          </cell>
          <cell r="L1767">
            <v>4</v>
          </cell>
          <cell r="M1767">
            <v>12.29</v>
          </cell>
        </row>
        <row r="1768">
          <cell r="C1768" t="str">
            <v>34919</v>
          </cell>
          <cell r="D1768" t="str">
            <v>BLACK BRIDGE RYE ALE</v>
          </cell>
          <cell r="E1768" t="str">
            <v>BLACK BRIDGE BREWERY (M)</v>
          </cell>
          <cell r="F1768" t="str">
            <v>1892</v>
          </cell>
          <cell r="G1768">
            <v>5.2</v>
          </cell>
          <cell r="H1768">
            <v>6</v>
          </cell>
          <cell r="I1768" t="str">
            <v>202875</v>
          </cell>
          <cell r="L1768">
            <v>4</v>
          </cell>
          <cell r="M1768">
            <v>11.77</v>
          </cell>
        </row>
        <row r="1769">
          <cell r="C1769" t="str">
            <v>27596</v>
          </cell>
          <cell r="D1769" t="str">
            <v>BLACK BRIDGE TASTERS FLIGHT</v>
          </cell>
          <cell r="E1769" t="str">
            <v>BLACK BRIDGE BREWERY (M)</v>
          </cell>
          <cell r="F1769" t="str">
            <v>3784</v>
          </cell>
          <cell r="G1769">
            <v>5.75</v>
          </cell>
          <cell r="H1769">
            <v>1</v>
          </cell>
          <cell r="I1769" t="str">
            <v>202875</v>
          </cell>
          <cell r="L1769">
            <v>8</v>
          </cell>
          <cell r="M1769">
            <v>19.18</v>
          </cell>
        </row>
        <row r="1770">
          <cell r="C1770" t="str">
            <v>27033</v>
          </cell>
          <cell r="D1770" t="str">
            <v>BLACK BRIDGE WHEAT BURST</v>
          </cell>
          <cell r="E1770" t="str">
            <v>BLACK BRIDGE BREWERY (M)</v>
          </cell>
          <cell r="F1770" t="str">
            <v>1892</v>
          </cell>
          <cell r="G1770">
            <v>5</v>
          </cell>
          <cell r="H1770">
            <v>6</v>
          </cell>
          <cell r="I1770" t="str">
            <v>202875</v>
          </cell>
          <cell r="L1770">
            <v>4</v>
          </cell>
          <cell r="M1770">
            <v>11.03</v>
          </cell>
        </row>
        <row r="1771">
          <cell r="C1771" t="str">
            <v>48372</v>
          </cell>
          <cell r="D1771" t="str">
            <v>BLOOD BROTHERS BLOOD LIGHT</v>
          </cell>
          <cell r="E1771" t="str">
            <v>BLOOD BROTHERS BREWING (m)</v>
          </cell>
          <cell r="F1771" t="str">
            <v>473</v>
          </cell>
          <cell r="G1771">
            <v>4</v>
          </cell>
          <cell r="H1771">
            <v>24</v>
          </cell>
          <cell r="I1771" t="str">
            <v>205911</v>
          </cell>
          <cell r="L1771">
            <v>1</v>
          </cell>
          <cell r="M1771">
            <v>4.3099999999999996</v>
          </cell>
        </row>
        <row r="1772">
          <cell r="C1772" t="str">
            <v>34904</v>
          </cell>
          <cell r="D1772" t="str">
            <v>BRONC BEER</v>
          </cell>
          <cell r="E1772" t="str">
            <v>LAST SPIKE BREWING (m)</v>
          </cell>
          <cell r="F1772" t="str">
            <v>5325</v>
          </cell>
          <cell r="G1772">
            <v>5</v>
          </cell>
          <cell r="H1772">
            <v>1</v>
          </cell>
          <cell r="I1772" t="str">
            <v>130768</v>
          </cell>
          <cell r="L1772">
            <v>15</v>
          </cell>
          <cell r="M1772">
            <v>19.82</v>
          </cell>
        </row>
        <row r="1773">
          <cell r="C1773" t="str">
            <v>44097</v>
          </cell>
          <cell r="D1773" t="str">
            <v>CARLSBERG PILSNER</v>
          </cell>
          <cell r="E1773" t="str">
            <v>CARLSBERG CANADA WATERLOO BREWING LTD</v>
          </cell>
          <cell r="F1773" t="str">
            <v>1980</v>
          </cell>
          <cell r="G1773">
            <v>5</v>
          </cell>
          <cell r="H1773">
            <v>4</v>
          </cell>
          <cell r="I1773" t="str">
            <v>3274</v>
          </cell>
          <cell r="L1773">
            <v>6</v>
          </cell>
          <cell r="M1773">
            <v>14.1</v>
          </cell>
        </row>
        <row r="1774">
          <cell r="C1774" t="str">
            <v>44098</v>
          </cell>
          <cell r="D1774" t="str">
            <v>CARLSBERG PILSNER</v>
          </cell>
          <cell r="E1774" t="str">
            <v>CARLSBERG CANADA WATERLOO BREWING LTD</v>
          </cell>
          <cell r="F1774" t="str">
            <v>4260</v>
          </cell>
          <cell r="G1774">
            <v>5</v>
          </cell>
          <cell r="H1774">
            <v>1</v>
          </cell>
          <cell r="I1774" t="str">
            <v>3274</v>
          </cell>
          <cell r="L1774">
            <v>12</v>
          </cell>
          <cell r="M1774">
            <v>27.07</v>
          </cell>
        </row>
        <row r="1775">
          <cell r="C1775" t="str">
            <v>36272</v>
          </cell>
          <cell r="D1775" t="str">
            <v>CRACKED CANOE - MOOSEHEAD</v>
          </cell>
          <cell r="E1775" t="str">
            <v>MOOSEHEAD BREWERIES LIMITED</v>
          </cell>
          <cell r="F1775" t="str">
            <v>5325</v>
          </cell>
          <cell r="G1775">
            <v>3.5</v>
          </cell>
          <cell r="H1775">
            <v>1</v>
          </cell>
          <cell r="I1775" t="str">
            <v>3278</v>
          </cell>
          <cell r="L1775">
            <v>15</v>
          </cell>
          <cell r="M1775">
            <v>31.71</v>
          </cell>
        </row>
        <row r="1776">
          <cell r="C1776" t="str">
            <v>7661</v>
          </cell>
          <cell r="D1776" t="str">
            <v>CZECHVAR PREMIUM LAGER</v>
          </cell>
          <cell r="E1776" t="str">
            <v>BUDEJOVICKY BUDVAR</v>
          </cell>
          <cell r="F1776" t="str">
            <v>500</v>
          </cell>
          <cell r="G1776">
            <v>5</v>
          </cell>
          <cell r="H1776">
            <v>20</v>
          </cell>
          <cell r="I1776" t="str">
            <v>3308</v>
          </cell>
          <cell r="L1776">
            <v>1</v>
          </cell>
          <cell r="M1776">
            <v>3.5</v>
          </cell>
        </row>
        <row r="1777">
          <cell r="C1777" t="str">
            <v>44044</v>
          </cell>
          <cell r="D1777" t="str">
            <v>CZECHVAR PREMIUM LAGER</v>
          </cell>
          <cell r="E1777" t="str">
            <v>BUDEJOVICKY BUDVAR</v>
          </cell>
          <cell r="F1777" t="str">
            <v>2000</v>
          </cell>
          <cell r="G1777">
            <v>5</v>
          </cell>
          <cell r="H1777">
            <v>6</v>
          </cell>
          <cell r="I1777" t="str">
            <v>3308</v>
          </cell>
          <cell r="L1777">
            <v>4</v>
          </cell>
          <cell r="M1777">
            <v>12.39</v>
          </cell>
        </row>
        <row r="1778">
          <cell r="C1778" t="str">
            <v>2182</v>
          </cell>
          <cell r="D1778" t="str">
            <v>DAB ORIGINAL (GERMANY)</v>
          </cell>
          <cell r="E1778" t="str">
            <v>DORTMUNDER ACTIEN-BRAUEREI</v>
          </cell>
          <cell r="F1778" t="str">
            <v>500</v>
          </cell>
          <cell r="G1778">
            <v>5</v>
          </cell>
          <cell r="H1778">
            <v>24</v>
          </cell>
          <cell r="I1778" t="str">
            <v>128137</v>
          </cell>
          <cell r="L1778">
            <v>1</v>
          </cell>
          <cell r="M1778">
            <v>3.11</v>
          </cell>
        </row>
        <row r="1779">
          <cell r="C1779" t="str">
            <v>38281</v>
          </cell>
          <cell r="D1779" t="str">
            <v>DAS HEFE HEFEWEIZEN</v>
          </cell>
          <cell r="E1779" t="str">
            <v>SCREAMING RETRIEVER (m)</v>
          </cell>
          <cell r="F1779" t="str">
            <v>1892</v>
          </cell>
          <cell r="G1779">
            <v>5.2</v>
          </cell>
          <cell r="H1779">
            <v>6</v>
          </cell>
          <cell r="I1779" t="str">
            <v>206124</v>
          </cell>
          <cell r="L1779">
            <v>4</v>
          </cell>
          <cell r="M1779">
            <v>12.39</v>
          </cell>
        </row>
        <row r="1780">
          <cell r="C1780" t="str">
            <v>26723</v>
          </cell>
          <cell r="D1780" t="str">
            <v>DAURA DAMM</v>
          </cell>
          <cell r="E1780" t="str">
            <v>SA DAMM</v>
          </cell>
          <cell r="F1780" t="str">
            <v>1980</v>
          </cell>
          <cell r="G1780">
            <v>5.4</v>
          </cell>
          <cell r="H1780">
            <v>4</v>
          </cell>
          <cell r="I1780" t="str">
            <v>3308</v>
          </cell>
          <cell r="L1780">
            <v>6</v>
          </cell>
          <cell r="M1780">
            <v>19.489999999999998</v>
          </cell>
        </row>
        <row r="1781">
          <cell r="C1781" t="str">
            <v>29861</v>
          </cell>
          <cell r="D1781" t="str">
            <v>DRIFTWOOD BREWING FAT TUG IPA</v>
          </cell>
          <cell r="E1781" t="str">
            <v>DRIFTWOOD BREWING COMPANY (R)</v>
          </cell>
          <cell r="F1781" t="str">
            <v>1892</v>
          </cell>
          <cell r="G1781">
            <v>7</v>
          </cell>
          <cell r="H1781">
            <v>6</v>
          </cell>
          <cell r="I1781" t="str">
            <v>170994</v>
          </cell>
          <cell r="L1781">
            <v>4</v>
          </cell>
          <cell r="M1781">
            <v>11.83</v>
          </cell>
        </row>
        <row r="1782">
          <cell r="C1782" t="str">
            <v>7682</v>
          </cell>
          <cell r="D1782" t="str">
            <v>DUVEL</v>
          </cell>
          <cell r="E1782" t="str">
            <v>DUVEL MOORTGAT</v>
          </cell>
          <cell r="F1782" t="str">
            <v>330</v>
          </cell>
          <cell r="G1782">
            <v>8.5</v>
          </cell>
          <cell r="H1782">
            <v>24</v>
          </cell>
          <cell r="I1782" t="str">
            <v>3276</v>
          </cell>
          <cell r="L1782">
            <v>1</v>
          </cell>
          <cell r="M1782">
            <v>5.89</v>
          </cell>
        </row>
        <row r="1783">
          <cell r="C1783" t="str">
            <v>36273</v>
          </cell>
          <cell r="D1783" t="str">
            <v>ERDINGER WEISSBIER</v>
          </cell>
          <cell r="E1783" t="str">
            <v>ERDINGER WEISSBRAU</v>
          </cell>
          <cell r="F1783" t="str">
            <v>2000</v>
          </cell>
          <cell r="G1783">
            <v>5.3</v>
          </cell>
          <cell r="H1783">
            <v>6</v>
          </cell>
          <cell r="I1783" t="str">
            <v>124693</v>
          </cell>
          <cell r="L1783">
            <v>4</v>
          </cell>
          <cell r="M1783">
            <v>17.03</v>
          </cell>
        </row>
        <row r="1784">
          <cell r="C1784" t="str">
            <v>7473</v>
          </cell>
          <cell r="D1784" t="str">
            <v>ERDINGER WEISSBIER (GERMANY)</v>
          </cell>
          <cell r="E1784" t="str">
            <v>ERDINGER WEISSBRAU</v>
          </cell>
          <cell r="F1784" t="str">
            <v>500</v>
          </cell>
          <cell r="G1784">
            <v>5.3</v>
          </cell>
          <cell r="H1784">
            <v>12</v>
          </cell>
          <cell r="I1784" t="str">
            <v>124693</v>
          </cell>
          <cell r="L1784">
            <v>1</v>
          </cell>
          <cell r="M1784">
            <v>4.5999999999999996</v>
          </cell>
        </row>
        <row r="1785">
          <cell r="C1785" t="str">
            <v>7669</v>
          </cell>
          <cell r="D1785" t="str">
            <v>ERDINGER WEISSBIER DUNKEL</v>
          </cell>
          <cell r="E1785" t="str">
            <v>ERDINGER WEISSBRAU</v>
          </cell>
          <cell r="F1785" t="str">
            <v>500</v>
          </cell>
          <cell r="G1785">
            <v>5.6</v>
          </cell>
          <cell r="H1785">
            <v>12</v>
          </cell>
          <cell r="I1785" t="str">
            <v>124693</v>
          </cell>
          <cell r="L1785">
            <v>1</v>
          </cell>
          <cell r="M1785">
            <v>4.7</v>
          </cell>
        </row>
        <row r="1786">
          <cell r="C1786" t="str">
            <v>7503</v>
          </cell>
          <cell r="D1786" t="str">
            <v>ESTRELLA DAMM (SPAIN)</v>
          </cell>
          <cell r="E1786" t="str">
            <v>SA DAMM</v>
          </cell>
          <cell r="F1786" t="str">
            <v>500</v>
          </cell>
          <cell r="G1786">
            <v>5.4</v>
          </cell>
          <cell r="H1786">
            <v>24</v>
          </cell>
          <cell r="I1786" t="str">
            <v>3308</v>
          </cell>
          <cell r="L1786">
            <v>1</v>
          </cell>
          <cell r="M1786">
            <v>3.03</v>
          </cell>
        </row>
        <row r="1787">
          <cell r="C1787" t="str">
            <v>47431</v>
          </cell>
          <cell r="D1787" t="str">
            <v>EVERYTHING IS COMING UP MILLHOUSE</v>
          </cell>
          <cell r="E1787" t="str">
            <v>1037112 BC LTD dba BACKCOUNTRY BREW (m)</v>
          </cell>
          <cell r="F1787" t="str">
            <v>1892</v>
          </cell>
          <cell r="G1787">
            <v>6.5</v>
          </cell>
          <cell r="H1787">
            <v>6</v>
          </cell>
          <cell r="I1787" t="str">
            <v>205911</v>
          </cell>
          <cell r="L1787">
            <v>4</v>
          </cell>
          <cell r="M1787">
            <v>21.45</v>
          </cell>
        </row>
        <row r="1788">
          <cell r="C1788" t="str">
            <v>26422</v>
          </cell>
          <cell r="D1788" t="str">
            <v>FERNIE BREWING HOP TRICK MIXER SIXER</v>
          </cell>
          <cell r="E1788" t="str">
            <v>FERNIE BREWING COMPANY (R)</v>
          </cell>
          <cell r="F1788" t="str">
            <v>2130</v>
          </cell>
          <cell r="G1788">
            <v>5.5</v>
          </cell>
          <cell r="H1788">
            <v>4</v>
          </cell>
          <cell r="I1788" t="str">
            <v>138569</v>
          </cell>
          <cell r="L1788">
            <v>6</v>
          </cell>
          <cell r="M1788">
            <v>14.03</v>
          </cell>
        </row>
        <row r="1789">
          <cell r="C1789" t="str">
            <v>18689</v>
          </cell>
          <cell r="D1789" t="str">
            <v>FERNIE CRAFT COLLECTION</v>
          </cell>
          <cell r="E1789" t="str">
            <v>FERNIE BREWING COMPANY (R)</v>
          </cell>
          <cell r="F1789" t="str">
            <v>4260</v>
          </cell>
          <cell r="G1789">
            <v>4.9800000000000004</v>
          </cell>
          <cell r="H1789">
            <v>2</v>
          </cell>
          <cell r="I1789" t="str">
            <v>138569</v>
          </cell>
          <cell r="L1789">
            <v>12</v>
          </cell>
          <cell r="M1789">
            <v>23.46</v>
          </cell>
        </row>
        <row r="1790">
          <cell r="C1790" t="str">
            <v>29023</v>
          </cell>
          <cell r="D1790" t="str">
            <v>FERNIE HIT THE DECK HAZY IPA</v>
          </cell>
          <cell r="E1790" t="str">
            <v>FERNIE BREWING COMPANY (R)</v>
          </cell>
          <cell r="F1790" t="str">
            <v>2130</v>
          </cell>
          <cell r="G1790">
            <v>6.4</v>
          </cell>
          <cell r="H1790">
            <v>4</v>
          </cell>
          <cell r="I1790" t="str">
            <v>138569</v>
          </cell>
          <cell r="L1790">
            <v>6</v>
          </cell>
          <cell r="M1790">
            <v>14.03</v>
          </cell>
        </row>
        <row r="1791">
          <cell r="C1791" t="str">
            <v>20926</v>
          </cell>
          <cell r="D1791" t="str">
            <v>FRULI STRAWBERRY  BEER (BELGIUM)</v>
          </cell>
          <cell r="E1791" t="str">
            <v>BROUWERIJ L. HUYGHE NV (m)</v>
          </cell>
          <cell r="F1791" t="str">
            <v>1320</v>
          </cell>
          <cell r="G1791">
            <v>4.0999999999999996</v>
          </cell>
          <cell r="H1791">
            <v>6</v>
          </cell>
          <cell r="I1791" t="str">
            <v>124693</v>
          </cell>
          <cell r="L1791">
            <v>4</v>
          </cell>
          <cell r="M1791">
            <v>15.48</v>
          </cell>
        </row>
        <row r="1792">
          <cell r="C1792" t="str">
            <v>7375</v>
          </cell>
          <cell r="D1792" t="str">
            <v>GROLSCH LAGER</v>
          </cell>
          <cell r="E1792" t="str">
            <v>GROLSCH INTERNATIONAL</v>
          </cell>
          <cell r="F1792" t="str">
            <v>1980</v>
          </cell>
          <cell r="G1792">
            <v>5</v>
          </cell>
          <cell r="H1792">
            <v>4</v>
          </cell>
          <cell r="I1792" t="str">
            <v>206048</v>
          </cell>
          <cell r="L1792">
            <v>6</v>
          </cell>
          <cell r="M1792">
            <v>13.89</v>
          </cell>
        </row>
        <row r="1793">
          <cell r="C1793" t="str">
            <v>41052</v>
          </cell>
          <cell r="D1793" t="str">
            <v>GROLSCH PREMIUM PILSNER</v>
          </cell>
          <cell r="E1793" t="str">
            <v>GROLSCH INTERNATIONAL</v>
          </cell>
          <cell r="F1793" t="str">
            <v>473</v>
          </cell>
          <cell r="G1793">
            <v>5</v>
          </cell>
          <cell r="H1793">
            <v>24</v>
          </cell>
          <cell r="I1793" t="str">
            <v>206048</v>
          </cell>
          <cell r="L1793">
            <v>1</v>
          </cell>
          <cell r="M1793">
            <v>3.08</v>
          </cell>
        </row>
        <row r="1794">
          <cell r="C1794" t="str">
            <v>43941</v>
          </cell>
          <cell r="D1794" t="str">
            <v>GROLSCH PREMIUM PILSNER</v>
          </cell>
          <cell r="E1794" t="str">
            <v>ANGOVE'S PTY LTD</v>
          </cell>
          <cell r="F1794" t="str">
            <v>2838</v>
          </cell>
          <cell r="G1794">
            <v>5</v>
          </cell>
          <cell r="H1794">
            <v>4</v>
          </cell>
          <cell r="I1794" t="str">
            <v>206048</v>
          </cell>
          <cell r="L1794">
            <v>6</v>
          </cell>
          <cell r="M1794">
            <v>13.43</v>
          </cell>
        </row>
        <row r="1795">
          <cell r="C1795" t="str">
            <v>28177</v>
          </cell>
          <cell r="D1795" t="str">
            <v>INNIS &amp; GUNN CARIBBEAN RUM CASK</v>
          </cell>
          <cell r="E1795" t="str">
            <v>THE INNIS &amp; GUNN BREWING COMPANY LTD (m)</v>
          </cell>
          <cell r="F1795" t="str">
            <v>1980</v>
          </cell>
          <cell r="G1795">
            <v>6.8</v>
          </cell>
          <cell r="H1795">
            <v>4</v>
          </cell>
          <cell r="I1795" t="str">
            <v>3243</v>
          </cell>
          <cell r="L1795">
            <v>6</v>
          </cell>
          <cell r="M1795">
            <v>15.2</v>
          </cell>
        </row>
        <row r="1796">
          <cell r="C1796" t="str">
            <v>46247</v>
          </cell>
          <cell r="D1796" t="str">
            <v>INNIS &amp; GUNN CHERRYWOOD</v>
          </cell>
          <cell r="E1796" t="str">
            <v>THE INNIS &amp; GUNN BREWING COMPANY LTD (m)</v>
          </cell>
          <cell r="F1796" t="str">
            <v>500</v>
          </cell>
          <cell r="G1796">
            <v>7.1</v>
          </cell>
          <cell r="H1796">
            <v>12</v>
          </cell>
          <cell r="I1796" t="str">
            <v>3243</v>
          </cell>
          <cell r="L1796">
            <v>1</v>
          </cell>
          <cell r="M1796">
            <v>9.17</v>
          </cell>
        </row>
        <row r="1797">
          <cell r="C1797" t="str">
            <v>20658</v>
          </cell>
          <cell r="D1797" t="str">
            <v>INNIS &amp; GUNN ORIGINAL</v>
          </cell>
          <cell r="E1797" t="str">
            <v>THE INNIS &amp; GUNN BREWING COMPANY LTD (m)</v>
          </cell>
          <cell r="F1797" t="str">
            <v>500</v>
          </cell>
          <cell r="G1797">
            <v>6.6</v>
          </cell>
          <cell r="H1797">
            <v>24</v>
          </cell>
          <cell r="I1797" t="str">
            <v>3243</v>
          </cell>
          <cell r="L1797">
            <v>1</v>
          </cell>
          <cell r="M1797">
            <v>3.44</v>
          </cell>
        </row>
        <row r="1798">
          <cell r="C1798" t="str">
            <v>25819</v>
          </cell>
          <cell r="D1798" t="str">
            <v>INNIS &amp; GUNN THE ORIGINAL</v>
          </cell>
          <cell r="E1798" t="str">
            <v>THE INNIS &amp; GUNN BREWING COMPANY LTD (m)</v>
          </cell>
          <cell r="F1798" t="str">
            <v>1980</v>
          </cell>
          <cell r="G1798">
            <v>6.6</v>
          </cell>
          <cell r="H1798">
            <v>4</v>
          </cell>
          <cell r="I1798" t="str">
            <v>3243</v>
          </cell>
          <cell r="L1798">
            <v>6</v>
          </cell>
          <cell r="M1798">
            <v>15.2</v>
          </cell>
        </row>
        <row r="1799">
          <cell r="C1799" t="str">
            <v>8636</v>
          </cell>
          <cell r="D1799" t="str">
            <v>KOZEL BEER</v>
          </cell>
          <cell r="E1799" t="str">
            <v>PLZENSKY PRAZDDROJ</v>
          </cell>
          <cell r="F1799" t="str">
            <v>500</v>
          </cell>
          <cell r="G1799">
            <v>4.5999999999999996</v>
          </cell>
          <cell r="H1799">
            <v>24</v>
          </cell>
          <cell r="I1799" t="str">
            <v>206048</v>
          </cell>
          <cell r="L1799">
            <v>1</v>
          </cell>
          <cell r="M1799">
            <v>3.08</v>
          </cell>
        </row>
        <row r="1800">
          <cell r="C1800" t="str">
            <v>44099</v>
          </cell>
          <cell r="D1800" t="str">
            <v>KRONENBOURG 1664 BLANC</v>
          </cell>
          <cell r="E1800" t="str">
            <v>CARLSBERG CANADA WATERLOO BREWING LTD</v>
          </cell>
          <cell r="F1800" t="str">
            <v>1980</v>
          </cell>
          <cell r="G1800">
            <v>5</v>
          </cell>
          <cell r="H1800">
            <v>4</v>
          </cell>
          <cell r="I1800" t="str">
            <v>3274</v>
          </cell>
          <cell r="L1800">
            <v>6</v>
          </cell>
          <cell r="M1800">
            <v>16.3</v>
          </cell>
        </row>
        <row r="1801">
          <cell r="C1801" t="str">
            <v>44096</v>
          </cell>
          <cell r="D1801" t="str">
            <v>KRONENBOURG 1664 BLANC</v>
          </cell>
          <cell r="E1801" t="str">
            <v>CARLSBERG CANADA WATERLOO BREWING LTD</v>
          </cell>
          <cell r="F1801" t="str">
            <v>3960</v>
          </cell>
          <cell r="G1801">
            <v>5</v>
          </cell>
          <cell r="H1801">
            <v>1</v>
          </cell>
          <cell r="I1801" t="str">
            <v>3274</v>
          </cell>
          <cell r="L1801">
            <v>12</v>
          </cell>
          <cell r="M1801">
            <v>31.57</v>
          </cell>
        </row>
        <row r="1802">
          <cell r="C1802" t="str">
            <v>14609</v>
          </cell>
          <cell r="D1802" t="str">
            <v>KRONENBOURG 1664 BLANC</v>
          </cell>
          <cell r="E1802" t="str">
            <v>BRASSERIES KRONENBOURG</v>
          </cell>
          <cell r="F1802" t="str">
            <v>30000</v>
          </cell>
          <cell r="G1802">
            <v>5</v>
          </cell>
          <cell r="H1802">
            <v>1</v>
          </cell>
          <cell r="I1802" t="str">
            <v>3274</v>
          </cell>
          <cell r="L1802">
            <v>1</v>
          </cell>
          <cell r="M1802">
            <v>186.6</v>
          </cell>
        </row>
        <row r="1803">
          <cell r="C1803" t="str">
            <v>43543</v>
          </cell>
          <cell r="D1803" t="str">
            <v>KRONENBOURG 1664 CELEBRATION PACK</v>
          </cell>
          <cell r="E1803" t="str">
            <v>CARLSBERG CANADA WATERLOO BREWING LTD</v>
          </cell>
          <cell r="F1803" t="str">
            <v>2130</v>
          </cell>
          <cell r="G1803">
            <v>5</v>
          </cell>
          <cell r="H1803">
            <v>4</v>
          </cell>
          <cell r="I1803" t="str">
            <v>3274</v>
          </cell>
          <cell r="L1803">
            <v>6</v>
          </cell>
          <cell r="M1803">
            <v>16.100000000000001</v>
          </cell>
        </row>
        <row r="1804">
          <cell r="C1804" t="str">
            <v>9026</v>
          </cell>
          <cell r="D1804" t="str">
            <v>LA CHOUFFE GOLDEN ALE</v>
          </cell>
          <cell r="E1804" t="str">
            <v>DUVEL MOORTGAT</v>
          </cell>
          <cell r="F1804" t="str">
            <v>330</v>
          </cell>
          <cell r="G1804">
            <v>8</v>
          </cell>
          <cell r="H1804">
            <v>24</v>
          </cell>
          <cell r="I1804" t="str">
            <v>3276</v>
          </cell>
          <cell r="L1804">
            <v>1</v>
          </cell>
          <cell r="M1804">
            <v>5.89</v>
          </cell>
        </row>
        <row r="1805">
          <cell r="C1805" t="str">
            <v>24842</v>
          </cell>
          <cell r="D1805" t="str">
            <v>LANDSHARK PREMIUM LAGER</v>
          </cell>
          <cell r="E1805" t="str">
            <v>CARLSBERG CANADA WATERLOO BREWING LTD</v>
          </cell>
          <cell r="F1805" t="str">
            <v>2838</v>
          </cell>
          <cell r="G1805">
            <v>4.5999999999999996</v>
          </cell>
          <cell r="H1805">
            <v>4</v>
          </cell>
          <cell r="I1805" t="str">
            <v>128241</v>
          </cell>
          <cell r="L1805">
            <v>6</v>
          </cell>
          <cell r="M1805">
            <v>18.45</v>
          </cell>
        </row>
        <row r="1806">
          <cell r="C1806" t="str">
            <v>36276</v>
          </cell>
          <cell r="D1806" t="str">
            <v>LANDSHARK PREMIUM LAGER</v>
          </cell>
          <cell r="E1806" t="str">
            <v>CARLSBERG CANADA WATERLOO BREWING LTD</v>
          </cell>
          <cell r="F1806" t="str">
            <v>5325</v>
          </cell>
          <cell r="G1806">
            <v>4.5999999999999996</v>
          </cell>
          <cell r="H1806">
            <v>1</v>
          </cell>
          <cell r="I1806" t="str">
            <v>3274</v>
          </cell>
          <cell r="L1806">
            <v>15</v>
          </cell>
          <cell r="M1806">
            <v>27.55</v>
          </cell>
        </row>
        <row r="1807">
          <cell r="C1807" t="str">
            <v>12913</v>
          </cell>
          <cell r="D1807" t="str">
            <v>LIEFMANS FRUIT KEG</v>
          </cell>
          <cell r="E1807" t="str">
            <v>DUVEL MOORTGAT</v>
          </cell>
          <cell r="F1807" t="str">
            <v>20000</v>
          </cell>
          <cell r="G1807">
            <v>3.8</v>
          </cell>
          <cell r="H1807">
            <v>1</v>
          </cell>
          <cell r="I1807" t="str">
            <v>128137</v>
          </cell>
          <cell r="L1807">
            <v>1</v>
          </cell>
          <cell r="M1807">
            <v>166.39</v>
          </cell>
        </row>
        <row r="1808">
          <cell r="C1808" t="str">
            <v>14545</v>
          </cell>
          <cell r="D1808" t="str">
            <v>LIEFMANS FRUITESSE</v>
          </cell>
          <cell r="E1808" t="str">
            <v>BROUWERIF LIEFMANS</v>
          </cell>
          <cell r="F1808" t="str">
            <v>250</v>
          </cell>
          <cell r="G1808">
            <v>3.8</v>
          </cell>
          <cell r="H1808">
            <v>24</v>
          </cell>
          <cell r="I1808" t="str">
            <v>128137</v>
          </cell>
          <cell r="L1808">
            <v>1</v>
          </cell>
          <cell r="M1808">
            <v>3.36</v>
          </cell>
        </row>
        <row r="1809">
          <cell r="C1809" t="str">
            <v>40340</v>
          </cell>
          <cell r="D1809" t="str">
            <v>METAS KINETIC LAGER</v>
          </cell>
          <cell r="E1809" t="str">
            <v>META BREWING CORP</v>
          </cell>
          <cell r="F1809" t="str">
            <v>5325</v>
          </cell>
          <cell r="G1809">
            <v>5</v>
          </cell>
          <cell r="H1809">
            <v>1</v>
          </cell>
          <cell r="I1809" t="str">
            <v>206155</v>
          </cell>
          <cell r="L1809">
            <v>15</v>
          </cell>
          <cell r="M1809">
            <v>24.93</v>
          </cell>
        </row>
        <row r="1810">
          <cell r="C1810" t="str">
            <v>41048</v>
          </cell>
          <cell r="D1810" t="str">
            <v>MOOSEHEAD CHELADA</v>
          </cell>
          <cell r="E1810" t="str">
            <v>MOOSEHEAD BREWERIES LIMITED</v>
          </cell>
          <cell r="F1810" t="str">
            <v>4260</v>
          </cell>
          <cell r="G1810">
            <v>4</v>
          </cell>
          <cell r="H1810">
            <v>1</v>
          </cell>
          <cell r="I1810" t="str">
            <v>3278</v>
          </cell>
          <cell r="L1810">
            <v>12</v>
          </cell>
          <cell r="M1810">
            <v>27.05</v>
          </cell>
        </row>
        <row r="1811">
          <cell r="C1811" t="str">
            <v>7324</v>
          </cell>
          <cell r="D1811" t="str">
            <v>MOOSEHEAD LAGER</v>
          </cell>
          <cell r="E1811" t="str">
            <v>MOOSEHEAD BREWERIES LIMITED</v>
          </cell>
          <cell r="F1811" t="str">
            <v>4092</v>
          </cell>
          <cell r="G1811">
            <v>5</v>
          </cell>
          <cell r="H1811">
            <v>1</v>
          </cell>
          <cell r="I1811" t="str">
            <v>3278</v>
          </cell>
          <cell r="L1811">
            <v>12</v>
          </cell>
          <cell r="M1811">
            <v>25.56</v>
          </cell>
        </row>
        <row r="1812">
          <cell r="C1812" t="str">
            <v>7209</v>
          </cell>
          <cell r="D1812" t="str">
            <v>MOOSEHEAD LAGER</v>
          </cell>
          <cell r="E1812" t="str">
            <v>MOOSEHEAD BREWERIES LIMITED</v>
          </cell>
          <cell r="F1812" t="str">
            <v>5325</v>
          </cell>
          <cell r="G1812">
            <v>5</v>
          </cell>
          <cell r="H1812">
            <v>1</v>
          </cell>
          <cell r="I1812" t="str">
            <v>3278</v>
          </cell>
          <cell r="L1812">
            <v>15</v>
          </cell>
          <cell r="M1812">
            <v>31.71</v>
          </cell>
        </row>
        <row r="1813">
          <cell r="C1813" t="str">
            <v>31197</v>
          </cell>
          <cell r="D1813" t="str">
            <v>MOOSEHEAD LAGER</v>
          </cell>
          <cell r="E1813" t="str">
            <v>MOOSEHEAD BREWERIES LIMITED</v>
          </cell>
          <cell r="F1813" t="str">
            <v>8520</v>
          </cell>
          <cell r="G1813">
            <v>5</v>
          </cell>
          <cell r="H1813">
            <v>1</v>
          </cell>
          <cell r="I1813" t="str">
            <v>3278</v>
          </cell>
          <cell r="L1813">
            <v>24</v>
          </cell>
          <cell r="M1813">
            <v>47.03</v>
          </cell>
        </row>
        <row r="1814">
          <cell r="C1814" t="str">
            <v>7963</v>
          </cell>
          <cell r="D1814" t="str">
            <v>MOOSEHEAD LAGER</v>
          </cell>
          <cell r="E1814" t="str">
            <v>MOOSEHEAD BREWERIES LIMITED</v>
          </cell>
          <cell r="F1814" t="str">
            <v>50000</v>
          </cell>
          <cell r="G1814">
            <v>5</v>
          </cell>
          <cell r="H1814">
            <v>1</v>
          </cell>
          <cell r="I1814" t="str">
            <v>3278</v>
          </cell>
          <cell r="L1814">
            <v>1</v>
          </cell>
          <cell r="M1814">
            <v>231.99</v>
          </cell>
        </row>
        <row r="1815">
          <cell r="C1815" t="str">
            <v>28690</v>
          </cell>
          <cell r="D1815" t="str">
            <v>MOOSEHEAD RADLER</v>
          </cell>
          <cell r="E1815" t="str">
            <v>MOOSEHEAD BREWERIES LIMITED</v>
          </cell>
          <cell r="F1815" t="str">
            <v>473</v>
          </cell>
          <cell r="G1815">
            <v>4</v>
          </cell>
          <cell r="H1815">
            <v>24</v>
          </cell>
          <cell r="I1815" t="str">
            <v>3278</v>
          </cell>
          <cell r="L1815">
            <v>1</v>
          </cell>
          <cell r="M1815">
            <v>3.4</v>
          </cell>
        </row>
        <row r="1816">
          <cell r="C1816" t="str">
            <v>26508</v>
          </cell>
          <cell r="D1816" t="str">
            <v>MOOSEHEAD RADLER</v>
          </cell>
          <cell r="E1816" t="str">
            <v>MOOSEHEAD BREWERIES LIMITED</v>
          </cell>
          <cell r="F1816" t="str">
            <v>4260</v>
          </cell>
          <cell r="G1816">
            <v>4</v>
          </cell>
          <cell r="H1816">
            <v>1</v>
          </cell>
          <cell r="I1816" t="str">
            <v>3278</v>
          </cell>
          <cell r="L1816">
            <v>12</v>
          </cell>
          <cell r="M1816">
            <v>27.07</v>
          </cell>
        </row>
        <row r="1817">
          <cell r="C1817" t="str">
            <v>47432</v>
          </cell>
          <cell r="D1817" t="str">
            <v>NINE LOCKS VANILLA PORTER</v>
          </cell>
          <cell r="E1817" t="str">
            <v>NINE LOCKS BREWING (m)</v>
          </cell>
          <cell r="F1817" t="str">
            <v>473</v>
          </cell>
          <cell r="G1817">
            <v>5</v>
          </cell>
          <cell r="H1817">
            <v>24</v>
          </cell>
          <cell r="I1817" t="str">
            <v>169068</v>
          </cell>
          <cell r="L1817">
            <v>1</v>
          </cell>
          <cell r="M1817">
            <v>4.2699999999999996</v>
          </cell>
        </row>
        <row r="1818">
          <cell r="C1818" t="str">
            <v>7688</v>
          </cell>
          <cell r="D1818" t="str">
            <v>PERONI NASTRO AZZURRO  (ITALY)</v>
          </cell>
          <cell r="E1818" t="str">
            <v>BIRRA PERONI</v>
          </cell>
          <cell r="F1818" t="str">
            <v>1980</v>
          </cell>
          <cell r="G1818">
            <v>5.0999999999999996</v>
          </cell>
          <cell r="H1818">
            <v>4</v>
          </cell>
          <cell r="I1818" t="str">
            <v>206048</v>
          </cell>
          <cell r="L1818">
            <v>6</v>
          </cell>
          <cell r="M1818">
            <v>16.440000000000001</v>
          </cell>
        </row>
        <row r="1819">
          <cell r="C1819" t="str">
            <v>38891</v>
          </cell>
          <cell r="D1819" t="str">
            <v>PHILLIPS DINOSOUR JURASSIC PACK MIX</v>
          </cell>
          <cell r="E1819" t="str">
            <v>PHILLIPS BREWING COMPANY (m)</v>
          </cell>
          <cell r="F1819" t="str">
            <v>3784</v>
          </cell>
          <cell r="G1819">
            <v>5.2</v>
          </cell>
          <cell r="H1819">
            <v>3</v>
          </cell>
          <cell r="I1819" t="str">
            <v>128221</v>
          </cell>
          <cell r="L1819">
            <v>8</v>
          </cell>
          <cell r="M1819">
            <v>24.57</v>
          </cell>
        </row>
        <row r="1820">
          <cell r="C1820" t="str">
            <v>7376</v>
          </cell>
          <cell r="D1820" t="str">
            <v>PILSNER URQUELL (CZECH REPUBLIC)</v>
          </cell>
          <cell r="E1820" t="str">
            <v>PLZENSKY PRAZDDROJ</v>
          </cell>
          <cell r="F1820" t="str">
            <v>1980</v>
          </cell>
          <cell r="G1820">
            <v>4.4000000000000004</v>
          </cell>
          <cell r="H1820">
            <v>4</v>
          </cell>
          <cell r="I1820" t="str">
            <v>206048</v>
          </cell>
          <cell r="L1820">
            <v>6</v>
          </cell>
          <cell r="M1820">
            <v>16.440000000000001</v>
          </cell>
        </row>
        <row r="1821">
          <cell r="C1821" t="str">
            <v>6180</v>
          </cell>
          <cell r="D1821" t="str">
            <v>RADEBERGER PILSNER</v>
          </cell>
          <cell r="E1821" t="str">
            <v>RADEBERGER GRUPPE KG</v>
          </cell>
          <cell r="F1821" t="str">
            <v>500</v>
          </cell>
          <cell r="G1821">
            <v>4.8</v>
          </cell>
          <cell r="H1821">
            <v>24</v>
          </cell>
          <cell r="I1821" t="str">
            <v>128137</v>
          </cell>
          <cell r="L1821">
            <v>1</v>
          </cell>
          <cell r="M1821">
            <v>3.11</v>
          </cell>
        </row>
        <row r="1822">
          <cell r="C1822" t="str">
            <v>6717</v>
          </cell>
          <cell r="D1822" t="str">
            <v>RED STRIPE</v>
          </cell>
          <cell r="E1822" t="str">
            <v>HEINEKEN BROUWERIJEN</v>
          </cell>
          <cell r="F1822" t="str">
            <v>1980</v>
          </cell>
          <cell r="G1822">
            <v>4.7</v>
          </cell>
          <cell r="H1822">
            <v>4</v>
          </cell>
          <cell r="I1822" t="str">
            <v>194112</v>
          </cell>
          <cell r="L1822">
            <v>6</v>
          </cell>
          <cell r="M1822">
            <v>15.54</v>
          </cell>
        </row>
        <row r="1823">
          <cell r="C1823" t="str">
            <v>15186</v>
          </cell>
          <cell r="D1823" t="str">
            <v>ROYAL JAMAICAN GINGER BEER</v>
          </cell>
          <cell r="E1823" t="str">
            <v>RJ RUMS AND SPIRITS LTD</v>
          </cell>
          <cell r="F1823" t="str">
            <v>2130</v>
          </cell>
          <cell r="G1823">
            <v>4.4000000000000004</v>
          </cell>
          <cell r="H1823">
            <v>4</v>
          </cell>
          <cell r="I1823" t="str">
            <v>3320</v>
          </cell>
          <cell r="L1823">
            <v>6</v>
          </cell>
          <cell r="M1823">
            <v>18.2</v>
          </cell>
        </row>
        <row r="1824">
          <cell r="C1824" t="str">
            <v>38283</v>
          </cell>
          <cell r="D1824" t="str">
            <v>SILKY SIDE-STEP STOUT</v>
          </cell>
          <cell r="E1824" t="str">
            <v>SCREAMING RETRIEVER (m)</v>
          </cell>
          <cell r="F1824" t="str">
            <v>1892</v>
          </cell>
          <cell r="G1824">
            <v>6.1</v>
          </cell>
          <cell r="H1824">
            <v>6</v>
          </cell>
          <cell r="I1824" t="str">
            <v>206124</v>
          </cell>
          <cell r="L1824">
            <v>4</v>
          </cell>
          <cell r="M1824">
            <v>12.39</v>
          </cell>
        </row>
        <row r="1825">
          <cell r="C1825" t="str">
            <v>28623</v>
          </cell>
          <cell r="D1825" t="str">
            <v>SNEAKY WEASEL CRAFT LAGER</v>
          </cell>
          <cell r="E1825" t="str">
            <v>NORTHAM BREWERY (R)</v>
          </cell>
          <cell r="F1825" t="str">
            <v>5325</v>
          </cell>
          <cell r="G1825">
            <v>5.6</v>
          </cell>
          <cell r="H1825">
            <v>1</v>
          </cell>
          <cell r="I1825" t="str">
            <v>137744</v>
          </cell>
          <cell r="L1825">
            <v>15</v>
          </cell>
          <cell r="M1825">
            <v>18.18</v>
          </cell>
        </row>
        <row r="1826">
          <cell r="C1826" t="str">
            <v>34426</v>
          </cell>
          <cell r="D1826" t="str">
            <v>SNEAKY WEASEL CRAFT LAGER</v>
          </cell>
          <cell r="E1826" t="str">
            <v>NORTHAM BREWERY (R)</v>
          </cell>
          <cell r="F1826" t="str">
            <v>8520</v>
          </cell>
          <cell r="G1826">
            <v>5.6</v>
          </cell>
          <cell r="H1826">
            <v>1</v>
          </cell>
          <cell r="I1826" t="str">
            <v>137744</v>
          </cell>
          <cell r="L1826">
            <v>24</v>
          </cell>
          <cell r="M1826">
            <v>30.24</v>
          </cell>
        </row>
        <row r="1827">
          <cell r="C1827" t="str">
            <v>45644</v>
          </cell>
          <cell r="D1827" t="str">
            <v>SNEAKY WEASEL CRAFT LAGER KING CAN</v>
          </cell>
          <cell r="E1827" t="str">
            <v>NORTHAM BREWERY (R)</v>
          </cell>
          <cell r="F1827" t="str">
            <v>710</v>
          </cell>
          <cell r="G1827">
            <v>5.6</v>
          </cell>
          <cell r="H1827">
            <v>12</v>
          </cell>
          <cell r="I1827" t="str">
            <v>137744</v>
          </cell>
          <cell r="L1827">
            <v>1</v>
          </cell>
          <cell r="M1827">
            <v>2.99</v>
          </cell>
        </row>
        <row r="1828">
          <cell r="C1828" t="str">
            <v>28751</v>
          </cell>
          <cell r="D1828" t="str">
            <v>STIEGL GRAPEFRUIT RADLER</v>
          </cell>
          <cell r="E1828" t="str">
            <v>STIEGL BRAUEREI</v>
          </cell>
          <cell r="F1828" t="str">
            <v>2000</v>
          </cell>
          <cell r="G1828">
            <v>2.5</v>
          </cell>
          <cell r="H1828">
            <v>6</v>
          </cell>
          <cell r="I1828" t="str">
            <v>124693</v>
          </cell>
          <cell r="L1828">
            <v>4</v>
          </cell>
          <cell r="M1828">
            <v>15.49</v>
          </cell>
        </row>
        <row r="1829">
          <cell r="C1829" t="str">
            <v>8631</v>
          </cell>
          <cell r="D1829" t="str">
            <v>STIEGL LAGER (AUSTRIA)</v>
          </cell>
          <cell r="E1829" t="str">
            <v>STIEGL BRAUEREI</v>
          </cell>
          <cell r="F1829" t="str">
            <v>500</v>
          </cell>
          <cell r="G1829">
            <v>5.0999999999999996</v>
          </cell>
          <cell r="H1829">
            <v>24</v>
          </cell>
          <cell r="I1829" t="str">
            <v>124693</v>
          </cell>
          <cell r="L1829">
            <v>1</v>
          </cell>
          <cell r="M1829">
            <v>3.86</v>
          </cell>
        </row>
        <row r="1830">
          <cell r="C1830" t="str">
            <v>36282</v>
          </cell>
          <cell r="D1830" t="str">
            <v>STIEGL RASPBERRY RADLER HIMBEERE</v>
          </cell>
          <cell r="E1830" t="str">
            <v>STIEGL BRAUEREI</v>
          </cell>
          <cell r="F1830" t="str">
            <v>500</v>
          </cell>
          <cell r="G1830">
            <v>2.5</v>
          </cell>
          <cell r="H1830">
            <v>24</v>
          </cell>
          <cell r="I1830" t="str">
            <v>124693</v>
          </cell>
          <cell r="L1830">
            <v>1</v>
          </cell>
          <cell r="M1830">
            <v>3.96</v>
          </cell>
        </row>
        <row r="1831">
          <cell r="C1831" t="str">
            <v>28752</v>
          </cell>
          <cell r="D1831" t="str">
            <v>STIEGL ZITRONE RADLER</v>
          </cell>
          <cell r="E1831" t="str">
            <v>STIEGL BRAUEREI</v>
          </cell>
          <cell r="F1831" t="str">
            <v>500</v>
          </cell>
          <cell r="G1831">
            <v>2.5</v>
          </cell>
          <cell r="H1831">
            <v>24</v>
          </cell>
          <cell r="I1831" t="str">
            <v>124693</v>
          </cell>
          <cell r="L1831">
            <v>1</v>
          </cell>
          <cell r="M1831">
            <v>3.96</v>
          </cell>
        </row>
        <row r="1832">
          <cell r="C1832" t="str">
            <v>48373</v>
          </cell>
          <cell r="D1832" t="str">
            <v>TAYLIGHT WINTER FRESH MINT OREO STOUT</v>
          </cell>
          <cell r="E1832" t="str">
            <v>TAYLIGHT BREWING (m)</v>
          </cell>
          <cell r="F1832" t="str">
            <v>1892</v>
          </cell>
          <cell r="G1832">
            <v>5</v>
          </cell>
          <cell r="H1832">
            <v>6</v>
          </cell>
          <cell r="I1832" t="str">
            <v>206317</v>
          </cell>
          <cell r="L1832">
            <v>4</v>
          </cell>
          <cell r="M1832">
            <v>11.83</v>
          </cell>
        </row>
        <row r="1833">
          <cell r="C1833" t="str">
            <v>6628</v>
          </cell>
          <cell r="D1833" t="str">
            <v>TSINGTAO (CHINA)</v>
          </cell>
          <cell r="E1833" t="str">
            <v>QINGHUA INTERNATIONAL TRADE</v>
          </cell>
          <cell r="F1833" t="str">
            <v>1980</v>
          </cell>
          <cell r="G1833">
            <v>4.5</v>
          </cell>
          <cell r="H1833">
            <v>4</v>
          </cell>
          <cell r="I1833" t="str">
            <v>3327</v>
          </cell>
          <cell r="L1833">
            <v>6</v>
          </cell>
          <cell r="M1833">
            <v>10.24</v>
          </cell>
        </row>
        <row r="1834">
          <cell r="C1834" t="str">
            <v>45586</v>
          </cell>
          <cell r="D1834" t="str">
            <v>VILLAGE BREWERY CALGARY BEER</v>
          </cell>
          <cell r="E1834" t="str">
            <v>VILLAGE BREWERY LIMITED PARTNERSHIP (m)</v>
          </cell>
          <cell r="F1834" t="str">
            <v>4260</v>
          </cell>
          <cell r="G1834">
            <v>5</v>
          </cell>
          <cell r="H1834">
            <v>2</v>
          </cell>
          <cell r="I1834" t="str">
            <v>205885</v>
          </cell>
          <cell r="L1834">
            <v>12</v>
          </cell>
          <cell r="M1834">
            <v>23.59</v>
          </cell>
        </row>
        <row r="1835">
          <cell r="C1835" t="str">
            <v>36283</v>
          </cell>
          <cell r="D1835" t="str">
            <v>WHISTLER FORAGER GLUTEN FREE LAGER</v>
          </cell>
          <cell r="E1835" t="str">
            <v>NORTHAM BREWERY (R)</v>
          </cell>
          <cell r="F1835" t="str">
            <v>2130</v>
          </cell>
          <cell r="G1835">
            <v>5</v>
          </cell>
          <cell r="H1835">
            <v>4</v>
          </cell>
          <cell r="I1835" t="str">
            <v>137744</v>
          </cell>
          <cell r="L1835">
            <v>6</v>
          </cell>
          <cell r="M1835">
            <v>13.05</v>
          </cell>
        </row>
        <row r="1836">
          <cell r="C1836" t="str">
            <v>33765</v>
          </cell>
          <cell r="D1836" t="str">
            <v>WILY WOLVERINE STRONG LAGER</v>
          </cell>
          <cell r="E1836" t="str">
            <v>NORTHAM BREWERY (R)</v>
          </cell>
          <cell r="F1836" t="str">
            <v>2130</v>
          </cell>
          <cell r="G1836">
            <v>8</v>
          </cell>
          <cell r="H1836">
            <v>4</v>
          </cell>
          <cell r="I1836" t="str">
            <v>137744</v>
          </cell>
          <cell r="L1836">
            <v>6</v>
          </cell>
          <cell r="M1836">
            <v>8.76</v>
          </cell>
        </row>
        <row r="1837">
          <cell r="C1837" t="str">
            <v>34431</v>
          </cell>
          <cell r="D1837" t="str">
            <v>ZYWIEC</v>
          </cell>
          <cell r="E1837" t="str">
            <v>ZYWIEC</v>
          </cell>
          <cell r="F1837" t="str">
            <v>500</v>
          </cell>
          <cell r="G1837">
            <v>5.5</v>
          </cell>
          <cell r="H1837">
            <v>24</v>
          </cell>
          <cell r="I1837" t="str">
            <v>3320</v>
          </cell>
          <cell r="L1837">
            <v>1</v>
          </cell>
          <cell r="M1837">
            <v>2.4500000000000002</v>
          </cell>
        </row>
        <row r="1838">
          <cell r="C1838" t="str">
            <v>502</v>
          </cell>
          <cell r="D1838" t="str">
            <v>DOUBLE BOTTLE BAGS (500 Bags)</v>
          </cell>
          <cell r="E1838" t="str">
            <v>SUNDRY MANUFACTURER</v>
          </cell>
          <cell r="F1838" t="str">
            <v>1</v>
          </cell>
          <cell r="G1838">
            <v>0</v>
          </cell>
          <cell r="H1838">
            <v>1</v>
          </cell>
          <cell r="I1838" t="str">
            <v>3327</v>
          </cell>
          <cell r="L1838">
            <v>1</v>
          </cell>
          <cell r="M1838">
            <v>59.14</v>
          </cell>
        </row>
        <row r="1839">
          <cell r="C1839" t="str">
            <v>501</v>
          </cell>
          <cell r="D1839" t="str">
            <v>SINGLE BOTTLE BAGS (1000 Bags)</v>
          </cell>
          <cell r="E1839" t="str">
            <v>SUNDRY MANUFACTURER</v>
          </cell>
          <cell r="F1839" t="str">
            <v>1</v>
          </cell>
          <cell r="G1839">
            <v>0</v>
          </cell>
          <cell r="H1839">
            <v>1</v>
          </cell>
          <cell r="I1839" t="str">
            <v>3327</v>
          </cell>
          <cell r="L1839">
            <v>1</v>
          </cell>
          <cell r="M1839">
            <v>48.78</v>
          </cell>
        </row>
        <row r="1840">
          <cell r="C1840" t="str">
            <v>1071</v>
          </cell>
          <cell r="D1840" t="str">
            <v>12B ALEXANDER KEITH'S INDIA PALE ALE-LAB</v>
          </cell>
          <cell r="E1840" t="str">
            <v>LABATT BREWERIES OF CANADA</v>
          </cell>
          <cell r="F1840" t="str">
            <v>4092</v>
          </cell>
          <cell r="G1840">
            <v>5</v>
          </cell>
          <cell r="H1840">
            <v>1</v>
          </cell>
          <cell r="I1840" t="str">
            <v>1575</v>
          </cell>
          <cell r="L1840">
            <v>12</v>
          </cell>
          <cell r="M1840">
            <v>27.99</v>
          </cell>
        </row>
        <row r="1841">
          <cell r="C1841" t="str">
            <v>24747</v>
          </cell>
          <cell r="D1841" t="str">
            <v>12B BELGIAN MOON WHITE MOLSON</v>
          </cell>
          <cell r="E1841" t="str">
            <v>MOLSON COORS CANADA</v>
          </cell>
          <cell r="F1841" t="str">
            <v>4092</v>
          </cell>
          <cell r="G1841">
            <v>5.4</v>
          </cell>
          <cell r="H1841">
            <v>1</v>
          </cell>
          <cell r="I1841" t="str">
            <v>3276</v>
          </cell>
          <cell r="L1841">
            <v>12</v>
          </cell>
          <cell r="M1841">
            <v>28.3</v>
          </cell>
        </row>
        <row r="1842">
          <cell r="C1842" t="str">
            <v>1399</v>
          </cell>
          <cell r="D1842" t="str">
            <v>12B BOHEMIAN - MOLSON</v>
          </cell>
          <cell r="E1842" t="str">
            <v>MOLSON COORS CANADA</v>
          </cell>
          <cell r="F1842" t="str">
            <v>4092</v>
          </cell>
          <cell r="G1842">
            <v>5</v>
          </cell>
          <cell r="H1842">
            <v>1</v>
          </cell>
          <cell r="I1842" t="str">
            <v>3276</v>
          </cell>
          <cell r="L1842">
            <v>12</v>
          </cell>
          <cell r="M1842">
            <v>23.9</v>
          </cell>
        </row>
        <row r="1843">
          <cell r="C1843" t="str">
            <v>24940</v>
          </cell>
          <cell r="D1843" t="str">
            <v>12B BUD LIGHT LIME LABATT</v>
          </cell>
          <cell r="E1843" t="str">
            <v>LABATT BREWERIES OF CANADA</v>
          </cell>
          <cell r="F1843" t="str">
            <v>4092</v>
          </cell>
          <cell r="G1843">
            <v>4</v>
          </cell>
          <cell r="H1843">
            <v>1</v>
          </cell>
          <cell r="I1843" t="str">
            <v>1575</v>
          </cell>
          <cell r="L1843">
            <v>12</v>
          </cell>
          <cell r="M1843">
            <v>27.49</v>
          </cell>
        </row>
        <row r="1844">
          <cell r="C1844" t="str">
            <v>32942</v>
          </cell>
          <cell r="D1844" t="str">
            <v>12B COORS ORIGINAL - MOLSON</v>
          </cell>
          <cell r="E1844" t="str">
            <v>MOLSON COORS CANADA</v>
          </cell>
          <cell r="F1844" t="str">
            <v>4092</v>
          </cell>
          <cell r="G1844">
            <v>5</v>
          </cell>
          <cell r="H1844">
            <v>1</v>
          </cell>
          <cell r="I1844" t="str">
            <v>3276</v>
          </cell>
          <cell r="L1844">
            <v>12</v>
          </cell>
          <cell r="M1844">
            <v>27.7</v>
          </cell>
        </row>
        <row r="1845">
          <cell r="C1845" t="str">
            <v>45164</v>
          </cell>
          <cell r="D1845" t="str">
            <v>12B CORONA CERO - LABATT</v>
          </cell>
          <cell r="E1845" t="str">
            <v>LABATT BREWERIES OF CANADA</v>
          </cell>
          <cell r="F1845" t="str">
            <v>3960</v>
          </cell>
          <cell r="G1845">
            <v>0</v>
          </cell>
          <cell r="H1845">
            <v>1</v>
          </cell>
          <cell r="I1845" t="str">
            <v>1575</v>
          </cell>
          <cell r="L1845">
            <v>12</v>
          </cell>
          <cell r="M1845">
            <v>16.989999999999998</v>
          </cell>
        </row>
        <row r="1846">
          <cell r="C1846" t="str">
            <v>34733</v>
          </cell>
          <cell r="D1846" t="str">
            <v>12B CORONA DOMESTIC - LABATT</v>
          </cell>
          <cell r="E1846" t="str">
            <v>LABATT BREWERIES OF CANADA</v>
          </cell>
          <cell r="F1846" t="str">
            <v>3960</v>
          </cell>
          <cell r="G1846">
            <v>4.5999999999999996</v>
          </cell>
          <cell r="H1846">
            <v>1</v>
          </cell>
          <cell r="I1846" t="str">
            <v>1575</v>
          </cell>
          <cell r="L1846">
            <v>12</v>
          </cell>
          <cell r="M1846">
            <v>30.49</v>
          </cell>
        </row>
        <row r="1847">
          <cell r="C1847" t="str">
            <v>38253</v>
          </cell>
          <cell r="D1847" t="str">
            <v>12B CORONA LIGHT DOMESTIC - LABATT</v>
          </cell>
          <cell r="E1847" t="str">
            <v>LABATT BREWERIES OF CANADA</v>
          </cell>
          <cell r="F1847" t="str">
            <v>3960</v>
          </cell>
          <cell r="G1847">
            <v>3.4</v>
          </cell>
          <cell r="H1847">
            <v>1</v>
          </cell>
          <cell r="I1847" t="str">
            <v>1575</v>
          </cell>
          <cell r="L1847">
            <v>12</v>
          </cell>
          <cell r="M1847">
            <v>30.49</v>
          </cell>
        </row>
        <row r="1848">
          <cell r="C1848" t="str">
            <v>2624</v>
          </cell>
          <cell r="D1848" t="str">
            <v>12B HEINEKEN LAGER - MOLSON</v>
          </cell>
          <cell r="E1848" t="str">
            <v>HEINEKEN BROUWERIJEN</v>
          </cell>
          <cell r="F1848" t="str">
            <v>3960</v>
          </cell>
          <cell r="G1848">
            <v>5</v>
          </cell>
          <cell r="H1848">
            <v>1</v>
          </cell>
          <cell r="I1848" t="str">
            <v>3276</v>
          </cell>
          <cell r="L1848">
            <v>12</v>
          </cell>
          <cell r="M1848">
            <v>30.49</v>
          </cell>
        </row>
        <row r="1849">
          <cell r="C1849" t="str">
            <v>45089</v>
          </cell>
          <cell r="D1849" t="str">
            <v>12B HEINEKEN SILVER - MOLSON</v>
          </cell>
          <cell r="E1849" t="str">
            <v>HEINEKEN BROUWERIJEN</v>
          </cell>
          <cell r="F1849" t="str">
            <v>3960</v>
          </cell>
          <cell r="G1849">
            <v>4</v>
          </cell>
          <cell r="H1849">
            <v>1</v>
          </cell>
          <cell r="I1849" t="str">
            <v>3276</v>
          </cell>
          <cell r="L1849">
            <v>12</v>
          </cell>
          <cell r="M1849">
            <v>30.49</v>
          </cell>
        </row>
        <row r="1850">
          <cell r="C1850" t="str">
            <v>2829</v>
          </cell>
          <cell r="D1850" t="str">
            <v>12B KOKANEE - LABATT</v>
          </cell>
          <cell r="E1850" t="str">
            <v>LABATT BREWERIES OF CANADA</v>
          </cell>
          <cell r="F1850" t="str">
            <v>4092</v>
          </cell>
          <cell r="G1850">
            <v>5</v>
          </cell>
          <cell r="H1850">
            <v>1</v>
          </cell>
          <cell r="I1850" t="str">
            <v>1575</v>
          </cell>
          <cell r="L1850">
            <v>12</v>
          </cell>
          <cell r="M1850">
            <v>25.99</v>
          </cell>
        </row>
        <row r="1851">
          <cell r="C1851" t="str">
            <v>1375</v>
          </cell>
          <cell r="D1851" t="str">
            <v>12B LABATT BLUE</v>
          </cell>
          <cell r="E1851" t="str">
            <v>LABATT BREWERIES OF CANADA</v>
          </cell>
          <cell r="F1851" t="str">
            <v>4092</v>
          </cell>
          <cell r="G1851">
            <v>5</v>
          </cell>
          <cell r="H1851">
            <v>1</v>
          </cell>
          <cell r="I1851" t="str">
            <v>1575</v>
          </cell>
          <cell r="L1851">
            <v>12</v>
          </cell>
          <cell r="M1851">
            <v>25.99</v>
          </cell>
        </row>
        <row r="1852">
          <cell r="C1852" t="str">
            <v>2907</v>
          </cell>
          <cell r="D1852" t="str">
            <v>12B LABATT LITE</v>
          </cell>
          <cell r="E1852" t="str">
            <v>LABATT BREWERIES OF CANADA</v>
          </cell>
          <cell r="F1852" t="str">
            <v>4092</v>
          </cell>
          <cell r="G1852">
            <v>4</v>
          </cell>
          <cell r="H1852">
            <v>1</v>
          </cell>
          <cell r="I1852" t="str">
            <v>1575</v>
          </cell>
          <cell r="L1852">
            <v>12</v>
          </cell>
          <cell r="M1852">
            <v>25.99</v>
          </cell>
        </row>
        <row r="1853">
          <cell r="C1853" t="str">
            <v>27469</v>
          </cell>
          <cell r="D1853" t="str">
            <v>12B MILLER GENUINE DRAFT - MOLSON</v>
          </cell>
          <cell r="E1853" t="str">
            <v>MOLSON COORS CANADA</v>
          </cell>
          <cell r="F1853" t="str">
            <v>4260</v>
          </cell>
          <cell r="G1853">
            <v>4.7</v>
          </cell>
          <cell r="H1853">
            <v>1</v>
          </cell>
          <cell r="I1853" t="str">
            <v>3276</v>
          </cell>
          <cell r="L1853">
            <v>12</v>
          </cell>
          <cell r="M1853">
            <v>28.5</v>
          </cell>
        </row>
        <row r="1854">
          <cell r="C1854" t="str">
            <v>41393</v>
          </cell>
          <cell r="D1854" t="str">
            <v>12B MILLER HIGH LIFE - MOLSON</v>
          </cell>
          <cell r="E1854" t="str">
            <v>MOLSON COORS CANADA</v>
          </cell>
          <cell r="F1854" t="str">
            <v>4260</v>
          </cell>
          <cell r="G1854">
            <v>4.5999999999999996</v>
          </cell>
          <cell r="H1854">
            <v>1</v>
          </cell>
          <cell r="I1854" t="str">
            <v>3276</v>
          </cell>
          <cell r="L1854">
            <v>12</v>
          </cell>
          <cell r="M1854">
            <v>23.5</v>
          </cell>
        </row>
        <row r="1855">
          <cell r="C1855" t="str">
            <v>27477</v>
          </cell>
          <cell r="D1855" t="str">
            <v>12B MILLER LITE - MOLSON</v>
          </cell>
          <cell r="E1855" t="str">
            <v>MOLSON COORS CANADA</v>
          </cell>
          <cell r="F1855" t="str">
            <v>4092</v>
          </cell>
          <cell r="G1855">
            <v>4.2</v>
          </cell>
          <cell r="H1855">
            <v>1</v>
          </cell>
          <cell r="I1855" t="str">
            <v>3276</v>
          </cell>
          <cell r="L1855">
            <v>12</v>
          </cell>
          <cell r="M1855">
            <v>27.99</v>
          </cell>
        </row>
        <row r="1856">
          <cell r="C1856" t="str">
            <v>21878</v>
          </cell>
          <cell r="D1856" t="str">
            <v>12B MODELO ESPECIAL - LABATT</v>
          </cell>
          <cell r="E1856" t="str">
            <v>CERVECERIA MODELO</v>
          </cell>
          <cell r="F1856" t="str">
            <v>4260</v>
          </cell>
          <cell r="G1856">
            <v>4.5</v>
          </cell>
          <cell r="H1856">
            <v>1</v>
          </cell>
          <cell r="I1856" t="str">
            <v>1575</v>
          </cell>
          <cell r="L1856">
            <v>12</v>
          </cell>
          <cell r="M1856">
            <v>32.479999999999997</v>
          </cell>
        </row>
        <row r="1857">
          <cell r="C1857" t="str">
            <v>31827</v>
          </cell>
          <cell r="D1857" t="str">
            <v>12B MOLON ULTRA</v>
          </cell>
          <cell r="E1857" t="str">
            <v>MOLSON COORS CANADA</v>
          </cell>
          <cell r="F1857" t="str">
            <v>4092</v>
          </cell>
          <cell r="G1857">
            <v>3</v>
          </cell>
          <cell r="H1857">
            <v>1</v>
          </cell>
          <cell r="I1857" t="str">
            <v>3276</v>
          </cell>
          <cell r="L1857">
            <v>12</v>
          </cell>
          <cell r="M1857">
            <v>27.5</v>
          </cell>
        </row>
        <row r="1858">
          <cell r="C1858" t="str">
            <v>3650</v>
          </cell>
          <cell r="D1858" t="str">
            <v>12B PILSNER  - MOLSON</v>
          </cell>
          <cell r="E1858" t="str">
            <v>MOLSON COORS CANADA</v>
          </cell>
          <cell r="F1858" t="str">
            <v>4092</v>
          </cell>
          <cell r="G1858">
            <v>5</v>
          </cell>
          <cell r="H1858">
            <v>1</v>
          </cell>
          <cell r="I1858" t="str">
            <v>3276</v>
          </cell>
          <cell r="L1858">
            <v>12</v>
          </cell>
          <cell r="M1858">
            <v>25.99</v>
          </cell>
        </row>
        <row r="1859">
          <cell r="C1859" t="str">
            <v>3827</v>
          </cell>
          <cell r="D1859" t="str">
            <v>12B RICKARD'S RED - MOLSON</v>
          </cell>
          <cell r="E1859" t="str">
            <v>MOLSON COORS CANADA</v>
          </cell>
          <cell r="F1859" t="str">
            <v>4092</v>
          </cell>
          <cell r="G1859">
            <v>5.2</v>
          </cell>
          <cell r="H1859">
            <v>1</v>
          </cell>
          <cell r="I1859" t="str">
            <v>3276</v>
          </cell>
          <cell r="L1859">
            <v>12</v>
          </cell>
          <cell r="M1859">
            <v>28.19</v>
          </cell>
        </row>
        <row r="1860">
          <cell r="C1860" t="str">
            <v>36009</v>
          </cell>
          <cell r="D1860" t="str">
            <v>12B SOL CERVEZA DOMESTIC MOLSON</v>
          </cell>
          <cell r="E1860" t="str">
            <v>MOLSON COORS CANADA</v>
          </cell>
          <cell r="F1860" t="str">
            <v>3960</v>
          </cell>
          <cell r="G1860">
            <v>4.5</v>
          </cell>
          <cell r="H1860">
            <v>1</v>
          </cell>
          <cell r="I1860" t="str">
            <v>3276</v>
          </cell>
          <cell r="L1860">
            <v>12</v>
          </cell>
          <cell r="M1860">
            <v>28.99</v>
          </cell>
        </row>
        <row r="1861">
          <cell r="C1861" t="str">
            <v>34722</v>
          </cell>
          <cell r="D1861" t="str">
            <v>12B STELLA ARTOIS DOMESTIC - LABATT</v>
          </cell>
          <cell r="E1861" t="str">
            <v>LABATT BREWERIES OF CANADA</v>
          </cell>
          <cell r="F1861" t="str">
            <v>3960</v>
          </cell>
          <cell r="G1861">
            <v>5</v>
          </cell>
          <cell r="H1861">
            <v>1</v>
          </cell>
          <cell r="I1861" t="str">
            <v>1575</v>
          </cell>
          <cell r="L1861">
            <v>12</v>
          </cell>
          <cell r="M1861">
            <v>30.49</v>
          </cell>
        </row>
        <row r="1862">
          <cell r="C1862" t="str">
            <v>25021</v>
          </cell>
          <cell r="D1862" t="str">
            <v>12C BELGIAN MOON WHITE MOLSON</v>
          </cell>
          <cell r="E1862" t="str">
            <v>MOLSON COORS CANADA</v>
          </cell>
          <cell r="F1862" t="str">
            <v>4260</v>
          </cell>
          <cell r="G1862">
            <v>5.4</v>
          </cell>
          <cell r="H1862">
            <v>1</v>
          </cell>
          <cell r="I1862" t="str">
            <v>3276</v>
          </cell>
          <cell r="L1862">
            <v>12</v>
          </cell>
          <cell r="M1862">
            <v>28.59</v>
          </cell>
        </row>
        <row r="1863">
          <cell r="C1863" t="str">
            <v>45183</v>
          </cell>
          <cell r="D1863" t="str">
            <v>12C BL LIME FLAVOURS MIXER - LABATT</v>
          </cell>
          <cell r="E1863" t="str">
            <v>BANDED PEAK BREWING - LABATT</v>
          </cell>
          <cell r="F1863" t="str">
            <v>4260</v>
          </cell>
          <cell r="G1863">
            <v>5.7</v>
          </cell>
          <cell r="H1863">
            <v>1</v>
          </cell>
          <cell r="I1863" t="str">
            <v>1575</v>
          </cell>
          <cell r="L1863">
            <v>12</v>
          </cell>
          <cell r="M1863">
            <v>28.49</v>
          </cell>
        </row>
        <row r="1864">
          <cell r="C1864" t="str">
            <v>45781</v>
          </cell>
          <cell r="D1864" t="str">
            <v>12C BLUE MOON LIGHT - MOLSON</v>
          </cell>
          <cell r="E1864" t="str">
            <v>MOLSON COORS CANADA</v>
          </cell>
          <cell r="F1864" t="str">
            <v>4260</v>
          </cell>
          <cell r="G1864">
            <v>4</v>
          </cell>
          <cell r="H1864">
            <v>1</v>
          </cell>
          <cell r="I1864" t="str">
            <v>3276</v>
          </cell>
          <cell r="L1864">
            <v>12</v>
          </cell>
          <cell r="M1864">
            <v>28.59</v>
          </cell>
        </row>
        <row r="1865">
          <cell r="C1865" t="str">
            <v>40876</v>
          </cell>
          <cell r="D1865" t="str">
            <v>12C BP CRUSHMORE PILSNER - LABATT</v>
          </cell>
          <cell r="E1865" t="str">
            <v>BANDED PEAK BREWING - LABATT</v>
          </cell>
          <cell r="F1865" t="str">
            <v>4260</v>
          </cell>
          <cell r="G1865">
            <v>4.4000000000000004</v>
          </cell>
          <cell r="H1865">
            <v>1</v>
          </cell>
          <cell r="I1865" t="str">
            <v>1575</v>
          </cell>
          <cell r="L1865">
            <v>12</v>
          </cell>
          <cell r="M1865">
            <v>27.79</v>
          </cell>
        </row>
        <row r="1866">
          <cell r="C1866" t="str">
            <v>43261</v>
          </cell>
          <cell r="D1866" t="str">
            <v>12C BP MICROBURST - LABATT</v>
          </cell>
          <cell r="E1866" t="str">
            <v>LABATT BREWERIES OF CANADA</v>
          </cell>
          <cell r="F1866" t="str">
            <v>4260</v>
          </cell>
          <cell r="G1866">
            <v>6.1</v>
          </cell>
          <cell r="H1866">
            <v>1</v>
          </cell>
          <cell r="I1866" t="str">
            <v>1575</v>
          </cell>
          <cell r="L1866">
            <v>12</v>
          </cell>
          <cell r="M1866">
            <v>27.79</v>
          </cell>
        </row>
        <row r="1867">
          <cell r="C1867" t="str">
            <v>45372</v>
          </cell>
          <cell r="D1867" t="str">
            <v>12C BREWHOUSE CERVEZA GREAT WESTERN</v>
          </cell>
          <cell r="E1867" t="str">
            <v>GREAT WESTERN BREWING COMPANY</v>
          </cell>
          <cell r="F1867" t="str">
            <v>4260</v>
          </cell>
          <cell r="G1867">
            <v>4.4000000000000004</v>
          </cell>
          <cell r="H1867">
            <v>1</v>
          </cell>
          <cell r="I1867" t="str">
            <v>3274</v>
          </cell>
          <cell r="L1867">
            <v>12</v>
          </cell>
          <cell r="M1867">
            <v>20.69</v>
          </cell>
        </row>
        <row r="1868">
          <cell r="C1868" t="str">
            <v>45212</v>
          </cell>
          <cell r="D1868" t="str">
            <v>12C BREWHOUSE PILSNER - GREAT WESTERN</v>
          </cell>
          <cell r="E1868" t="str">
            <v>GREAT WESTERN BREWING COMPANY</v>
          </cell>
          <cell r="F1868" t="str">
            <v>5676</v>
          </cell>
          <cell r="G1868">
            <v>5</v>
          </cell>
          <cell r="H1868">
            <v>1</v>
          </cell>
          <cell r="I1868" t="str">
            <v>3274</v>
          </cell>
          <cell r="L1868">
            <v>12</v>
          </cell>
          <cell r="M1868">
            <v>24.48</v>
          </cell>
        </row>
        <row r="1869">
          <cell r="C1869" t="str">
            <v>43282</v>
          </cell>
          <cell r="D1869" t="str">
            <v>12C BRIGHT SIDE LAGER - BIG ROCK</v>
          </cell>
          <cell r="E1869" t="str">
            <v>BIG ROCK (ALBERTA) LTD. (R)</v>
          </cell>
          <cell r="F1869" t="str">
            <v>4260</v>
          </cell>
          <cell r="G1869">
            <v>4.8</v>
          </cell>
          <cell r="H1869">
            <v>1</v>
          </cell>
          <cell r="I1869" t="str">
            <v>3227</v>
          </cell>
          <cell r="L1869">
            <v>12</v>
          </cell>
          <cell r="M1869">
            <v>25.29</v>
          </cell>
        </row>
        <row r="1870">
          <cell r="C1870" t="str">
            <v>19973</v>
          </cell>
          <cell r="D1870" t="str">
            <v>12C BUD LIGHT - LABATT</v>
          </cell>
          <cell r="E1870" t="str">
            <v>LABATT BREWERIES OF CANADA</v>
          </cell>
          <cell r="F1870" t="str">
            <v>2832</v>
          </cell>
          <cell r="G1870">
            <v>4</v>
          </cell>
          <cell r="H1870">
            <v>1</v>
          </cell>
          <cell r="I1870" t="str">
            <v>1575</v>
          </cell>
          <cell r="L1870">
            <v>12</v>
          </cell>
          <cell r="M1870">
            <v>14.36</v>
          </cell>
        </row>
        <row r="1871">
          <cell r="C1871" t="str">
            <v>19961</v>
          </cell>
          <cell r="D1871" t="str">
            <v>12C BUD LIGHT - LABATT</v>
          </cell>
          <cell r="E1871" t="str">
            <v>LABATT BREWERIES OF CANADA</v>
          </cell>
          <cell r="F1871" t="str">
            <v>4260</v>
          </cell>
          <cell r="G1871">
            <v>4</v>
          </cell>
          <cell r="H1871">
            <v>1</v>
          </cell>
          <cell r="I1871" t="str">
            <v>1575</v>
          </cell>
          <cell r="L1871">
            <v>12</v>
          </cell>
          <cell r="M1871">
            <v>27.28</v>
          </cell>
        </row>
        <row r="1872">
          <cell r="C1872" t="str">
            <v>22238</v>
          </cell>
          <cell r="D1872" t="str">
            <v>12C BUD LIGHT APPLE - LABATT</v>
          </cell>
          <cell r="E1872" t="str">
            <v>LABATT BREWERIES OF CANADA</v>
          </cell>
          <cell r="F1872" t="str">
            <v>4260</v>
          </cell>
          <cell r="G1872">
            <v>4</v>
          </cell>
          <cell r="H1872">
            <v>1</v>
          </cell>
          <cell r="I1872" t="str">
            <v>1575</v>
          </cell>
          <cell r="L1872">
            <v>12</v>
          </cell>
          <cell r="M1872">
            <v>28.49</v>
          </cell>
        </row>
        <row r="1873">
          <cell r="C1873" t="str">
            <v>43624</v>
          </cell>
          <cell r="D1873" t="str">
            <v>12C BUD LIGHT CHELADA (DOM) - LABATT</v>
          </cell>
          <cell r="E1873" t="str">
            <v>LABATT BREWERIES OF CANADA</v>
          </cell>
          <cell r="F1873" t="str">
            <v>4260</v>
          </cell>
          <cell r="G1873">
            <v>4</v>
          </cell>
          <cell r="H1873">
            <v>1</v>
          </cell>
          <cell r="I1873" t="str">
            <v>1575</v>
          </cell>
          <cell r="L1873">
            <v>12</v>
          </cell>
          <cell r="M1873">
            <v>27.48</v>
          </cell>
        </row>
        <row r="1874">
          <cell r="C1874" t="str">
            <v>43081</v>
          </cell>
          <cell r="D1874" t="str">
            <v>12C BUD LIGHT DOUBLE LIME - LABATT</v>
          </cell>
          <cell r="E1874" t="str">
            <v>LABATT BREWERIES OF CANADA</v>
          </cell>
          <cell r="F1874" t="str">
            <v>4260</v>
          </cell>
          <cell r="G1874">
            <v>4.0999999999999996</v>
          </cell>
          <cell r="H1874">
            <v>1</v>
          </cell>
          <cell r="I1874" t="str">
            <v>1575</v>
          </cell>
          <cell r="L1874">
            <v>12</v>
          </cell>
          <cell r="M1874">
            <v>28.49</v>
          </cell>
        </row>
        <row r="1875">
          <cell r="C1875" t="str">
            <v>8363</v>
          </cell>
          <cell r="D1875" t="str">
            <v>12C BUD LIGHT LIME - LABATT</v>
          </cell>
          <cell r="E1875" t="str">
            <v>LABATT BREWERIES OF CANADA</v>
          </cell>
          <cell r="F1875" t="str">
            <v>4260</v>
          </cell>
          <cell r="G1875">
            <v>4</v>
          </cell>
          <cell r="H1875">
            <v>1</v>
          </cell>
          <cell r="I1875" t="str">
            <v>1575</v>
          </cell>
          <cell r="L1875">
            <v>12</v>
          </cell>
          <cell r="M1875">
            <v>28.49</v>
          </cell>
        </row>
        <row r="1876">
          <cell r="C1876" t="str">
            <v>33782</v>
          </cell>
          <cell r="D1876" t="str">
            <v>12C BUD ZERO - LABATT</v>
          </cell>
          <cell r="E1876" t="str">
            <v>LABATT BREWERIES OF CANADA</v>
          </cell>
          <cell r="F1876" t="str">
            <v>4260</v>
          </cell>
          <cell r="G1876">
            <v>0</v>
          </cell>
          <cell r="H1876">
            <v>1</v>
          </cell>
          <cell r="I1876" t="str">
            <v>1575</v>
          </cell>
          <cell r="L1876">
            <v>12</v>
          </cell>
          <cell r="M1876">
            <v>18.25</v>
          </cell>
        </row>
        <row r="1877">
          <cell r="C1877" t="str">
            <v>1505</v>
          </cell>
          <cell r="D1877" t="str">
            <v>12C BUDWEISER - LABATT</v>
          </cell>
          <cell r="E1877" t="str">
            <v>LABATT BREWERIES OF CANADA</v>
          </cell>
          <cell r="F1877" t="str">
            <v>4260</v>
          </cell>
          <cell r="G1877">
            <v>5</v>
          </cell>
          <cell r="H1877">
            <v>1</v>
          </cell>
          <cell r="I1877" t="str">
            <v>1575</v>
          </cell>
          <cell r="L1877">
            <v>12</v>
          </cell>
          <cell r="M1877">
            <v>27.28</v>
          </cell>
        </row>
        <row r="1878">
          <cell r="C1878" t="str">
            <v>29486</v>
          </cell>
          <cell r="D1878" t="str">
            <v>12C BUDWEISER PROHIBITION BREW LABATT</v>
          </cell>
          <cell r="E1878" t="str">
            <v>LABATT BREWERIES OF CANADA</v>
          </cell>
          <cell r="F1878" t="str">
            <v>4260</v>
          </cell>
          <cell r="G1878">
            <v>0</v>
          </cell>
          <cell r="H1878">
            <v>1</v>
          </cell>
          <cell r="I1878" t="str">
            <v>1575</v>
          </cell>
          <cell r="L1878">
            <v>12</v>
          </cell>
          <cell r="M1878">
            <v>17.399999999999999</v>
          </cell>
        </row>
        <row r="1879">
          <cell r="C1879" t="str">
            <v>43407</v>
          </cell>
          <cell r="D1879" t="str">
            <v>12C BUSCH LAGER - LABATT</v>
          </cell>
          <cell r="E1879" t="str">
            <v>LABATT BREWERIES OF CANADA</v>
          </cell>
          <cell r="F1879" t="str">
            <v>5676</v>
          </cell>
          <cell r="G1879">
            <v>4.3</v>
          </cell>
          <cell r="H1879">
            <v>1</v>
          </cell>
          <cell r="I1879" t="str">
            <v>1575</v>
          </cell>
          <cell r="L1879">
            <v>12</v>
          </cell>
          <cell r="M1879">
            <v>26.79</v>
          </cell>
        </row>
        <row r="1880">
          <cell r="C1880" t="str">
            <v>45974</v>
          </cell>
          <cell r="D1880" t="str">
            <v>12C CLEAR LIME SLEEMAN</v>
          </cell>
          <cell r="E1880" t="str">
            <v>Sleeman Breweries Ltd / Les Brasseries S</v>
          </cell>
          <cell r="F1880" t="str">
            <v>5676</v>
          </cell>
          <cell r="G1880">
            <v>4</v>
          </cell>
          <cell r="H1880">
            <v>1</v>
          </cell>
          <cell r="I1880" t="str">
            <v>3302</v>
          </cell>
          <cell r="L1880">
            <v>12</v>
          </cell>
          <cell r="M1880">
            <v>38.200000000000003</v>
          </cell>
        </row>
        <row r="1881">
          <cell r="C1881" t="str">
            <v>28634</v>
          </cell>
          <cell r="D1881" t="str">
            <v>12C COORS EDGE - MOLSON</v>
          </cell>
          <cell r="E1881" t="str">
            <v>MOLSON COORS CANADA</v>
          </cell>
          <cell r="F1881" t="str">
            <v>4260</v>
          </cell>
          <cell r="G1881">
            <v>0.05</v>
          </cell>
          <cell r="H1881">
            <v>1</v>
          </cell>
          <cell r="I1881" t="str">
            <v>3276</v>
          </cell>
          <cell r="L1881">
            <v>12</v>
          </cell>
          <cell r="M1881">
            <v>14.69</v>
          </cell>
        </row>
        <row r="1882">
          <cell r="C1882" t="str">
            <v>45162</v>
          </cell>
          <cell r="D1882" t="str">
            <v>12C CORONA CERO - LABATT</v>
          </cell>
          <cell r="E1882" t="str">
            <v>LABATT BREWERIES OF CANADA</v>
          </cell>
          <cell r="F1882" t="str">
            <v>4260</v>
          </cell>
          <cell r="G1882">
            <v>0</v>
          </cell>
          <cell r="H1882">
            <v>1</v>
          </cell>
          <cell r="I1882" t="str">
            <v>1575</v>
          </cell>
          <cell r="L1882">
            <v>12</v>
          </cell>
          <cell r="M1882">
            <v>16.989999999999998</v>
          </cell>
        </row>
        <row r="1883">
          <cell r="C1883" t="str">
            <v>40353</v>
          </cell>
          <cell r="D1883" t="str">
            <v>12C CORONA SUNBREW NON-ALC - LAB</v>
          </cell>
          <cell r="E1883" t="str">
            <v>LABATT BREWERIES OF CANADA</v>
          </cell>
          <cell r="F1883" t="str">
            <v>4260</v>
          </cell>
          <cell r="G1883">
            <v>0</v>
          </cell>
          <cell r="H1883">
            <v>1</v>
          </cell>
          <cell r="I1883" t="str">
            <v>1575</v>
          </cell>
          <cell r="L1883">
            <v>12</v>
          </cell>
          <cell r="M1883">
            <v>16.989999999999998</v>
          </cell>
        </row>
        <row r="1884">
          <cell r="C1884" t="str">
            <v>39597</v>
          </cell>
          <cell r="D1884" t="str">
            <v>12C GIB CORE MINGLER - MOLSON</v>
          </cell>
          <cell r="E1884" t="str">
            <v>CREEMORE SPRINGS BREWERY LTD</v>
          </cell>
          <cell r="F1884" t="str">
            <v>4260</v>
          </cell>
          <cell r="G1884">
            <v>5</v>
          </cell>
          <cell r="H1884">
            <v>1</v>
          </cell>
          <cell r="I1884" t="str">
            <v>3276</v>
          </cell>
          <cell r="L1884">
            <v>12</v>
          </cell>
          <cell r="M1884">
            <v>26.76</v>
          </cell>
        </row>
        <row r="1885">
          <cell r="C1885" t="str">
            <v>6643</v>
          </cell>
          <cell r="D1885" t="str">
            <v>12C GOLD STRONG - GREAT WESTERN</v>
          </cell>
          <cell r="E1885" t="str">
            <v>GREAT WESTERN BREWING COMPANY</v>
          </cell>
          <cell r="F1885" t="str">
            <v>4260</v>
          </cell>
          <cell r="G1885">
            <v>6.5</v>
          </cell>
          <cell r="H1885">
            <v>1</v>
          </cell>
          <cell r="I1885" t="str">
            <v>3274</v>
          </cell>
          <cell r="L1885">
            <v>12</v>
          </cell>
          <cell r="M1885">
            <v>19.98</v>
          </cell>
        </row>
        <row r="1886">
          <cell r="C1886" t="str">
            <v>33372</v>
          </cell>
          <cell r="D1886" t="str">
            <v>12C GOOSE ISLAND IPA - LABATT</v>
          </cell>
          <cell r="E1886" t="str">
            <v>LABATT BREWERIES OF CANADA</v>
          </cell>
          <cell r="F1886" t="str">
            <v>4260</v>
          </cell>
          <cell r="G1886">
            <v>5.9</v>
          </cell>
          <cell r="H1886">
            <v>1</v>
          </cell>
          <cell r="I1886" t="str">
            <v>1575</v>
          </cell>
          <cell r="L1886">
            <v>12</v>
          </cell>
          <cell r="M1886">
            <v>26.48</v>
          </cell>
        </row>
        <row r="1887">
          <cell r="C1887" t="str">
            <v>38250</v>
          </cell>
          <cell r="D1887" t="str">
            <v>12C GREAT WESTERN LIME - GW</v>
          </cell>
          <cell r="E1887" t="str">
            <v>GREAT WESTERN BREWING COMPANY</v>
          </cell>
          <cell r="F1887" t="str">
            <v>4260</v>
          </cell>
          <cell r="G1887">
            <v>4.4000000000000004</v>
          </cell>
          <cell r="H1887">
            <v>1</v>
          </cell>
          <cell r="I1887" t="str">
            <v>3274</v>
          </cell>
          <cell r="L1887">
            <v>12</v>
          </cell>
          <cell r="M1887">
            <v>26.99</v>
          </cell>
        </row>
        <row r="1888">
          <cell r="C1888" t="str">
            <v>24450</v>
          </cell>
          <cell r="D1888" t="str">
            <v>12C GREAT WESTERN RADLER</v>
          </cell>
          <cell r="E1888" t="str">
            <v>GREAT WESTERN BREWING COMPANY</v>
          </cell>
          <cell r="F1888" t="str">
            <v>4260</v>
          </cell>
          <cell r="G1888">
            <v>2.5</v>
          </cell>
          <cell r="H1888">
            <v>1</v>
          </cell>
          <cell r="I1888" t="str">
            <v>3274</v>
          </cell>
          <cell r="L1888">
            <v>12</v>
          </cell>
          <cell r="M1888">
            <v>26.99</v>
          </cell>
        </row>
        <row r="1889">
          <cell r="C1889" t="str">
            <v>45782</v>
          </cell>
          <cell r="D1889" t="str">
            <v>12C HEINEKEN 0.0 - MOLSON</v>
          </cell>
          <cell r="E1889" t="str">
            <v>HEINEKEN BROUWERIJEN</v>
          </cell>
          <cell r="F1889" t="str">
            <v>3960</v>
          </cell>
          <cell r="G1889">
            <v>0</v>
          </cell>
          <cell r="H1889">
            <v>1</v>
          </cell>
          <cell r="I1889" t="str">
            <v>3276</v>
          </cell>
          <cell r="L1889">
            <v>12</v>
          </cell>
          <cell r="M1889">
            <v>16.649999999999999</v>
          </cell>
        </row>
        <row r="1890">
          <cell r="C1890" t="str">
            <v>7247</v>
          </cell>
          <cell r="D1890" t="str">
            <v>12C HEINEKEN LAGER - MOLSON</v>
          </cell>
          <cell r="E1890" t="str">
            <v>HEINEKEN BROUWERIJEN</v>
          </cell>
          <cell r="F1890" t="str">
            <v>3960</v>
          </cell>
          <cell r="G1890">
            <v>5</v>
          </cell>
          <cell r="H1890">
            <v>1</v>
          </cell>
          <cell r="I1890" t="str">
            <v>3276</v>
          </cell>
          <cell r="L1890">
            <v>12</v>
          </cell>
          <cell r="M1890">
            <v>30.49</v>
          </cell>
        </row>
        <row r="1891">
          <cell r="C1891" t="str">
            <v>45090</v>
          </cell>
          <cell r="D1891" t="str">
            <v>12C HEINEKEN SILVER - MOLSON</v>
          </cell>
          <cell r="E1891" t="str">
            <v>HEINEKEN BROUWERIJEN</v>
          </cell>
          <cell r="F1891" t="str">
            <v>3960</v>
          </cell>
          <cell r="G1891">
            <v>4</v>
          </cell>
          <cell r="H1891">
            <v>1</v>
          </cell>
          <cell r="I1891" t="str">
            <v>3276</v>
          </cell>
          <cell r="L1891">
            <v>12</v>
          </cell>
          <cell r="M1891">
            <v>30.49</v>
          </cell>
        </row>
        <row r="1892">
          <cell r="C1892" t="str">
            <v>33909</v>
          </cell>
          <cell r="D1892" t="str">
            <v>12C HOEGAARDEN - LABATT</v>
          </cell>
          <cell r="E1892" t="str">
            <v>INBEV BELGIUM NV</v>
          </cell>
          <cell r="F1892" t="str">
            <v>3960</v>
          </cell>
          <cell r="G1892">
            <v>4.9000000000000004</v>
          </cell>
          <cell r="H1892">
            <v>1</v>
          </cell>
          <cell r="I1892" t="str">
            <v>1575</v>
          </cell>
          <cell r="L1892">
            <v>12</v>
          </cell>
          <cell r="M1892">
            <v>27.98</v>
          </cell>
        </row>
        <row r="1893">
          <cell r="C1893" t="str">
            <v>45277</v>
          </cell>
          <cell r="D1893" t="str">
            <v>12C HONEY BLONDE - SLEEMAN</v>
          </cell>
          <cell r="E1893" t="str">
            <v>Sleeman Breweries Ltd / Les Brasseries S</v>
          </cell>
          <cell r="F1893" t="str">
            <v>4260</v>
          </cell>
          <cell r="G1893">
            <v>5</v>
          </cell>
          <cell r="H1893">
            <v>1</v>
          </cell>
          <cell r="I1893" t="str">
            <v>3302</v>
          </cell>
          <cell r="L1893">
            <v>12</v>
          </cell>
          <cell r="M1893">
            <v>24.56</v>
          </cell>
        </row>
        <row r="1894">
          <cell r="C1894" t="str">
            <v>43005</v>
          </cell>
          <cell r="D1894" t="str">
            <v>12C HOP VALLEY BUBBLE STASH IPA MOLSON</v>
          </cell>
          <cell r="E1894" t="str">
            <v>MOLSON COORS CANADA</v>
          </cell>
          <cell r="F1894" t="str">
            <v>4260</v>
          </cell>
          <cell r="G1894">
            <v>6.2</v>
          </cell>
          <cell r="H1894">
            <v>1</v>
          </cell>
          <cell r="I1894" t="str">
            <v>3276</v>
          </cell>
          <cell r="L1894">
            <v>12</v>
          </cell>
          <cell r="M1894">
            <v>26.76</v>
          </cell>
        </row>
        <row r="1895">
          <cell r="C1895" t="str">
            <v>41614</v>
          </cell>
          <cell r="D1895" t="str">
            <v>12C HOP VALLEY STASH PK - MOLSON</v>
          </cell>
          <cell r="E1895" t="str">
            <v>MOLSON COORS CANADA</v>
          </cell>
          <cell r="F1895" t="str">
            <v>4260</v>
          </cell>
          <cell r="G1895">
            <v>6.97</v>
          </cell>
          <cell r="H1895">
            <v>1</v>
          </cell>
          <cell r="I1895" t="str">
            <v>3276</v>
          </cell>
          <cell r="L1895">
            <v>12</v>
          </cell>
          <cell r="M1895">
            <v>25.99</v>
          </cell>
        </row>
        <row r="1896">
          <cell r="C1896" t="str">
            <v>6814</v>
          </cell>
          <cell r="D1896" t="str">
            <v>12C KOKANEE - LABATT</v>
          </cell>
          <cell r="E1896" t="str">
            <v>LABATT BREWERIES OF CANADA</v>
          </cell>
          <cell r="F1896" t="str">
            <v>4260</v>
          </cell>
          <cell r="G1896">
            <v>5</v>
          </cell>
          <cell r="H1896">
            <v>1</v>
          </cell>
          <cell r="I1896" t="str">
            <v>1575</v>
          </cell>
          <cell r="L1896">
            <v>12</v>
          </cell>
          <cell r="M1896">
            <v>27.28</v>
          </cell>
        </row>
        <row r="1897">
          <cell r="C1897" t="str">
            <v>42988</v>
          </cell>
          <cell r="D1897" t="str">
            <v>12C MADRI EXCEPCIONAL - MOLSON</v>
          </cell>
          <cell r="E1897" t="str">
            <v>MOLSON COORS CANADA</v>
          </cell>
          <cell r="F1897" t="str">
            <v>4260</v>
          </cell>
          <cell r="G1897">
            <v>4.5999999999999996</v>
          </cell>
          <cell r="H1897">
            <v>1</v>
          </cell>
          <cell r="I1897" t="str">
            <v>3276</v>
          </cell>
          <cell r="L1897">
            <v>12</v>
          </cell>
          <cell r="M1897">
            <v>24.5</v>
          </cell>
        </row>
        <row r="1898">
          <cell r="C1898" t="str">
            <v>31200</v>
          </cell>
          <cell r="D1898" t="str">
            <v>12C MILL STREET ORIGINAL ORGANIC  LABATT</v>
          </cell>
          <cell r="E1898" t="str">
            <v>MILL ST BREWERY</v>
          </cell>
          <cell r="F1898" t="str">
            <v>4260</v>
          </cell>
          <cell r="G1898">
            <v>4.2</v>
          </cell>
          <cell r="H1898">
            <v>1</v>
          </cell>
          <cell r="I1898" t="str">
            <v>1575</v>
          </cell>
          <cell r="L1898">
            <v>12</v>
          </cell>
          <cell r="M1898">
            <v>24.59</v>
          </cell>
        </row>
        <row r="1899">
          <cell r="C1899" t="str">
            <v>40639</v>
          </cell>
          <cell r="D1899" t="str">
            <v>12C MIX PACK - CHURCHILL</v>
          </cell>
          <cell r="E1899" t="str">
            <v>CHURCHILL BREWING CO (M)</v>
          </cell>
          <cell r="F1899" t="str">
            <v>4260</v>
          </cell>
          <cell r="G1899">
            <v>5</v>
          </cell>
          <cell r="H1899">
            <v>1</v>
          </cell>
          <cell r="I1899" t="str">
            <v>205877</v>
          </cell>
          <cell r="L1899">
            <v>12</v>
          </cell>
          <cell r="M1899">
            <v>26.47</v>
          </cell>
        </row>
        <row r="1900">
          <cell r="C1900" t="str">
            <v>45604</v>
          </cell>
          <cell r="D1900" t="str">
            <v>12C MODELO (DOMESTIC) LABATT</v>
          </cell>
          <cell r="E1900" t="str">
            <v>LABATT BREWERIES OF CANADA</v>
          </cell>
          <cell r="F1900" t="str">
            <v>4260</v>
          </cell>
          <cell r="G1900">
            <v>4.5</v>
          </cell>
          <cell r="H1900">
            <v>1</v>
          </cell>
          <cell r="I1900" t="str">
            <v>1575</v>
          </cell>
          <cell r="L1900">
            <v>12</v>
          </cell>
          <cell r="M1900">
            <v>29.99</v>
          </cell>
        </row>
        <row r="1901">
          <cell r="C1901" t="str">
            <v>21874</v>
          </cell>
          <cell r="D1901" t="str">
            <v>12C MODELO ESPECIAL - LABATT</v>
          </cell>
          <cell r="E1901" t="str">
            <v>CERVECERIA MODELO</v>
          </cell>
          <cell r="F1901" t="str">
            <v>4260</v>
          </cell>
          <cell r="G1901">
            <v>4.5</v>
          </cell>
          <cell r="H1901">
            <v>1</v>
          </cell>
          <cell r="I1901" t="str">
            <v>1575</v>
          </cell>
          <cell r="L1901">
            <v>12</v>
          </cell>
          <cell r="M1901">
            <v>29.99</v>
          </cell>
        </row>
        <row r="1902">
          <cell r="C1902" t="str">
            <v>45464</v>
          </cell>
          <cell r="D1902" t="str">
            <v>12C MOLSON EXEL NON ALC</v>
          </cell>
          <cell r="E1902" t="str">
            <v>MOLSON COORS CANADA</v>
          </cell>
          <cell r="F1902" t="str">
            <v>4260</v>
          </cell>
          <cell r="G1902">
            <v>0.5</v>
          </cell>
          <cell r="H1902">
            <v>1</v>
          </cell>
          <cell r="I1902" t="str">
            <v>3276</v>
          </cell>
          <cell r="L1902">
            <v>12</v>
          </cell>
          <cell r="M1902">
            <v>13.49</v>
          </cell>
        </row>
        <row r="1903">
          <cell r="C1903" t="str">
            <v>30546</v>
          </cell>
          <cell r="D1903" t="str">
            <v>12C MOLSON EXPORT</v>
          </cell>
          <cell r="E1903" t="str">
            <v>MOLSON COORS CANADA</v>
          </cell>
          <cell r="F1903" t="str">
            <v>4260</v>
          </cell>
          <cell r="G1903">
            <v>5</v>
          </cell>
          <cell r="H1903">
            <v>1</v>
          </cell>
          <cell r="I1903" t="str">
            <v>3276</v>
          </cell>
          <cell r="L1903">
            <v>12</v>
          </cell>
          <cell r="M1903">
            <v>23.29</v>
          </cell>
        </row>
        <row r="1904">
          <cell r="C1904" t="str">
            <v>20380</v>
          </cell>
          <cell r="D1904" t="str">
            <v>12C ORIGINAL 16 MIXER PALE &amp; COPPER PACK</v>
          </cell>
          <cell r="E1904" t="str">
            <v>GREAT WESTERN BREWING COMPANY</v>
          </cell>
          <cell r="F1904" t="str">
            <v>4260</v>
          </cell>
          <cell r="G1904">
            <v>5</v>
          </cell>
          <cell r="H1904">
            <v>1</v>
          </cell>
          <cell r="I1904" t="str">
            <v>3274</v>
          </cell>
          <cell r="L1904">
            <v>12</v>
          </cell>
          <cell r="M1904">
            <v>27.2</v>
          </cell>
        </row>
        <row r="1905">
          <cell r="C1905" t="str">
            <v>45166</v>
          </cell>
          <cell r="D1905" t="str">
            <v>12C PILSNER - STEAM WHISTLE</v>
          </cell>
          <cell r="E1905" t="str">
            <v>STEAM WHISTLE BREWING INC (R)</v>
          </cell>
          <cell r="F1905" t="str">
            <v>4260</v>
          </cell>
          <cell r="G1905">
            <v>5</v>
          </cell>
          <cell r="H1905">
            <v>1</v>
          </cell>
          <cell r="I1905" t="str">
            <v>128223</v>
          </cell>
          <cell r="L1905">
            <v>12</v>
          </cell>
          <cell r="M1905">
            <v>31</v>
          </cell>
        </row>
        <row r="1906">
          <cell r="C1906" t="str">
            <v>38425</v>
          </cell>
          <cell r="D1906" t="str">
            <v>12C SLEEMAN CLEAR 2.0 FLAVOUR PACK</v>
          </cell>
          <cell r="E1906" t="str">
            <v>Sleeman Breweries Ltd / Les Brasseries S</v>
          </cell>
          <cell r="F1906" t="str">
            <v>4260</v>
          </cell>
          <cell r="G1906">
            <v>5</v>
          </cell>
          <cell r="H1906">
            <v>1</v>
          </cell>
          <cell r="I1906" t="str">
            <v>3302</v>
          </cell>
          <cell r="L1906">
            <v>12</v>
          </cell>
          <cell r="M1906">
            <v>24.56</v>
          </cell>
        </row>
        <row r="1907">
          <cell r="C1907" t="str">
            <v>43412</v>
          </cell>
          <cell r="D1907" t="str">
            <v>12C SLEEMAN CLEAR LIME</v>
          </cell>
          <cell r="E1907" t="str">
            <v>Sleeman Breweries Ltd / Les Brasseries S</v>
          </cell>
          <cell r="F1907" t="str">
            <v>4260</v>
          </cell>
          <cell r="G1907">
            <v>4</v>
          </cell>
          <cell r="H1907">
            <v>1</v>
          </cell>
          <cell r="I1907" t="str">
            <v>3302</v>
          </cell>
          <cell r="L1907">
            <v>12</v>
          </cell>
          <cell r="M1907">
            <v>25.51</v>
          </cell>
        </row>
        <row r="1908">
          <cell r="C1908" t="str">
            <v>6529</v>
          </cell>
          <cell r="D1908" t="str">
            <v>12C SLEEMAN SELECTION</v>
          </cell>
          <cell r="E1908" t="str">
            <v>Sleeman Breweries Ltd / Les Brasseries S</v>
          </cell>
          <cell r="F1908" t="str">
            <v>4260</v>
          </cell>
          <cell r="G1908">
            <v>5</v>
          </cell>
          <cell r="H1908">
            <v>1</v>
          </cell>
          <cell r="I1908" t="str">
            <v>3302</v>
          </cell>
          <cell r="L1908">
            <v>12</v>
          </cell>
          <cell r="M1908">
            <v>25.51</v>
          </cell>
        </row>
        <row r="1909">
          <cell r="C1909" t="str">
            <v>33730</v>
          </cell>
          <cell r="D1909" t="str">
            <v>12C SOL CERVEZA  MOLSON (DOMESTIC)</v>
          </cell>
          <cell r="E1909" t="str">
            <v>MOLSON COORS CANADA</v>
          </cell>
          <cell r="F1909" t="str">
            <v>4260</v>
          </cell>
          <cell r="G1909">
            <v>4.5</v>
          </cell>
          <cell r="H1909">
            <v>1</v>
          </cell>
          <cell r="I1909" t="str">
            <v>3276</v>
          </cell>
          <cell r="L1909">
            <v>12</v>
          </cell>
          <cell r="M1909">
            <v>29</v>
          </cell>
        </row>
        <row r="1910">
          <cell r="C1910" t="str">
            <v>43080</v>
          </cell>
          <cell r="D1910" t="str">
            <v>12C SP CONCESSION STAND MIX - LABATT</v>
          </cell>
          <cell r="E1910" t="str">
            <v>TURNING POINT BREWERY</v>
          </cell>
          <cell r="F1910" t="str">
            <v>4260</v>
          </cell>
          <cell r="G1910">
            <v>5.2</v>
          </cell>
          <cell r="H1910">
            <v>1</v>
          </cell>
          <cell r="I1910" t="str">
            <v>1575</v>
          </cell>
          <cell r="L1910">
            <v>12</v>
          </cell>
          <cell r="M1910">
            <v>27.98</v>
          </cell>
        </row>
        <row r="1911">
          <cell r="C1911" t="str">
            <v>4387</v>
          </cell>
          <cell r="D1911" t="str">
            <v>12C TRADITIONAL  ALE - BIG ROCK</v>
          </cell>
          <cell r="E1911" t="str">
            <v>BIG ROCK (ALBERTA) LTD. (R)</v>
          </cell>
          <cell r="F1911" t="str">
            <v>4260</v>
          </cell>
          <cell r="G1911">
            <v>5</v>
          </cell>
          <cell r="H1911">
            <v>1</v>
          </cell>
          <cell r="I1911" t="str">
            <v>3227</v>
          </cell>
          <cell r="L1911">
            <v>12</v>
          </cell>
          <cell r="M1911">
            <v>26.45</v>
          </cell>
        </row>
        <row r="1912">
          <cell r="C1912" t="str">
            <v>24653</v>
          </cell>
          <cell r="D1912" t="str">
            <v>15B BUD LIGHT LABATT</v>
          </cell>
          <cell r="E1912" t="str">
            <v>LABATT BREWERIES OF CANADA</v>
          </cell>
          <cell r="F1912" t="str">
            <v>5115</v>
          </cell>
          <cell r="G1912">
            <v>4</v>
          </cell>
          <cell r="H1912">
            <v>1</v>
          </cell>
          <cell r="I1912" t="str">
            <v>1575</v>
          </cell>
          <cell r="L1912">
            <v>15</v>
          </cell>
          <cell r="M1912">
            <v>31.48</v>
          </cell>
        </row>
        <row r="1913">
          <cell r="C1913" t="str">
            <v>24654</v>
          </cell>
          <cell r="D1913" t="str">
            <v>15B BUDWEISER LABATT</v>
          </cell>
          <cell r="E1913" t="str">
            <v>LABATT BREWERIES OF CANADA</v>
          </cell>
          <cell r="F1913" t="str">
            <v>5115</v>
          </cell>
          <cell r="G1913">
            <v>5</v>
          </cell>
          <cell r="H1913">
            <v>1</v>
          </cell>
          <cell r="I1913" t="str">
            <v>1575</v>
          </cell>
          <cell r="L1913">
            <v>15</v>
          </cell>
          <cell r="M1913">
            <v>31.48</v>
          </cell>
        </row>
        <row r="1914">
          <cell r="C1914" t="str">
            <v>43259</v>
          </cell>
          <cell r="D1914" t="str">
            <v>15B BUSCH - LABATT</v>
          </cell>
          <cell r="E1914" t="str">
            <v>LABATT BREWERIES OF CANADA</v>
          </cell>
          <cell r="F1914" t="str">
            <v>5115</v>
          </cell>
          <cell r="G1914">
            <v>4.3</v>
          </cell>
          <cell r="H1914">
            <v>1</v>
          </cell>
          <cell r="I1914" t="str">
            <v>1575</v>
          </cell>
          <cell r="L1914">
            <v>15</v>
          </cell>
          <cell r="M1914">
            <v>27.99</v>
          </cell>
        </row>
        <row r="1915">
          <cell r="C1915" t="str">
            <v>1713</v>
          </cell>
          <cell r="D1915" t="str">
            <v>15B CANADIAN - MOLSON</v>
          </cell>
          <cell r="E1915" t="str">
            <v>MOLSON COORS CANADA</v>
          </cell>
          <cell r="F1915" t="str">
            <v>5115</v>
          </cell>
          <cell r="G1915">
            <v>5</v>
          </cell>
          <cell r="H1915">
            <v>1</v>
          </cell>
          <cell r="I1915" t="str">
            <v>3276</v>
          </cell>
          <cell r="L1915">
            <v>15</v>
          </cell>
          <cell r="M1915">
            <v>31.5</v>
          </cell>
        </row>
        <row r="1916">
          <cell r="C1916" t="str">
            <v>2095</v>
          </cell>
          <cell r="D1916" t="str">
            <v>15B COORS LIGHT - MOLSON</v>
          </cell>
          <cell r="E1916" t="str">
            <v>MOLSON COORS CANADA</v>
          </cell>
          <cell r="F1916" t="str">
            <v>5115</v>
          </cell>
          <cell r="G1916">
            <v>4</v>
          </cell>
          <cell r="H1916">
            <v>1</v>
          </cell>
          <cell r="I1916" t="str">
            <v>3276</v>
          </cell>
          <cell r="L1916">
            <v>15</v>
          </cell>
          <cell r="M1916">
            <v>31.5</v>
          </cell>
        </row>
        <row r="1917">
          <cell r="C1917" t="str">
            <v>24652</v>
          </cell>
          <cell r="D1917" t="str">
            <v>15B KOKANEE LABATT</v>
          </cell>
          <cell r="E1917" t="str">
            <v>LABATT BREWERIES OF CANADA</v>
          </cell>
          <cell r="F1917" t="str">
            <v>5115</v>
          </cell>
          <cell r="G1917">
            <v>5</v>
          </cell>
          <cell r="H1917">
            <v>1</v>
          </cell>
          <cell r="I1917" t="str">
            <v>1575</v>
          </cell>
          <cell r="L1917">
            <v>15</v>
          </cell>
          <cell r="M1917">
            <v>31.48</v>
          </cell>
        </row>
        <row r="1918">
          <cell r="C1918" t="str">
            <v>42938</v>
          </cell>
          <cell r="D1918" t="str">
            <v>15B MICHELOB ULTRA - LABATT</v>
          </cell>
          <cell r="E1918" t="str">
            <v>LABATT BREWERIES OF CANADA</v>
          </cell>
          <cell r="F1918" t="str">
            <v>5115</v>
          </cell>
          <cell r="G1918">
            <v>4</v>
          </cell>
          <cell r="H1918">
            <v>1</v>
          </cell>
          <cell r="I1918" t="str">
            <v>1575</v>
          </cell>
          <cell r="L1918">
            <v>15</v>
          </cell>
          <cell r="M1918">
            <v>33.49</v>
          </cell>
        </row>
        <row r="1919">
          <cell r="C1919" t="str">
            <v>5407</v>
          </cell>
          <cell r="D1919" t="str">
            <v>15C ALBERTA GENUINE DRAFT - BIG ROCK</v>
          </cell>
          <cell r="E1919" t="str">
            <v>BIG ROCK (ALBERTA) LTD. (R)</v>
          </cell>
          <cell r="F1919" t="str">
            <v>5325</v>
          </cell>
          <cell r="G1919">
            <v>5</v>
          </cell>
          <cell r="H1919">
            <v>1</v>
          </cell>
          <cell r="I1919" t="str">
            <v>4445</v>
          </cell>
          <cell r="L1919">
            <v>15</v>
          </cell>
          <cell r="M1919">
            <v>25.32</v>
          </cell>
        </row>
        <row r="1920">
          <cell r="C1920" t="str">
            <v>28044</v>
          </cell>
          <cell r="D1920" t="str">
            <v>15C ALBERTA GENUINE DRAFT LIGHT BIG ROCK</v>
          </cell>
          <cell r="E1920" t="str">
            <v>BIG ROCK (ALBERTA) LTD. (R)</v>
          </cell>
          <cell r="F1920" t="str">
            <v>5325</v>
          </cell>
          <cell r="G1920">
            <v>4</v>
          </cell>
          <cell r="H1920">
            <v>1</v>
          </cell>
          <cell r="I1920" t="str">
            <v>3227</v>
          </cell>
          <cell r="L1920">
            <v>15</v>
          </cell>
          <cell r="M1920">
            <v>25.32</v>
          </cell>
        </row>
        <row r="1921">
          <cell r="C1921" t="str">
            <v>34628</v>
          </cell>
          <cell r="D1921" t="str">
            <v>15C ALBERTA GENUINE DRAFT RED - BIG ROCK</v>
          </cell>
          <cell r="E1921" t="str">
            <v>BIG ROCK (ALBERTA) LTD. (R)</v>
          </cell>
          <cell r="F1921" t="str">
            <v>5325</v>
          </cell>
          <cell r="G1921">
            <v>5</v>
          </cell>
          <cell r="H1921">
            <v>1</v>
          </cell>
          <cell r="I1921" t="str">
            <v>3227</v>
          </cell>
          <cell r="L1921">
            <v>15</v>
          </cell>
          <cell r="M1921">
            <v>25.32</v>
          </cell>
        </row>
        <row r="1922">
          <cell r="C1922" t="str">
            <v>6818</v>
          </cell>
          <cell r="D1922" t="str">
            <v>15C ALEXANDER KEITH'S INDIA PALE ALE-LAB</v>
          </cell>
          <cell r="E1922" t="str">
            <v>LABATT BREWERIES OF CANADA</v>
          </cell>
          <cell r="F1922" t="str">
            <v>5325</v>
          </cell>
          <cell r="G1922">
            <v>5</v>
          </cell>
          <cell r="H1922">
            <v>1</v>
          </cell>
          <cell r="I1922" t="str">
            <v>1575</v>
          </cell>
          <cell r="L1922">
            <v>15</v>
          </cell>
          <cell r="M1922">
            <v>34.49</v>
          </cell>
        </row>
        <row r="1923">
          <cell r="C1923" t="str">
            <v>37021</v>
          </cell>
          <cell r="D1923" t="str">
            <v>15C BLACK ICE - MOLSON</v>
          </cell>
          <cell r="E1923" t="str">
            <v>MOLSON COORS CANADA</v>
          </cell>
          <cell r="F1923" t="str">
            <v>5325</v>
          </cell>
          <cell r="G1923">
            <v>6.1</v>
          </cell>
          <cell r="H1923">
            <v>1</v>
          </cell>
          <cell r="I1923" t="str">
            <v>3276</v>
          </cell>
          <cell r="L1923">
            <v>15</v>
          </cell>
          <cell r="M1923">
            <v>27.59</v>
          </cell>
        </row>
        <row r="1924">
          <cell r="C1924" t="str">
            <v>48489</v>
          </cell>
          <cell r="D1924" t="str">
            <v>15C BOW VALLEY LAGER - BIG ROCK</v>
          </cell>
          <cell r="E1924" t="str">
            <v>BIG ROCK (ALBERTA) LTD. (R)</v>
          </cell>
          <cell r="F1924" t="str">
            <v>5325</v>
          </cell>
          <cell r="G1924">
            <v>5</v>
          </cell>
          <cell r="H1924">
            <v>1</v>
          </cell>
          <cell r="I1924" t="str">
            <v>3227</v>
          </cell>
          <cell r="L1924">
            <v>15</v>
          </cell>
          <cell r="M1924">
            <v>20</v>
          </cell>
        </row>
        <row r="1925">
          <cell r="C1925" t="str">
            <v>35557</v>
          </cell>
          <cell r="D1925" t="str">
            <v>15C BOW VALLEY STRONG - BIG ROCK</v>
          </cell>
          <cell r="E1925" t="str">
            <v>BIG ROCK (ALBERTA) LTD. (R)</v>
          </cell>
          <cell r="F1925" t="str">
            <v>5325</v>
          </cell>
          <cell r="G1925">
            <v>5</v>
          </cell>
          <cell r="H1925">
            <v>1</v>
          </cell>
          <cell r="I1925" t="str">
            <v>3227</v>
          </cell>
          <cell r="L1925">
            <v>15</v>
          </cell>
          <cell r="M1925">
            <v>20</v>
          </cell>
        </row>
        <row r="1926">
          <cell r="C1926" t="str">
            <v>33187</v>
          </cell>
          <cell r="D1926" t="str">
            <v>15C BREWHOUSE ICE - GREAT WESTERN</v>
          </cell>
          <cell r="E1926" t="str">
            <v>GREAT WESTERN BREWING COMPANY</v>
          </cell>
          <cell r="F1926" t="str">
            <v>5325</v>
          </cell>
          <cell r="G1926">
            <v>6</v>
          </cell>
          <cell r="H1926">
            <v>1</v>
          </cell>
          <cell r="I1926" t="str">
            <v>3274</v>
          </cell>
          <cell r="L1926">
            <v>15</v>
          </cell>
          <cell r="M1926">
            <v>25.85</v>
          </cell>
        </row>
        <row r="1927">
          <cell r="C1927" t="str">
            <v>32946</v>
          </cell>
          <cell r="D1927" t="str">
            <v>15C BREWHOUSE LIGHT - GREAT WESTERN</v>
          </cell>
          <cell r="E1927" t="str">
            <v>GREAT WESTERN BREWING COMPANY</v>
          </cell>
          <cell r="F1927" t="str">
            <v>5325</v>
          </cell>
          <cell r="G1927">
            <v>4</v>
          </cell>
          <cell r="H1927">
            <v>1</v>
          </cell>
          <cell r="I1927" t="str">
            <v>3274</v>
          </cell>
          <cell r="L1927">
            <v>15</v>
          </cell>
          <cell r="M1927">
            <v>25.85</v>
          </cell>
        </row>
        <row r="1928">
          <cell r="C1928" t="str">
            <v>32947</v>
          </cell>
          <cell r="D1928" t="str">
            <v>15C BREWHOUSE PILSNER - GREAT WESTERN</v>
          </cell>
          <cell r="E1928" t="str">
            <v>GREAT WESTERN BREWING COMPANY</v>
          </cell>
          <cell r="F1928" t="str">
            <v>5325</v>
          </cell>
          <cell r="G1928">
            <v>4</v>
          </cell>
          <cell r="H1928">
            <v>1</v>
          </cell>
          <cell r="I1928" t="str">
            <v>3274</v>
          </cell>
          <cell r="L1928">
            <v>15</v>
          </cell>
          <cell r="M1928">
            <v>25.85</v>
          </cell>
        </row>
        <row r="1929">
          <cell r="C1929" t="str">
            <v>36567</v>
          </cell>
          <cell r="D1929" t="str">
            <v>15C BREWHOUSE ULTRA - GREAT WESTERN</v>
          </cell>
          <cell r="E1929" t="str">
            <v>GREAT WESTERN BREWING COMPANY</v>
          </cell>
          <cell r="F1929" t="str">
            <v>5325</v>
          </cell>
          <cell r="G1929">
            <v>4</v>
          </cell>
          <cell r="H1929">
            <v>1</v>
          </cell>
          <cell r="I1929" t="str">
            <v>3274</v>
          </cell>
          <cell r="L1929">
            <v>15</v>
          </cell>
          <cell r="M1929">
            <v>25.85</v>
          </cell>
        </row>
        <row r="1930">
          <cell r="C1930" t="str">
            <v>5493</v>
          </cell>
          <cell r="D1930" t="str">
            <v>15C BUD LIGHT - LABATT</v>
          </cell>
          <cell r="E1930" t="str">
            <v>LABATT BREWERIES OF CANADA</v>
          </cell>
          <cell r="F1930" t="str">
            <v>5325</v>
          </cell>
          <cell r="G1930">
            <v>4</v>
          </cell>
          <cell r="H1930">
            <v>1</v>
          </cell>
          <cell r="I1930" t="str">
            <v>1575</v>
          </cell>
          <cell r="L1930">
            <v>15</v>
          </cell>
          <cell r="M1930">
            <v>33.28</v>
          </cell>
        </row>
        <row r="1931">
          <cell r="C1931" t="str">
            <v>1507</v>
          </cell>
          <cell r="D1931" t="str">
            <v>15C BUDWEISER - LABATT</v>
          </cell>
          <cell r="E1931" t="str">
            <v>LABATT BREWERIES OF CANADA</v>
          </cell>
          <cell r="F1931" t="str">
            <v>5325</v>
          </cell>
          <cell r="G1931">
            <v>5</v>
          </cell>
          <cell r="H1931">
            <v>1</v>
          </cell>
          <cell r="I1931" t="str">
            <v>4443</v>
          </cell>
          <cell r="L1931">
            <v>15</v>
          </cell>
          <cell r="M1931">
            <v>33.28</v>
          </cell>
        </row>
        <row r="1932">
          <cell r="C1932" t="str">
            <v>17591</v>
          </cell>
          <cell r="D1932" t="str">
            <v>15C BUSCH ICE - LABATT</v>
          </cell>
          <cell r="E1932" t="str">
            <v>LABATT BREWERIES OF CANADA</v>
          </cell>
          <cell r="F1932" t="str">
            <v>5325</v>
          </cell>
          <cell r="G1932">
            <v>6</v>
          </cell>
          <cell r="H1932">
            <v>1</v>
          </cell>
          <cell r="I1932" t="str">
            <v>1575</v>
          </cell>
          <cell r="L1932">
            <v>15</v>
          </cell>
          <cell r="M1932">
            <v>27.98</v>
          </cell>
        </row>
        <row r="1933">
          <cell r="C1933" t="str">
            <v>6756</v>
          </cell>
          <cell r="D1933" t="str">
            <v>15C BUSCH LAGER - LABATT</v>
          </cell>
          <cell r="E1933" t="str">
            <v>LABATT BREWERIES OF CANADA</v>
          </cell>
          <cell r="F1933" t="str">
            <v>5325</v>
          </cell>
          <cell r="G1933">
            <v>4.7</v>
          </cell>
          <cell r="H1933">
            <v>1</v>
          </cell>
          <cell r="I1933" t="str">
            <v>1575</v>
          </cell>
          <cell r="L1933">
            <v>15</v>
          </cell>
          <cell r="M1933">
            <v>27.98</v>
          </cell>
        </row>
        <row r="1934">
          <cell r="C1934" t="str">
            <v>47376</v>
          </cell>
          <cell r="D1934" t="str">
            <v>15C BUSCH LIGHT PLUS MIKES LABATT</v>
          </cell>
          <cell r="E1934" t="str">
            <v>LABATT BREWERIES OF CANADA</v>
          </cell>
          <cell r="F1934" t="str">
            <v>5325</v>
          </cell>
          <cell r="G1934">
            <v>4</v>
          </cell>
          <cell r="H1934">
            <v>1</v>
          </cell>
          <cell r="I1934" t="str">
            <v>1575</v>
          </cell>
          <cell r="L1934">
            <v>15</v>
          </cell>
          <cell r="M1934">
            <v>27.09</v>
          </cell>
        </row>
        <row r="1935">
          <cell r="C1935" t="str">
            <v>35653</v>
          </cell>
          <cell r="D1935" t="str">
            <v>15C BUSCH LITE - LABATT</v>
          </cell>
          <cell r="E1935" t="str">
            <v>LABATT BREWERIES OF CANADA</v>
          </cell>
          <cell r="F1935" t="str">
            <v>5325</v>
          </cell>
          <cell r="G1935">
            <v>4</v>
          </cell>
          <cell r="H1935">
            <v>1</v>
          </cell>
          <cell r="I1935" t="str">
            <v>1575</v>
          </cell>
          <cell r="L1935">
            <v>15</v>
          </cell>
          <cell r="M1935">
            <v>27.98</v>
          </cell>
        </row>
        <row r="1936">
          <cell r="C1936" t="str">
            <v>1714</v>
          </cell>
          <cell r="D1936" t="str">
            <v>15C CANADIAN - MOLSON</v>
          </cell>
          <cell r="E1936" t="str">
            <v>MOLSON COORS CANADA</v>
          </cell>
          <cell r="F1936" t="str">
            <v>5325</v>
          </cell>
          <cell r="G1936">
            <v>5</v>
          </cell>
          <cell r="H1936">
            <v>1</v>
          </cell>
          <cell r="I1936" t="str">
            <v>3276</v>
          </cell>
          <cell r="L1936">
            <v>15</v>
          </cell>
          <cell r="M1936">
            <v>30.49</v>
          </cell>
        </row>
        <row r="1937">
          <cell r="C1937" t="str">
            <v>2096</v>
          </cell>
          <cell r="D1937" t="str">
            <v>15C COORS LIGHT - MOLSON</v>
          </cell>
          <cell r="E1937" t="str">
            <v>MOLSON COORS CANADA</v>
          </cell>
          <cell r="F1937" t="str">
            <v>5325</v>
          </cell>
          <cell r="G1937">
            <v>4</v>
          </cell>
          <cell r="H1937">
            <v>1</v>
          </cell>
          <cell r="I1937" t="str">
            <v>3276</v>
          </cell>
          <cell r="L1937">
            <v>15</v>
          </cell>
          <cell r="M1937">
            <v>30.49</v>
          </cell>
        </row>
        <row r="1938">
          <cell r="C1938" t="str">
            <v>34963</v>
          </cell>
          <cell r="D1938" t="str">
            <v>15C COORS ORIGINAL -  MOLSON</v>
          </cell>
          <cell r="E1938" t="str">
            <v>MOLSON COORS CANADA</v>
          </cell>
          <cell r="F1938" t="str">
            <v>5325</v>
          </cell>
          <cell r="G1938">
            <v>5</v>
          </cell>
          <cell r="H1938">
            <v>1</v>
          </cell>
          <cell r="I1938" t="str">
            <v>3276</v>
          </cell>
          <cell r="L1938">
            <v>15</v>
          </cell>
          <cell r="M1938">
            <v>34.5</v>
          </cell>
        </row>
        <row r="1939">
          <cell r="C1939" t="str">
            <v>36746</v>
          </cell>
          <cell r="D1939" t="str">
            <v>15C CORONA DOMESTIC - LABATT</v>
          </cell>
          <cell r="E1939" t="str">
            <v>LABATT BREWERIES OF CANADA</v>
          </cell>
          <cell r="F1939" t="str">
            <v>5325</v>
          </cell>
          <cell r="G1939">
            <v>4</v>
          </cell>
          <cell r="H1939">
            <v>1</v>
          </cell>
          <cell r="I1939" t="str">
            <v>1575</v>
          </cell>
          <cell r="L1939">
            <v>15</v>
          </cell>
          <cell r="M1939">
            <v>31.49</v>
          </cell>
        </row>
        <row r="1940">
          <cell r="C1940" t="str">
            <v>45191</v>
          </cell>
          <cell r="D1940" t="str">
            <v>15C GIB HONEY CYPRESS - MOLSON</v>
          </cell>
          <cell r="E1940" t="str">
            <v>CREEMORE SPRINGS BREWERY LTD</v>
          </cell>
          <cell r="F1940" t="str">
            <v>5325</v>
          </cell>
          <cell r="G1940">
            <v>4.7</v>
          </cell>
          <cell r="H1940">
            <v>1</v>
          </cell>
          <cell r="I1940" t="str">
            <v>3276</v>
          </cell>
          <cell r="L1940">
            <v>15</v>
          </cell>
          <cell r="M1940">
            <v>25.99</v>
          </cell>
        </row>
        <row r="1941">
          <cell r="C1941" t="str">
            <v>10859</v>
          </cell>
          <cell r="D1941" t="str">
            <v>15C KEYSTONE LIGHT - MOLSON</v>
          </cell>
          <cell r="E1941" t="str">
            <v>MOLSON COORS CANADA</v>
          </cell>
          <cell r="F1941" t="str">
            <v>5325</v>
          </cell>
          <cell r="G1941">
            <v>4</v>
          </cell>
          <cell r="H1941">
            <v>1</v>
          </cell>
          <cell r="I1941" t="str">
            <v>3276</v>
          </cell>
          <cell r="L1941">
            <v>15</v>
          </cell>
          <cell r="M1941">
            <v>26.99</v>
          </cell>
        </row>
        <row r="1942">
          <cell r="C1942" t="str">
            <v>5535</v>
          </cell>
          <cell r="D1942" t="str">
            <v>15C KOKANEE - LABATT</v>
          </cell>
          <cell r="E1942" t="str">
            <v>LABATT BREWERIES OF CANADA</v>
          </cell>
          <cell r="F1942" t="str">
            <v>5325</v>
          </cell>
          <cell r="G1942">
            <v>5</v>
          </cell>
          <cell r="H1942">
            <v>1</v>
          </cell>
          <cell r="I1942" t="str">
            <v>1575</v>
          </cell>
          <cell r="L1942">
            <v>15</v>
          </cell>
          <cell r="M1942">
            <v>33.28</v>
          </cell>
        </row>
        <row r="1943">
          <cell r="C1943" t="str">
            <v>37925</v>
          </cell>
          <cell r="D1943" t="str">
            <v>15C KOKANEE GOLD - LABATT</v>
          </cell>
          <cell r="E1943" t="str">
            <v>LABATT BREWERIES OF CANADA</v>
          </cell>
          <cell r="F1943" t="str">
            <v>5325</v>
          </cell>
          <cell r="G1943">
            <v>5.3</v>
          </cell>
          <cell r="H1943">
            <v>1</v>
          </cell>
          <cell r="I1943" t="str">
            <v>1575</v>
          </cell>
          <cell r="L1943">
            <v>15</v>
          </cell>
          <cell r="M1943">
            <v>33.28</v>
          </cell>
        </row>
        <row r="1944">
          <cell r="C1944" t="str">
            <v>5487</v>
          </cell>
          <cell r="D1944" t="str">
            <v>15C LABATT BLUE</v>
          </cell>
          <cell r="E1944" t="str">
            <v>LABATT BREWERIES OF CANADA</v>
          </cell>
          <cell r="F1944" t="str">
            <v>5325</v>
          </cell>
          <cell r="G1944">
            <v>5</v>
          </cell>
          <cell r="H1944">
            <v>1</v>
          </cell>
          <cell r="I1944" t="str">
            <v>1575</v>
          </cell>
          <cell r="L1944">
            <v>15</v>
          </cell>
          <cell r="M1944">
            <v>26.79</v>
          </cell>
        </row>
        <row r="1945">
          <cell r="C1945" t="str">
            <v>5540</v>
          </cell>
          <cell r="D1945" t="str">
            <v>15C LABATT LITE</v>
          </cell>
          <cell r="E1945" t="str">
            <v>LABATT BREWERIES OF CANADA</v>
          </cell>
          <cell r="F1945" t="str">
            <v>5325</v>
          </cell>
          <cell r="G1945">
            <v>4</v>
          </cell>
          <cell r="H1945">
            <v>1</v>
          </cell>
          <cell r="I1945" t="str">
            <v>1575</v>
          </cell>
          <cell r="L1945">
            <v>15</v>
          </cell>
          <cell r="M1945">
            <v>27.98</v>
          </cell>
        </row>
        <row r="1946">
          <cell r="C1946" t="str">
            <v>40638</v>
          </cell>
          <cell r="D1946" t="str">
            <v>15C LAWN MOWER YARD LAGER - CHURCHILL</v>
          </cell>
          <cell r="E1946" t="str">
            <v>CHURCHILL BREWING CO (M)</v>
          </cell>
          <cell r="F1946" t="str">
            <v>5325</v>
          </cell>
          <cell r="G1946">
            <v>5.4</v>
          </cell>
          <cell r="H1946">
            <v>1</v>
          </cell>
          <cell r="I1946" t="str">
            <v>205877</v>
          </cell>
          <cell r="L1946">
            <v>15</v>
          </cell>
          <cell r="M1946">
            <v>21.42</v>
          </cell>
        </row>
        <row r="1947">
          <cell r="C1947" t="str">
            <v>7436</v>
          </cell>
          <cell r="D1947" t="str">
            <v>15C LUCKY LAGER - LABATT</v>
          </cell>
          <cell r="E1947" t="str">
            <v>LABATT BREWERIES OF CANADA</v>
          </cell>
          <cell r="F1947" t="str">
            <v>5325</v>
          </cell>
          <cell r="G1947">
            <v>5</v>
          </cell>
          <cell r="H1947">
            <v>1</v>
          </cell>
          <cell r="I1947" t="str">
            <v>1575</v>
          </cell>
          <cell r="L1947">
            <v>15</v>
          </cell>
          <cell r="M1947">
            <v>27.98</v>
          </cell>
        </row>
        <row r="1948">
          <cell r="C1948" t="str">
            <v>28276</v>
          </cell>
          <cell r="D1948" t="str">
            <v>15C MICHELOB ULTRA - LABATT</v>
          </cell>
          <cell r="E1948" t="str">
            <v>LABATT BREWERIES OF CANADA</v>
          </cell>
          <cell r="F1948" t="str">
            <v>5325</v>
          </cell>
          <cell r="G1948">
            <v>4</v>
          </cell>
          <cell r="H1948">
            <v>1</v>
          </cell>
          <cell r="I1948" t="str">
            <v>1575</v>
          </cell>
          <cell r="L1948">
            <v>15</v>
          </cell>
          <cell r="M1948">
            <v>35.479999999999997</v>
          </cell>
        </row>
        <row r="1949">
          <cell r="C1949" t="str">
            <v>45377</v>
          </cell>
          <cell r="D1949" t="str">
            <v>15C MICHELOB ULTRA PROMO- LABATT</v>
          </cell>
          <cell r="E1949" t="str">
            <v>LABATT BREWERIES OF CANADA</v>
          </cell>
          <cell r="F1949" t="str">
            <v>5325</v>
          </cell>
          <cell r="G1949">
            <v>4</v>
          </cell>
          <cell r="H1949">
            <v>1</v>
          </cell>
          <cell r="I1949" t="str">
            <v>1575</v>
          </cell>
          <cell r="L1949">
            <v>15</v>
          </cell>
          <cell r="M1949">
            <v>35.479999999999997</v>
          </cell>
        </row>
        <row r="1950">
          <cell r="C1950" t="str">
            <v>27467</v>
          </cell>
          <cell r="D1950" t="str">
            <v>15C MILLER GENUINE DRAFT - MOLSON</v>
          </cell>
          <cell r="E1950" t="str">
            <v>MOLSON COORS CANADA</v>
          </cell>
          <cell r="F1950" t="str">
            <v>5325</v>
          </cell>
          <cell r="G1950">
            <v>4.7</v>
          </cell>
          <cell r="H1950">
            <v>1</v>
          </cell>
          <cell r="I1950" t="str">
            <v>3276</v>
          </cell>
          <cell r="L1950">
            <v>15</v>
          </cell>
          <cell r="M1950">
            <v>34.19</v>
          </cell>
        </row>
        <row r="1951">
          <cell r="C1951" t="str">
            <v>27463</v>
          </cell>
          <cell r="D1951" t="str">
            <v>15C MILLER HIGH LIFE - MOLSON</v>
          </cell>
          <cell r="E1951" t="str">
            <v>MOLSON COORS CANADA</v>
          </cell>
          <cell r="F1951" t="str">
            <v>5325</v>
          </cell>
          <cell r="G1951">
            <v>4.5999999999999996</v>
          </cell>
          <cell r="H1951">
            <v>1</v>
          </cell>
          <cell r="I1951" t="str">
            <v>3276</v>
          </cell>
          <cell r="L1951">
            <v>15</v>
          </cell>
          <cell r="M1951">
            <v>26.99</v>
          </cell>
        </row>
        <row r="1952">
          <cell r="C1952" t="str">
            <v>27475</v>
          </cell>
          <cell r="D1952" t="str">
            <v>15C MILLER LITE - MOLSON</v>
          </cell>
          <cell r="E1952" t="str">
            <v>MOLSON COORS CANADA</v>
          </cell>
          <cell r="F1952" t="str">
            <v>5325</v>
          </cell>
          <cell r="G1952">
            <v>4.2</v>
          </cell>
          <cell r="H1952">
            <v>1</v>
          </cell>
          <cell r="I1952" t="str">
            <v>3276</v>
          </cell>
          <cell r="L1952">
            <v>15</v>
          </cell>
          <cell r="M1952">
            <v>34.5</v>
          </cell>
        </row>
        <row r="1953">
          <cell r="C1953" t="str">
            <v>3319</v>
          </cell>
          <cell r="D1953" t="str">
            <v>15C MOLSON SPECIAL DRY - MOLSON</v>
          </cell>
          <cell r="E1953" t="str">
            <v>MOLSON COORS CANADA</v>
          </cell>
          <cell r="F1953" t="str">
            <v>5325</v>
          </cell>
          <cell r="G1953">
            <v>5</v>
          </cell>
          <cell r="H1953">
            <v>1</v>
          </cell>
          <cell r="I1953" t="str">
            <v>3276</v>
          </cell>
          <cell r="L1953">
            <v>15</v>
          </cell>
          <cell r="M1953">
            <v>27.49</v>
          </cell>
        </row>
        <row r="1954">
          <cell r="C1954" t="str">
            <v>33145</v>
          </cell>
          <cell r="D1954" t="str">
            <v>15C MOLSON ULTRA</v>
          </cell>
          <cell r="E1954" t="str">
            <v>MOLSON COORS CANADA</v>
          </cell>
          <cell r="F1954" t="str">
            <v>5325</v>
          </cell>
          <cell r="G1954">
            <v>3</v>
          </cell>
          <cell r="H1954">
            <v>1</v>
          </cell>
          <cell r="I1954" t="str">
            <v>3276</v>
          </cell>
          <cell r="L1954">
            <v>15</v>
          </cell>
          <cell r="M1954">
            <v>34.5</v>
          </cell>
        </row>
        <row r="1955">
          <cell r="C1955" t="str">
            <v>3478</v>
          </cell>
          <cell r="D1955" t="str">
            <v>15C OLD MILWAUKEE - SLEEMAN</v>
          </cell>
          <cell r="E1955" t="str">
            <v>Sleeman Breweries Ltd / Les Brasseries S</v>
          </cell>
          <cell r="F1955" t="str">
            <v>5325</v>
          </cell>
          <cell r="G1955">
            <v>5</v>
          </cell>
          <cell r="H1955">
            <v>1</v>
          </cell>
          <cell r="I1955" t="str">
            <v>3302</v>
          </cell>
          <cell r="L1955">
            <v>15</v>
          </cell>
          <cell r="M1955">
            <v>26.81</v>
          </cell>
        </row>
        <row r="1956">
          <cell r="C1956" t="str">
            <v>41339</v>
          </cell>
          <cell r="D1956" t="str">
            <v>15C OLYMPIA - GREAT WESTERN</v>
          </cell>
          <cell r="E1956" t="str">
            <v>GREAT WESTERN BREWING COMPANY</v>
          </cell>
          <cell r="F1956" t="str">
            <v>5325</v>
          </cell>
          <cell r="G1956">
            <v>5</v>
          </cell>
          <cell r="H1956">
            <v>1</v>
          </cell>
          <cell r="I1956" t="str">
            <v>3274</v>
          </cell>
          <cell r="L1956">
            <v>15</v>
          </cell>
          <cell r="M1956">
            <v>16.09</v>
          </cell>
        </row>
        <row r="1957">
          <cell r="C1957" t="str">
            <v>18421</v>
          </cell>
          <cell r="D1957" t="str">
            <v>15C ORIGINAL 16 CANADIAN COPPER ALE</v>
          </cell>
          <cell r="E1957" t="str">
            <v>GREAT WESTERN BREWING COMPANY</v>
          </cell>
          <cell r="F1957" t="str">
            <v>5325</v>
          </cell>
          <cell r="G1957">
            <v>5</v>
          </cell>
          <cell r="H1957">
            <v>1</v>
          </cell>
          <cell r="I1957" t="str">
            <v>3274</v>
          </cell>
          <cell r="L1957">
            <v>15</v>
          </cell>
          <cell r="M1957">
            <v>33.99</v>
          </cell>
        </row>
        <row r="1958">
          <cell r="C1958" t="str">
            <v>34161</v>
          </cell>
          <cell r="D1958" t="str">
            <v>15C ORIGINAL 16 CANADIAN EXTRA LIGHT -GW</v>
          </cell>
          <cell r="E1958" t="str">
            <v>GREAT WESTERN BREWING COMPANY</v>
          </cell>
          <cell r="F1958" t="str">
            <v>5325</v>
          </cell>
          <cell r="G1958">
            <v>2.5</v>
          </cell>
          <cell r="H1958">
            <v>1</v>
          </cell>
          <cell r="I1958" t="str">
            <v>3274</v>
          </cell>
          <cell r="L1958">
            <v>15</v>
          </cell>
          <cell r="M1958">
            <v>33.99</v>
          </cell>
        </row>
        <row r="1959">
          <cell r="C1959" t="str">
            <v>14524</v>
          </cell>
          <cell r="D1959" t="str">
            <v>15C ORIGINAL 16 CANADIAN PALE ALE</v>
          </cell>
          <cell r="E1959" t="str">
            <v>GREAT WESTERN BREWING COMPANY</v>
          </cell>
          <cell r="F1959" t="str">
            <v>5325</v>
          </cell>
          <cell r="G1959">
            <v>5</v>
          </cell>
          <cell r="H1959">
            <v>1</v>
          </cell>
          <cell r="I1959" t="str">
            <v>3274</v>
          </cell>
          <cell r="L1959">
            <v>15</v>
          </cell>
          <cell r="M1959">
            <v>33.99</v>
          </cell>
        </row>
        <row r="1960">
          <cell r="C1960" t="str">
            <v>27688</v>
          </cell>
          <cell r="D1960" t="str">
            <v>15C ORIGINAL 16 PRAIRIE WHITE - GW</v>
          </cell>
          <cell r="E1960" t="str">
            <v>GREAT WESTERN BREWING COMPANY</v>
          </cell>
          <cell r="F1960" t="str">
            <v>5325</v>
          </cell>
          <cell r="G1960">
            <v>4.8</v>
          </cell>
          <cell r="H1960">
            <v>1</v>
          </cell>
          <cell r="I1960" t="str">
            <v>3274</v>
          </cell>
          <cell r="L1960">
            <v>15</v>
          </cell>
          <cell r="M1960">
            <v>33.99</v>
          </cell>
        </row>
        <row r="1961">
          <cell r="C1961" t="str">
            <v>45880</v>
          </cell>
          <cell r="D1961" t="str">
            <v>15C ORIGINAL 16 ULTRA - GREAT WESTERN</v>
          </cell>
          <cell r="E1961" t="str">
            <v>GREAT WESTERN BREWING COMPANY</v>
          </cell>
          <cell r="F1961" t="str">
            <v>5325</v>
          </cell>
          <cell r="G1961">
            <v>4</v>
          </cell>
          <cell r="H1961">
            <v>1</v>
          </cell>
          <cell r="I1961" t="str">
            <v>3274</v>
          </cell>
          <cell r="L1961">
            <v>15</v>
          </cell>
          <cell r="M1961">
            <v>33.99</v>
          </cell>
        </row>
        <row r="1962">
          <cell r="C1962" t="str">
            <v>6684</v>
          </cell>
          <cell r="D1962" t="str">
            <v>15C PABST BLUE RIBBON - SLEEMAN</v>
          </cell>
          <cell r="E1962" t="str">
            <v>Sleeman Breweries Ltd / Les Brasseries S</v>
          </cell>
          <cell r="F1962" t="str">
            <v>5325</v>
          </cell>
          <cell r="G1962">
            <v>4.9000000000000004</v>
          </cell>
          <cell r="H1962">
            <v>1</v>
          </cell>
          <cell r="I1962" t="str">
            <v>3302</v>
          </cell>
          <cell r="L1962">
            <v>15</v>
          </cell>
          <cell r="M1962">
            <v>27.9</v>
          </cell>
        </row>
        <row r="1963">
          <cell r="C1963" t="str">
            <v>46663</v>
          </cell>
          <cell r="D1963" t="str">
            <v>15C PABST BLUE RIBBON LIGHT - SLEEMAN</v>
          </cell>
          <cell r="E1963" t="str">
            <v>Sleeman Breweries Ltd / Les Brasseries S</v>
          </cell>
          <cell r="F1963" t="str">
            <v>5325</v>
          </cell>
          <cell r="G1963">
            <v>4</v>
          </cell>
          <cell r="H1963">
            <v>1</v>
          </cell>
          <cell r="I1963" t="str">
            <v>3302</v>
          </cell>
          <cell r="L1963">
            <v>15</v>
          </cell>
          <cell r="M1963">
            <v>27.9</v>
          </cell>
        </row>
        <row r="1964">
          <cell r="C1964" t="str">
            <v>3653</v>
          </cell>
          <cell r="D1964" t="str">
            <v>15C PILSNER  - MOLSON</v>
          </cell>
          <cell r="E1964" t="str">
            <v>MOLSON COORS CANADA</v>
          </cell>
          <cell r="F1964" t="str">
            <v>5325</v>
          </cell>
          <cell r="G1964">
            <v>5</v>
          </cell>
          <cell r="H1964">
            <v>1</v>
          </cell>
          <cell r="I1964" t="str">
            <v>3276</v>
          </cell>
          <cell r="L1964">
            <v>15</v>
          </cell>
          <cell r="M1964">
            <v>26.92</v>
          </cell>
        </row>
        <row r="1965">
          <cell r="C1965" t="str">
            <v>3770</v>
          </cell>
          <cell r="D1965" t="str">
            <v>15C RAINIER - SLEEMAN</v>
          </cell>
          <cell r="E1965" t="str">
            <v>Sleeman Breweries Ltd / Les Brasseries S</v>
          </cell>
          <cell r="F1965" t="str">
            <v>5325</v>
          </cell>
          <cell r="G1965">
            <v>4.7</v>
          </cell>
          <cell r="H1965">
            <v>1</v>
          </cell>
          <cell r="I1965" t="str">
            <v>3302</v>
          </cell>
          <cell r="L1965">
            <v>15</v>
          </cell>
          <cell r="M1965">
            <v>25</v>
          </cell>
        </row>
        <row r="1966">
          <cell r="C1966" t="str">
            <v>24054</v>
          </cell>
          <cell r="D1966" t="str">
            <v>15C ROLLING ROCK - LABATT</v>
          </cell>
          <cell r="E1966" t="str">
            <v>LABATT BREWERIES OF CANADA</v>
          </cell>
          <cell r="F1966" t="str">
            <v>5325</v>
          </cell>
          <cell r="G1966">
            <v>4.5</v>
          </cell>
          <cell r="H1966">
            <v>1</v>
          </cell>
          <cell r="I1966" t="str">
            <v>1575</v>
          </cell>
          <cell r="L1966">
            <v>15</v>
          </cell>
          <cell r="M1966">
            <v>26.99</v>
          </cell>
        </row>
        <row r="1967">
          <cell r="C1967" t="str">
            <v>27667</v>
          </cell>
          <cell r="D1967" t="str">
            <v>15C SLEEMAN CLEAR 2.0</v>
          </cell>
          <cell r="E1967" t="str">
            <v>Sleeman Breweries Ltd / Les Brasseries S</v>
          </cell>
          <cell r="F1967" t="str">
            <v>5325</v>
          </cell>
          <cell r="G1967">
            <v>4</v>
          </cell>
          <cell r="H1967">
            <v>1</v>
          </cell>
          <cell r="I1967" t="str">
            <v>3302</v>
          </cell>
          <cell r="L1967">
            <v>15</v>
          </cell>
          <cell r="M1967">
            <v>30.49</v>
          </cell>
        </row>
        <row r="1968">
          <cell r="C1968" t="str">
            <v>18175</v>
          </cell>
          <cell r="D1968" t="str">
            <v>15C SLEEMAN HONEY BROWN LAGER</v>
          </cell>
          <cell r="E1968" t="str">
            <v>Sleeman Breweries Ltd / Les Brasseries S</v>
          </cell>
          <cell r="F1968" t="str">
            <v>5325</v>
          </cell>
          <cell r="G1968">
            <v>5.2</v>
          </cell>
          <cell r="H1968">
            <v>1</v>
          </cell>
          <cell r="I1968" t="str">
            <v>3302</v>
          </cell>
          <cell r="L1968">
            <v>15</v>
          </cell>
          <cell r="M1968">
            <v>32.840000000000003</v>
          </cell>
        </row>
        <row r="1969">
          <cell r="C1969" t="str">
            <v>14287</v>
          </cell>
          <cell r="D1969" t="str">
            <v>15C SLEEMAN ORIGINAL DRAUGHT</v>
          </cell>
          <cell r="E1969" t="str">
            <v>Sleeman Breweries Ltd / Les Brasseries S</v>
          </cell>
          <cell r="F1969" t="str">
            <v>5325</v>
          </cell>
          <cell r="G1969">
            <v>5</v>
          </cell>
          <cell r="H1969">
            <v>1</v>
          </cell>
          <cell r="I1969" t="str">
            <v>3302</v>
          </cell>
          <cell r="L1969">
            <v>15</v>
          </cell>
          <cell r="M1969">
            <v>30.49</v>
          </cell>
        </row>
        <row r="1970">
          <cell r="C1970" t="str">
            <v>36747</v>
          </cell>
          <cell r="D1970" t="str">
            <v>15C STELLA ARTOIS DOMESTIC - LABATT</v>
          </cell>
          <cell r="E1970" t="str">
            <v>LABATT BREWERIES OF CANADA</v>
          </cell>
          <cell r="F1970" t="str">
            <v>5325</v>
          </cell>
          <cell r="G1970">
            <v>5</v>
          </cell>
          <cell r="H1970">
            <v>1</v>
          </cell>
          <cell r="I1970" t="str">
            <v>1575</v>
          </cell>
          <cell r="L1970">
            <v>15</v>
          </cell>
          <cell r="M1970">
            <v>31.49</v>
          </cell>
        </row>
        <row r="1971">
          <cell r="C1971" t="str">
            <v>46107</v>
          </cell>
          <cell r="D1971" t="str">
            <v>15C VARIETY 2025 - BIG ROCK</v>
          </cell>
          <cell r="E1971" t="str">
            <v>BIG ROCK (ALBERTA) LTD. (R)</v>
          </cell>
          <cell r="F1971" t="str">
            <v>5325</v>
          </cell>
          <cell r="G1971">
            <v>5</v>
          </cell>
          <cell r="H1971">
            <v>1</v>
          </cell>
          <cell r="I1971" t="str">
            <v>3227</v>
          </cell>
          <cell r="L1971">
            <v>15</v>
          </cell>
          <cell r="M1971">
            <v>31.75</v>
          </cell>
        </row>
        <row r="1972">
          <cell r="C1972" t="str">
            <v>34735</v>
          </cell>
          <cell r="D1972" t="str">
            <v>18B CORONA DOMESTIC - LABATT</v>
          </cell>
          <cell r="E1972" t="str">
            <v>LABATT BREWERIES OF CANADA</v>
          </cell>
          <cell r="F1972" t="str">
            <v>5940</v>
          </cell>
          <cell r="G1972">
            <v>4.5999999999999996</v>
          </cell>
          <cell r="H1972">
            <v>1</v>
          </cell>
          <cell r="I1972" t="str">
            <v>1575</v>
          </cell>
          <cell r="L1972">
            <v>18</v>
          </cell>
          <cell r="M1972">
            <v>42.78</v>
          </cell>
        </row>
        <row r="1973">
          <cell r="C1973" t="str">
            <v>27470</v>
          </cell>
          <cell r="D1973" t="str">
            <v>18B MILLER GENUINE DRAFT - MOLSON</v>
          </cell>
          <cell r="E1973" t="str">
            <v>MOLSON COORS CANADA</v>
          </cell>
          <cell r="F1973" t="str">
            <v>6390</v>
          </cell>
          <cell r="G1973">
            <v>4.7</v>
          </cell>
          <cell r="H1973">
            <v>1</v>
          </cell>
          <cell r="I1973" t="str">
            <v>3276</v>
          </cell>
          <cell r="L1973">
            <v>18</v>
          </cell>
          <cell r="M1973">
            <v>41</v>
          </cell>
        </row>
        <row r="1974">
          <cell r="C1974" t="str">
            <v>34723</v>
          </cell>
          <cell r="D1974" t="str">
            <v>18B STELLA ARTOIS DOMESTIC - LABATT</v>
          </cell>
          <cell r="E1974" t="str">
            <v>LABATT BREWERIES OF CANADA</v>
          </cell>
          <cell r="F1974" t="str">
            <v>5940</v>
          </cell>
          <cell r="G1974">
            <v>5</v>
          </cell>
          <cell r="H1974">
            <v>1</v>
          </cell>
          <cell r="I1974" t="str">
            <v>1575</v>
          </cell>
          <cell r="L1974">
            <v>18</v>
          </cell>
          <cell r="M1974">
            <v>42.78</v>
          </cell>
        </row>
        <row r="1975">
          <cell r="C1975" t="str">
            <v>12443</v>
          </cell>
          <cell r="D1975" t="str">
            <v>18C BUD LIGHT - LABATT</v>
          </cell>
          <cell r="E1975" t="str">
            <v>LABATT BREWERIES OF CANADA</v>
          </cell>
          <cell r="F1975" t="str">
            <v>6390</v>
          </cell>
          <cell r="G1975">
            <v>4</v>
          </cell>
          <cell r="H1975">
            <v>1</v>
          </cell>
          <cell r="I1975" t="str">
            <v>1575</v>
          </cell>
          <cell r="L1975">
            <v>18</v>
          </cell>
          <cell r="M1975">
            <v>37.5</v>
          </cell>
        </row>
        <row r="1976">
          <cell r="C1976" t="str">
            <v>12445</v>
          </cell>
          <cell r="D1976" t="str">
            <v>18C BUDWEISER - LABATT</v>
          </cell>
          <cell r="E1976" t="str">
            <v>LABATT BREWERIES OF CANADA</v>
          </cell>
          <cell r="F1976" t="str">
            <v>6390</v>
          </cell>
          <cell r="G1976">
            <v>5</v>
          </cell>
          <cell r="H1976">
            <v>1</v>
          </cell>
          <cell r="I1976" t="str">
            <v>1575</v>
          </cell>
          <cell r="L1976">
            <v>18</v>
          </cell>
          <cell r="M1976">
            <v>37.5</v>
          </cell>
        </row>
        <row r="1977">
          <cell r="C1977" t="str">
            <v>1717</v>
          </cell>
          <cell r="D1977" t="str">
            <v>18C CANADIAN -  MOLSON</v>
          </cell>
          <cell r="E1977" t="str">
            <v>MOLSON COORS CANADA</v>
          </cell>
          <cell r="F1977" t="str">
            <v>6390</v>
          </cell>
          <cell r="G1977">
            <v>5</v>
          </cell>
          <cell r="H1977">
            <v>1</v>
          </cell>
          <cell r="I1977" t="str">
            <v>3276</v>
          </cell>
          <cell r="L1977">
            <v>18</v>
          </cell>
          <cell r="M1977">
            <v>37.5</v>
          </cell>
        </row>
        <row r="1978">
          <cell r="C1978" t="str">
            <v>6621</v>
          </cell>
          <cell r="D1978" t="str">
            <v>18C COORS LIGHT - MOLSON</v>
          </cell>
          <cell r="E1978" t="str">
            <v>MOLSON COORS CANADA</v>
          </cell>
          <cell r="F1978" t="str">
            <v>6390</v>
          </cell>
          <cell r="G1978">
            <v>4</v>
          </cell>
          <cell r="H1978">
            <v>1</v>
          </cell>
          <cell r="I1978" t="str">
            <v>3276</v>
          </cell>
          <cell r="L1978">
            <v>18</v>
          </cell>
          <cell r="M1978">
            <v>37.5</v>
          </cell>
        </row>
        <row r="1979">
          <cell r="C1979" t="str">
            <v>21486</v>
          </cell>
          <cell r="D1979" t="str">
            <v>18C GREAT WESTERN CLASSIC</v>
          </cell>
          <cell r="E1979" t="str">
            <v>GREAT WESTERN BREWING COMPANY</v>
          </cell>
          <cell r="F1979" t="str">
            <v>6390</v>
          </cell>
          <cell r="G1979">
            <v>5</v>
          </cell>
          <cell r="H1979">
            <v>1</v>
          </cell>
          <cell r="I1979" t="str">
            <v>3274</v>
          </cell>
          <cell r="L1979">
            <v>18</v>
          </cell>
          <cell r="M1979">
            <v>33.99</v>
          </cell>
        </row>
        <row r="1980">
          <cell r="C1980" t="str">
            <v>14627</v>
          </cell>
          <cell r="D1980" t="str">
            <v>18C GREAT WESTERN LIGHT</v>
          </cell>
          <cell r="E1980" t="str">
            <v>GREAT WESTERN BREWING COMPANY</v>
          </cell>
          <cell r="F1980" t="str">
            <v>6390</v>
          </cell>
          <cell r="G1980">
            <v>4</v>
          </cell>
          <cell r="H1980">
            <v>1</v>
          </cell>
          <cell r="I1980" t="str">
            <v>3274</v>
          </cell>
          <cell r="L1980">
            <v>18</v>
          </cell>
          <cell r="M1980">
            <v>33.99</v>
          </cell>
        </row>
        <row r="1981">
          <cell r="C1981" t="str">
            <v>14778</v>
          </cell>
          <cell r="D1981" t="str">
            <v>18C GREAT WESTERN PILSNER</v>
          </cell>
          <cell r="E1981" t="str">
            <v>GREAT WESTERN BREWING COMPANY</v>
          </cell>
          <cell r="F1981" t="str">
            <v>6390</v>
          </cell>
          <cell r="G1981">
            <v>5</v>
          </cell>
          <cell r="H1981">
            <v>1</v>
          </cell>
          <cell r="I1981" t="str">
            <v>3274</v>
          </cell>
          <cell r="L1981">
            <v>18</v>
          </cell>
          <cell r="M1981">
            <v>32.5</v>
          </cell>
        </row>
        <row r="1982">
          <cell r="C1982" t="str">
            <v>5536</v>
          </cell>
          <cell r="D1982" t="str">
            <v>18C KOKANEE - LABATT</v>
          </cell>
          <cell r="E1982" t="str">
            <v>LABATT BREWERIES OF CANADA</v>
          </cell>
          <cell r="F1982" t="str">
            <v>6390</v>
          </cell>
          <cell r="G1982">
            <v>5</v>
          </cell>
          <cell r="H1982">
            <v>1</v>
          </cell>
          <cell r="I1982" t="str">
            <v>1575</v>
          </cell>
          <cell r="L1982">
            <v>18</v>
          </cell>
          <cell r="M1982">
            <v>34.99</v>
          </cell>
        </row>
        <row r="1983">
          <cell r="C1983" t="str">
            <v>47835</v>
          </cell>
          <cell r="D1983" t="str">
            <v>18C MICHELOB ULTRA - LABATT</v>
          </cell>
          <cell r="E1983" t="str">
            <v>LABATT BREWERIES OF CANADA</v>
          </cell>
          <cell r="F1983" t="str">
            <v>6930</v>
          </cell>
          <cell r="G1983">
            <v>4</v>
          </cell>
          <cell r="H1983">
            <v>1</v>
          </cell>
          <cell r="I1983" t="str">
            <v>1575</v>
          </cell>
          <cell r="L1983">
            <v>18</v>
          </cell>
          <cell r="M1983">
            <v>40.99</v>
          </cell>
        </row>
        <row r="1984">
          <cell r="C1984" t="str">
            <v>15554</v>
          </cell>
          <cell r="D1984" t="str">
            <v>18C PILSNER  - MOLSON</v>
          </cell>
          <cell r="E1984" t="str">
            <v>MOLSON COORS CANADA</v>
          </cell>
          <cell r="F1984" t="str">
            <v>6390</v>
          </cell>
          <cell r="G1984">
            <v>5</v>
          </cell>
          <cell r="H1984">
            <v>1</v>
          </cell>
          <cell r="I1984" t="str">
            <v>3276</v>
          </cell>
          <cell r="L1984">
            <v>18</v>
          </cell>
          <cell r="M1984">
            <v>33.200000000000003</v>
          </cell>
        </row>
        <row r="1985">
          <cell r="C1985" t="str">
            <v>37419</v>
          </cell>
          <cell r="D1985" t="str">
            <v>1B CORONA NATURAL EXPERIENCE DOMST LAB</v>
          </cell>
          <cell r="E1985" t="str">
            <v>LABATT BREWERIES OF CANADA</v>
          </cell>
          <cell r="F1985" t="str">
            <v>710</v>
          </cell>
          <cell r="G1985">
            <v>4.5999999999999996</v>
          </cell>
          <cell r="H1985">
            <v>12</v>
          </cell>
          <cell r="I1985" t="str">
            <v>1575</v>
          </cell>
          <cell r="L1985">
            <v>1</v>
          </cell>
          <cell r="M1985">
            <v>4.6900000000000004</v>
          </cell>
        </row>
        <row r="1986">
          <cell r="C1986" t="str">
            <v>24588</v>
          </cell>
          <cell r="D1986" t="str">
            <v>1C  KOKANEE LABATT</v>
          </cell>
          <cell r="E1986" t="str">
            <v>LABATT BREWERIES OF CANADA</v>
          </cell>
          <cell r="F1986" t="str">
            <v>740</v>
          </cell>
          <cell r="G1986">
            <v>5</v>
          </cell>
          <cell r="H1986">
            <v>1</v>
          </cell>
          <cell r="I1986" t="str">
            <v>1575</v>
          </cell>
          <cell r="L1986">
            <v>1</v>
          </cell>
          <cell r="M1986">
            <v>4.59</v>
          </cell>
        </row>
        <row r="1987">
          <cell r="C1987" t="str">
            <v>21073</v>
          </cell>
          <cell r="D1987" t="str">
            <v>1C ALEXANDER KEITH'S INDIA PALE ALE LABA</v>
          </cell>
          <cell r="E1987" t="str">
            <v>LABATT BREWERIES OF CANADA</v>
          </cell>
          <cell r="F1987" t="str">
            <v>473</v>
          </cell>
          <cell r="G1987">
            <v>5</v>
          </cell>
          <cell r="H1987">
            <v>24</v>
          </cell>
          <cell r="I1987" t="str">
            <v>1575</v>
          </cell>
          <cell r="L1987">
            <v>1</v>
          </cell>
          <cell r="M1987">
            <v>3.29</v>
          </cell>
        </row>
        <row r="1988">
          <cell r="C1988" t="str">
            <v>25028</v>
          </cell>
          <cell r="D1988" t="str">
            <v>1C BELGIAN MOON WHITE MOLSON</v>
          </cell>
          <cell r="E1988" t="str">
            <v>MOLSON COORS CANADA</v>
          </cell>
          <cell r="F1988" t="str">
            <v>473</v>
          </cell>
          <cell r="G1988">
            <v>5.4</v>
          </cell>
          <cell r="H1988">
            <v>24</v>
          </cell>
          <cell r="I1988" t="str">
            <v>3276</v>
          </cell>
          <cell r="L1988">
            <v>1</v>
          </cell>
          <cell r="M1988">
            <v>3.4</v>
          </cell>
        </row>
        <row r="1989">
          <cell r="C1989" t="str">
            <v>45275</v>
          </cell>
          <cell r="D1989" t="str">
            <v>1C BLACK BULL 10% - SLEEMAN</v>
          </cell>
          <cell r="E1989" t="str">
            <v>Sleeman Breweries Ltd / Les Brasseries S</v>
          </cell>
          <cell r="F1989" t="str">
            <v>710</v>
          </cell>
          <cell r="G1989">
            <v>10</v>
          </cell>
          <cell r="H1989">
            <v>12</v>
          </cell>
          <cell r="I1989" t="str">
            <v>3302</v>
          </cell>
          <cell r="L1989">
            <v>1</v>
          </cell>
          <cell r="M1989">
            <v>3.48</v>
          </cell>
        </row>
        <row r="1990">
          <cell r="C1990" t="str">
            <v>23644</v>
          </cell>
          <cell r="D1990" t="str">
            <v>1C BLACK ICE MOLSON</v>
          </cell>
          <cell r="E1990" t="str">
            <v>MOLSON COORS CANADA</v>
          </cell>
          <cell r="F1990" t="str">
            <v>710</v>
          </cell>
          <cell r="G1990">
            <v>6.1</v>
          </cell>
          <cell r="H1990">
            <v>12</v>
          </cell>
          <cell r="I1990" t="str">
            <v>3276</v>
          </cell>
          <cell r="L1990">
            <v>1</v>
          </cell>
          <cell r="M1990">
            <v>3.89</v>
          </cell>
        </row>
        <row r="1991">
          <cell r="C1991" t="str">
            <v>19971</v>
          </cell>
          <cell r="D1991" t="str">
            <v>1C BUD LIGHT - LABATT</v>
          </cell>
          <cell r="E1991" t="str">
            <v>LABATT BREWERIES OF CANADA</v>
          </cell>
          <cell r="F1991" t="str">
            <v>473</v>
          </cell>
          <cell r="G1991">
            <v>4</v>
          </cell>
          <cell r="H1991">
            <v>24</v>
          </cell>
          <cell r="I1991" t="str">
            <v>1575</v>
          </cell>
          <cell r="L1991">
            <v>1</v>
          </cell>
          <cell r="M1991">
            <v>3.19</v>
          </cell>
        </row>
        <row r="1992">
          <cell r="C1992" t="str">
            <v>21070</v>
          </cell>
          <cell r="D1992" t="str">
            <v>1C BUD LIGHT - LABATT</v>
          </cell>
          <cell r="E1992" t="str">
            <v>LABATT BREWERIES OF CANADA</v>
          </cell>
          <cell r="F1992" t="str">
            <v>740</v>
          </cell>
          <cell r="G1992">
            <v>4</v>
          </cell>
          <cell r="H1992">
            <v>1</v>
          </cell>
          <cell r="I1992" t="str">
            <v>1575</v>
          </cell>
          <cell r="L1992">
            <v>1</v>
          </cell>
          <cell r="M1992">
            <v>4.59</v>
          </cell>
        </row>
        <row r="1993">
          <cell r="C1993" t="str">
            <v>22235</v>
          </cell>
          <cell r="D1993" t="str">
            <v>1C BUD LIGHT APPLE - LABATT</v>
          </cell>
          <cell r="E1993" t="str">
            <v>LABATT BREWERIES OF CANADA</v>
          </cell>
          <cell r="F1993" t="str">
            <v>473</v>
          </cell>
          <cell r="G1993">
            <v>4</v>
          </cell>
          <cell r="H1993">
            <v>24</v>
          </cell>
          <cell r="I1993" t="str">
            <v>1575</v>
          </cell>
          <cell r="L1993">
            <v>1</v>
          </cell>
          <cell r="M1993">
            <v>3.25</v>
          </cell>
        </row>
        <row r="1994">
          <cell r="C1994" t="str">
            <v>43625</v>
          </cell>
          <cell r="D1994" t="str">
            <v>1C BUD LIGHT CHELADA (DOM) - LABATT</v>
          </cell>
          <cell r="E1994" t="str">
            <v>LABATT BREWERIES OF CANADA</v>
          </cell>
          <cell r="F1994" t="str">
            <v>473</v>
          </cell>
          <cell r="G1994">
            <v>4</v>
          </cell>
          <cell r="H1994">
            <v>24</v>
          </cell>
          <cell r="I1994" t="str">
            <v>1575</v>
          </cell>
          <cell r="L1994">
            <v>1</v>
          </cell>
          <cell r="M1994">
            <v>3.6</v>
          </cell>
        </row>
        <row r="1995">
          <cell r="C1995" t="str">
            <v>31535</v>
          </cell>
          <cell r="D1995" t="str">
            <v>1C BUD LIGHT LIME (DOMESTIC) - LABATT</v>
          </cell>
          <cell r="E1995" t="str">
            <v>LABATT BREWERIES OF CANADA</v>
          </cell>
          <cell r="F1995" t="str">
            <v>473</v>
          </cell>
          <cell r="G1995">
            <v>4</v>
          </cell>
          <cell r="H1995">
            <v>24</v>
          </cell>
          <cell r="I1995" t="str">
            <v>1575</v>
          </cell>
          <cell r="L1995">
            <v>1</v>
          </cell>
          <cell r="M1995">
            <v>3.55</v>
          </cell>
        </row>
        <row r="1996">
          <cell r="C1996" t="str">
            <v>5497</v>
          </cell>
          <cell r="D1996" t="str">
            <v>1C BUDWEISER - LABATT</v>
          </cell>
          <cell r="E1996" t="str">
            <v>LABATT BREWERIES OF CANADA</v>
          </cell>
          <cell r="F1996" t="str">
            <v>473</v>
          </cell>
          <cell r="G1996">
            <v>5</v>
          </cell>
          <cell r="H1996">
            <v>24</v>
          </cell>
          <cell r="I1996" t="str">
            <v>1575</v>
          </cell>
          <cell r="L1996">
            <v>1</v>
          </cell>
          <cell r="M1996">
            <v>3.19</v>
          </cell>
        </row>
        <row r="1997">
          <cell r="C1997" t="str">
            <v>21072</v>
          </cell>
          <cell r="D1997" t="str">
            <v>1C BUDWEISER - LABATT</v>
          </cell>
          <cell r="E1997" t="str">
            <v>LABATT BREWERIES OF CANADA</v>
          </cell>
          <cell r="F1997" t="str">
            <v>740</v>
          </cell>
          <cell r="G1997">
            <v>5</v>
          </cell>
          <cell r="H1997">
            <v>1</v>
          </cell>
          <cell r="I1997" t="str">
            <v>1575</v>
          </cell>
          <cell r="L1997">
            <v>1</v>
          </cell>
          <cell r="M1997">
            <v>4.59</v>
          </cell>
        </row>
        <row r="1998">
          <cell r="C1998" t="str">
            <v>22483</v>
          </cell>
          <cell r="D1998" t="str">
            <v>1C BUSCH - LABATT</v>
          </cell>
          <cell r="E1998" t="str">
            <v>LABATT BREWERIES OF CANADA</v>
          </cell>
          <cell r="F1998" t="str">
            <v>740</v>
          </cell>
          <cell r="G1998">
            <v>4.7</v>
          </cell>
          <cell r="H1998">
            <v>1</v>
          </cell>
          <cell r="I1998" t="str">
            <v>1575</v>
          </cell>
          <cell r="L1998">
            <v>1</v>
          </cell>
          <cell r="M1998">
            <v>3.79</v>
          </cell>
        </row>
        <row r="1999">
          <cell r="C1999" t="str">
            <v>30631</v>
          </cell>
          <cell r="D1999" t="str">
            <v>1C BUSCH ICE - LABATT</v>
          </cell>
          <cell r="E1999" t="str">
            <v>LABATT BREWERIES OF CANADA</v>
          </cell>
          <cell r="F1999" t="str">
            <v>740</v>
          </cell>
          <cell r="G1999">
            <v>6</v>
          </cell>
          <cell r="H1999">
            <v>12</v>
          </cell>
          <cell r="I1999" t="str">
            <v>1575</v>
          </cell>
          <cell r="L1999">
            <v>1</v>
          </cell>
          <cell r="M1999">
            <v>3.79</v>
          </cell>
        </row>
        <row r="2000">
          <cell r="C2000" t="str">
            <v>11245</v>
          </cell>
          <cell r="D2000" t="str">
            <v>1C CANADIAN - MOLSON</v>
          </cell>
          <cell r="E2000" t="str">
            <v>MOLSON COORS CANADA</v>
          </cell>
          <cell r="F2000" t="str">
            <v>710</v>
          </cell>
          <cell r="G2000">
            <v>5</v>
          </cell>
          <cell r="H2000">
            <v>12</v>
          </cell>
          <cell r="I2000" t="str">
            <v>3276</v>
          </cell>
          <cell r="L2000">
            <v>1</v>
          </cell>
          <cell r="M2000">
            <v>4.3</v>
          </cell>
        </row>
        <row r="2001">
          <cell r="C2001" t="str">
            <v>45184</v>
          </cell>
          <cell r="D2001" t="str">
            <v>1C CANADIAN COLD SHOT 6.0 - MOLSON</v>
          </cell>
          <cell r="E2001" t="str">
            <v>MOLSON COORS CANADA</v>
          </cell>
          <cell r="F2001" t="str">
            <v>473</v>
          </cell>
          <cell r="G2001">
            <v>6</v>
          </cell>
          <cell r="H2001">
            <v>24</v>
          </cell>
          <cell r="I2001" t="str">
            <v>3276</v>
          </cell>
          <cell r="L2001">
            <v>1</v>
          </cell>
          <cell r="M2001">
            <v>2.99</v>
          </cell>
        </row>
        <row r="2002">
          <cell r="C2002" t="str">
            <v>48175</v>
          </cell>
          <cell r="D2002" t="str">
            <v>1C COLD SHOTS MAX 7.1 - MOLSON</v>
          </cell>
          <cell r="E2002" t="str">
            <v>MOLSON COORS CANADA</v>
          </cell>
          <cell r="F2002" t="str">
            <v>473</v>
          </cell>
          <cell r="G2002">
            <v>7.1</v>
          </cell>
          <cell r="H2002">
            <v>24</v>
          </cell>
          <cell r="I2002" t="str">
            <v>3276</v>
          </cell>
          <cell r="L2002">
            <v>1</v>
          </cell>
          <cell r="M2002">
            <v>2.99</v>
          </cell>
        </row>
        <row r="2003">
          <cell r="C2003" t="str">
            <v>28933</v>
          </cell>
          <cell r="D2003" t="str">
            <v>1C COLT 45 - SLEEMAN</v>
          </cell>
          <cell r="E2003" t="str">
            <v>Sleeman Breweries Ltd / Les Brasseries S</v>
          </cell>
          <cell r="F2003" t="str">
            <v>710</v>
          </cell>
          <cell r="G2003">
            <v>8</v>
          </cell>
          <cell r="H2003">
            <v>12</v>
          </cell>
          <cell r="I2003" t="str">
            <v>3302</v>
          </cell>
          <cell r="L2003">
            <v>1</v>
          </cell>
          <cell r="M2003">
            <v>3.48</v>
          </cell>
        </row>
        <row r="2004">
          <cell r="C2004" t="str">
            <v>28636</v>
          </cell>
          <cell r="D2004" t="str">
            <v>1C COORS EDGE - MOLSON</v>
          </cell>
          <cell r="E2004" t="str">
            <v>MOLSON COORS CANADA</v>
          </cell>
          <cell r="F2004" t="str">
            <v>473</v>
          </cell>
          <cell r="G2004">
            <v>0.05</v>
          </cell>
          <cell r="H2004">
            <v>12</v>
          </cell>
          <cell r="I2004" t="str">
            <v>3276</v>
          </cell>
          <cell r="L2004">
            <v>1</v>
          </cell>
          <cell r="M2004">
            <v>2.0099999999999998</v>
          </cell>
        </row>
        <row r="2005">
          <cell r="C2005" t="str">
            <v>11244</v>
          </cell>
          <cell r="D2005" t="str">
            <v>1C COORS LIGHT - MOLSON</v>
          </cell>
          <cell r="E2005" t="str">
            <v>MOLSON COORS CANADA</v>
          </cell>
          <cell r="F2005" t="str">
            <v>710</v>
          </cell>
          <cell r="G2005">
            <v>4</v>
          </cell>
          <cell r="H2005">
            <v>12</v>
          </cell>
          <cell r="I2005" t="str">
            <v>3276</v>
          </cell>
          <cell r="L2005">
            <v>1</v>
          </cell>
          <cell r="M2005">
            <v>4.3</v>
          </cell>
        </row>
        <row r="2006">
          <cell r="C2006" t="str">
            <v>32936</v>
          </cell>
          <cell r="D2006" t="str">
            <v>1C COORS ORIGINAL - MOLSON</v>
          </cell>
          <cell r="E2006" t="str">
            <v>MOLSON COORS CANADA</v>
          </cell>
          <cell r="F2006" t="str">
            <v>473</v>
          </cell>
          <cell r="G2006">
            <v>5</v>
          </cell>
          <cell r="H2006">
            <v>24</v>
          </cell>
          <cell r="I2006" t="str">
            <v>3276</v>
          </cell>
          <cell r="L2006">
            <v>1</v>
          </cell>
          <cell r="M2006">
            <v>3.4</v>
          </cell>
        </row>
        <row r="2007">
          <cell r="C2007" t="str">
            <v>34281</v>
          </cell>
          <cell r="D2007" t="str">
            <v>1C COORS ORIGINAL - MOLSON</v>
          </cell>
          <cell r="E2007" t="str">
            <v>MOLSON COORS CANADA</v>
          </cell>
          <cell r="F2007" t="str">
            <v>710</v>
          </cell>
          <cell r="G2007">
            <v>5</v>
          </cell>
          <cell r="H2007">
            <v>12</v>
          </cell>
          <cell r="I2007" t="str">
            <v>3276</v>
          </cell>
          <cell r="L2007">
            <v>1</v>
          </cell>
          <cell r="M2007">
            <v>4.5599999999999996</v>
          </cell>
        </row>
        <row r="2008">
          <cell r="C2008" t="str">
            <v>34726</v>
          </cell>
          <cell r="D2008" t="str">
            <v>1C CORONA DOMESTIC - LABATT</v>
          </cell>
          <cell r="E2008" t="str">
            <v>LABATT BREWERIES OF CANADA</v>
          </cell>
          <cell r="F2008" t="str">
            <v>473</v>
          </cell>
          <cell r="G2008">
            <v>4.5999999999999996</v>
          </cell>
          <cell r="H2008">
            <v>24</v>
          </cell>
          <cell r="I2008" t="str">
            <v>1575</v>
          </cell>
          <cell r="L2008">
            <v>1</v>
          </cell>
          <cell r="M2008">
            <v>3.79</v>
          </cell>
        </row>
        <row r="2009">
          <cell r="C2009" t="str">
            <v>39843</v>
          </cell>
          <cell r="D2009" t="str">
            <v>1C GIB BROCKTON WEST COAST IPA-MOLSON</v>
          </cell>
          <cell r="E2009" t="str">
            <v>CREEMORE SPRINGS BREWERY LTD</v>
          </cell>
          <cell r="F2009" t="str">
            <v>473</v>
          </cell>
          <cell r="G2009">
            <v>5</v>
          </cell>
          <cell r="H2009">
            <v>24</v>
          </cell>
          <cell r="I2009" t="str">
            <v>3276</v>
          </cell>
          <cell r="L2009">
            <v>1</v>
          </cell>
          <cell r="M2009">
            <v>2.96</v>
          </cell>
        </row>
        <row r="2010">
          <cell r="C2010" t="str">
            <v>42746</v>
          </cell>
          <cell r="D2010" t="str">
            <v>1C GIB FALSE CREEK RASPBERRY ALE MOLSON</v>
          </cell>
          <cell r="E2010" t="str">
            <v>CREEMORE SPRINGS BREWERY LTD</v>
          </cell>
          <cell r="F2010" t="str">
            <v>473</v>
          </cell>
          <cell r="G2010">
            <v>4.5</v>
          </cell>
          <cell r="H2010">
            <v>24</v>
          </cell>
          <cell r="I2010" t="str">
            <v>3276</v>
          </cell>
          <cell r="L2010">
            <v>1</v>
          </cell>
          <cell r="M2010">
            <v>2.96</v>
          </cell>
        </row>
        <row r="2011">
          <cell r="C2011" t="str">
            <v>45192</v>
          </cell>
          <cell r="D2011" t="str">
            <v>1C GIB HONEY CYPRESS - MOLSON</v>
          </cell>
          <cell r="E2011" t="str">
            <v>CREEMORE SPRINGS BREWERY LTD</v>
          </cell>
          <cell r="F2011" t="str">
            <v>473</v>
          </cell>
          <cell r="G2011">
            <v>4.7</v>
          </cell>
          <cell r="H2011">
            <v>24</v>
          </cell>
          <cell r="I2011" t="str">
            <v>3276</v>
          </cell>
          <cell r="L2011">
            <v>1</v>
          </cell>
          <cell r="M2011">
            <v>2.96</v>
          </cell>
        </row>
        <row r="2012">
          <cell r="C2012" t="str">
            <v>39596</v>
          </cell>
          <cell r="D2012" t="str">
            <v>1C GIB ISLAND LAGER - MOLSON</v>
          </cell>
          <cell r="E2012" t="str">
            <v>CREEMORE SPRINGS BREWERY LTD</v>
          </cell>
          <cell r="F2012" t="str">
            <v>473</v>
          </cell>
          <cell r="G2012">
            <v>5</v>
          </cell>
          <cell r="H2012">
            <v>24</v>
          </cell>
          <cell r="I2012" t="str">
            <v>3276</v>
          </cell>
          <cell r="L2012">
            <v>1</v>
          </cell>
          <cell r="M2012">
            <v>2.96</v>
          </cell>
        </row>
        <row r="2013">
          <cell r="C2013" t="str">
            <v>39628</v>
          </cell>
          <cell r="D2013" t="str">
            <v>1C GIB KITSILANO JUICY IPA MOLSON</v>
          </cell>
          <cell r="E2013" t="str">
            <v>CREEMORE SPRINGS BREWERY LTD</v>
          </cell>
          <cell r="F2013" t="str">
            <v>473</v>
          </cell>
          <cell r="G2013">
            <v>5</v>
          </cell>
          <cell r="H2013">
            <v>24</v>
          </cell>
          <cell r="I2013" t="str">
            <v>3276</v>
          </cell>
          <cell r="L2013">
            <v>1</v>
          </cell>
          <cell r="M2013">
            <v>2.96</v>
          </cell>
        </row>
        <row r="2014">
          <cell r="C2014" t="str">
            <v>30542</v>
          </cell>
          <cell r="D2014" t="str">
            <v>1C GRANVILLE ISLAND ENGLISH BAY PALE ALE</v>
          </cell>
          <cell r="E2014" t="str">
            <v>CREEMORE SPRINGS BREWERY LTD</v>
          </cell>
          <cell r="F2014" t="str">
            <v>473</v>
          </cell>
          <cell r="G2014">
            <v>5</v>
          </cell>
          <cell r="H2014">
            <v>24</v>
          </cell>
          <cell r="I2014" t="str">
            <v>3276</v>
          </cell>
          <cell r="L2014">
            <v>1</v>
          </cell>
          <cell r="M2014">
            <v>3.16</v>
          </cell>
        </row>
        <row r="2015">
          <cell r="C2015" t="str">
            <v>24294</v>
          </cell>
          <cell r="D2015" t="str">
            <v>1C GUINNESS DRAUGHT DIAGEO</v>
          </cell>
          <cell r="E2015" t="str">
            <v>DIAGEO CANADA INC (BDL)</v>
          </cell>
          <cell r="F2015" t="str">
            <v>500</v>
          </cell>
          <cell r="G2015">
            <v>4.2</v>
          </cell>
          <cell r="H2015">
            <v>24</v>
          </cell>
          <cell r="I2015" t="str">
            <v>3224</v>
          </cell>
          <cell r="L2015">
            <v>1</v>
          </cell>
          <cell r="M2015">
            <v>3.69</v>
          </cell>
        </row>
        <row r="2016">
          <cell r="C2016" t="str">
            <v>27138</v>
          </cell>
          <cell r="D2016" t="str">
            <v>1C GUINNESS HOP HOUSE 13 - DIAGEO</v>
          </cell>
          <cell r="E2016" t="str">
            <v>DIAGEO CANADA INC (BDL)</v>
          </cell>
          <cell r="F2016" t="str">
            <v>500</v>
          </cell>
          <cell r="G2016">
            <v>5</v>
          </cell>
          <cell r="H2016">
            <v>24</v>
          </cell>
          <cell r="I2016" t="str">
            <v>3224</v>
          </cell>
          <cell r="L2016">
            <v>1</v>
          </cell>
          <cell r="M2016">
            <v>3.58</v>
          </cell>
        </row>
        <row r="2017">
          <cell r="C2017" t="str">
            <v>14290</v>
          </cell>
          <cell r="D2017" t="str">
            <v>1C HARP PREMIUM IRISH LAGER</v>
          </cell>
          <cell r="E2017" t="str">
            <v>DIAGEO CANADA INC (BDL)</v>
          </cell>
          <cell r="F2017" t="str">
            <v>500</v>
          </cell>
          <cell r="G2017">
            <v>5</v>
          </cell>
          <cell r="H2017">
            <v>24</v>
          </cell>
          <cell r="I2017" t="str">
            <v>3224</v>
          </cell>
          <cell r="L2017">
            <v>1</v>
          </cell>
          <cell r="M2017">
            <v>3.58</v>
          </cell>
        </row>
        <row r="2018">
          <cell r="C2018" t="str">
            <v>8632</v>
          </cell>
          <cell r="D2018" t="str">
            <v>1C HEINEKEN LAGER - MOLSON</v>
          </cell>
          <cell r="E2018" t="str">
            <v>HEINEKEN BROUWERIJEN</v>
          </cell>
          <cell r="F2018" t="str">
            <v>500</v>
          </cell>
          <cell r="G2018">
            <v>5</v>
          </cell>
          <cell r="H2018">
            <v>24</v>
          </cell>
          <cell r="I2018" t="str">
            <v>3276</v>
          </cell>
          <cell r="L2018">
            <v>1</v>
          </cell>
          <cell r="M2018">
            <v>3.79</v>
          </cell>
        </row>
        <row r="2019">
          <cell r="C2019" t="str">
            <v>7154</v>
          </cell>
          <cell r="D2019" t="str">
            <v>1C HEINEKEN LAGER - MOLSON</v>
          </cell>
          <cell r="E2019" t="str">
            <v>HEINEKEN BROUWERIJEN</v>
          </cell>
          <cell r="F2019" t="str">
            <v>5000</v>
          </cell>
          <cell r="G2019">
            <v>5</v>
          </cell>
          <cell r="H2019">
            <v>2</v>
          </cell>
          <cell r="I2019" t="str">
            <v>3276</v>
          </cell>
          <cell r="L2019">
            <v>1</v>
          </cell>
          <cell r="M2019">
            <v>38.950000000000003</v>
          </cell>
        </row>
        <row r="2020">
          <cell r="C2020" t="str">
            <v>45091</v>
          </cell>
          <cell r="D2020" t="str">
            <v>1C HEINEKEN SILVER - MOLSON</v>
          </cell>
          <cell r="E2020" t="str">
            <v>HEINEKEN BROUWERIJEN</v>
          </cell>
          <cell r="F2020" t="str">
            <v>500</v>
          </cell>
          <cell r="G2020">
            <v>4</v>
          </cell>
          <cell r="H2020">
            <v>24</v>
          </cell>
          <cell r="I2020" t="str">
            <v>3276</v>
          </cell>
          <cell r="L2020">
            <v>1</v>
          </cell>
          <cell r="M2020">
            <v>3.79</v>
          </cell>
        </row>
        <row r="2021">
          <cell r="C2021" t="str">
            <v>39352</v>
          </cell>
          <cell r="D2021" t="str">
            <v>1C HOP VALLEY BUBBLE STASH - MOLSON</v>
          </cell>
          <cell r="E2021" t="str">
            <v>MOLSON COORS CANADA</v>
          </cell>
          <cell r="F2021" t="str">
            <v>473</v>
          </cell>
          <cell r="G2021">
            <v>6.2</v>
          </cell>
          <cell r="H2021">
            <v>12</v>
          </cell>
          <cell r="I2021" t="str">
            <v>3276</v>
          </cell>
          <cell r="L2021">
            <v>1</v>
          </cell>
          <cell r="M2021">
            <v>3.3</v>
          </cell>
        </row>
        <row r="2022">
          <cell r="C2022" t="str">
            <v>22432</v>
          </cell>
          <cell r="D2022" t="str">
            <v>1C LABATT BLUE</v>
          </cell>
          <cell r="E2022" t="str">
            <v>LABATT BREWERIES OF CANADA</v>
          </cell>
          <cell r="F2022" t="str">
            <v>740</v>
          </cell>
          <cell r="G2022">
            <v>5</v>
          </cell>
          <cell r="H2022">
            <v>1</v>
          </cell>
          <cell r="I2022" t="str">
            <v>1575</v>
          </cell>
          <cell r="L2022">
            <v>1</v>
          </cell>
          <cell r="M2022">
            <v>4.3899999999999997</v>
          </cell>
        </row>
        <row r="2023">
          <cell r="C2023" t="str">
            <v>22498</v>
          </cell>
          <cell r="D2023" t="str">
            <v>1C LABATT BLUE DRY</v>
          </cell>
          <cell r="E2023" t="str">
            <v>LABATT BREWERIES OF CANADA</v>
          </cell>
          <cell r="F2023" t="str">
            <v>740</v>
          </cell>
          <cell r="G2023">
            <v>8.1</v>
          </cell>
          <cell r="H2023">
            <v>1</v>
          </cell>
          <cell r="I2023" t="str">
            <v>1575</v>
          </cell>
          <cell r="L2023">
            <v>1</v>
          </cell>
          <cell r="M2023">
            <v>3.68</v>
          </cell>
        </row>
        <row r="2024">
          <cell r="C2024" t="str">
            <v>33621</v>
          </cell>
          <cell r="D2024" t="str">
            <v>1C LUCKY-  LABATT</v>
          </cell>
          <cell r="E2024" t="str">
            <v>LABATT BREWERIES OF CANADA</v>
          </cell>
          <cell r="F2024" t="str">
            <v>473</v>
          </cell>
          <cell r="G2024">
            <v>5</v>
          </cell>
          <cell r="H2024">
            <v>24</v>
          </cell>
          <cell r="I2024" t="str">
            <v>1575</v>
          </cell>
          <cell r="L2024">
            <v>1</v>
          </cell>
          <cell r="M2024">
            <v>2.59</v>
          </cell>
        </row>
        <row r="2025">
          <cell r="C2025" t="str">
            <v>42989</v>
          </cell>
          <cell r="D2025" t="str">
            <v>1C MADRI EXCEPCIONAL - MOLSON</v>
          </cell>
          <cell r="E2025" t="str">
            <v>MOLSON COORS CANADA</v>
          </cell>
          <cell r="F2025" t="str">
            <v>473</v>
          </cell>
          <cell r="G2025">
            <v>4.5999999999999996</v>
          </cell>
          <cell r="H2025">
            <v>24</v>
          </cell>
          <cell r="I2025" t="str">
            <v>3276</v>
          </cell>
          <cell r="L2025">
            <v>1</v>
          </cell>
          <cell r="M2025">
            <v>3.3</v>
          </cell>
        </row>
        <row r="2026">
          <cell r="C2026" t="str">
            <v>28312</v>
          </cell>
          <cell r="D2026" t="str">
            <v>1C MICHELOB ULTRA - LABATT</v>
          </cell>
          <cell r="E2026" t="str">
            <v>LABATT BREWERIES OF CANADA</v>
          </cell>
          <cell r="F2026" t="str">
            <v>473</v>
          </cell>
          <cell r="G2026">
            <v>4</v>
          </cell>
          <cell r="H2026">
            <v>24</v>
          </cell>
          <cell r="I2026" t="str">
            <v>4443</v>
          </cell>
          <cell r="L2026">
            <v>1</v>
          </cell>
          <cell r="M2026">
            <v>3.5</v>
          </cell>
        </row>
        <row r="2027">
          <cell r="C2027" t="str">
            <v>47673</v>
          </cell>
          <cell r="D2027" t="str">
            <v>1C MICHELOB ULTRA - LABATT</v>
          </cell>
          <cell r="E2027" t="str">
            <v>LABATT BREWERIES OF CANADA</v>
          </cell>
          <cell r="F2027" t="str">
            <v>740</v>
          </cell>
          <cell r="G2027">
            <v>4</v>
          </cell>
          <cell r="H2027">
            <v>12</v>
          </cell>
          <cell r="I2027" t="str">
            <v>1575</v>
          </cell>
          <cell r="L2027">
            <v>1</v>
          </cell>
          <cell r="M2027">
            <v>4.79</v>
          </cell>
        </row>
        <row r="2028">
          <cell r="C2028" t="str">
            <v>37580</v>
          </cell>
          <cell r="D2028" t="str">
            <v>1C MILL STREET VANILLA PORTER - LABATT</v>
          </cell>
          <cell r="E2028" t="str">
            <v>MILL ST BREWERY</v>
          </cell>
          <cell r="F2028" t="str">
            <v>440</v>
          </cell>
          <cell r="G2028">
            <v>5</v>
          </cell>
          <cell r="H2028">
            <v>12</v>
          </cell>
          <cell r="I2028" t="str">
            <v>1575</v>
          </cell>
          <cell r="L2028">
            <v>1</v>
          </cell>
          <cell r="M2028">
            <v>3.14</v>
          </cell>
        </row>
        <row r="2029">
          <cell r="C2029" t="str">
            <v>20276</v>
          </cell>
          <cell r="D2029" t="str">
            <v>1C MILL STREET VANILLA PORTER LABATT</v>
          </cell>
          <cell r="E2029" t="str">
            <v>MILL ST BREWERY</v>
          </cell>
          <cell r="F2029" t="str">
            <v>440</v>
          </cell>
          <cell r="G2029">
            <v>5</v>
          </cell>
          <cell r="H2029">
            <v>12</v>
          </cell>
          <cell r="I2029" t="str">
            <v>1575</v>
          </cell>
          <cell r="L2029">
            <v>1</v>
          </cell>
          <cell r="M2029">
            <v>3.14</v>
          </cell>
        </row>
        <row r="2030">
          <cell r="C2030" t="str">
            <v>27465</v>
          </cell>
          <cell r="D2030" t="str">
            <v>1C MILLER GENUINE DRAFT - MOLSON</v>
          </cell>
          <cell r="E2030" t="str">
            <v>MOLSON COORS CANADA</v>
          </cell>
          <cell r="F2030" t="str">
            <v>473</v>
          </cell>
          <cell r="G2030">
            <v>4.7</v>
          </cell>
          <cell r="H2030">
            <v>24</v>
          </cell>
          <cell r="I2030" t="str">
            <v>3276</v>
          </cell>
          <cell r="L2030">
            <v>1</v>
          </cell>
          <cell r="M2030">
            <v>3.4</v>
          </cell>
        </row>
        <row r="2031">
          <cell r="C2031" t="str">
            <v>27461</v>
          </cell>
          <cell r="D2031" t="str">
            <v>1C MILLER HIGH LIFE - MOLSON</v>
          </cell>
          <cell r="E2031" t="str">
            <v>MOLSON COORS CANADA</v>
          </cell>
          <cell r="F2031" t="str">
            <v>473</v>
          </cell>
          <cell r="G2031">
            <v>4.5999999999999996</v>
          </cell>
          <cell r="H2031">
            <v>24</v>
          </cell>
          <cell r="I2031" t="str">
            <v>3276</v>
          </cell>
          <cell r="L2031">
            <v>1</v>
          </cell>
          <cell r="M2031">
            <v>2.59</v>
          </cell>
        </row>
        <row r="2032">
          <cell r="C2032" t="str">
            <v>27473</v>
          </cell>
          <cell r="D2032" t="str">
            <v>1C MILLER LITE - MOLSON</v>
          </cell>
          <cell r="E2032" t="str">
            <v>MOLSON COORS CANADA</v>
          </cell>
          <cell r="F2032" t="str">
            <v>473</v>
          </cell>
          <cell r="G2032">
            <v>4.2</v>
          </cell>
          <cell r="H2032">
            <v>24</v>
          </cell>
          <cell r="I2032" t="str">
            <v>3276</v>
          </cell>
          <cell r="L2032">
            <v>1</v>
          </cell>
          <cell r="M2032">
            <v>3.45</v>
          </cell>
        </row>
        <row r="2033">
          <cell r="C2033" t="str">
            <v>45605</v>
          </cell>
          <cell r="D2033" t="str">
            <v>1C MODELO (DOMESTIC) LABATT</v>
          </cell>
          <cell r="E2033" t="str">
            <v>LABATT BREWERIES OF CANADA</v>
          </cell>
          <cell r="F2033" t="str">
            <v>473</v>
          </cell>
          <cell r="G2033">
            <v>4.5</v>
          </cell>
          <cell r="H2033">
            <v>24</v>
          </cell>
          <cell r="I2033" t="str">
            <v>1575</v>
          </cell>
          <cell r="L2033">
            <v>1</v>
          </cell>
          <cell r="M2033">
            <v>3.89</v>
          </cell>
        </row>
        <row r="2034">
          <cell r="C2034" t="str">
            <v>23813</v>
          </cell>
          <cell r="D2034" t="str">
            <v>1C MOLSON DRY - MOLSON</v>
          </cell>
          <cell r="E2034" t="str">
            <v>MOLSON COORS CANADA</v>
          </cell>
          <cell r="F2034" t="str">
            <v>710</v>
          </cell>
          <cell r="G2034">
            <v>5.5</v>
          </cell>
          <cell r="H2034">
            <v>12</v>
          </cell>
          <cell r="I2034" t="str">
            <v>3276</v>
          </cell>
          <cell r="L2034">
            <v>1</v>
          </cell>
          <cell r="M2034">
            <v>3.6</v>
          </cell>
        </row>
        <row r="2035">
          <cell r="C2035" t="str">
            <v>33144</v>
          </cell>
          <cell r="D2035" t="str">
            <v>1C MOLSON ULTRA</v>
          </cell>
          <cell r="E2035" t="str">
            <v>MOLSON COORS CANADA</v>
          </cell>
          <cell r="F2035" t="str">
            <v>473</v>
          </cell>
          <cell r="G2035">
            <v>3</v>
          </cell>
          <cell r="H2035">
            <v>24</v>
          </cell>
          <cell r="I2035" t="str">
            <v>3276</v>
          </cell>
          <cell r="L2035">
            <v>1</v>
          </cell>
          <cell r="M2035">
            <v>3.35</v>
          </cell>
        </row>
        <row r="2036">
          <cell r="C2036" t="str">
            <v>42942</v>
          </cell>
          <cell r="D2036" t="str">
            <v>1C OLD MILWAUKEE - SLEEMAN</v>
          </cell>
          <cell r="E2036" t="str">
            <v>Sleeman Breweries Ltd / Les Brasseries S</v>
          </cell>
          <cell r="F2036" t="str">
            <v>710</v>
          </cell>
          <cell r="G2036">
            <v>4.9000000000000004</v>
          </cell>
          <cell r="H2036">
            <v>12</v>
          </cell>
          <cell r="I2036" t="str">
            <v>3302</v>
          </cell>
          <cell r="L2036">
            <v>1</v>
          </cell>
          <cell r="M2036">
            <v>3.6</v>
          </cell>
        </row>
        <row r="2037">
          <cell r="C2037" t="str">
            <v>42943</v>
          </cell>
          <cell r="D2037" t="str">
            <v>1C OLD MILWAUKEE ICE - SLEEMAN</v>
          </cell>
          <cell r="E2037" t="str">
            <v>Sleeman Breweries Ltd / Les Brasseries S</v>
          </cell>
          <cell r="F2037" t="str">
            <v>710</v>
          </cell>
          <cell r="G2037">
            <v>4.9000000000000004</v>
          </cell>
          <cell r="H2037">
            <v>12</v>
          </cell>
          <cell r="I2037" t="str">
            <v>3302</v>
          </cell>
          <cell r="L2037">
            <v>1</v>
          </cell>
          <cell r="M2037">
            <v>3.6</v>
          </cell>
        </row>
        <row r="2038">
          <cell r="C2038" t="str">
            <v>28172</v>
          </cell>
          <cell r="D2038" t="str">
            <v>1C OLD STYLE PILSNER - MOLSON</v>
          </cell>
          <cell r="E2038" t="str">
            <v>MOLSON COORS CANADA</v>
          </cell>
          <cell r="F2038" t="str">
            <v>710</v>
          </cell>
          <cell r="G2038">
            <v>5</v>
          </cell>
          <cell r="H2038">
            <v>12</v>
          </cell>
          <cell r="I2038" t="str">
            <v>4442</v>
          </cell>
          <cell r="L2038">
            <v>1</v>
          </cell>
          <cell r="M2038">
            <v>3.6</v>
          </cell>
        </row>
        <row r="2039">
          <cell r="C2039" t="str">
            <v>20275</v>
          </cell>
          <cell r="D2039" t="str">
            <v>1C ORIGINAL ORGANIC LAGER MILL STREET BR</v>
          </cell>
          <cell r="E2039" t="str">
            <v>MILL ST BREWERY</v>
          </cell>
          <cell r="F2039" t="str">
            <v>473</v>
          </cell>
          <cell r="G2039">
            <v>4.2</v>
          </cell>
          <cell r="H2039">
            <v>12</v>
          </cell>
          <cell r="I2039" t="str">
            <v>1575</v>
          </cell>
          <cell r="L2039">
            <v>1</v>
          </cell>
          <cell r="M2039">
            <v>3.19</v>
          </cell>
        </row>
        <row r="2040">
          <cell r="C2040" t="str">
            <v>28934</v>
          </cell>
          <cell r="D2040" t="str">
            <v>1C PABST BLUE RIBBON - SLEEMAN</v>
          </cell>
          <cell r="E2040" t="str">
            <v>Sleeman Breweries Ltd / Les Brasseries S</v>
          </cell>
          <cell r="F2040" t="str">
            <v>710</v>
          </cell>
          <cell r="G2040">
            <v>4.9000000000000004</v>
          </cell>
          <cell r="H2040">
            <v>12</v>
          </cell>
          <cell r="I2040" t="str">
            <v>3302</v>
          </cell>
          <cell r="L2040">
            <v>1</v>
          </cell>
          <cell r="M2040">
            <v>3.6</v>
          </cell>
        </row>
        <row r="2041">
          <cell r="C2041" t="str">
            <v>30785</v>
          </cell>
          <cell r="D2041" t="str">
            <v>1C PABST BLUE RIBBON 5.9%  - SLEEMAN</v>
          </cell>
          <cell r="E2041" t="str">
            <v>Sleeman Breweries Ltd / Les Brasseries S</v>
          </cell>
          <cell r="F2041" t="str">
            <v>710</v>
          </cell>
          <cell r="G2041">
            <v>5.9</v>
          </cell>
          <cell r="H2041">
            <v>12</v>
          </cell>
          <cell r="I2041" t="str">
            <v>3302</v>
          </cell>
          <cell r="L2041">
            <v>1</v>
          </cell>
          <cell r="M2041">
            <v>3.48</v>
          </cell>
        </row>
        <row r="2042">
          <cell r="C2042" t="str">
            <v>48286</v>
          </cell>
          <cell r="D2042" t="str">
            <v>1C PABST BLUE RIBBON MAX - SLEEMAN</v>
          </cell>
          <cell r="E2042" t="str">
            <v>Sleeman Breweries Ltd / Les Brasseries S</v>
          </cell>
          <cell r="F2042" t="str">
            <v>710</v>
          </cell>
          <cell r="G2042">
            <v>8</v>
          </cell>
          <cell r="H2042">
            <v>12</v>
          </cell>
          <cell r="I2042" t="str">
            <v>3302</v>
          </cell>
          <cell r="L2042">
            <v>1</v>
          </cell>
          <cell r="M2042">
            <v>3.48</v>
          </cell>
        </row>
        <row r="2043">
          <cell r="C2043" t="str">
            <v>34448</v>
          </cell>
          <cell r="D2043" t="str">
            <v>1C PILSNER 6.1 - MOLSON</v>
          </cell>
          <cell r="E2043" t="str">
            <v>MOLSON COORS CANADA</v>
          </cell>
          <cell r="F2043" t="str">
            <v>710</v>
          </cell>
          <cell r="G2043">
            <v>6.1</v>
          </cell>
          <cell r="H2043">
            <v>12</v>
          </cell>
          <cell r="I2043" t="str">
            <v>3276</v>
          </cell>
          <cell r="L2043">
            <v>1</v>
          </cell>
          <cell r="M2043">
            <v>3.48</v>
          </cell>
        </row>
        <row r="2044">
          <cell r="C2044" t="str">
            <v>43260</v>
          </cell>
          <cell r="D2044" t="str">
            <v>1C SLEEMAN CLEAR 2.0</v>
          </cell>
          <cell r="E2044" t="str">
            <v>Sleeman Breweries Ltd / Les Brasseries S</v>
          </cell>
          <cell r="F2044" t="str">
            <v>473</v>
          </cell>
          <cell r="G2044">
            <v>4</v>
          </cell>
          <cell r="H2044">
            <v>24</v>
          </cell>
          <cell r="I2044" t="str">
            <v>3302</v>
          </cell>
          <cell r="L2044">
            <v>1</v>
          </cell>
          <cell r="M2044">
            <v>3.35</v>
          </cell>
        </row>
        <row r="2045">
          <cell r="C2045" t="str">
            <v>14292</v>
          </cell>
          <cell r="D2045" t="str">
            <v>1C SMITHWICK'S ALE</v>
          </cell>
          <cell r="E2045" t="str">
            <v>DIAGEO CANADA INC (BDL)</v>
          </cell>
          <cell r="F2045" t="str">
            <v>500</v>
          </cell>
          <cell r="G2045">
            <v>5</v>
          </cell>
          <cell r="H2045">
            <v>24</v>
          </cell>
          <cell r="I2045" t="str">
            <v>3224</v>
          </cell>
          <cell r="L2045">
            <v>1</v>
          </cell>
          <cell r="M2045">
            <v>3.58</v>
          </cell>
        </row>
        <row r="2046">
          <cell r="C2046" t="str">
            <v>33728</v>
          </cell>
          <cell r="D2046" t="str">
            <v>1C SOL CERVEZA  MOLSON (DOMESTIC)</v>
          </cell>
          <cell r="E2046" t="str">
            <v>MOLSON COORS CANADA</v>
          </cell>
          <cell r="F2046" t="str">
            <v>473</v>
          </cell>
          <cell r="G2046">
            <v>4.5</v>
          </cell>
          <cell r="H2046">
            <v>24</v>
          </cell>
          <cell r="I2046" t="str">
            <v>3276</v>
          </cell>
          <cell r="L2046">
            <v>1</v>
          </cell>
          <cell r="M2046">
            <v>3.6</v>
          </cell>
        </row>
        <row r="2047">
          <cell r="C2047" t="str">
            <v>36596</v>
          </cell>
          <cell r="D2047" t="str">
            <v>1C STANLEY PARK PASSION FRUIT SOUR LABAT</v>
          </cell>
          <cell r="E2047" t="str">
            <v>TURNING POINT BREWERY</v>
          </cell>
          <cell r="F2047" t="str">
            <v>473</v>
          </cell>
          <cell r="G2047">
            <v>4.5</v>
          </cell>
          <cell r="H2047">
            <v>24</v>
          </cell>
          <cell r="I2047" t="str">
            <v>1575</v>
          </cell>
          <cell r="L2047">
            <v>1</v>
          </cell>
          <cell r="M2047">
            <v>4.18</v>
          </cell>
        </row>
        <row r="2048">
          <cell r="C2048" t="str">
            <v>26379</v>
          </cell>
          <cell r="D2048" t="str">
            <v>1C STEAM WHISTLE PILSNER</v>
          </cell>
          <cell r="E2048" t="str">
            <v>STEAM WHISTLE BREWING INC (R)</v>
          </cell>
          <cell r="F2048" t="str">
            <v>473</v>
          </cell>
          <cell r="G2048">
            <v>5</v>
          </cell>
          <cell r="H2048">
            <v>24</v>
          </cell>
          <cell r="I2048" t="str">
            <v>128223</v>
          </cell>
          <cell r="L2048">
            <v>1</v>
          </cell>
          <cell r="M2048">
            <v>3.57</v>
          </cell>
        </row>
        <row r="2049">
          <cell r="C2049" t="str">
            <v>34626</v>
          </cell>
          <cell r="D2049" t="str">
            <v>1C STELLA ARTOIS DOMESTIC - LABATT</v>
          </cell>
          <cell r="E2049" t="str">
            <v>LABATT BREWERIES OF CANADA</v>
          </cell>
          <cell r="F2049" t="str">
            <v>473</v>
          </cell>
          <cell r="G2049">
            <v>5</v>
          </cell>
          <cell r="H2049">
            <v>24</v>
          </cell>
          <cell r="I2049" t="str">
            <v>1575</v>
          </cell>
          <cell r="L2049">
            <v>1</v>
          </cell>
          <cell r="M2049">
            <v>3.69</v>
          </cell>
        </row>
        <row r="2050">
          <cell r="C2050" t="str">
            <v>42872</v>
          </cell>
          <cell r="D2050" t="str">
            <v>1C TREE BREW GOLDEN LARCH GRAPEFRUIT RAD</v>
          </cell>
          <cell r="E2050" t="str">
            <v>BIG ROCK (ALBERTA) LTD. (R)</v>
          </cell>
          <cell r="F2050" t="str">
            <v>473</v>
          </cell>
          <cell r="G2050">
            <v>2.5</v>
          </cell>
          <cell r="H2050">
            <v>24</v>
          </cell>
          <cell r="I2050" t="str">
            <v>3227</v>
          </cell>
          <cell r="L2050">
            <v>1</v>
          </cell>
          <cell r="M2050">
            <v>2.99</v>
          </cell>
        </row>
        <row r="2051">
          <cell r="C2051" t="str">
            <v>43444</v>
          </cell>
          <cell r="D2051" t="str">
            <v>1C TREE BREW MELLOW MOON PINEAPPLE -BR</v>
          </cell>
          <cell r="E2051" t="str">
            <v>BIG ROCK (ALBERTA) LTD. (R)</v>
          </cell>
          <cell r="F2051" t="str">
            <v>473</v>
          </cell>
          <cell r="G2051">
            <v>5</v>
          </cell>
          <cell r="H2051">
            <v>24</v>
          </cell>
          <cell r="I2051" t="str">
            <v>3227</v>
          </cell>
          <cell r="L2051">
            <v>1</v>
          </cell>
          <cell r="M2051">
            <v>3.45</v>
          </cell>
        </row>
        <row r="2052">
          <cell r="C2052" t="str">
            <v>42724</v>
          </cell>
          <cell r="D2052" t="str">
            <v>1C TREE BREWING CRANE BERRY SOUR - BR</v>
          </cell>
          <cell r="E2052" t="str">
            <v>BIG ROCK (ALBERTA) LTD. (R)</v>
          </cell>
          <cell r="F2052" t="str">
            <v>473</v>
          </cell>
          <cell r="G2052">
            <v>5.4</v>
          </cell>
          <cell r="H2052">
            <v>24</v>
          </cell>
          <cell r="I2052" t="str">
            <v>3227</v>
          </cell>
          <cell r="L2052">
            <v>1</v>
          </cell>
          <cell r="M2052">
            <v>2.99</v>
          </cell>
        </row>
        <row r="2053">
          <cell r="C2053" t="str">
            <v>42868</v>
          </cell>
          <cell r="D2053" t="str">
            <v>1C TREE BREWING TIMBER HAZY IPA - BR</v>
          </cell>
          <cell r="E2053" t="str">
            <v>BIG ROCK (ALBERTA) LTD. (R)</v>
          </cell>
          <cell r="F2053" t="str">
            <v>473</v>
          </cell>
          <cell r="G2053">
            <v>6.5</v>
          </cell>
          <cell r="H2053">
            <v>24</v>
          </cell>
          <cell r="I2053" t="str">
            <v>3227</v>
          </cell>
          <cell r="L2053">
            <v>1</v>
          </cell>
          <cell r="M2053">
            <v>3.45</v>
          </cell>
        </row>
        <row r="2054">
          <cell r="C2054" t="str">
            <v>46587</v>
          </cell>
          <cell r="D2054" t="str">
            <v>1C TREE CAMPSIDE WEST COAST PILSNER - BR</v>
          </cell>
          <cell r="E2054" t="str">
            <v>BIG ROCK (ALBERTA) LTD. (R)</v>
          </cell>
          <cell r="F2054" t="str">
            <v>473</v>
          </cell>
          <cell r="G2054">
            <v>4.9000000000000004</v>
          </cell>
          <cell r="H2054">
            <v>24</v>
          </cell>
          <cell r="I2054" t="str">
            <v>3227</v>
          </cell>
          <cell r="L2054">
            <v>1</v>
          </cell>
          <cell r="M2054">
            <v>2.99</v>
          </cell>
        </row>
        <row r="2055">
          <cell r="C2055" t="str">
            <v>11186</v>
          </cell>
          <cell r="D2055" t="str">
            <v>1K  COBBLESTONE STOUT - LABATT</v>
          </cell>
          <cell r="E2055" t="str">
            <v>MILL ST BREWERY</v>
          </cell>
          <cell r="F2055" t="str">
            <v>50000</v>
          </cell>
          <cell r="G2055">
            <v>4.2</v>
          </cell>
          <cell r="H2055">
            <v>1</v>
          </cell>
          <cell r="I2055" t="str">
            <v>4443</v>
          </cell>
          <cell r="L2055">
            <v>1</v>
          </cell>
          <cell r="M2055">
            <v>244.99</v>
          </cell>
        </row>
        <row r="2056">
          <cell r="C2056" t="str">
            <v>1051</v>
          </cell>
          <cell r="D2056" t="str">
            <v>1K ALBERTA GENUINE DRAFT - BIG ROCK</v>
          </cell>
          <cell r="E2056" t="str">
            <v>BIG ROCK (ALBERTA) LTD. (R)</v>
          </cell>
          <cell r="F2056" t="str">
            <v>58670</v>
          </cell>
          <cell r="G2056">
            <v>5</v>
          </cell>
          <cell r="H2056">
            <v>1</v>
          </cell>
          <cell r="I2056" t="str">
            <v>3227</v>
          </cell>
          <cell r="L2056">
            <v>1</v>
          </cell>
          <cell r="M2056">
            <v>218.61</v>
          </cell>
        </row>
        <row r="2057">
          <cell r="C2057" t="str">
            <v>1068</v>
          </cell>
          <cell r="D2057" t="str">
            <v>1K ALEXANDER KEITH'S IPA</v>
          </cell>
          <cell r="E2057" t="str">
            <v>LABATT BREWERIES OF CANADA</v>
          </cell>
          <cell r="F2057" t="str">
            <v>58670</v>
          </cell>
          <cell r="G2057">
            <v>5</v>
          </cell>
          <cell r="H2057">
            <v>1</v>
          </cell>
          <cell r="I2057" t="str">
            <v>4443</v>
          </cell>
          <cell r="L2057">
            <v>1</v>
          </cell>
          <cell r="M2057">
            <v>296.99</v>
          </cell>
        </row>
        <row r="2058">
          <cell r="C2058" t="str">
            <v>35462</v>
          </cell>
          <cell r="D2058" t="str">
            <v>1K BANDED PEAK CRUSHMORE PILSNER -LABATT</v>
          </cell>
          <cell r="E2058" t="str">
            <v>BANDED PEAK BREWING - LABATT</v>
          </cell>
          <cell r="F2058" t="str">
            <v>50000</v>
          </cell>
          <cell r="G2058">
            <v>4.4000000000000004</v>
          </cell>
          <cell r="H2058">
            <v>1</v>
          </cell>
          <cell r="I2058" t="str">
            <v>1575</v>
          </cell>
          <cell r="L2058">
            <v>1</v>
          </cell>
          <cell r="M2058">
            <v>257.99</v>
          </cell>
        </row>
        <row r="2059">
          <cell r="C2059" t="str">
            <v>36843</v>
          </cell>
          <cell r="D2059" t="str">
            <v>1K BANDED PEAK MT CRUSHMORE - LABATT</v>
          </cell>
          <cell r="E2059" t="str">
            <v>BANDED PEAK BREWING - LABATT</v>
          </cell>
          <cell r="F2059" t="str">
            <v>58673</v>
          </cell>
          <cell r="G2059">
            <v>4.4000000000000004</v>
          </cell>
          <cell r="H2059">
            <v>1</v>
          </cell>
          <cell r="I2059" t="str">
            <v>1575</v>
          </cell>
          <cell r="L2059">
            <v>1</v>
          </cell>
          <cell r="M2059">
            <v>329.98</v>
          </cell>
        </row>
        <row r="2060">
          <cell r="C2060" t="str">
            <v>35458</v>
          </cell>
          <cell r="D2060" t="str">
            <v>1K BANDED PEAK PLAINSBREAKER - LABATT</v>
          </cell>
          <cell r="E2060" t="str">
            <v>BANDED PEAK BREWING - LABATT</v>
          </cell>
          <cell r="F2060" t="str">
            <v>50000</v>
          </cell>
          <cell r="G2060">
            <v>5</v>
          </cell>
          <cell r="H2060">
            <v>1</v>
          </cell>
          <cell r="I2060" t="str">
            <v>1575</v>
          </cell>
          <cell r="L2060">
            <v>1</v>
          </cell>
          <cell r="M2060">
            <v>257.99</v>
          </cell>
        </row>
        <row r="2061">
          <cell r="C2061" t="str">
            <v>36841</v>
          </cell>
          <cell r="D2061" t="str">
            <v>1K BANDED PEAK PLAINSBREAKER - LABATT</v>
          </cell>
          <cell r="E2061" t="str">
            <v>BANDED PEAK BREWING - LABATT</v>
          </cell>
          <cell r="F2061" t="str">
            <v>58673</v>
          </cell>
          <cell r="G2061">
            <v>5</v>
          </cell>
          <cell r="H2061">
            <v>1</v>
          </cell>
          <cell r="I2061" t="str">
            <v>1575</v>
          </cell>
          <cell r="L2061">
            <v>1</v>
          </cell>
          <cell r="M2061">
            <v>319.99</v>
          </cell>
        </row>
        <row r="2062">
          <cell r="C2062" t="str">
            <v>35460</v>
          </cell>
          <cell r="D2062" t="str">
            <v>1K BANDED PEAK SOUTHERN ASPECT - LABATT</v>
          </cell>
          <cell r="E2062" t="str">
            <v>BANDED PEAK BREWING - LABATT</v>
          </cell>
          <cell r="F2062" t="str">
            <v>50000</v>
          </cell>
          <cell r="G2062">
            <v>7.1</v>
          </cell>
          <cell r="H2062">
            <v>1</v>
          </cell>
          <cell r="I2062" t="str">
            <v>1575</v>
          </cell>
          <cell r="L2062">
            <v>1</v>
          </cell>
          <cell r="M2062">
            <v>257.98</v>
          </cell>
        </row>
        <row r="2063">
          <cell r="C2063" t="str">
            <v>22940</v>
          </cell>
          <cell r="D2063" t="str">
            <v>1K BELGIAN MOON - MOLSON</v>
          </cell>
          <cell r="E2063" t="str">
            <v>MOLSON COORS CANADA</v>
          </cell>
          <cell r="F2063" t="str">
            <v>58670</v>
          </cell>
          <cell r="G2063">
            <v>5.4</v>
          </cell>
          <cell r="H2063">
            <v>1</v>
          </cell>
          <cell r="I2063" t="str">
            <v>3276</v>
          </cell>
          <cell r="L2063">
            <v>1</v>
          </cell>
          <cell r="M2063">
            <v>307.99</v>
          </cell>
        </row>
        <row r="2064">
          <cell r="C2064" t="str">
            <v>6027</v>
          </cell>
          <cell r="D2064" t="str">
            <v>1K BOHEMIAN - MOLSON</v>
          </cell>
          <cell r="E2064" t="str">
            <v>MOLSON COORS CANADA</v>
          </cell>
          <cell r="F2064" t="str">
            <v>58670</v>
          </cell>
          <cell r="G2064">
            <v>5</v>
          </cell>
          <cell r="H2064">
            <v>1</v>
          </cell>
          <cell r="I2064" t="str">
            <v>3276</v>
          </cell>
          <cell r="L2064">
            <v>1</v>
          </cell>
          <cell r="M2064">
            <v>267</v>
          </cell>
        </row>
        <row r="2065">
          <cell r="C2065" t="str">
            <v>40637</v>
          </cell>
          <cell r="D2065" t="str">
            <v>1K BP ALPINE TART DRY HOPPED SOUR LABATT</v>
          </cell>
          <cell r="E2065" t="str">
            <v>BANDED PEAK BREWING - LABATT</v>
          </cell>
          <cell r="F2065" t="str">
            <v>50000</v>
          </cell>
          <cell r="G2065">
            <v>4.8</v>
          </cell>
          <cell r="H2065">
            <v>1</v>
          </cell>
          <cell r="I2065" t="str">
            <v>1575</v>
          </cell>
          <cell r="L2065">
            <v>1</v>
          </cell>
          <cell r="M2065">
            <v>249.98</v>
          </cell>
        </row>
        <row r="2066">
          <cell r="C2066" t="str">
            <v>40194</v>
          </cell>
          <cell r="D2066" t="str">
            <v>1K BP APPROACH AMBER LAGER LABATT</v>
          </cell>
          <cell r="E2066" t="str">
            <v>BANDED PEAK BREWING - LABATT</v>
          </cell>
          <cell r="F2066" t="str">
            <v>50000</v>
          </cell>
          <cell r="G2066">
            <v>5.0999999999999996</v>
          </cell>
          <cell r="H2066">
            <v>1</v>
          </cell>
          <cell r="I2066" t="str">
            <v>1575</v>
          </cell>
          <cell r="L2066">
            <v>1</v>
          </cell>
          <cell r="M2066">
            <v>267.99</v>
          </cell>
        </row>
        <row r="2067">
          <cell r="C2067" t="str">
            <v>46096</v>
          </cell>
          <cell r="D2067" t="str">
            <v>1K BP APPROACH LAGER - LABATT</v>
          </cell>
          <cell r="E2067" t="str">
            <v>BANDED PEAK BREWING - LABATT</v>
          </cell>
          <cell r="F2067" t="str">
            <v>30000</v>
          </cell>
          <cell r="G2067">
            <v>5.0999999999999996</v>
          </cell>
          <cell r="H2067">
            <v>1</v>
          </cell>
          <cell r="I2067" t="str">
            <v>1575</v>
          </cell>
          <cell r="L2067">
            <v>1</v>
          </cell>
          <cell r="M2067">
            <v>181.99</v>
          </cell>
        </row>
        <row r="2068">
          <cell r="C2068" t="str">
            <v>44631</v>
          </cell>
          <cell r="D2068" t="str">
            <v>1K BP CHOCKSTONE OATMEAL STOUT LABATT</v>
          </cell>
          <cell r="E2068" t="str">
            <v>BANDED PEAK BREWING - LABATT</v>
          </cell>
          <cell r="F2068" t="str">
            <v>50000</v>
          </cell>
          <cell r="G2068">
            <v>5.7</v>
          </cell>
          <cell r="H2068">
            <v>1</v>
          </cell>
          <cell r="I2068" t="str">
            <v>1575</v>
          </cell>
          <cell r="L2068">
            <v>1</v>
          </cell>
          <cell r="M2068">
            <v>267.99</v>
          </cell>
        </row>
        <row r="2069">
          <cell r="C2069" t="str">
            <v>46098</v>
          </cell>
          <cell r="D2069" t="str">
            <v>1K BP GRAN NORTE - LABATT</v>
          </cell>
          <cell r="E2069" t="str">
            <v>BANDED PEAK BREWING - LABATT</v>
          </cell>
          <cell r="F2069" t="str">
            <v>30000</v>
          </cell>
          <cell r="G2069">
            <v>4.7</v>
          </cell>
          <cell r="H2069">
            <v>1</v>
          </cell>
          <cell r="I2069" t="str">
            <v>1575</v>
          </cell>
          <cell r="L2069">
            <v>1</v>
          </cell>
          <cell r="M2069">
            <v>181.99</v>
          </cell>
        </row>
        <row r="2070">
          <cell r="C2070" t="str">
            <v>39659</v>
          </cell>
          <cell r="D2070" t="str">
            <v>1K BP KINSHIP WHEAT ALE - LABATT</v>
          </cell>
          <cell r="E2070" t="str">
            <v>BANDED PEAK BREWING - LABATT</v>
          </cell>
          <cell r="F2070" t="str">
            <v>50000</v>
          </cell>
          <cell r="G2070">
            <v>4.5999999999999996</v>
          </cell>
          <cell r="H2070">
            <v>1</v>
          </cell>
          <cell r="I2070" t="str">
            <v>1575</v>
          </cell>
          <cell r="L2070">
            <v>1</v>
          </cell>
          <cell r="M2070">
            <v>257.99</v>
          </cell>
        </row>
        <row r="2071">
          <cell r="C2071" t="str">
            <v>46102</v>
          </cell>
          <cell r="D2071" t="str">
            <v>1K BP MICROBURST HAZY IPA - LABATT</v>
          </cell>
          <cell r="E2071" t="str">
            <v>BANDED PEAK BREWING - LABATT</v>
          </cell>
          <cell r="F2071" t="str">
            <v>30000</v>
          </cell>
          <cell r="G2071">
            <v>6.1</v>
          </cell>
          <cell r="H2071">
            <v>1</v>
          </cell>
          <cell r="I2071" t="str">
            <v>1575</v>
          </cell>
          <cell r="L2071">
            <v>1</v>
          </cell>
          <cell r="M2071">
            <v>184.99</v>
          </cell>
        </row>
        <row r="2072">
          <cell r="C2072" t="str">
            <v>46097</v>
          </cell>
          <cell r="D2072" t="str">
            <v>1K BP TALLGRASS TANGO - LABATT</v>
          </cell>
          <cell r="E2072" t="str">
            <v>BANDED PEAK BREWING - LABATT</v>
          </cell>
          <cell r="F2072" t="str">
            <v>30000</v>
          </cell>
          <cell r="G2072">
            <v>4.3</v>
          </cell>
          <cell r="H2072">
            <v>1</v>
          </cell>
          <cell r="I2072" t="str">
            <v>1575</v>
          </cell>
          <cell r="L2072">
            <v>1</v>
          </cell>
          <cell r="M2072">
            <v>181.99</v>
          </cell>
        </row>
        <row r="2073">
          <cell r="C2073" t="str">
            <v>1453</v>
          </cell>
          <cell r="D2073" t="str">
            <v>1K BREWHOUSE PILSENER - GREAT WESTERN</v>
          </cell>
          <cell r="E2073" t="str">
            <v>GREAT WESTERN BREWING COMPANY</v>
          </cell>
          <cell r="F2073" t="str">
            <v>58674</v>
          </cell>
          <cell r="G2073">
            <v>5</v>
          </cell>
          <cell r="H2073">
            <v>1</v>
          </cell>
          <cell r="I2073" t="str">
            <v>3274</v>
          </cell>
          <cell r="L2073">
            <v>1</v>
          </cell>
          <cell r="M2073">
            <v>245</v>
          </cell>
        </row>
        <row r="2074">
          <cell r="C2074" t="str">
            <v>43283</v>
          </cell>
          <cell r="D2074" t="str">
            <v>1K BRIGHT SIDE LAGER - BIG ROCK</v>
          </cell>
          <cell r="E2074" t="str">
            <v>BIG ROCK (ALBERTA) LTD. (R)</v>
          </cell>
          <cell r="F2074" t="str">
            <v>30000</v>
          </cell>
          <cell r="G2074">
            <v>4.8</v>
          </cell>
          <cell r="H2074">
            <v>1</v>
          </cell>
          <cell r="I2074" t="str">
            <v>3227</v>
          </cell>
          <cell r="L2074">
            <v>1</v>
          </cell>
          <cell r="M2074">
            <v>138.75</v>
          </cell>
        </row>
        <row r="2075">
          <cell r="C2075" t="str">
            <v>40058</v>
          </cell>
          <cell r="D2075" t="str">
            <v>1K BROWNS SOCIAL IPA - BIG ROCK</v>
          </cell>
          <cell r="E2075" t="str">
            <v>BIG ROCK (ALBERTA) LTD. (R)</v>
          </cell>
          <cell r="F2075" t="str">
            <v>58670</v>
          </cell>
          <cell r="G2075">
            <v>5.5</v>
          </cell>
          <cell r="H2075">
            <v>1</v>
          </cell>
          <cell r="I2075" t="str">
            <v>3227</v>
          </cell>
          <cell r="L2075">
            <v>1</v>
          </cell>
          <cell r="M2075">
            <v>186.4</v>
          </cell>
        </row>
        <row r="2076">
          <cell r="C2076" t="str">
            <v>40059</v>
          </cell>
          <cell r="D2076" t="str">
            <v>1K BROWNS SOCIAL LAGER - BIG ROCK</v>
          </cell>
          <cell r="E2076" t="str">
            <v>BIG ROCK (ALBERTA) LTD. (R)</v>
          </cell>
          <cell r="F2076" t="str">
            <v>58670</v>
          </cell>
          <cell r="G2076">
            <v>5</v>
          </cell>
          <cell r="H2076">
            <v>1</v>
          </cell>
          <cell r="I2076" t="str">
            <v>3227</v>
          </cell>
          <cell r="L2076">
            <v>1</v>
          </cell>
          <cell r="M2076">
            <v>172.19</v>
          </cell>
        </row>
        <row r="2077">
          <cell r="C2077" t="str">
            <v>7185</v>
          </cell>
          <cell r="D2077" t="str">
            <v>1K BUD LIGHT - LABATT</v>
          </cell>
          <cell r="E2077" t="str">
            <v>LABATT BREWERIES OF CANADA</v>
          </cell>
          <cell r="F2077" t="str">
            <v>58670</v>
          </cell>
          <cell r="G2077">
            <v>4</v>
          </cell>
          <cell r="H2077">
            <v>1</v>
          </cell>
          <cell r="I2077" t="str">
            <v>1575</v>
          </cell>
          <cell r="L2077">
            <v>1</v>
          </cell>
          <cell r="M2077">
            <v>289.98</v>
          </cell>
        </row>
        <row r="2078">
          <cell r="C2078" t="str">
            <v>1517</v>
          </cell>
          <cell r="D2078" t="str">
            <v>1K BUDWEISER - LABATT</v>
          </cell>
          <cell r="E2078" t="str">
            <v>LABATT BREWERIES OF CANADA</v>
          </cell>
          <cell r="F2078" t="str">
            <v>58670</v>
          </cell>
          <cell r="G2078">
            <v>5</v>
          </cell>
          <cell r="H2078">
            <v>1</v>
          </cell>
          <cell r="I2078" t="str">
            <v>1575</v>
          </cell>
          <cell r="L2078">
            <v>1</v>
          </cell>
          <cell r="M2078">
            <v>289.98</v>
          </cell>
        </row>
        <row r="2079">
          <cell r="C2079" t="str">
            <v>47680</v>
          </cell>
          <cell r="D2079" t="str">
            <v>1K BUSCH LAGER LABATT</v>
          </cell>
          <cell r="E2079" t="str">
            <v>LABATT BREWERIES OF CANADA</v>
          </cell>
          <cell r="F2079" t="str">
            <v>58670</v>
          </cell>
          <cell r="G2079">
            <v>4.7</v>
          </cell>
          <cell r="H2079">
            <v>1</v>
          </cell>
          <cell r="I2079" t="str">
            <v>1575</v>
          </cell>
          <cell r="L2079">
            <v>1</v>
          </cell>
          <cell r="M2079">
            <v>225.89</v>
          </cell>
        </row>
        <row r="2080">
          <cell r="C2080" t="str">
            <v>24950</v>
          </cell>
          <cell r="D2080" t="str">
            <v>1K CACTUS UGLY ALE MOLSON</v>
          </cell>
          <cell r="E2080" t="str">
            <v>CREEMORE SPRINGS BREWERY LTD</v>
          </cell>
          <cell r="F2080" t="str">
            <v>30000</v>
          </cell>
          <cell r="G2080">
            <v>5</v>
          </cell>
          <cell r="H2080">
            <v>1</v>
          </cell>
          <cell r="I2080" t="str">
            <v>3276</v>
          </cell>
          <cell r="L2080">
            <v>1</v>
          </cell>
          <cell r="M2080">
            <v>126.2</v>
          </cell>
        </row>
        <row r="2081">
          <cell r="C2081" t="str">
            <v>1725</v>
          </cell>
          <cell r="D2081" t="str">
            <v>1K CANADIAN - MOLSON</v>
          </cell>
          <cell r="E2081" t="str">
            <v>MOLSON COORS CANADA</v>
          </cell>
          <cell r="F2081" t="str">
            <v>58670</v>
          </cell>
          <cell r="G2081">
            <v>5</v>
          </cell>
          <cell r="H2081">
            <v>1</v>
          </cell>
          <cell r="I2081" t="str">
            <v>3276</v>
          </cell>
          <cell r="L2081">
            <v>1</v>
          </cell>
          <cell r="M2081">
            <v>289.98</v>
          </cell>
        </row>
        <row r="2082">
          <cell r="C2082" t="str">
            <v>35343</v>
          </cell>
          <cell r="D2082" t="str">
            <v>1K CHURCHILL BLONDE LAGER</v>
          </cell>
          <cell r="E2082" t="str">
            <v>CHURCHILL BREWING CO (M)</v>
          </cell>
          <cell r="F2082" t="str">
            <v>58670</v>
          </cell>
          <cell r="G2082">
            <v>5</v>
          </cell>
          <cell r="H2082">
            <v>1</v>
          </cell>
          <cell r="I2082" t="str">
            <v>205877</v>
          </cell>
          <cell r="L2082">
            <v>1</v>
          </cell>
          <cell r="M2082">
            <v>249.52</v>
          </cell>
        </row>
        <row r="2083">
          <cell r="C2083" t="str">
            <v>38095</v>
          </cell>
          <cell r="D2083" t="str">
            <v>1K CHURCHILL LAWN MOWER YARD ALE - CHURC</v>
          </cell>
          <cell r="E2083" t="str">
            <v>CHURCHILL BREWING CO (M)</v>
          </cell>
          <cell r="F2083" t="str">
            <v>58670</v>
          </cell>
          <cell r="G2083">
            <v>4.3</v>
          </cell>
          <cell r="H2083">
            <v>1</v>
          </cell>
          <cell r="I2083" t="str">
            <v>205877</v>
          </cell>
          <cell r="L2083">
            <v>1</v>
          </cell>
          <cell r="M2083">
            <v>235.7</v>
          </cell>
        </row>
        <row r="2084">
          <cell r="C2084" t="str">
            <v>38094</v>
          </cell>
          <cell r="D2084" t="str">
            <v>1K CHURCHILL RIVERMEN RED ALE - CHURCHIL</v>
          </cell>
          <cell r="E2084" t="str">
            <v>CHURCHILL BREWING CO (M)</v>
          </cell>
          <cell r="F2084" t="str">
            <v>58670</v>
          </cell>
          <cell r="G2084">
            <v>5</v>
          </cell>
          <cell r="H2084">
            <v>1</v>
          </cell>
          <cell r="I2084" t="str">
            <v>205877</v>
          </cell>
          <cell r="L2084">
            <v>1</v>
          </cell>
          <cell r="M2084">
            <v>249.52</v>
          </cell>
        </row>
        <row r="2085">
          <cell r="C2085" t="str">
            <v>2104</v>
          </cell>
          <cell r="D2085" t="str">
            <v>1K COORS LIGHT - MOLSON</v>
          </cell>
          <cell r="E2085" t="str">
            <v>MOLSON COORS CANADA</v>
          </cell>
          <cell r="F2085" t="str">
            <v>58670</v>
          </cell>
          <cell r="G2085">
            <v>4</v>
          </cell>
          <cell r="H2085">
            <v>1</v>
          </cell>
          <cell r="I2085" t="str">
            <v>3276</v>
          </cell>
          <cell r="L2085">
            <v>1</v>
          </cell>
          <cell r="M2085">
            <v>289.98</v>
          </cell>
        </row>
        <row r="2086">
          <cell r="C2086" t="str">
            <v>32944</v>
          </cell>
          <cell r="D2086" t="str">
            <v>1K COORS ORIGINAL - MOLSON</v>
          </cell>
          <cell r="E2086" t="str">
            <v>MOLSON COORS CANADA</v>
          </cell>
          <cell r="F2086" t="str">
            <v>20000</v>
          </cell>
          <cell r="G2086">
            <v>5</v>
          </cell>
          <cell r="H2086">
            <v>1</v>
          </cell>
          <cell r="I2086" t="str">
            <v>3276</v>
          </cell>
          <cell r="L2086">
            <v>1</v>
          </cell>
          <cell r="M2086">
            <v>106.98</v>
          </cell>
        </row>
        <row r="2087">
          <cell r="C2087" t="str">
            <v>32945</v>
          </cell>
          <cell r="D2087" t="str">
            <v>1K COORS ORIGINAL - MOLSON</v>
          </cell>
          <cell r="E2087" t="str">
            <v>MOLSON COORS CANADA</v>
          </cell>
          <cell r="F2087" t="str">
            <v>58670</v>
          </cell>
          <cell r="G2087">
            <v>5</v>
          </cell>
          <cell r="H2087">
            <v>1</v>
          </cell>
          <cell r="I2087" t="str">
            <v>3276</v>
          </cell>
          <cell r="L2087">
            <v>1</v>
          </cell>
          <cell r="M2087">
            <v>307.99</v>
          </cell>
        </row>
        <row r="2088">
          <cell r="C2088" t="str">
            <v>38828</v>
          </cell>
          <cell r="D2088" t="str">
            <v>1K CORONA EXTRA (DOMESTIC) - LABATT</v>
          </cell>
          <cell r="E2088" t="str">
            <v>LABATT BREWERIES OF CANADA</v>
          </cell>
          <cell r="F2088" t="str">
            <v>58600</v>
          </cell>
          <cell r="G2088">
            <v>4.5999999999999996</v>
          </cell>
          <cell r="H2088">
            <v>1</v>
          </cell>
          <cell r="I2088" t="str">
            <v>1575</v>
          </cell>
          <cell r="L2088">
            <v>1</v>
          </cell>
          <cell r="M2088">
            <v>343.98</v>
          </cell>
        </row>
        <row r="2089">
          <cell r="C2089" t="str">
            <v>22122</v>
          </cell>
          <cell r="D2089" t="str">
            <v>1K DOS EQUIS XX SPECIAL LAGER - MOLSON</v>
          </cell>
          <cell r="E2089" t="str">
            <v>CERV CUAUHTEMOC MOCTEZUMA</v>
          </cell>
          <cell r="F2089" t="str">
            <v>20000</v>
          </cell>
          <cell r="G2089">
            <v>4.5</v>
          </cell>
          <cell r="H2089">
            <v>1</v>
          </cell>
          <cell r="I2089" t="str">
            <v>3276</v>
          </cell>
          <cell r="L2089">
            <v>1</v>
          </cell>
          <cell r="M2089">
            <v>124</v>
          </cell>
        </row>
        <row r="2090">
          <cell r="C2090" t="str">
            <v>43623</v>
          </cell>
          <cell r="D2090" t="str">
            <v>1K FUZZY COWBOY PEACH KOLSCH - BR</v>
          </cell>
          <cell r="E2090" t="str">
            <v>BIG ROCK (ALBERTA) LTD. (R)</v>
          </cell>
          <cell r="F2090" t="str">
            <v>30000</v>
          </cell>
          <cell r="G2090">
            <v>5</v>
          </cell>
          <cell r="H2090">
            <v>1</v>
          </cell>
          <cell r="I2090" t="str">
            <v>3227</v>
          </cell>
          <cell r="L2090">
            <v>1</v>
          </cell>
          <cell r="M2090">
            <v>145.59</v>
          </cell>
        </row>
        <row r="2091">
          <cell r="C2091" t="str">
            <v>41394</v>
          </cell>
          <cell r="D2091" t="str">
            <v>1K GIB ANTLER ALE - MOLSON</v>
          </cell>
          <cell r="E2091" t="str">
            <v>MOLSON COORS CANADA</v>
          </cell>
          <cell r="F2091" t="str">
            <v>30000</v>
          </cell>
          <cell r="G2091">
            <v>5</v>
          </cell>
          <cell r="H2091">
            <v>1</v>
          </cell>
          <cell r="I2091" t="str">
            <v>3276</v>
          </cell>
          <cell r="L2091">
            <v>1</v>
          </cell>
          <cell r="M2091">
            <v>125.87</v>
          </cell>
        </row>
        <row r="2092">
          <cell r="C2092" t="str">
            <v>24945</v>
          </cell>
          <cell r="D2092" t="str">
            <v>1K GIB CACTUS CLUB LONGBOARD LAGER MOLSN</v>
          </cell>
          <cell r="E2092" t="str">
            <v>CREEMORE SPRINGS BREWERY LTD</v>
          </cell>
          <cell r="F2092" t="str">
            <v>50000</v>
          </cell>
          <cell r="G2092">
            <v>5</v>
          </cell>
          <cell r="H2092">
            <v>1</v>
          </cell>
          <cell r="I2092" t="str">
            <v>3276</v>
          </cell>
          <cell r="L2092">
            <v>1</v>
          </cell>
          <cell r="M2092">
            <v>191.97</v>
          </cell>
        </row>
        <row r="2093">
          <cell r="C2093" t="str">
            <v>36084</v>
          </cell>
          <cell r="D2093" t="str">
            <v>1K GIB CALIFORNIA COMMON - MOLSON</v>
          </cell>
          <cell r="E2093" t="str">
            <v>CREEMORE SPRINGS BREWERY LTD</v>
          </cell>
          <cell r="F2093" t="str">
            <v>30000</v>
          </cell>
          <cell r="G2093">
            <v>3.8</v>
          </cell>
          <cell r="H2093">
            <v>1</v>
          </cell>
          <cell r="I2093" t="str">
            <v>3276</v>
          </cell>
          <cell r="L2093">
            <v>1</v>
          </cell>
          <cell r="M2093">
            <v>141</v>
          </cell>
        </row>
        <row r="2094">
          <cell r="C2094" t="str">
            <v>39446</v>
          </cell>
          <cell r="D2094" t="str">
            <v>1K GIB ENGLISH BAY - MOLSON</v>
          </cell>
          <cell r="E2094" t="str">
            <v>CREEMORE SPRINGS BREWERY LTD</v>
          </cell>
          <cell r="F2094" t="str">
            <v>30000</v>
          </cell>
          <cell r="G2094">
            <v>1</v>
          </cell>
          <cell r="H2094">
            <v>1</v>
          </cell>
          <cell r="I2094" t="str">
            <v>3276</v>
          </cell>
          <cell r="L2094">
            <v>1</v>
          </cell>
          <cell r="M2094">
            <v>154.30000000000001</v>
          </cell>
        </row>
        <row r="2095">
          <cell r="C2095" t="str">
            <v>42750</v>
          </cell>
          <cell r="D2095" t="str">
            <v>1K GIB FALSE CREEK RASPBERRY ALE MOLSON</v>
          </cell>
          <cell r="E2095" t="str">
            <v>CREEMORE SPRINGS BREWERY LTD</v>
          </cell>
          <cell r="F2095" t="str">
            <v>30000</v>
          </cell>
          <cell r="G2095">
            <v>4.5</v>
          </cell>
          <cell r="H2095">
            <v>1</v>
          </cell>
          <cell r="I2095" t="str">
            <v>3276</v>
          </cell>
          <cell r="L2095">
            <v>1</v>
          </cell>
          <cell r="M2095">
            <v>141</v>
          </cell>
        </row>
        <row r="2096">
          <cell r="C2096" t="str">
            <v>39627</v>
          </cell>
          <cell r="D2096" t="str">
            <v>1K GIB ISLAND LAGER - MOLSON</v>
          </cell>
          <cell r="E2096" t="str">
            <v>CREEMORE SPRINGS BREWERY LTD</v>
          </cell>
          <cell r="F2096" t="str">
            <v>30000</v>
          </cell>
          <cell r="G2096">
            <v>5</v>
          </cell>
          <cell r="H2096">
            <v>1</v>
          </cell>
          <cell r="I2096" t="str">
            <v>3276</v>
          </cell>
          <cell r="L2096">
            <v>1</v>
          </cell>
          <cell r="M2096">
            <v>154.30000000000001</v>
          </cell>
        </row>
        <row r="2097">
          <cell r="C2097" t="str">
            <v>39599</v>
          </cell>
          <cell r="D2097" t="str">
            <v>1K GIB KITSILANO JUICY IPA - MOLSON</v>
          </cell>
          <cell r="E2097" t="str">
            <v>CREEMORE SPRINGS BREWERY LTD</v>
          </cell>
          <cell r="F2097" t="str">
            <v>30000</v>
          </cell>
          <cell r="G2097">
            <v>5.5</v>
          </cell>
          <cell r="H2097">
            <v>1</v>
          </cell>
          <cell r="I2097" t="str">
            <v>3276</v>
          </cell>
          <cell r="L2097">
            <v>1</v>
          </cell>
          <cell r="M2097">
            <v>154.30000000000001</v>
          </cell>
        </row>
        <row r="2098">
          <cell r="C2098" t="str">
            <v>36087</v>
          </cell>
          <cell r="D2098" t="str">
            <v>1K GIB PEACH SOUR - MOLSON</v>
          </cell>
          <cell r="E2098" t="str">
            <v>CREEMORE SPRINGS BREWERY LTD</v>
          </cell>
          <cell r="F2098" t="str">
            <v>30000</v>
          </cell>
          <cell r="G2098">
            <v>5</v>
          </cell>
          <cell r="H2098">
            <v>1</v>
          </cell>
          <cell r="I2098" t="str">
            <v>3276</v>
          </cell>
          <cell r="L2098">
            <v>1</v>
          </cell>
          <cell r="M2098">
            <v>154.30000000000001</v>
          </cell>
        </row>
        <row r="2099">
          <cell r="C2099" t="str">
            <v>30442</v>
          </cell>
          <cell r="D2099" t="str">
            <v>1K GIB WEST COAST IPA - MOLSON</v>
          </cell>
          <cell r="E2099" t="str">
            <v>CREEMORE SPRINGS BREWERY LTD</v>
          </cell>
          <cell r="F2099" t="str">
            <v>30000</v>
          </cell>
          <cell r="G2099">
            <v>6.5</v>
          </cell>
          <cell r="H2099">
            <v>1</v>
          </cell>
          <cell r="I2099" t="str">
            <v>3276</v>
          </cell>
          <cell r="L2099">
            <v>1</v>
          </cell>
          <cell r="M2099">
            <v>154.30000000000001</v>
          </cell>
        </row>
        <row r="2100">
          <cell r="C2100" t="str">
            <v>36135</v>
          </cell>
          <cell r="D2100" t="str">
            <v>1K GOLDEN LARCH RADLER 30L  - BR</v>
          </cell>
          <cell r="E2100" t="str">
            <v>BIG ROCK (ALBERTA) LTD. (R)</v>
          </cell>
          <cell r="F2100" t="str">
            <v>30000</v>
          </cell>
          <cell r="G2100">
            <v>2.5</v>
          </cell>
          <cell r="H2100">
            <v>1</v>
          </cell>
          <cell r="I2100" t="str">
            <v>3227</v>
          </cell>
          <cell r="L2100">
            <v>1</v>
          </cell>
          <cell r="M2100">
            <v>144.38</v>
          </cell>
        </row>
        <row r="2101">
          <cell r="C2101" t="str">
            <v>22341</v>
          </cell>
          <cell r="D2101" t="str">
            <v>1K GOOSE ISLAND IPA DOMESTIC KEG</v>
          </cell>
          <cell r="E2101" t="str">
            <v>LABATT BREWERIES OF CANADA</v>
          </cell>
          <cell r="F2101" t="str">
            <v>58670</v>
          </cell>
          <cell r="G2101">
            <v>5.9</v>
          </cell>
          <cell r="H2101">
            <v>1</v>
          </cell>
          <cell r="I2101" t="str">
            <v>1575</v>
          </cell>
          <cell r="L2101">
            <v>1</v>
          </cell>
          <cell r="M2101">
            <v>285.99</v>
          </cell>
        </row>
        <row r="2102">
          <cell r="C2102" t="str">
            <v>20729</v>
          </cell>
          <cell r="D2102" t="str">
            <v>1K GRANVILLE ISLAND CYPRESS HONEY LAGER</v>
          </cell>
          <cell r="E2102" t="str">
            <v>CREEMORE SPRINGS BREWERY LTD</v>
          </cell>
          <cell r="F2102" t="str">
            <v>50000</v>
          </cell>
          <cell r="G2102">
            <v>4.7</v>
          </cell>
          <cell r="H2102">
            <v>1</v>
          </cell>
          <cell r="I2102" t="str">
            <v>3276</v>
          </cell>
          <cell r="L2102">
            <v>1</v>
          </cell>
          <cell r="M2102">
            <v>232.67</v>
          </cell>
        </row>
        <row r="2103">
          <cell r="C2103" t="str">
            <v>17456</v>
          </cell>
          <cell r="D2103" t="str">
            <v>1K GRANVILLE ISLAND ENGLISH BAY PALE ALE</v>
          </cell>
          <cell r="E2103" t="str">
            <v>CREEMORE SPRINGS BREWERY LTD</v>
          </cell>
          <cell r="F2103" t="str">
            <v>50000</v>
          </cell>
          <cell r="G2103">
            <v>5</v>
          </cell>
          <cell r="H2103">
            <v>1</v>
          </cell>
          <cell r="I2103" t="str">
            <v>3276</v>
          </cell>
          <cell r="L2103">
            <v>1</v>
          </cell>
          <cell r="M2103">
            <v>230</v>
          </cell>
        </row>
        <row r="2104">
          <cell r="C2104" t="str">
            <v>20941</v>
          </cell>
          <cell r="D2104" t="str">
            <v>1K GRANVILLE ISLAND LAGER</v>
          </cell>
          <cell r="E2104" t="str">
            <v>CREEMORE SPRINGS BREWERY LTD</v>
          </cell>
          <cell r="F2104" t="str">
            <v>50000</v>
          </cell>
          <cell r="G2104">
            <v>5</v>
          </cell>
          <cell r="H2104">
            <v>1</v>
          </cell>
          <cell r="I2104" t="str">
            <v>3276</v>
          </cell>
          <cell r="L2104">
            <v>1</v>
          </cell>
          <cell r="M2104">
            <v>216</v>
          </cell>
        </row>
        <row r="2105">
          <cell r="C2105" t="str">
            <v>14836</v>
          </cell>
          <cell r="D2105" t="str">
            <v>1K GRANVILLE ISLAND LIONS WINTER ALE</v>
          </cell>
          <cell r="E2105" t="str">
            <v>CREEMORE SPRINGS BREWERY LTD</v>
          </cell>
          <cell r="F2105" t="str">
            <v>50000</v>
          </cell>
          <cell r="G2105">
            <v>5.5</v>
          </cell>
          <cell r="H2105">
            <v>1</v>
          </cell>
          <cell r="I2105" t="str">
            <v>3276</v>
          </cell>
          <cell r="L2105">
            <v>1</v>
          </cell>
          <cell r="M2105">
            <v>230</v>
          </cell>
        </row>
        <row r="2106">
          <cell r="C2106" t="str">
            <v>2525</v>
          </cell>
          <cell r="D2106" t="str">
            <v>1K GRASSHOPPER KRISTALLWEIZEN - BIG ROCK</v>
          </cell>
          <cell r="E2106" t="str">
            <v>BIG ROCK (ALBERTA) LTD. (R)</v>
          </cell>
          <cell r="F2106" t="str">
            <v>30000</v>
          </cell>
          <cell r="G2106">
            <v>5</v>
          </cell>
          <cell r="H2106">
            <v>1</v>
          </cell>
          <cell r="I2106" t="str">
            <v>3227</v>
          </cell>
          <cell r="L2106">
            <v>1</v>
          </cell>
          <cell r="M2106">
            <v>144.52000000000001</v>
          </cell>
        </row>
        <row r="2107">
          <cell r="C2107" t="str">
            <v>35049</v>
          </cell>
          <cell r="D2107" t="str">
            <v>1K GREAT WESTERN LIGHT</v>
          </cell>
          <cell r="E2107" t="str">
            <v>GREAT WESTERN BREWING COMPANY</v>
          </cell>
          <cell r="F2107" t="str">
            <v>30000</v>
          </cell>
          <cell r="G2107">
            <v>4</v>
          </cell>
          <cell r="H2107">
            <v>1</v>
          </cell>
          <cell r="I2107" t="str">
            <v>3274</v>
          </cell>
          <cell r="L2107">
            <v>1</v>
          </cell>
          <cell r="M2107">
            <v>141.99</v>
          </cell>
        </row>
        <row r="2108">
          <cell r="C2108" t="str">
            <v>4536</v>
          </cell>
          <cell r="D2108" t="str">
            <v>1K GREAT WESTERN LIGHT</v>
          </cell>
          <cell r="E2108" t="str">
            <v>GREAT WESTERN BREWING COMPANY</v>
          </cell>
          <cell r="F2108" t="str">
            <v>58670</v>
          </cell>
          <cell r="G2108">
            <v>4</v>
          </cell>
          <cell r="H2108">
            <v>1</v>
          </cell>
          <cell r="I2108" t="str">
            <v>3274</v>
          </cell>
          <cell r="L2108">
            <v>1</v>
          </cell>
          <cell r="M2108">
            <v>274.98</v>
          </cell>
        </row>
        <row r="2109">
          <cell r="C2109" t="str">
            <v>21039</v>
          </cell>
          <cell r="D2109" t="str">
            <v>1K GREAT WESTERN PILSNER</v>
          </cell>
          <cell r="E2109" t="str">
            <v>GREAT WESTERN BREWING COMPANY</v>
          </cell>
          <cell r="F2109" t="str">
            <v>30000</v>
          </cell>
          <cell r="G2109">
            <v>5</v>
          </cell>
          <cell r="H2109">
            <v>1</v>
          </cell>
          <cell r="I2109" t="str">
            <v>3274</v>
          </cell>
          <cell r="L2109">
            <v>1</v>
          </cell>
          <cell r="M2109">
            <v>141.99</v>
          </cell>
        </row>
        <row r="2110">
          <cell r="C2110" t="str">
            <v>26208</v>
          </cell>
          <cell r="D2110" t="str">
            <v>1K GREAT WESTERN RADLER</v>
          </cell>
          <cell r="E2110" t="str">
            <v>GREAT WESTERN BREWING COMPANY</v>
          </cell>
          <cell r="F2110" t="str">
            <v>30000</v>
          </cell>
          <cell r="G2110">
            <v>2.5</v>
          </cell>
          <cell r="H2110">
            <v>1</v>
          </cell>
          <cell r="I2110" t="str">
            <v>3274</v>
          </cell>
          <cell r="L2110">
            <v>1</v>
          </cell>
          <cell r="M2110">
            <v>147.99</v>
          </cell>
        </row>
        <row r="2111">
          <cell r="C2111" t="str">
            <v>2591</v>
          </cell>
          <cell r="D2111" t="str">
            <v>1K GUINNESS STOUT</v>
          </cell>
          <cell r="E2111" t="str">
            <v>DIAGEO CANADA INC (BDL)</v>
          </cell>
          <cell r="F2111" t="str">
            <v>50000</v>
          </cell>
          <cell r="G2111">
            <v>5</v>
          </cell>
          <cell r="H2111">
            <v>1</v>
          </cell>
          <cell r="I2111" t="str">
            <v>3224</v>
          </cell>
          <cell r="L2111">
            <v>1</v>
          </cell>
          <cell r="M2111">
            <v>283.98</v>
          </cell>
        </row>
        <row r="2112">
          <cell r="C2112" t="str">
            <v>2595</v>
          </cell>
          <cell r="D2112" t="str">
            <v>1K HARP DRAFT</v>
          </cell>
          <cell r="E2112" t="str">
            <v>DIAGEO CANADA INC (BDL)</v>
          </cell>
          <cell r="F2112" t="str">
            <v>50000</v>
          </cell>
          <cell r="G2112">
            <v>5</v>
          </cell>
          <cell r="H2112">
            <v>1</v>
          </cell>
          <cell r="I2112" t="str">
            <v>3224</v>
          </cell>
          <cell r="L2112">
            <v>1</v>
          </cell>
          <cell r="M2112">
            <v>267.99</v>
          </cell>
        </row>
        <row r="2113">
          <cell r="C2113" t="str">
            <v>46629</v>
          </cell>
          <cell r="D2113" t="str">
            <v>1K HAUS PARTY HEFEWEIZEN - BIG ROCK</v>
          </cell>
          <cell r="E2113" t="str">
            <v>BIG ROCK (ALBERTA) LTD. (R)</v>
          </cell>
          <cell r="F2113" t="str">
            <v>58670</v>
          </cell>
          <cell r="G2113">
            <v>5.5</v>
          </cell>
          <cell r="H2113">
            <v>1</v>
          </cell>
          <cell r="I2113" t="str">
            <v>3227</v>
          </cell>
          <cell r="L2113">
            <v>1</v>
          </cell>
          <cell r="M2113">
            <v>286.56</v>
          </cell>
        </row>
        <row r="2114">
          <cell r="C2114" t="str">
            <v>34954</v>
          </cell>
          <cell r="D2114" t="str">
            <v>1K HEINEKEN - MOLSON</v>
          </cell>
          <cell r="E2114" t="str">
            <v>HEINEKEN BROUWERIJEN</v>
          </cell>
          <cell r="F2114" t="str">
            <v>20000</v>
          </cell>
          <cell r="G2114">
            <v>5</v>
          </cell>
          <cell r="H2114">
            <v>1</v>
          </cell>
          <cell r="I2114" t="str">
            <v>3276</v>
          </cell>
          <cell r="L2114">
            <v>1</v>
          </cell>
          <cell r="M2114">
            <v>131.79</v>
          </cell>
        </row>
        <row r="2115">
          <cell r="C2115" t="str">
            <v>2621</v>
          </cell>
          <cell r="D2115" t="str">
            <v>1K HEINEKEN DRAUGHT - MOLSON</v>
          </cell>
          <cell r="E2115" t="str">
            <v>HEINEKEN BROUWERIJEN</v>
          </cell>
          <cell r="F2115" t="str">
            <v>50000</v>
          </cell>
          <cell r="G2115">
            <v>5</v>
          </cell>
          <cell r="H2115">
            <v>1</v>
          </cell>
          <cell r="I2115" t="str">
            <v>3276</v>
          </cell>
          <cell r="L2115">
            <v>1</v>
          </cell>
          <cell r="M2115">
            <v>293</v>
          </cell>
        </row>
        <row r="2116">
          <cell r="C2116" t="str">
            <v>41059</v>
          </cell>
          <cell r="D2116" t="str">
            <v>1K HOEGAARDEN - LABATT</v>
          </cell>
          <cell r="E2116" t="str">
            <v>INBEV BELGIUM NV</v>
          </cell>
          <cell r="F2116" t="str">
            <v>20000</v>
          </cell>
          <cell r="G2116">
            <v>4.9000000000000004</v>
          </cell>
          <cell r="H2116">
            <v>1</v>
          </cell>
          <cell r="I2116" t="str">
            <v>1575</v>
          </cell>
          <cell r="L2116">
            <v>1</v>
          </cell>
          <cell r="M2116">
            <v>101.18</v>
          </cell>
        </row>
        <row r="2117">
          <cell r="C2117" t="str">
            <v>35936</v>
          </cell>
          <cell r="D2117" t="str">
            <v>1K HOP VALLEY BUBBLE STASH MOLSON</v>
          </cell>
          <cell r="E2117" t="str">
            <v>CREEMORE SPRINGS BREWERY LTD</v>
          </cell>
          <cell r="F2117" t="str">
            <v>30000</v>
          </cell>
          <cell r="G2117">
            <v>6.2</v>
          </cell>
          <cell r="H2117">
            <v>1</v>
          </cell>
          <cell r="I2117" t="str">
            <v>3276</v>
          </cell>
          <cell r="L2117">
            <v>1</v>
          </cell>
          <cell r="M2117">
            <v>154.30000000000001</v>
          </cell>
        </row>
        <row r="2118">
          <cell r="C2118" t="str">
            <v>48120</v>
          </cell>
          <cell r="D2118" t="str">
            <v>1K HUDSON'S WEST COAST IPA - BIG ROCK</v>
          </cell>
          <cell r="E2118" t="str">
            <v>BIG ROCK (ALBERTA) LTD. (R)</v>
          </cell>
          <cell r="F2118" t="str">
            <v>58670</v>
          </cell>
          <cell r="G2118">
            <v>5.5</v>
          </cell>
          <cell r="H2118">
            <v>1</v>
          </cell>
          <cell r="I2118" t="str">
            <v>3227</v>
          </cell>
          <cell r="L2118">
            <v>1</v>
          </cell>
          <cell r="M2118">
            <v>186.4</v>
          </cell>
        </row>
        <row r="2119">
          <cell r="C2119" t="str">
            <v>44518</v>
          </cell>
          <cell r="D2119" t="str">
            <v>1K HUDSONS BLUEBERRY ALE - BIG ROCK</v>
          </cell>
          <cell r="E2119" t="str">
            <v>BIG ROCK (ALBERTA) LTD. (R)</v>
          </cell>
          <cell r="F2119" t="str">
            <v>58670</v>
          </cell>
          <cell r="G2119">
            <v>5</v>
          </cell>
          <cell r="H2119">
            <v>1</v>
          </cell>
          <cell r="I2119" t="str">
            <v>3227</v>
          </cell>
          <cell r="L2119">
            <v>1</v>
          </cell>
          <cell r="M2119">
            <v>210.3</v>
          </cell>
        </row>
        <row r="2120">
          <cell r="C2120" t="str">
            <v>40969</v>
          </cell>
          <cell r="D2120" t="str">
            <v>1K HUDSONS CREAMSICLE - BIG ROCK</v>
          </cell>
          <cell r="E2120" t="str">
            <v>BIG ROCK (ALBERTA) LTD. (R)</v>
          </cell>
          <cell r="F2120" t="str">
            <v>58670</v>
          </cell>
          <cell r="G2120">
            <v>5</v>
          </cell>
          <cell r="H2120">
            <v>1</v>
          </cell>
          <cell r="I2120" t="str">
            <v>3227</v>
          </cell>
          <cell r="L2120">
            <v>1</v>
          </cell>
          <cell r="M2120">
            <v>204.59</v>
          </cell>
        </row>
        <row r="2121">
          <cell r="C2121" t="str">
            <v>43556</v>
          </cell>
          <cell r="D2121" t="str">
            <v>1K HUDSONS PEACHY SOUR - BIG ROCK</v>
          </cell>
          <cell r="E2121" t="str">
            <v>BIG ROCK (ALBERTA) LTD. (R)</v>
          </cell>
          <cell r="F2121" t="str">
            <v>58670</v>
          </cell>
          <cell r="G2121">
            <v>5</v>
          </cell>
          <cell r="H2121">
            <v>1</v>
          </cell>
          <cell r="I2121" t="str">
            <v>3227</v>
          </cell>
          <cell r="L2121">
            <v>1</v>
          </cell>
          <cell r="M2121">
            <v>210.3</v>
          </cell>
        </row>
        <row r="2122">
          <cell r="C2122" t="str">
            <v>42397</v>
          </cell>
          <cell r="D2122" t="str">
            <v>1K HUDSONS RASPBERRY RED LAGER - BR</v>
          </cell>
          <cell r="E2122" t="str">
            <v>BIG ROCK (ALBERTA) LTD. (R)</v>
          </cell>
          <cell r="F2122" t="str">
            <v>58600</v>
          </cell>
          <cell r="G2122">
            <v>5</v>
          </cell>
          <cell r="H2122">
            <v>1</v>
          </cell>
          <cell r="I2122" t="str">
            <v>3227</v>
          </cell>
          <cell r="L2122">
            <v>1</v>
          </cell>
          <cell r="M2122">
            <v>217.18</v>
          </cell>
        </row>
        <row r="2123">
          <cell r="C2123" t="str">
            <v>2808</v>
          </cell>
          <cell r="D2123" t="str">
            <v>1K KILKENNY CREAM ALE</v>
          </cell>
          <cell r="E2123" t="str">
            <v>DIAGEO CANADA INC (BDL)</v>
          </cell>
          <cell r="F2123" t="str">
            <v>50000</v>
          </cell>
          <cell r="G2123">
            <v>5</v>
          </cell>
          <cell r="H2123">
            <v>1</v>
          </cell>
          <cell r="I2123" t="str">
            <v>3224</v>
          </cell>
          <cell r="L2123">
            <v>1</v>
          </cell>
          <cell r="M2123">
            <v>267.99</v>
          </cell>
        </row>
        <row r="2124">
          <cell r="C2124" t="str">
            <v>2823</v>
          </cell>
          <cell r="D2124" t="str">
            <v>1K KOKANEE - LABATT</v>
          </cell>
          <cell r="E2124" t="str">
            <v>LABATT BREWERIES OF CANADA</v>
          </cell>
          <cell r="F2124" t="str">
            <v>58670</v>
          </cell>
          <cell r="G2124">
            <v>5</v>
          </cell>
          <cell r="H2124">
            <v>1</v>
          </cell>
          <cell r="I2124" t="str">
            <v>1575</v>
          </cell>
          <cell r="L2124">
            <v>1</v>
          </cell>
          <cell r="M2124">
            <v>289.98</v>
          </cell>
        </row>
        <row r="2125">
          <cell r="C2125" t="str">
            <v>2840</v>
          </cell>
          <cell r="D2125" t="str">
            <v>1K KOKANEE GOLD - LABATT</v>
          </cell>
          <cell r="E2125" t="str">
            <v>LABATT BREWERIES OF CANADA</v>
          </cell>
          <cell r="F2125" t="str">
            <v>58670</v>
          </cell>
          <cell r="G2125">
            <v>5.3</v>
          </cell>
          <cell r="H2125">
            <v>1</v>
          </cell>
          <cell r="I2125" t="str">
            <v>1575</v>
          </cell>
          <cell r="L2125">
            <v>1</v>
          </cell>
          <cell r="M2125">
            <v>289.98</v>
          </cell>
        </row>
        <row r="2126">
          <cell r="C2126" t="str">
            <v>45971</v>
          </cell>
          <cell r="D2126" t="str">
            <v>1K LAWN MOWER YARD ULTRA -CHURCHILL</v>
          </cell>
          <cell r="E2126" t="str">
            <v>CHURCHILL BREWING CO (M)</v>
          </cell>
          <cell r="F2126" t="str">
            <v>50000</v>
          </cell>
          <cell r="G2126">
            <v>2.8</v>
          </cell>
          <cell r="H2126">
            <v>1</v>
          </cell>
          <cell r="I2126" t="str">
            <v>205877</v>
          </cell>
          <cell r="L2126">
            <v>1</v>
          </cell>
          <cell r="M2126">
            <v>200.47</v>
          </cell>
        </row>
        <row r="2127">
          <cell r="C2127" t="str">
            <v>36137</v>
          </cell>
          <cell r="D2127" t="str">
            <v>1K LEO'S LAGER - BIG ROCK</v>
          </cell>
          <cell r="E2127" t="str">
            <v>BIG ROCK (ALBERTA) LTD. (R)</v>
          </cell>
          <cell r="F2127" t="str">
            <v>58670</v>
          </cell>
          <cell r="G2127">
            <v>4.5</v>
          </cell>
          <cell r="H2127">
            <v>1</v>
          </cell>
          <cell r="I2127" t="str">
            <v>3227</v>
          </cell>
          <cell r="L2127">
            <v>1</v>
          </cell>
          <cell r="M2127">
            <v>206.28</v>
          </cell>
        </row>
        <row r="2128">
          <cell r="C2128" t="str">
            <v>42958</v>
          </cell>
          <cell r="D2128" t="str">
            <v>1K MADRI EXCEPTIONAL - MOLSON</v>
          </cell>
          <cell r="E2128" t="str">
            <v>MOLSON COORS CANADA</v>
          </cell>
          <cell r="F2128" t="str">
            <v>20000</v>
          </cell>
          <cell r="G2128">
            <v>4.5999999999999996</v>
          </cell>
          <cell r="H2128">
            <v>1</v>
          </cell>
          <cell r="I2128" t="str">
            <v>3276</v>
          </cell>
          <cell r="L2128">
            <v>1</v>
          </cell>
          <cell r="M2128">
            <v>117.2</v>
          </cell>
        </row>
        <row r="2129">
          <cell r="C2129" t="str">
            <v>36382</v>
          </cell>
          <cell r="D2129" t="str">
            <v>1K MICHELOB ULTRA - LABATT</v>
          </cell>
          <cell r="E2129" t="str">
            <v>LABATT BREWERIES OF CANADA</v>
          </cell>
          <cell r="F2129" t="str">
            <v>20000</v>
          </cell>
          <cell r="G2129">
            <v>4</v>
          </cell>
          <cell r="H2129">
            <v>1</v>
          </cell>
          <cell r="I2129" t="str">
            <v>1575</v>
          </cell>
          <cell r="L2129">
            <v>1</v>
          </cell>
          <cell r="M2129">
            <v>106.98</v>
          </cell>
        </row>
        <row r="2130">
          <cell r="C2130" t="str">
            <v>30450</v>
          </cell>
          <cell r="D2130" t="str">
            <v>1K MICHELOB ULTRA - LABATT</v>
          </cell>
          <cell r="E2130" t="str">
            <v>LABATT BREWERIES OF CANADA</v>
          </cell>
          <cell r="F2130" t="str">
            <v>58670</v>
          </cell>
          <cell r="G2130">
            <v>4</v>
          </cell>
          <cell r="H2130">
            <v>1</v>
          </cell>
          <cell r="I2130" t="str">
            <v>1575</v>
          </cell>
          <cell r="L2130">
            <v>1</v>
          </cell>
          <cell r="M2130">
            <v>307.99</v>
          </cell>
        </row>
        <row r="2131">
          <cell r="C2131" t="str">
            <v>35275</v>
          </cell>
          <cell r="D2131" t="str">
            <v>1K MILL ST HOPPED &amp; CONFUSED 2.0 -LABATT</v>
          </cell>
          <cell r="E2131" t="str">
            <v>MILL ST BREWERY</v>
          </cell>
          <cell r="F2131" t="str">
            <v>30000</v>
          </cell>
          <cell r="G2131">
            <v>4.7</v>
          </cell>
          <cell r="H2131">
            <v>1</v>
          </cell>
          <cell r="I2131" t="str">
            <v>1575</v>
          </cell>
          <cell r="L2131">
            <v>1</v>
          </cell>
          <cell r="M2131">
            <v>171.42</v>
          </cell>
        </row>
        <row r="2132">
          <cell r="C2132" t="str">
            <v>17256</v>
          </cell>
          <cell r="D2132" t="str">
            <v>1K MILL STREET VANILLA PORTER - LABATT</v>
          </cell>
          <cell r="E2132" t="str">
            <v>MILL ST BREWERY</v>
          </cell>
          <cell r="F2132" t="str">
            <v>50000</v>
          </cell>
          <cell r="G2132">
            <v>5</v>
          </cell>
          <cell r="H2132">
            <v>1</v>
          </cell>
          <cell r="I2132" t="str">
            <v>3278</v>
          </cell>
          <cell r="L2132">
            <v>1</v>
          </cell>
          <cell r="M2132">
            <v>232.9</v>
          </cell>
        </row>
        <row r="2133">
          <cell r="C2133" t="str">
            <v>27479</v>
          </cell>
          <cell r="D2133" t="str">
            <v>1K MILLER LITE - MOLSON</v>
          </cell>
          <cell r="E2133" t="str">
            <v>MOLSON COORS CANADA</v>
          </cell>
          <cell r="F2133" t="str">
            <v>58670</v>
          </cell>
          <cell r="G2133">
            <v>4.2</v>
          </cell>
          <cell r="H2133">
            <v>1</v>
          </cell>
          <cell r="I2133" t="str">
            <v>3276</v>
          </cell>
          <cell r="L2133">
            <v>1</v>
          </cell>
          <cell r="M2133">
            <v>288.3</v>
          </cell>
        </row>
        <row r="2134">
          <cell r="C2134" t="str">
            <v>48177</v>
          </cell>
          <cell r="D2134" t="str">
            <v>1K MODELO ESPECIAL - LABATT</v>
          </cell>
          <cell r="E2134" t="str">
            <v>LABATT BREWERIES OF CANADA</v>
          </cell>
          <cell r="F2134" t="str">
            <v>20000</v>
          </cell>
          <cell r="G2134">
            <v>4.5</v>
          </cell>
          <cell r="H2134">
            <v>1</v>
          </cell>
          <cell r="I2134" t="str">
            <v>1575</v>
          </cell>
          <cell r="L2134">
            <v>1</v>
          </cell>
          <cell r="M2134">
            <v>128.99</v>
          </cell>
        </row>
        <row r="2135">
          <cell r="C2135" t="str">
            <v>32948</v>
          </cell>
          <cell r="D2135" t="str">
            <v>1K MOLSON ULTRA</v>
          </cell>
          <cell r="E2135" t="str">
            <v>MOLSON COORS CANADA</v>
          </cell>
          <cell r="F2135" t="str">
            <v>20000</v>
          </cell>
          <cell r="G2135">
            <v>3</v>
          </cell>
          <cell r="H2135">
            <v>1</v>
          </cell>
          <cell r="I2135" t="str">
            <v>3276</v>
          </cell>
          <cell r="L2135">
            <v>1</v>
          </cell>
          <cell r="M2135">
            <v>98.99</v>
          </cell>
        </row>
        <row r="2136">
          <cell r="C2136" t="str">
            <v>36410</v>
          </cell>
          <cell r="D2136" t="str">
            <v>1K MORETTI - MOLSON</v>
          </cell>
          <cell r="E2136" t="str">
            <v>HEINEKEN ITALIA</v>
          </cell>
          <cell r="F2136" t="str">
            <v>20000</v>
          </cell>
          <cell r="G2136">
            <v>4.5999999999999996</v>
          </cell>
          <cell r="H2136">
            <v>1</v>
          </cell>
          <cell r="I2136" t="str">
            <v>3276</v>
          </cell>
          <cell r="L2136">
            <v>1</v>
          </cell>
          <cell r="M2136">
            <v>131.79</v>
          </cell>
        </row>
        <row r="2137">
          <cell r="C2137" t="str">
            <v>18576</v>
          </cell>
          <cell r="D2137" t="str">
            <v>1K MOXIE'S BIG LIFE AMBER - 362566</v>
          </cell>
          <cell r="E2137" t="str">
            <v>CREEMORE SPRINGS BREWERY LTD</v>
          </cell>
          <cell r="F2137" t="str">
            <v>50000</v>
          </cell>
          <cell r="G2137">
            <v>5</v>
          </cell>
          <cell r="H2137">
            <v>1</v>
          </cell>
          <cell r="I2137" t="str">
            <v>3276</v>
          </cell>
          <cell r="L2137">
            <v>1</v>
          </cell>
          <cell r="M2137">
            <v>180.66</v>
          </cell>
        </row>
        <row r="2138">
          <cell r="C2138" t="str">
            <v>18575</v>
          </cell>
          <cell r="D2138" t="str">
            <v>1K MOXIE'S BIG LIFE EURO LAGER - 362590</v>
          </cell>
          <cell r="E2138" t="str">
            <v>CREEMORE SPRINGS BREWERY LTD</v>
          </cell>
          <cell r="F2138" t="str">
            <v>50000</v>
          </cell>
          <cell r="G2138">
            <v>5.2</v>
          </cell>
          <cell r="H2138">
            <v>1</v>
          </cell>
          <cell r="I2138" t="str">
            <v>3276</v>
          </cell>
          <cell r="L2138">
            <v>1</v>
          </cell>
          <cell r="M2138">
            <v>180.66</v>
          </cell>
        </row>
        <row r="2139">
          <cell r="C2139" t="str">
            <v>25754</v>
          </cell>
          <cell r="D2139" t="str">
            <v>1K MR. MIKES ANTLER ALE GIB - MOLSON</v>
          </cell>
          <cell r="E2139" t="str">
            <v>CREEMORE SPRINGS BREWERY LTD</v>
          </cell>
          <cell r="F2139" t="str">
            <v>50000</v>
          </cell>
          <cell r="G2139">
            <v>5</v>
          </cell>
          <cell r="H2139">
            <v>1</v>
          </cell>
          <cell r="I2139" t="str">
            <v>3276</v>
          </cell>
          <cell r="L2139">
            <v>1</v>
          </cell>
          <cell r="M2139">
            <v>222.37</v>
          </cell>
        </row>
        <row r="2140">
          <cell r="C2140" t="str">
            <v>25755</v>
          </cell>
          <cell r="D2140" t="str">
            <v>1K MR. MIKES BIG HORN LAGER GIB - MOLSON</v>
          </cell>
          <cell r="E2140" t="str">
            <v>CREEMORE SPRINGS BREWERY LTD</v>
          </cell>
          <cell r="F2140" t="str">
            <v>50000</v>
          </cell>
          <cell r="G2140">
            <v>5</v>
          </cell>
          <cell r="H2140">
            <v>1</v>
          </cell>
          <cell r="I2140" t="str">
            <v>3276</v>
          </cell>
          <cell r="L2140">
            <v>1</v>
          </cell>
          <cell r="M2140">
            <v>224.28</v>
          </cell>
        </row>
        <row r="2141">
          <cell r="C2141" t="str">
            <v>38926</v>
          </cell>
          <cell r="D2141" t="str">
            <v>1K MURPHY'S IRISH STOUT - MOLSON</v>
          </cell>
          <cell r="E2141" t="str">
            <v>HEINEKEN BROUWERIJEN</v>
          </cell>
          <cell r="F2141" t="str">
            <v>30000</v>
          </cell>
          <cell r="G2141">
            <v>4</v>
          </cell>
          <cell r="H2141">
            <v>1</v>
          </cell>
          <cell r="I2141" t="str">
            <v>3276</v>
          </cell>
          <cell r="L2141">
            <v>1</v>
          </cell>
          <cell r="M2141">
            <v>160.59</v>
          </cell>
        </row>
        <row r="2142">
          <cell r="C2142" t="str">
            <v>3397</v>
          </cell>
          <cell r="D2142" t="str">
            <v>1K NEWCASTLE BROWN ALE</v>
          </cell>
          <cell r="E2142" t="str">
            <v>HEINEKEN BROUWERIJEN</v>
          </cell>
          <cell r="F2142" t="str">
            <v>50000</v>
          </cell>
          <cell r="G2142">
            <v>4.7</v>
          </cell>
          <cell r="H2142">
            <v>1</v>
          </cell>
          <cell r="I2142" t="str">
            <v>3276</v>
          </cell>
          <cell r="L2142">
            <v>1</v>
          </cell>
          <cell r="M2142">
            <v>285.99</v>
          </cell>
        </row>
        <row r="2143">
          <cell r="C2143" t="str">
            <v>13905</v>
          </cell>
          <cell r="D2143" t="str">
            <v>1K OK SPRING 1516 BAVARIAN LAGER - SLEEM</v>
          </cell>
          <cell r="E2143" t="str">
            <v>Sleeman Breweries Ltd / Les Brasseries S</v>
          </cell>
          <cell r="F2143" t="str">
            <v>30000</v>
          </cell>
          <cell r="G2143">
            <v>5</v>
          </cell>
          <cell r="H2143">
            <v>1</v>
          </cell>
          <cell r="I2143" t="str">
            <v>3302</v>
          </cell>
          <cell r="L2143">
            <v>1</v>
          </cell>
          <cell r="M2143">
            <v>135</v>
          </cell>
        </row>
        <row r="2144">
          <cell r="C2144" t="str">
            <v>45881</v>
          </cell>
          <cell r="D2144" t="str">
            <v>1K ORGINAL 16 ULTRA - GREAT WESTERN</v>
          </cell>
          <cell r="E2144" t="str">
            <v>GREAT WESTERN BREWING COMPANY</v>
          </cell>
          <cell r="F2144" t="str">
            <v>30000</v>
          </cell>
          <cell r="G2144">
            <v>4</v>
          </cell>
          <cell r="H2144">
            <v>1</v>
          </cell>
          <cell r="I2144" t="str">
            <v>3274</v>
          </cell>
          <cell r="L2144">
            <v>1</v>
          </cell>
          <cell r="M2144">
            <v>149.99</v>
          </cell>
        </row>
        <row r="2145">
          <cell r="C2145" t="str">
            <v>16789</v>
          </cell>
          <cell r="D2145" t="str">
            <v>1K ORIGINAL 16 CANADIAN COPPER ALE</v>
          </cell>
          <cell r="E2145" t="str">
            <v>GREAT WESTERN BREWING COMPANY</v>
          </cell>
          <cell r="F2145" t="str">
            <v>30000</v>
          </cell>
          <cell r="G2145">
            <v>5</v>
          </cell>
          <cell r="H2145">
            <v>1</v>
          </cell>
          <cell r="I2145" t="str">
            <v>3274</v>
          </cell>
          <cell r="L2145">
            <v>1</v>
          </cell>
          <cell r="M2145">
            <v>149.99</v>
          </cell>
        </row>
        <row r="2146">
          <cell r="C2146" t="str">
            <v>17913</v>
          </cell>
          <cell r="D2146" t="str">
            <v>1K ORIGINAL 16 CANADIAN COPPER ALE</v>
          </cell>
          <cell r="E2146" t="str">
            <v>GREAT WESTERN BREWING COMPANY</v>
          </cell>
          <cell r="F2146" t="str">
            <v>58670</v>
          </cell>
          <cell r="G2146">
            <v>5</v>
          </cell>
          <cell r="H2146">
            <v>1</v>
          </cell>
          <cell r="I2146" t="str">
            <v>3274</v>
          </cell>
          <cell r="L2146">
            <v>1</v>
          </cell>
          <cell r="M2146">
            <v>289.98</v>
          </cell>
        </row>
        <row r="2147">
          <cell r="C2147" t="str">
            <v>13534</v>
          </cell>
          <cell r="D2147" t="str">
            <v>1K ORIGINAL 16 CANADIAN PALE ALE</v>
          </cell>
          <cell r="E2147" t="str">
            <v>GREAT WESTERN BREWING COMPANY</v>
          </cell>
          <cell r="F2147" t="str">
            <v>30000</v>
          </cell>
          <cell r="G2147">
            <v>5</v>
          </cell>
          <cell r="H2147">
            <v>1</v>
          </cell>
          <cell r="I2147" t="str">
            <v>3274</v>
          </cell>
          <cell r="L2147">
            <v>1</v>
          </cell>
          <cell r="M2147">
            <v>149.99</v>
          </cell>
        </row>
        <row r="2148">
          <cell r="C2148" t="str">
            <v>13988</v>
          </cell>
          <cell r="D2148" t="str">
            <v>1K ORIGINAL 16 CANADIAN PALE ALE</v>
          </cell>
          <cell r="E2148" t="str">
            <v>GREAT WESTERN BREWING COMPANY</v>
          </cell>
          <cell r="F2148" t="str">
            <v>58670</v>
          </cell>
          <cell r="G2148">
            <v>5</v>
          </cell>
          <cell r="H2148">
            <v>1</v>
          </cell>
          <cell r="I2148" t="str">
            <v>3274</v>
          </cell>
          <cell r="L2148">
            <v>1</v>
          </cell>
          <cell r="M2148">
            <v>289.98</v>
          </cell>
        </row>
        <row r="2149">
          <cell r="C2149" t="str">
            <v>27689</v>
          </cell>
          <cell r="D2149" t="str">
            <v>1K ORIGINAL 16 PRAIRIE WHITE - GW</v>
          </cell>
          <cell r="E2149" t="str">
            <v>GREAT WESTERN BREWING COMPANY</v>
          </cell>
          <cell r="F2149" t="str">
            <v>30000</v>
          </cell>
          <cell r="G2149">
            <v>4.8</v>
          </cell>
          <cell r="H2149">
            <v>1</v>
          </cell>
          <cell r="I2149" t="str">
            <v>3274</v>
          </cell>
          <cell r="L2149">
            <v>1</v>
          </cell>
          <cell r="M2149">
            <v>149.99</v>
          </cell>
        </row>
        <row r="2150">
          <cell r="C2150" t="str">
            <v>21246</v>
          </cell>
          <cell r="D2150" t="str">
            <v>1K PABST BLUE RIBBON - SLEEMAN</v>
          </cell>
          <cell r="E2150" t="str">
            <v>Sleeman Breweries Ltd / Les Brasseries S</v>
          </cell>
          <cell r="F2150" t="str">
            <v>50000</v>
          </cell>
          <cell r="G2150">
            <v>5</v>
          </cell>
          <cell r="H2150">
            <v>1</v>
          </cell>
          <cell r="I2150" t="str">
            <v>3302</v>
          </cell>
          <cell r="L2150">
            <v>1</v>
          </cell>
          <cell r="M2150">
            <v>202.74</v>
          </cell>
        </row>
        <row r="2151">
          <cell r="C2151" t="str">
            <v>3659</v>
          </cell>
          <cell r="D2151" t="str">
            <v>1K PILSNER - MOLSON</v>
          </cell>
          <cell r="E2151" t="str">
            <v>MOLSON COORS CANADA</v>
          </cell>
          <cell r="F2151" t="str">
            <v>58670</v>
          </cell>
          <cell r="G2151">
            <v>5</v>
          </cell>
          <cell r="H2151">
            <v>1</v>
          </cell>
          <cell r="I2151" t="str">
            <v>3276</v>
          </cell>
          <cell r="L2151">
            <v>1</v>
          </cell>
          <cell r="M2151">
            <v>266.69</v>
          </cell>
        </row>
        <row r="2152">
          <cell r="C2152" t="str">
            <v>34470</v>
          </cell>
          <cell r="D2152" t="str">
            <v>1K PLAINSMEN PILSNER - CHURCHILL</v>
          </cell>
          <cell r="E2152" t="str">
            <v>CHURCHILL BREWING CO (M)</v>
          </cell>
          <cell r="F2152" t="str">
            <v>50000</v>
          </cell>
          <cell r="G2152">
            <v>5</v>
          </cell>
          <cell r="H2152">
            <v>1</v>
          </cell>
          <cell r="I2152" t="str">
            <v>205877</v>
          </cell>
          <cell r="L2152">
            <v>1</v>
          </cell>
          <cell r="M2152">
            <v>207.49</v>
          </cell>
        </row>
        <row r="2153">
          <cell r="C2153" t="str">
            <v>45972</v>
          </cell>
          <cell r="D2153" t="str">
            <v>1K RADLER CHURCHILL</v>
          </cell>
          <cell r="E2153" t="str">
            <v>CHURCHILL BREWING CO (M)</v>
          </cell>
          <cell r="F2153" t="str">
            <v>50000</v>
          </cell>
          <cell r="G2153">
            <v>3</v>
          </cell>
          <cell r="H2153">
            <v>1</v>
          </cell>
          <cell r="I2153" t="str">
            <v>205877</v>
          </cell>
          <cell r="L2153">
            <v>1</v>
          </cell>
          <cell r="M2153">
            <v>227.74</v>
          </cell>
        </row>
        <row r="2154">
          <cell r="C2154" t="str">
            <v>40225</v>
          </cell>
          <cell r="D2154" t="str">
            <v>1K RICKARD'S RED - MOLSON</v>
          </cell>
          <cell r="E2154" t="str">
            <v>MOLSON COORS CANADA</v>
          </cell>
          <cell r="F2154" t="str">
            <v>50000</v>
          </cell>
          <cell r="G2154">
            <v>5.2</v>
          </cell>
          <cell r="H2154">
            <v>1</v>
          </cell>
          <cell r="I2154" t="str">
            <v>3276</v>
          </cell>
          <cell r="L2154">
            <v>1</v>
          </cell>
          <cell r="M2154">
            <v>247</v>
          </cell>
        </row>
        <row r="2155">
          <cell r="C2155" t="str">
            <v>15566</v>
          </cell>
          <cell r="D2155" t="str">
            <v>1K SAPPORO PREMIUM - SLEEMAN</v>
          </cell>
          <cell r="E2155" t="str">
            <v>Sleeman Breweries Ltd / Les Brasseries S</v>
          </cell>
          <cell r="F2155" t="str">
            <v>30000</v>
          </cell>
          <cell r="G2155">
            <v>5</v>
          </cell>
          <cell r="H2155">
            <v>1</v>
          </cell>
          <cell r="I2155" t="str">
            <v>3302</v>
          </cell>
          <cell r="L2155">
            <v>1</v>
          </cell>
          <cell r="M2155">
            <v>153.76</v>
          </cell>
        </row>
        <row r="2156">
          <cell r="C2156" t="str">
            <v>40573</v>
          </cell>
          <cell r="D2156" t="str">
            <v>1K SLEEMAN CLEAR</v>
          </cell>
          <cell r="E2156" t="str">
            <v>Sleeman Breweries Ltd / Les Brasseries S</v>
          </cell>
          <cell r="F2156" t="str">
            <v>30000</v>
          </cell>
          <cell r="G2156">
            <v>4</v>
          </cell>
          <cell r="H2156">
            <v>1</v>
          </cell>
          <cell r="I2156" t="str">
            <v>3302</v>
          </cell>
          <cell r="L2156">
            <v>1</v>
          </cell>
          <cell r="M2156">
            <v>129</v>
          </cell>
        </row>
        <row r="2157">
          <cell r="C2157" t="str">
            <v>14317</v>
          </cell>
          <cell r="D2157" t="str">
            <v>1K SLEEMAN HONEY BROWN LAGER</v>
          </cell>
          <cell r="E2157" t="str">
            <v>Sleeman Breweries Ltd / Les Brasseries S</v>
          </cell>
          <cell r="F2157" t="str">
            <v>30000</v>
          </cell>
          <cell r="G2157">
            <v>5.2</v>
          </cell>
          <cell r="H2157">
            <v>1</v>
          </cell>
          <cell r="I2157" t="str">
            <v>3302</v>
          </cell>
          <cell r="L2157">
            <v>1</v>
          </cell>
          <cell r="M2157">
            <v>141.9</v>
          </cell>
        </row>
        <row r="2158">
          <cell r="C2158" t="str">
            <v>4198</v>
          </cell>
          <cell r="D2158" t="str">
            <v>1K SMITHWICK'S ALE</v>
          </cell>
          <cell r="E2158" t="str">
            <v>DIAGEO CANADA INC (BDL)</v>
          </cell>
          <cell r="F2158" t="str">
            <v>50000</v>
          </cell>
          <cell r="G2158">
            <v>5</v>
          </cell>
          <cell r="H2158">
            <v>1</v>
          </cell>
          <cell r="I2158" t="str">
            <v>3224</v>
          </cell>
          <cell r="L2158">
            <v>1</v>
          </cell>
          <cell r="M2158">
            <v>267.99</v>
          </cell>
        </row>
        <row r="2159">
          <cell r="C2159" t="str">
            <v>25500</v>
          </cell>
          <cell r="D2159" t="str">
            <v>1K STANLEY PARK 1897 AMBER LABATT</v>
          </cell>
          <cell r="E2159" t="str">
            <v>TURNING POINT BREWERY</v>
          </cell>
          <cell r="F2159" t="str">
            <v>50000</v>
          </cell>
          <cell r="G2159">
            <v>5.0999999999999996</v>
          </cell>
          <cell r="H2159">
            <v>1</v>
          </cell>
          <cell r="I2159" t="str">
            <v>1575</v>
          </cell>
          <cell r="L2159">
            <v>1</v>
          </cell>
          <cell r="M2159">
            <v>282.99</v>
          </cell>
        </row>
        <row r="2160">
          <cell r="C2160" t="str">
            <v>26816</v>
          </cell>
          <cell r="D2160" t="str">
            <v>1K STANLEY PARK DAY TRIP LAGER  - LABATT</v>
          </cell>
          <cell r="E2160" t="str">
            <v>TURNING POINT BREWERY</v>
          </cell>
          <cell r="F2160" t="str">
            <v>50000</v>
          </cell>
          <cell r="G2160">
            <v>4.4000000000000004</v>
          </cell>
          <cell r="H2160">
            <v>1</v>
          </cell>
          <cell r="I2160" t="str">
            <v>1575</v>
          </cell>
          <cell r="L2160">
            <v>1</v>
          </cell>
          <cell r="M2160">
            <v>254.99</v>
          </cell>
        </row>
        <row r="2161">
          <cell r="C2161" t="str">
            <v>26062</v>
          </cell>
          <cell r="D2161" t="str">
            <v>1K STANLEY PARK SUNSETTER - LABATT</v>
          </cell>
          <cell r="E2161" t="str">
            <v>TURNING POINT BREWERY</v>
          </cell>
          <cell r="F2161" t="str">
            <v>50000</v>
          </cell>
          <cell r="G2161">
            <v>4.8</v>
          </cell>
          <cell r="H2161">
            <v>1</v>
          </cell>
          <cell r="I2161" t="str">
            <v>1575</v>
          </cell>
          <cell r="L2161">
            <v>1</v>
          </cell>
          <cell r="M2161">
            <v>282.99</v>
          </cell>
        </row>
        <row r="2162">
          <cell r="C2162" t="str">
            <v>34766</v>
          </cell>
          <cell r="D2162" t="str">
            <v>1K STELLA ARTOIS DOMESTIC - LABATT</v>
          </cell>
          <cell r="E2162" t="str">
            <v>LABATT BREWERIES OF CANADA</v>
          </cell>
          <cell r="F2162" t="str">
            <v>20000</v>
          </cell>
          <cell r="G2162">
            <v>5</v>
          </cell>
          <cell r="H2162">
            <v>1</v>
          </cell>
          <cell r="I2162" t="str">
            <v>1575</v>
          </cell>
          <cell r="L2162">
            <v>1</v>
          </cell>
          <cell r="M2162">
            <v>128.99</v>
          </cell>
        </row>
        <row r="2163">
          <cell r="C2163" t="str">
            <v>34724</v>
          </cell>
          <cell r="D2163" t="str">
            <v>1K STELLA ARTOIS DOMESTIC - LABATT</v>
          </cell>
          <cell r="E2163" t="str">
            <v>LABATT BREWERIES OF CANADA</v>
          </cell>
          <cell r="F2163" t="str">
            <v>58600</v>
          </cell>
          <cell r="G2163">
            <v>5</v>
          </cell>
          <cell r="H2163">
            <v>1</v>
          </cell>
          <cell r="I2163" t="str">
            <v>1575</v>
          </cell>
          <cell r="L2163">
            <v>1</v>
          </cell>
          <cell r="M2163">
            <v>343.98</v>
          </cell>
        </row>
        <row r="2164">
          <cell r="C2164" t="str">
            <v>43288</v>
          </cell>
          <cell r="D2164" t="str">
            <v>1K TALLGRASS TANGO MANGO WHEAT ALE LAB</v>
          </cell>
          <cell r="E2164" t="str">
            <v>BANDED PEAK BREWING - LABATT</v>
          </cell>
          <cell r="F2164" t="str">
            <v>50000</v>
          </cell>
          <cell r="G2164">
            <v>4.3</v>
          </cell>
          <cell r="H2164">
            <v>1</v>
          </cell>
          <cell r="I2164" t="str">
            <v>1575</v>
          </cell>
          <cell r="L2164">
            <v>1</v>
          </cell>
          <cell r="M2164">
            <v>267.99</v>
          </cell>
        </row>
        <row r="2165">
          <cell r="C2165" t="str">
            <v>4388</v>
          </cell>
          <cell r="D2165" t="str">
            <v>1K TRADITIONAL ALE - BIG ROCK</v>
          </cell>
          <cell r="E2165" t="str">
            <v>BIG ROCK (ALBERTA) LTD. (R)</v>
          </cell>
          <cell r="F2165" t="str">
            <v>30000</v>
          </cell>
          <cell r="G2165">
            <v>5</v>
          </cell>
          <cell r="H2165">
            <v>1</v>
          </cell>
          <cell r="I2165" t="str">
            <v>3227</v>
          </cell>
          <cell r="L2165">
            <v>1</v>
          </cell>
          <cell r="M2165">
            <v>144.52000000000001</v>
          </cell>
        </row>
        <row r="2166">
          <cell r="C2166" t="str">
            <v>42091</v>
          </cell>
          <cell r="D2166" t="str">
            <v>1K TREE BREWING CRANE BERRY SOUR - BR</v>
          </cell>
          <cell r="E2166" t="str">
            <v>BIG ROCK (ALBERTA) LTD. (R)</v>
          </cell>
          <cell r="F2166" t="str">
            <v>30000</v>
          </cell>
          <cell r="G2166">
            <v>5.4</v>
          </cell>
          <cell r="H2166">
            <v>1</v>
          </cell>
          <cell r="I2166" t="str">
            <v>3227</v>
          </cell>
          <cell r="L2166">
            <v>1</v>
          </cell>
          <cell r="M2166">
            <v>144.38</v>
          </cell>
        </row>
        <row r="2167">
          <cell r="C2167" t="str">
            <v>43435</v>
          </cell>
          <cell r="D2167" t="str">
            <v>1K TREE BREWING TIMBER HAZY IPA - BR</v>
          </cell>
          <cell r="E2167" t="str">
            <v>BIG ROCK (ALBERTA) LTD. (R)</v>
          </cell>
          <cell r="F2167" t="str">
            <v>30000</v>
          </cell>
          <cell r="G2167">
            <v>6.5</v>
          </cell>
          <cell r="H2167">
            <v>1</v>
          </cell>
          <cell r="I2167" t="str">
            <v>3227</v>
          </cell>
          <cell r="L2167">
            <v>1</v>
          </cell>
          <cell r="M2167">
            <v>144.38</v>
          </cell>
        </row>
        <row r="2168">
          <cell r="C2168" t="str">
            <v>45889</v>
          </cell>
          <cell r="D2168" t="str">
            <v>1K TREE WATERMELON GOSE - BIG ROCK</v>
          </cell>
          <cell r="E2168" t="str">
            <v>BIG ROCK (ALBERTA) LTD. (R)</v>
          </cell>
          <cell r="F2168" t="str">
            <v>30000</v>
          </cell>
          <cell r="G2168">
            <v>4.4000000000000004</v>
          </cell>
          <cell r="H2168">
            <v>1</v>
          </cell>
          <cell r="I2168" t="str">
            <v>3227</v>
          </cell>
          <cell r="L2168">
            <v>1</v>
          </cell>
          <cell r="M2168">
            <v>144.38</v>
          </cell>
        </row>
        <row r="2169">
          <cell r="C2169" t="str">
            <v>43285</v>
          </cell>
          <cell r="D2169" t="str">
            <v>1K UNWINDER HAZY PALE ALE - BR</v>
          </cell>
          <cell r="E2169" t="str">
            <v>BIG ROCK (ALBERTA) LTD. (R)</v>
          </cell>
          <cell r="F2169" t="str">
            <v>30000</v>
          </cell>
          <cell r="G2169">
            <v>5.3</v>
          </cell>
          <cell r="H2169">
            <v>1</v>
          </cell>
          <cell r="I2169" t="str">
            <v>3227</v>
          </cell>
          <cell r="L2169">
            <v>1</v>
          </cell>
          <cell r="M2169">
            <v>145.59</v>
          </cell>
        </row>
        <row r="2170">
          <cell r="C2170" t="str">
            <v>44313</v>
          </cell>
          <cell r="D2170" t="str">
            <v>1K WINTER BITTER ALE - GREAT WESTERN</v>
          </cell>
          <cell r="E2170" t="str">
            <v>GREAT WESTERN BREWING COMPANY</v>
          </cell>
          <cell r="F2170" t="str">
            <v>30000</v>
          </cell>
          <cell r="G2170">
            <v>4.2</v>
          </cell>
          <cell r="H2170">
            <v>1</v>
          </cell>
          <cell r="I2170" t="str">
            <v>3274</v>
          </cell>
          <cell r="L2170">
            <v>1</v>
          </cell>
          <cell r="M2170">
            <v>147.99</v>
          </cell>
        </row>
        <row r="2171">
          <cell r="C2171" t="str">
            <v>47796</v>
          </cell>
          <cell r="D2171" t="str">
            <v>1K WRANGLER IPA - BIG ROCK</v>
          </cell>
          <cell r="E2171" t="str">
            <v>BIG ROCK (ALBERTA) LTD. (R)</v>
          </cell>
          <cell r="F2171" t="str">
            <v>30000</v>
          </cell>
          <cell r="G2171">
            <v>5.3</v>
          </cell>
          <cell r="H2171">
            <v>1</v>
          </cell>
          <cell r="I2171" t="str">
            <v>3227</v>
          </cell>
          <cell r="L2171">
            <v>1</v>
          </cell>
          <cell r="M2171">
            <v>145.59</v>
          </cell>
        </row>
        <row r="2172">
          <cell r="C2172" t="str">
            <v>45976</v>
          </cell>
          <cell r="D2172" t="str">
            <v>20C CRAFT MIXER 2025 - BIG ROCK</v>
          </cell>
          <cell r="E2172" t="str">
            <v>BIG ROCK (ALBERTA) LTD. (R)</v>
          </cell>
          <cell r="F2172" t="str">
            <v>9460</v>
          </cell>
          <cell r="G2172">
            <v>5.5</v>
          </cell>
          <cell r="H2172">
            <v>1</v>
          </cell>
          <cell r="I2172" t="str">
            <v>3227</v>
          </cell>
          <cell r="L2172">
            <v>20</v>
          </cell>
          <cell r="M2172">
            <v>36.68</v>
          </cell>
        </row>
        <row r="2173">
          <cell r="C2173" t="str">
            <v>46840</v>
          </cell>
          <cell r="D2173" t="str">
            <v>20C CRAFT MIXER FALL - BIG ROCK</v>
          </cell>
          <cell r="E2173" t="str">
            <v>BIG ROCK (ALBERTA) LTD. (R)</v>
          </cell>
          <cell r="F2173" t="str">
            <v>9460</v>
          </cell>
          <cell r="G2173">
            <v>6</v>
          </cell>
          <cell r="H2173">
            <v>1</v>
          </cell>
          <cell r="I2173" t="str">
            <v>3227</v>
          </cell>
          <cell r="L2173">
            <v>20</v>
          </cell>
          <cell r="M2173">
            <v>36.68</v>
          </cell>
        </row>
        <row r="2174">
          <cell r="C2174" t="str">
            <v>5388</v>
          </cell>
          <cell r="D2174" t="str">
            <v>24B BUD LIGHT - LABATT</v>
          </cell>
          <cell r="E2174" t="str">
            <v>LABATT BREWERIES OF CANADA</v>
          </cell>
          <cell r="F2174" t="str">
            <v>8184</v>
          </cell>
          <cell r="G2174">
            <v>4</v>
          </cell>
          <cell r="H2174">
            <v>1</v>
          </cell>
          <cell r="I2174" t="str">
            <v>1575</v>
          </cell>
          <cell r="L2174">
            <v>24</v>
          </cell>
          <cell r="M2174">
            <v>49.98</v>
          </cell>
        </row>
        <row r="2175">
          <cell r="C2175" t="str">
            <v>1510</v>
          </cell>
          <cell r="D2175" t="str">
            <v>24B BUDWEISER - LABATT</v>
          </cell>
          <cell r="E2175" t="str">
            <v>LABATT BREWERIES OF CANADA</v>
          </cell>
          <cell r="F2175" t="str">
            <v>8184</v>
          </cell>
          <cell r="G2175">
            <v>5</v>
          </cell>
          <cell r="H2175">
            <v>1</v>
          </cell>
          <cell r="I2175" t="str">
            <v>1575</v>
          </cell>
          <cell r="L2175">
            <v>24</v>
          </cell>
          <cell r="M2175">
            <v>49.98</v>
          </cell>
        </row>
        <row r="2176">
          <cell r="C2176" t="str">
            <v>1718</v>
          </cell>
          <cell r="D2176" t="str">
            <v>24B CANADIAN - MOLSON</v>
          </cell>
          <cell r="E2176" t="str">
            <v>MOLSON COORS CANADA</v>
          </cell>
          <cell r="F2176" t="str">
            <v>8184</v>
          </cell>
          <cell r="G2176">
            <v>5</v>
          </cell>
          <cell r="H2176">
            <v>1</v>
          </cell>
          <cell r="I2176" t="str">
            <v>3276</v>
          </cell>
          <cell r="L2176">
            <v>24</v>
          </cell>
          <cell r="M2176">
            <v>50</v>
          </cell>
        </row>
        <row r="2177">
          <cell r="C2177" t="str">
            <v>2099</v>
          </cell>
          <cell r="D2177" t="str">
            <v>24B COORS LIGHT - MOLSON</v>
          </cell>
          <cell r="E2177" t="str">
            <v>MOLSON COORS CANADA</v>
          </cell>
          <cell r="F2177" t="str">
            <v>8184</v>
          </cell>
          <cell r="G2177">
            <v>4</v>
          </cell>
          <cell r="H2177">
            <v>1</v>
          </cell>
          <cell r="I2177" t="str">
            <v>3276</v>
          </cell>
          <cell r="L2177">
            <v>24</v>
          </cell>
          <cell r="M2177">
            <v>50</v>
          </cell>
        </row>
        <row r="2178">
          <cell r="C2178" t="str">
            <v>34736</v>
          </cell>
          <cell r="D2178" t="str">
            <v>24B CORONA DOMESTIC - LABATT</v>
          </cell>
          <cell r="E2178" t="str">
            <v>LABATT BREWERIES OF CANADA</v>
          </cell>
          <cell r="F2178" t="str">
            <v>7920</v>
          </cell>
          <cell r="G2178">
            <v>4.5999999999999996</v>
          </cell>
          <cell r="H2178">
            <v>1</v>
          </cell>
          <cell r="I2178" t="str">
            <v>1575</v>
          </cell>
          <cell r="L2178">
            <v>24</v>
          </cell>
          <cell r="M2178">
            <v>53.23</v>
          </cell>
        </row>
        <row r="2179">
          <cell r="C2179" t="str">
            <v>32434</v>
          </cell>
          <cell r="D2179" t="str">
            <v>24B HEINEKEN MOLSON</v>
          </cell>
          <cell r="E2179" t="str">
            <v>HEINEKEN BROUWERIJEN</v>
          </cell>
          <cell r="F2179" t="str">
            <v>7920</v>
          </cell>
          <cell r="G2179">
            <v>4.5999999999999996</v>
          </cell>
          <cell r="H2179">
            <v>1</v>
          </cell>
          <cell r="I2179" t="str">
            <v>3276</v>
          </cell>
          <cell r="L2179">
            <v>24</v>
          </cell>
          <cell r="M2179">
            <v>51.99</v>
          </cell>
        </row>
        <row r="2180">
          <cell r="C2180" t="str">
            <v>45092</v>
          </cell>
          <cell r="D2180" t="str">
            <v>24B HEINEKEN SILVER - MOLSON</v>
          </cell>
          <cell r="E2180" t="str">
            <v>HEINEKEN BROUWERIJEN</v>
          </cell>
          <cell r="F2180" t="str">
            <v>7920</v>
          </cell>
          <cell r="G2180">
            <v>4</v>
          </cell>
          <cell r="H2180">
            <v>1</v>
          </cell>
          <cell r="I2180" t="str">
            <v>3276</v>
          </cell>
          <cell r="L2180">
            <v>24</v>
          </cell>
          <cell r="M2180">
            <v>52.99</v>
          </cell>
        </row>
        <row r="2181">
          <cell r="C2181" t="str">
            <v>2836</v>
          </cell>
          <cell r="D2181" t="str">
            <v>24B KOKANEE - LABATT</v>
          </cell>
          <cell r="E2181" t="str">
            <v>LABATT BREWERIES OF CANADA</v>
          </cell>
          <cell r="F2181" t="str">
            <v>8184</v>
          </cell>
          <cell r="G2181">
            <v>5</v>
          </cell>
          <cell r="H2181">
            <v>1</v>
          </cell>
          <cell r="I2181" t="str">
            <v>1575</v>
          </cell>
          <cell r="L2181">
            <v>24</v>
          </cell>
          <cell r="M2181">
            <v>49.98</v>
          </cell>
        </row>
        <row r="2182">
          <cell r="C2182" t="str">
            <v>1380</v>
          </cell>
          <cell r="D2182" t="str">
            <v>24B LABATT BLUE</v>
          </cell>
          <cell r="E2182" t="str">
            <v>LABATT BREWERIES OF CANADA</v>
          </cell>
          <cell r="F2182" t="str">
            <v>8184</v>
          </cell>
          <cell r="G2182">
            <v>5</v>
          </cell>
          <cell r="H2182">
            <v>1</v>
          </cell>
          <cell r="I2182" t="str">
            <v>1575</v>
          </cell>
          <cell r="L2182">
            <v>24</v>
          </cell>
          <cell r="M2182">
            <v>49.98</v>
          </cell>
        </row>
        <row r="2183">
          <cell r="C2183" t="str">
            <v>46764</v>
          </cell>
          <cell r="D2183" t="str">
            <v>24B MADRI EXCEPCIONAL - MOLSON</v>
          </cell>
          <cell r="E2183" t="str">
            <v>MOLSON COORS CANADA</v>
          </cell>
          <cell r="F2183" t="str">
            <v>8520</v>
          </cell>
          <cell r="G2183">
            <v>4.5999999999999996</v>
          </cell>
          <cell r="H2183">
            <v>1</v>
          </cell>
          <cell r="I2183" t="str">
            <v>3276</v>
          </cell>
          <cell r="L2183">
            <v>24</v>
          </cell>
          <cell r="M2183">
            <v>50.49</v>
          </cell>
        </row>
        <row r="2184">
          <cell r="C2184" t="str">
            <v>38629</v>
          </cell>
          <cell r="D2184" t="str">
            <v>24B MICHELOB ULTRA -LABATT</v>
          </cell>
          <cell r="E2184" t="str">
            <v>LABATT BREWERIES OF CANADA</v>
          </cell>
          <cell r="F2184" t="str">
            <v>8184</v>
          </cell>
          <cell r="G2184">
            <v>4</v>
          </cell>
          <cell r="H2184">
            <v>1</v>
          </cell>
          <cell r="I2184" t="str">
            <v>1575</v>
          </cell>
          <cell r="L2184">
            <v>24</v>
          </cell>
          <cell r="M2184">
            <v>52.98</v>
          </cell>
        </row>
        <row r="2185">
          <cell r="C2185" t="str">
            <v>27471</v>
          </cell>
          <cell r="D2185" t="str">
            <v>24B MILLER GENUINE DRAFT - MOLSON</v>
          </cell>
          <cell r="E2185" t="str">
            <v>MOLSON COORS CANADA</v>
          </cell>
          <cell r="F2185" t="str">
            <v>8520</v>
          </cell>
          <cell r="G2185">
            <v>4.7</v>
          </cell>
          <cell r="H2185">
            <v>1</v>
          </cell>
          <cell r="I2185" t="str">
            <v>3276</v>
          </cell>
          <cell r="L2185">
            <v>24</v>
          </cell>
          <cell r="M2185">
            <v>51.06</v>
          </cell>
        </row>
        <row r="2186">
          <cell r="C2186" t="str">
            <v>27478</v>
          </cell>
          <cell r="D2186" t="str">
            <v>24B MILLER LITE - MOLSON</v>
          </cell>
          <cell r="E2186" t="str">
            <v>MOLSON COORS CANADA</v>
          </cell>
          <cell r="F2186" t="str">
            <v>8184</v>
          </cell>
          <cell r="G2186">
            <v>4.2</v>
          </cell>
          <cell r="H2186">
            <v>1</v>
          </cell>
          <cell r="I2186" t="str">
            <v>3276</v>
          </cell>
          <cell r="L2186">
            <v>24</v>
          </cell>
          <cell r="M2186">
            <v>51.5</v>
          </cell>
        </row>
        <row r="2187">
          <cell r="C2187" t="str">
            <v>3656</v>
          </cell>
          <cell r="D2187" t="str">
            <v>24B PILSNER  - MOLSON</v>
          </cell>
          <cell r="E2187" t="str">
            <v>MOLSON COORS CANADA</v>
          </cell>
          <cell r="F2187" t="str">
            <v>8184</v>
          </cell>
          <cell r="G2187">
            <v>5</v>
          </cell>
          <cell r="H2187">
            <v>1</v>
          </cell>
          <cell r="I2187" t="str">
            <v>3276</v>
          </cell>
          <cell r="L2187">
            <v>24</v>
          </cell>
          <cell r="M2187">
            <v>47.99</v>
          </cell>
        </row>
        <row r="2188">
          <cell r="C2188" t="str">
            <v>37924</v>
          </cell>
          <cell r="D2188" t="str">
            <v>24B STELLA ARTOIS DOMESTIC - LABATT</v>
          </cell>
          <cell r="E2188" t="str">
            <v>LABATT BREWERIES OF CANADA</v>
          </cell>
          <cell r="F2188" t="str">
            <v>7920</v>
          </cell>
          <cell r="G2188">
            <v>5</v>
          </cell>
          <cell r="H2188">
            <v>1</v>
          </cell>
          <cell r="I2188" t="str">
            <v>1575</v>
          </cell>
          <cell r="L2188">
            <v>24</v>
          </cell>
          <cell r="M2188">
            <v>53.23</v>
          </cell>
        </row>
        <row r="2189">
          <cell r="C2189" t="str">
            <v>31594</v>
          </cell>
          <cell r="D2189" t="str">
            <v>24C ALBERTA GENUINE DRAFT - BIG ROCK</v>
          </cell>
          <cell r="E2189" t="str">
            <v>BIG ROCK (ALBERTA) LTD. (R)</v>
          </cell>
          <cell r="F2189" t="str">
            <v>8520</v>
          </cell>
          <cell r="G2189">
            <v>5</v>
          </cell>
          <cell r="H2189">
            <v>1</v>
          </cell>
          <cell r="I2189" t="str">
            <v>3227</v>
          </cell>
          <cell r="L2189">
            <v>24</v>
          </cell>
          <cell r="M2189">
            <v>37.49</v>
          </cell>
        </row>
        <row r="2190">
          <cell r="C2190" t="str">
            <v>45834</v>
          </cell>
          <cell r="D2190" t="str">
            <v>24C ALEXANDER KEITH'S INDIA PALE ALE</v>
          </cell>
          <cell r="E2190" t="str">
            <v>LABATT BREWERIES OF CANADA</v>
          </cell>
          <cell r="F2190" t="str">
            <v>8520</v>
          </cell>
          <cell r="G2190">
            <v>5</v>
          </cell>
          <cell r="H2190">
            <v>1</v>
          </cell>
          <cell r="I2190" t="str">
            <v>1575</v>
          </cell>
          <cell r="L2190">
            <v>24</v>
          </cell>
          <cell r="M2190">
            <v>47.49</v>
          </cell>
        </row>
        <row r="2191">
          <cell r="C2191" t="str">
            <v>30391</v>
          </cell>
          <cell r="D2191" t="str">
            <v>24C BOHEMIAN - MOLSON</v>
          </cell>
          <cell r="E2191" t="str">
            <v>MOLSON COORS CANADA</v>
          </cell>
          <cell r="F2191" t="str">
            <v>8520</v>
          </cell>
          <cell r="G2191">
            <v>5</v>
          </cell>
          <cell r="H2191">
            <v>1</v>
          </cell>
          <cell r="I2191" t="str">
            <v>3276</v>
          </cell>
          <cell r="L2191">
            <v>24</v>
          </cell>
          <cell r="M2191">
            <v>39.6</v>
          </cell>
        </row>
        <row r="2192">
          <cell r="C2192" t="str">
            <v>35465</v>
          </cell>
          <cell r="D2192" t="str">
            <v>24C BREWHOUSE LIGHT - GREAT WESTERN</v>
          </cell>
          <cell r="E2192" t="str">
            <v>GREAT WESTERN BREWING COMPANY</v>
          </cell>
          <cell r="F2192" t="str">
            <v>8520</v>
          </cell>
          <cell r="G2192">
            <v>4</v>
          </cell>
          <cell r="H2192">
            <v>1</v>
          </cell>
          <cell r="I2192" t="str">
            <v>3274</v>
          </cell>
          <cell r="L2192">
            <v>24</v>
          </cell>
          <cell r="M2192">
            <v>37.979999999999997</v>
          </cell>
        </row>
        <row r="2193">
          <cell r="C2193" t="str">
            <v>11685</v>
          </cell>
          <cell r="D2193" t="str">
            <v>24C BREWHOUSE PILSENER - GREAT WESTERN</v>
          </cell>
          <cell r="E2193" t="str">
            <v>GREAT WESTERN BREWING COMPANY</v>
          </cell>
          <cell r="F2193" t="str">
            <v>8520</v>
          </cell>
          <cell r="G2193">
            <v>5</v>
          </cell>
          <cell r="H2193">
            <v>1</v>
          </cell>
          <cell r="I2193" t="str">
            <v>3274</v>
          </cell>
          <cell r="L2193">
            <v>24</v>
          </cell>
          <cell r="M2193">
            <v>37.979999999999997</v>
          </cell>
        </row>
        <row r="2194">
          <cell r="C2194" t="str">
            <v>41299</v>
          </cell>
          <cell r="D2194" t="str">
            <v>24C BREWHOUSE ULTRA - GREAT WESTERN</v>
          </cell>
          <cell r="E2194" t="str">
            <v>GREAT WESTERN BREWING COMPANY</v>
          </cell>
          <cell r="F2194" t="str">
            <v>8520</v>
          </cell>
          <cell r="G2194">
            <v>4</v>
          </cell>
          <cell r="H2194">
            <v>1</v>
          </cell>
          <cell r="I2194" t="str">
            <v>3274</v>
          </cell>
          <cell r="L2194">
            <v>24</v>
          </cell>
          <cell r="M2194">
            <v>37.979999999999997</v>
          </cell>
        </row>
        <row r="2195">
          <cell r="C2195" t="str">
            <v>6566</v>
          </cell>
          <cell r="D2195" t="str">
            <v>24C BUD LIGHT - LABATT</v>
          </cell>
          <cell r="E2195" t="str">
            <v>LABATT BREWERIES OF CANADA</v>
          </cell>
          <cell r="F2195" t="str">
            <v>8520</v>
          </cell>
          <cell r="G2195">
            <v>4</v>
          </cell>
          <cell r="H2195">
            <v>1</v>
          </cell>
          <cell r="I2195" t="str">
            <v>1575</v>
          </cell>
          <cell r="L2195">
            <v>24</v>
          </cell>
          <cell r="M2195">
            <v>48.79</v>
          </cell>
        </row>
        <row r="2196">
          <cell r="C2196" t="str">
            <v>25340</v>
          </cell>
          <cell r="D2196" t="str">
            <v>24C BUD LIGHT APPAREL- LABATT</v>
          </cell>
          <cell r="E2196" t="str">
            <v>LABATT BREWERIES OF CANADA</v>
          </cell>
          <cell r="F2196" t="str">
            <v>8520</v>
          </cell>
          <cell r="G2196">
            <v>4</v>
          </cell>
          <cell r="H2196">
            <v>1</v>
          </cell>
          <cell r="I2196" t="str">
            <v>1575</v>
          </cell>
          <cell r="L2196">
            <v>24</v>
          </cell>
          <cell r="M2196">
            <v>47.99</v>
          </cell>
        </row>
        <row r="2197">
          <cell r="C2197" t="str">
            <v>1511</v>
          </cell>
          <cell r="D2197" t="str">
            <v>24C BUDWEISER - LABATT</v>
          </cell>
          <cell r="E2197" t="str">
            <v>LABATT BREWERIES OF CANADA</v>
          </cell>
          <cell r="F2197" t="str">
            <v>8520</v>
          </cell>
          <cell r="G2197">
            <v>5</v>
          </cell>
          <cell r="H2197">
            <v>1</v>
          </cell>
          <cell r="I2197" t="str">
            <v>1575</v>
          </cell>
          <cell r="L2197">
            <v>24</v>
          </cell>
          <cell r="M2197">
            <v>48.79</v>
          </cell>
        </row>
        <row r="2198">
          <cell r="C2198" t="str">
            <v>21856</v>
          </cell>
          <cell r="D2198" t="str">
            <v>24C BUSCH LAGER - LABATT</v>
          </cell>
          <cell r="E2198" t="str">
            <v>LABATT BREWERIES OF CANADA</v>
          </cell>
          <cell r="F2198" t="str">
            <v>8520</v>
          </cell>
          <cell r="G2198">
            <v>4.7</v>
          </cell>
          <cell r="H2198">
            <v>1</v>
          </cell>
          <cell r="I2198" t="str">
            <v>4443</v>
          </cell>
          <cell r="L2198">
            <v>24</v>
          </cell>
          <cell r="M2198">
            <v>41.49</v>
          </cell>
        </row>
        <row r="2199">
          <cell r="C2199" t="str">
            <v>40352</v>
          </cell>
          <cell r="D2199" t="str">
            <v>24C BUSCH LIGHT - LABATT</v>
          </cell>
          <cell r="E2199" t="str">
            <v>LABATT BREWERIES OF CANADA</v>
          </cell>
          <cell r="F2199" t="str">
            <v>8520</v>
          </cell>
          <cell r="G2199">
            <v>4</v>
          </cell>
          <cell r="H2199">
            <v>1</v>
          </cell>
          <cell r="I2199" t="str">
            <v>1575</v>
          </cell>
          <cell r="L2199">
            <v>24</v>
          </cell>
          <cell r="M2199">
            <v>41.49</v>
          </cell>
        </row>
        <row r="2200">
          <cell r="C2200" t="str">
            <v>5512</v>
          </cell>
          <cell r="D2200" t="str">
            <v>24C CANADIAN - MOLSON</v>
          </cell>
          <cell r="E2200" t="str">
            <v>MOLSON COORS CANADA</v>
          </cell>
          <cell r="F2200" t="str">
            <v>8520</v>
          </cell>
          <cell r="G2200">
            <v>5</v>
          </cell>
          <cell r="H2200">
            <v>1</v>
          </cell>
          <cell r="I2200" t="str">
            <v>4442</v>
          </cell>
          <cell r="L2200">
            <v>24</v>
          </cell>
          <cell r="M2200">
            <v>48.79</v>
          </cell>
        </row>
        <row r="2201">
          <cell r="C2201" t="str">
            <v>2100</v>
          </cell>
          <cell r="D2201" t="str">
            <v>24C COORS LIGHT - MOLSON</v>
          </cell>
          <cell r="E2201" t="str">
            <v>MOLSON COORS CANADA</v>
          </cell>
          <cell r="F2201" t="str">
            <v>8520</v>
          </cell>
          <cell r="G2201">
            <v>4</v>
          </cell>
          <cell r="H2201">
            <v>1</v>
          </cell>
          <cell r="I2201" t="str">
            <v>3276</v>
          </cell>
          <cell r="L2201">
            <v>24</v>
          </cell>
          <cell r="M2201">
            <v>48.79</v>
          </cell>
        </row>
        <row r="2202">
          <cell r="C2202" t="str">
            <v>32940</v>
          </cell>
          <cell r="D2202" t="str">
            <v>24C COORS ORIGINAL - MOLSON</v>
          </cell>
          <cell r="E2202" t="str">
            <v>MOLSON COORS CANADA</v>
          </cell>
          <cell r="F2202" t="str">
            <v>8520</v>
          </cell>
          <cell r="G2202">
            <v>5</v>
          </cell>
          <cell r="H2202">
            <v>1</v>
          </cell>
          <cell r="I2202" t="str">
            <v>3276</v>
          </cell>
          <cell r="L2202">
            <v>24</v>
          </cell>
          <cell r="M2202">
            <v>51.48</v>
          </cell>
        </row>
        <row r="2203">
          <cell r="C2203" t="str">
            <v>21888</v>
          </cell>
          <cell r="D2203" t="str">
            <v>24C GREAT WESTERN CLASSIC</v>
          </cell>
          <cell r="E2203" t="str">
            <v>GREAT WESTERN BREWING COMPANY</v>
          </cell>
          <cell r="F2203" t="str">
            <v>8520</v>
          </cell>
          <cell r="G2203">
            <v>5</v>
          </cell>
          <cell r="H2203">
            <v>1</v>
          </cell>
          <cell r="I2203" t="str">
            <v>3274</v>
          </cell>
          <cell r="L2203">
            <v>24</v>
          </cell>
          <cell r="M2203">
            <v>41.99</v>
          </cell>
        </row>
        <row r="2204">
          <cell r="C2204" t="str">
            <v>35941</v>
          </cell>
          <cell r="D2204" t="str">
            <v>24C GREAT WESTERN LAGER</v>
          </cell>
          <cell r="E2204" t="str">
            <v>GREAT WESTERN BREWING COMPANY</v>
          </cell>
          <cell r="F2204" t="str">
            <v>8520</v>
          </cell>
          <cell r="G2204">
            <v>5</v>
          </cell>
          <cell r="H2204">
            <v>1</v>
          </cell>
          <cell r="I2204" t="str">
            <v>3274</v>
          </cell>
          <cell r="L2204">
            <v>24</v>
          </cell>
          <cell r="M2204">
            <v>41.99</v>
          </cell>
        </row>
        <row r="2205">
          <cell r="C2205" t="str">
            <v>7251</v>
          </cell>
          <cell r="D2205" t="str">
            <v>24C GREAT WESTERN LIGHT</v>
          </cell>
          <cell r="E2205" t="str">
            <v>GREAT WESTERN BREWING COMPANY</v>
          </cell>
          <cell r="F2205" t="str">
            <v>8520</v>
          </cell>
          <cell r="G2205">
            <v>4</v>
          </cell>
          <cell r="H2205">
            <v>1</v>
          </cell>
          <cell r="I2205" t="str">
            <v>3274</v>
          </cell>
          <cell r="L2205">
            <v>24</v>
          </cell>
          <cell r="M2205">
            <v>41.99</v>
          </cell>
        </row>
        <row r="2206">
          <cell r="C2206" t="str">
            <v>7249</v>
          </cell>
          <cell r="D2206" t="str">
            <v>24C GREAT WESTERN PILSNER</v>
          </cell>
          <cell r="E2206" t="str">
            <v>GREAT WESTERN BREWING COMPANY</v>
          </cell>
          <cell r="F2206" t="str">
            <v>8520</v>
          </cell>
          <cell r="G2206">
            <v>5</v>
          </cell>
          <cell r="H2206">
            <v>1</v>
          </cell>
          <cell r="I2206" t="str">
            <v>3274</v>
          </cell>
          <cell r="L2206">
            <v>24</v>
          </cell>
          <cell r="M2206">
            <v>40.5</v>
          </cell>
        </row>
        <row r="2207">
          <cell r="C2207" t="str">
            <v>45598</v>
          </cell>
          <cell r="D2207" t="str">
            <v>24C GREAT WESTERN RADLER</v>
          </cell>
          <cell r="E2207" t="str">
            <v>GREAT WESTERN BREWING COMPANY</v>
          </cell>
          <cell r="F2207" t="str">
            <v>8520</v>
          </cell>
          <cell r="G2207">
            <v>2.5</v>
          </cell>
          <cell r="H2207">
            <v>1</v>
          </cell>
          <cell r="I2207" t="str">
            <v>3274</v>
          </cell>
          <cell r="L2207">
            <v>24</v>
          </cell>
          <cell r="M2207">
            <v>49.98</v>
          </cell>
        </row>
        <row r="2208">
          <cell r="C2208" t="str">
            <v>45367</v>
          </cell>
          <cell r="D2208" t="str">
            <v>24C GREAT WESTERN ULTRA</v>
          </cell>
          <cell r="E2208" t="str">
            <v>GREAT WESTERN BREWING COMPANY</v>
          </cell>
          <cell r="F2208" t="str">
            <v>8520</v>
          </cell>
          <cell r="G2208">
            <v>4</v>
          </cell>
          <cell r="H2208">
            <v>1</v>
          </cell>
          <cell r="I2208" t="str">
            <v>3274</v>
          </cell>
          <cell r="L2208">
            <v>24</v>
          </cell>
          <cell r="M2208">
            <v>41.99</v>
          </cell>
        </row>
        <row r="2209">
          <cell r="C2209" t="str">
            <v>16659</v>
          </cell>
          <cell r="D2209" t="str">
            <v>24C KEYSTONE LIGHT - MOLSON</v>
          </cell>
          <cell r="E2209" t="str">
            <v>MOLSON COORS CANADA</v>
          </cell>
          <cell r="F2209" t="str">
            <v>8520</v>
          </cell>
          <cell r="G2209">
            <v>4</v>
          </cell>
          <cell r="H2209">
            <v>1</v>
          </cell>
          <cell r="I2209" t="str">
            <v>3276</v>
          </cell>
          <cell r="L2209">
            <v>24</v>
          </cell>
          <cell r="M2209">
            <v>41.99</v>
          </cell>
        </row>
        <row r="2210">
          <cell r="C2210" t="str">
            <v>2837</v>
          </cell>
          <cell r="D2210" t="str">
            <v>24C KOKANEE - LABATT</v>
          </cell>
          <cell r="E2210" t="str">
            <v>LABATT BREWERIES OF CANADA</v>
          </cell>
          <cell r="F2210" t="str">
            <v>8520</v>
          </cell>
          <cell r="G2210">
            <v>5</v>
          </cell>
          <cell r="H2210">
            <v>1</v>
          </cell>
          <cell r="I2210" t="str">
            <v>1575</v>
          </cell>
          <cell r="L2210">
            <v>24</v>
          </cell>
          <cell r="M2210">
            <v>44.78</v>
          </cell>
        </row>
        <row r="2211">
          <cell r="C2211" t="str">
            <v>5488</v>
          </cell>
          <cell r="D2211" t="str">
            <v>24C LABATT BLUE</v>
          </cell>
          <cell r="E2211" t="str">
            <v>LABATT BREWERIES OF CANADA</v>
          </cell>
          <cell r="F2211" t="str">
            <v>8520</v>
          </cell>
          <cell r="G2211">
            <v>5</v>
          </cell>
          <cell r="H2211">
            <v>1</v>
          </cell>
          <cell r="I2211" t="str">
            <v>1575</v>
          </cell>
          <cell r="L2211">
            <v>24</v>
          </cell>
          <cell r="M2211">
            <v>39.29</v>
          </cell>
        </row>
        <row r="2212">
          <cell r="C2212" t="str">
            <v>5541</v>
          </cell>
          <cell r="D2212" t="str">
            <v>24C LABATT LITE</v>
          </cell>
          <cell r="E2212" t="str">
            <v>LABATT BREWERIES OF CANADA</v>
          </cell>
          <cell r="F2212" t="str">
            <v>8520</v>
          </cell>
          <cell r="G2212">
            <v>4</v>
          </cell>
          <cell r="H2212">
            <v>1</v>
          </cell>
          <cell r="I2212" t="str">
            <v>1575</v>
          </cell>
          <cell r="L2212">
            <v>24</v>
          </cell>
          <cell r="M2212">
            <v>41.49</v>
          </cell>
        </row>
        <row r="2213">
          <cell r="C2213" t="str">
            <v>30788</v>
          </cell>
          <cell r="D2213" t="str">
            <v>24C LUCKY LAGER - LABATT</v>
          </cell>
          <cell r="E2213" t="str">
            <v>LABATT BREWERIES OF CANADA</v>
          </cell>
          <cell r="F2213" t="str">
            <v>8520</v>
          </cell>
          <cell r="G2213">
            <v>5</v>
          </cell>
          <cell r="H2213">
            <v>1</v>
          </cell>
          <cell r="I2213" t="str">
            <v>1575</v>
          </cell>
          <cell r="L2213">
            <v>24</v>
          </cell>
          <cell r="M2213">
            <v>41.99</v>
          </cell>
        </row>
        <row r="2214">
          <cell r="C2214" t="str">
            <v>26329</v>
          </cell>
          <cell r="D2214" t="str">
            <v>24C MICHELOB ULTRA - LABATT</v>
          </cell>
          <cell r="E2214" t="str">
            <v>LABATT BREWERIES OF CANADA</v>
          </cell>
          <cell r="F2214" t="str">
            <v>8520</v>
          </cell>
          <cell r="G2214">
            <v>4</v>
          </cell>
          <cell r="H2214">
            <v>1</v>
          </cell>
          <cell r="I2214" t="str">
            <v>4443</v>
          </cell>
          <cell r="L2214">
            <v>24</v>
          </cell>
          <cell r="M2214">
            <v>52.17</v>
          </cell>
        </row>
        <row r="2215">
          <cell r="C2215" t="str">
            <v>30858</v>
          </cell>
          <cell r="D2215" t="str">
            <v>24C MILLER GENUINE DRAFT - MOLSON</v>
          </cell>
          <cell r="E2215" t="str">
            <v>MOLSON COORS CANADA</v>
          </cell>
          <cell r="F2215" t="str">
            <v>8520</v>
          </cell>
          <cell r="G2215">
            <v>4.7</v>
          </cell>
          <cell r="H2215">
            <v>1</v>
          </cell>
          <cell r="I2215" t="str">
            <v>3276</v>
          </cell>
          <cell r="L2215">
            <v>24</v>
          </cell>
          <cell r="M2215">
            <v>51.48</v>
          </cell>
        </row>
        <row r="2216">
          <cell r="C2216" t="str">
            <v>27464</v>
          </cell>
          <cell r="D2216" t="str">
            <v>24C MILLER HIGH LIFE - MOLSON</v>
          </cell>
          <cell r="E2216" t="str">
            <v>MOLSON COORS CANADA</v>
          </cell>
          <cell r="F2216" t="str">
            <v>8520</v>
          </cell>
          <cell r="G2216">
            <v>4.5999999999999996</v>
          </cell>
          <cell r="H2216">
            <v>1</v>
          </cell>
          <cell r="I2216" t="str">
            <v>3276</v>
          </cell>
          <cell r="L2216">
            <v>24</v>
          </cell>
          <cell r="M2216">
            <v>41.99</v>
          </cell>
        </row>
        <row r="2217">
          <cell r="C2217" t="str">
            <v>27476</v>
          </cell>
          <cell r="D2217" t="str">
            <v>24C MILLER LITE - MOLSON</v>
          </cell>
          <cell r="E2217" t="str">
            <v>MOLSON COORS CANADA</v>
          </cell>
          <cell r="F2217" t="str">
            <v>8520</v>
          </cell>
          <cell r="G2217">
            <v>4.2</v>
          </cell>
          <cell r="H2217">
            <v>1</v>
          </cell>
          <cell r="I2217" t="str">
            <v>3276</v>
          </cell>
          <cell r="L2217">
            <v>24</v>
          </cell>
          <cell r="M2217">
            <v>51.48</v>
          </cell>
        </row>
        <row r="2218">
          <cell r="C2218" t="str">
            <v>40562</v>
          </cell>
          <cell r="D2218" t="str">
            <v>24C MOLSON ULTRA</v>
          </cell>
          <cell r="E2218" t="str">
            <v>MOLSON COORS CANADA</v>
          </cell>
          <cell r="F2218" t="str">
            <v>8520</v>
          </cell>
          <cell r="G2218">
            <v>3</v>
          </cell>
          <cell r="H2218">
            <v>1</v>
          </cell>
          <cell r="I2218" t="str">
            <v>3276</v>
          </cell>
          <cell r="L2218">
            <v>24</v>
          </cell>
          <cell r="M2218">
            <v>51.48</v>
          </cell>
        </row>
        <row r="2219">
          <cell r="C2219" t="str">
            <v>34995</v>
          </cell>
          <cell r="D2219" t="str">
            <v>24C NO NAME BEER - BIG ROCK</v>
          </cell>
          <cell r="E2219" t="str">
            <v>BIG ROCK (ALBERTA) LTD. (R)</v>
          </cell>
          <cell r="F2219" t="str">
            <v>8520</v>
          </cell>
          <cell r="G2219">
            <v>5</v>
          </cell>
          <cell r="H2219">
            <v>1</v>
          </cell>
          <cell r="I2219" t="str">
            <v>3227</v>
          </cell>
          <cell r="L2219">
            <v>24</v>
          </cell>
          <cell r="M2219">
            <v>29.9</v>
          </cell>
        </row>
        <row r="2220">
          <cell r="C2220" t="str">
            <v>42873</v>
          </cell>
          <cell r="D2220" t="str">
            <v>24C NO NAME LIGHT LAGER - BR</v>
          </cell>
          <cell r="E2220" t="str">
            <v>BIG ROCK (ALBERTA) LTD. (R)</v>
          </cell>
          <cell r="F2220" t="str">
            <v>8520</v>
          </cell>
          <cell r="G2220">
            <v>4</v>
          </cell>
          <cell r="H2220">
            <v>1</v>
          </cell>
          <cell r="I2220" t="str">
            <v>3227</v>
          </cell>
          <cell r="L2220">
            <v>24</v>
          </cell>
          <cell r="M2220">
            <v>29.9</v>
          </cell>
        </row>
        <row r="2221">
          <cell r="C2221" t="str">
            <v>30388</v>
          </cell>
          <cell r="D2221" t="str">
            <v>24C OLD MILWAUKEE - SLEEMAN</v>
          </cell>
          <cell r="E2221" t="str">
            <v>Sleeman Breweries Ltd / Les Brasseries S</v>
          </cell>
          <cell r="F2221" t="str">
            <v>8520</v>
          </cell>
          <cell r="G2221">
            <v>4.9000000000000004</v>
          </cell>
          <cell r="H2221">
            <v>1</v>
          </cell>
          <cell r="I2221" t="str">
            <v>3302</v>
          </cell>
          <cell r="L2221">
            <v>24</v>
          </cell>
          <cell r="M2221">
            <v>39.6</v>
          </cell>
        </row>
        <row r="2222">
          <cell r="C2222" t="str">
            <v>41340</v>
          </cell>
          <cell r="D2222" t="str">
            <v>24C OLYMPIA - GREAT WESTERN</v>
          </cell>
          <cell r="E2222" t="str">
            <v>GREAT WESTERN BREWING COMPANY</v>
          </cell>
          <cell r="F2222" t="str">
            <v>8520</v>
          </cell>
          <cell r="G2222">
            <v>5</v>
          </cell>
          <cell r="H2222">
            <v>1</v>
          </cell>
          <cell r="I2222" t="str">
            <v>3274</v>
          </cell>
          <cell r="L2222">
            <v>24</v>
          </cell>
          <cell r="M2222">
            <v>24.35</v>
          </cell>
        </row>
        <row r="2223">
          <cell r="C2223" t="str">
            <v>40576</v>
          </cell>
          <cell r="D2223" t="str">
            <v>24C ORIGINAL 16 COPPER GREAT WESTERN</v>
          </cell>
          <cell r="E2223" t="str">
            <v>GREAT WESTERN BREWING COMPANY</v>
          </cell>
          <cell r="F2223" t="str">
            <v>8520</v>
          </cell>
          <cell r="G2223">
            <v>5.2</v>
          </cell>
          <cell r="H2223">
            <v>1</v>
          </cell>
          <cell r="I2223" t="str">
            <v>3274</v>
          </cell>
          <cell r="L2223">
            <v>24</v>
          </cell>
          <cell r="M2223">
            <v>50.8</v>
          </cell>
        </row>
        <row r="2224">
          <cell r="C2224" t="str">
            <v>25801</v>
          </cell>
          <cell r="D2224" t="str">
            <v>24C ORIGINAL 16 PALE ALE - GREAT WESTERN</v>
          </cell>
          <cell r="E2224" t="str">
            <v>GREAT WESTERN BREWING COMPANY</v>
          </cell>
          <cell r="F2224" t="str">
            <v>8520</v>
          </cell>
          <cell r="G2224">
            <v>5.5</v>
          </cell>
          <cell r="H2224">
            <v>1</v>
          </cell>
          <cell r="I2224" t="str">
            <v>3274</v>
          </cell>
          <cell r="L2224">
            <v>24</v>
          </cell>
          <cell r="M2224">
            <v>50.8</v>
          </cell>
        </row>
        <row r="2225">
          <cell r="C2225" t="str">
            <v>30451</v>
          </cell>
          <cell r="D2225" t="str">
            <v>24C PABST BLUE RIBBON - SLEEMAN</v>
          </cell>
          <cell r="E2225" t="str">
            <v>Sleeman Breweries Ltd / Les Brasseries S</v>
          </cell>
          <cell r="F2225" t="str">
            <v>8520</v>
          </cell>
          <cell r="G2225">
            <v>4.9000000000000004</v>
          </cell>
          <cell r="H2225">
            <v>1</v>
          </cell>
          <cell r="I2225" t="str">
            <v>3302</v>
          </cell>
          <cell r="L2225">
            <v>24</v>
          </cell>
          <cell r="M2225">
            <v>41.49</v>
          </cell>
        </row>
        <row r="2226">
          <cell r="C2226" t="str">
            <v>46664</v>
          </cell>
          <cell r="D2226" t="str">
            <v>24C PABST BLUE RIBBON LIGHT - SLEEMAN</v>
          </cell>
          <cell r="E2226" t="str">
            <v>Sleeman Breweries Ltd / Les Brasseries S</v>
          </cell>
          <cell r="F2226" t="str">
            <v>8520</v>
          </cell>
          <cell r="G2226">
            <v>4</v>
          </cell>
          <cell r="H2226">
            <v>1</v>
          </cell>
          <cell r="I2226" t="str">
            <v>3302</v>
          </cell>
          <cell r="L2226">
            <v>24</v>
          </cell>
          <cell r="M2226">
            <v>41.49</v>
          </cell>
        </row>
        <row r="2227">
          <cell r="C2227" t="str">
            <v>5553</v>
          </cell>
          <cell r="D2227" t="str">
            <v>24C PILSNER  - MOLSON</v>
          </cell>
          <cell r="E2227" t="str">
            <v>MOLSON COORS CANADA</v>
          </cell>
          <cell r="F2227" t="str">
            <v>8520</v>
          </cell>
          <cell r="G2227">
            <v>5</v>
          </cell>
          <cell r="H2227">
            <v>1</v>
          </cell>
          <cell r="I2227" t="str">
            <v>4442</v>
          </cell>
          <cell r="L2227">
            <v>24</v>
          </cell>
          <cell r="M2227">
            <v>41.49</v>
          </cell>
        </row>
        <row r="2228">
          <cell r="C2228" t="str">
            <v>28196</v>
          </cell>
          <cell r="D2228" t="str">
            <v>24C ROLLING ROCK LABATT</v>
          </cell>
          <cell r="E2228" t="str">
            <v>LABATT BREWERIES OF CANADA</v>
          </cell>
          <cell r="F2228" t="str">
            <v>8520</v>
          </cell>
          <cell r="G2228">
            <v>4.5</v>
          </cell>
          <cell r="H2228">
            <v>1</v>
          </cell>
          <cell r="I2228" t="str">
            <v>1575</v>
          </cell>
          <cell r="L2228">
            <v>24</v>
          </cell>
          <cell r="M2228">
            <v>41.99</v>
          </cell>
        </row>
        <row r="2229">
          <cell r="C2229" t="str">
            <v>47368</v>
          </cell>
          <cell r="D2229" t="str">
            <v>24C SAPPORO CANADA - SLEEMAN</v>
          </cell>
          <cell r="E2229" t="str">
            <v>Sleeman Breweries Ltd / Les Brasseries S</v>
          </cell>
          <cell r="F2229" t="str">
            <v>8520</v>
          </cell>
          <cell r="G2229">
            <v>5</v>
          </cell>
          <cell r="H2229">
            <v>1</v>
          </cell>
          <cell r="I2229" t="str">
            <v>3302</v>
          </cell>
          <cell r="L2229">
            <v>24</v>
          </cell>
          <cell r="M2229">
            <v>44.37</v>
          </cell>
        </row>
        <row r="2230">
          <cell r="C2230" t="str">
            <v>35108</v>
          </cell>
          <cell r="D2230" t="str">
            <v>24C SLEEMAN CLEAR 2.0</v>
          </cell>
          <cell r="E2230" t="str">
            <v>Sleeman Breweries Ltd / Les Brasseries S</v>
          </cell>
          <cell r="F2230" t="str">
            <v>8520</v>
          </cell>
          <cell r="G2230">
            <v>4</v>
          </cell>
          <cell r="H2230">
            <v>1</v>
          </cell>
          <cell r="I2230" t="str">
            <v>3302</v>
          </cell>
          <cell r="L2230">
            <v>24</v>
          </cell>
          <cell r="M2230">
            <v>48.79</v>
          </cell>
        </row>
        <row r="2231">
          <cell r="C2231" t="str">
            <v>40715</v>
          </cell>
          <cell r="D2231" t="str">
            <v>28B CORONA EXTRA - LABATT</v>
          </cell>
          <cell r="E2231" t="str">
            <v>MOLSON COORS CANADA</v>
          </cell>
          <cell r="F2231" t="str">
            <v>9240</v>
          </cell>
          <cell r="G2231">
            <v>4.5999999999999996</v>
          </cell>
          <cell r="H2231">
            <v>1</v>
          </cell>
          <cell r="I2231" t="str">
            <v>1575</v>
          </cell>
          <cell r="L2231">
            <v>28</v>
          </cell>
          <cell r="M2231">
            <v>56.28</v>
          </cell>
        </row>
        <row r="2232">
          <cell r="C2232" t="str">
            <v>37927</v>
          </cell>
          <cell r="D2232" t="str">
            <v>28B HEINEKEN - MOLSON</v>
          </cell>
          <cell r="E2232" t="str">
            <v>HEINEKEN BROUWERIJEN</v>
          </cell>
          <cell r="F2232" t="str">
            <v>9940</v>
          </cell>
          <cell r="G2232">
            <v>5</v>
          </cell>
          <cell r="H2232">
            <v>1</v>
          </cell>
          <cell r="I2232" t="str">
            <v>3276</v>
          </cell>
          <cell r="L2232">
            <v>28</v>
          </cell>
          <cell r="M2232">
            <v>60.83</v>
          </cell>
        </row>
        <row r="2233">
          <cell r="C2233" t="str">
            <v>33139</v>
          </cell>
          <cell r="D2233" t="str">
            <v>28B MILLER GENUINE DRAFT - MOLSON</v>
          </cell>
          <cell r="E2233" t="str">
            <v>MOLSON COORS CANADA</v>
          </cell>
          <cell r="F2233" t="str">
            <v>9940</v>
          </cell>
          <cell r="G2233">
            <v>4.7</v>
          </cell>
          <cell r="H2233">
            <v>1</v>
          </cell>
          <cell r="I2233" t="str">
            <v>3276</v>
          </cell>
          <cell r="L2233">
            <v>28</v>
          </cell>
          <cell r="M2233">
            <v>58.29</v>
          </cell>
        </row>
        <row r="2234">
          <cell r="C2234" t="str">
            <v>41257</v>
          </cell>
          <cell r="D2234" t="str">
            <v>28B STELLA ARTOIS - LABATT</v>
          </cell>
          <cell r="E2234" t="str">
            <v>INBEV BELGIUM NV</v>
          </cell>
          <cell r="F2234" t="str">
            <v>9240</v>
          </cell>
          <cell r="G2234">
            <v>5</v>
          </cell>
          <cell r="H2234">
            <v>1</v>
          </cell>
          <cell r="I2234" t="str">
            <v>1575</v>
          </cell>
          <cell r="L2234">
            <v>28</v>
          </cell>
          <cell r="M2234">
            <v>56.28</v>
          </cell>
        </row>
        <row r="2235">
          <cell r="C2235" t="str">
            <v>14755</v>
          </cell>
          <cell r="D2235" t="str">
            <v>30C BUD LIGHT - LABATT</v>
          </cell>
          <cell r="E2235" t="str">
            <v>LABATT BREWERIES OF CANADA</v>
          </cell>
          <cell r="F2235" t="str">
            <v>10650</v>
          </cell>
          <cell r="G2235">
            <v>4</v>
          </cell>
          <cell r="H2235">
            <v>1</v>
          </cell>
          <cell r="I2235" t="str">
            <v>1575</v>
          </cell>
          <cell r="L2235">
            <v>30</v>
          </cell>
          <cell r="M2235">
            <v>59.99</v>
          </cell>
        </row>
        <row r="2236">
          <cell r="C2236" t="str">
            <v>5500</v>
          </cell>
          <cell r="D2236" t="str">
            <v>30C BUDWEISER - LABATT</v>
          </cell>
          <cell r="E2236" t="str">
            <v>LABATT BREWERIES OF CANADA</v>
          </cell>
          <cell r="F2236" t="str">
            <v>10650</v>
          </cell>
          <cell r="G2236">
            <v>5</v>
          </cell>
          <cell r="H2236">
            <v>1</v>
          </cell>
          <cell r="I2236" t="str">
            <v>1575</v>
          </cell>
          <cell r="L2236">
            <v>30</v>
          </cell>
          <cell r="M2236">
            <v>59.99</v>
          </cell>
        </row>
        <row r="2237">
          <cell r="C2237" t="str">
            <v>37921</v>
          </cell>
          <cell r="D2237" t="str">
            <v>30C BUSCH - LABATT</v>
          </cell>
          <cell r="E2237" t="str">
            <v>LABATT BREWERIES OF CANADA</v>
          </cell>
          <cell r="F2237" t="str">
            <v>10650</v>
          </cell>
          <cell r="G2237">
            <v>4.7</v>
          </cell>
          <cell r="H2237">
            <v>1</v>
          </cell>
          <cell r="I2237" t="str">
            <v>1575</v>
          </cell>
          <cell r="L2237">
            <v>30</v>
          </cell>
          <cell r="M2237">
            <v>48.49</v>
          </cell>
        </row>
        <row r="2238">
          <cell r="C2238" t="str">
            <v>38825</v>
          </cell>
          <cell r="D2238" t="str">
            <v>30C BUSCH LIGHT - LABATT</v>
          </cell>
          <cell r="E2238" t="str">
            <v>LABATT BREWERIES OF CANADA</v>
          </cell>
          <cell r="F2238" t="str">
            <v>10650</v>
          </cell>
          <cell r="G2238">
            <v>4</v>
          </cell>
          <cell r="H2238">
            <v>1</v>
          </cell>
          <cell r="I2238" t="str">
            <v>1575</v>
          </cell>
          <cell r="L2238">
            <v>30</v>
          </cell>
          <cell r="M2238">
            <v>48.49</v>
          </cell>
        </row>
        <row r="2239">
          <cell r="C2239" t="str">
            <v>46531</v>
          </cell>
          <cell r="D2239" t="str">
            <v>30C KEYSTONE LIGHT - MOLSON</v>
          </cell>
          <cell r="E2239" t="str">
            <v>MOLSON COORS CANADA</v>
          </cell>
          <cell r="F2239" t="str">
            <v>10650</v>
          </cell>
          <cell r="G2239">
            <v>4</v>
          </cell>
          <cell r="H2239">
            <v>1</v>
          </cell>
          <cell r="I2239" t="str">
            <v>3276</v>
          </cell>
          <cell r="L2239">
            <v>30</v>
          </cell>
          <cell r="M2239">
            <v>50.99</v>
          </cell>
        </row>
        <row r="2240">
          <cell r="C2240" t="str">
            <v>2839</v>
          </cell>
          <cell r="D2240" t="str">
            <v>30C KOKANEE - LABATT</v>
          </cell>
          <cell r="E2240" t="str">
            <v>LABATT BREWERIES OF CANADA</v>
          </cell>
          <cell r="F2240" t="str">
            <v>10650</v>
          </cell>
          <cell r="G2240">
            <v>5</v>
          </cell>
          <cell r="H2240">
            <v>1</v>
          </cell>
          <cell r="I2240" t="str">
            <v>1575</v>
          </cell>
          <cell r="L2240">
            <v>30</v>
          </cell>
          <cell r="M2240">
            <v>54.79</v>
          </cell>
        </row>
        <row r="2241">
          <cell r="C2241" t="str">
            <v>45833</v>
          </cell>
          <cell r="D2241" t="str">
            <v>30C LABATT BLUE - LABATT</v>
          </cell>
          <cell r="E2241" t="str">
            <v>LABATT BREWERIES OF CANADA</v>
          </cell>
          <cell r="F2241" t="str">
            <v>10650</v>
          </cell>
          <cell r="G2241">
            <v>5</v>
          </cell>
          <cell r="H2241">
            <v>1</v>
          </cell>
          <cell r="I2241" t="str">
            <v>1575</v>
          </cell>
          <cell r="L2241">
            <v>30</v>
          </cell>
          <cell r="M2241">
            <v>44.48</v>
          </cell>
        </row>
        <row r="2242">
          <cell r="C2242" t="str">
            <v>33190</v>
          </cell>
          <cell r="D2242" t="str">
            <v>30C MICHELOB ULTRA - LABATT</v>
          </cell>
          <cell r="E2242" t="str">
            <v>LABATT BREWERIES OF CANADA</v>
          </cell>
          <cell r="F2242" t="str">
            <v>10650</v>
          </cell>
          <cell r="G2242">
            <v>4</v>
          </cell>
          <cell r="H2242">
            <v>1</v>
          </cell>
          <cell r="I2242" t="str">
            <v>1575</v>
          </cell>
          <cell r="L2242">
            <v>30</v>
          </cell>
          <cell r="M2242">
            <v>64.489999999999995</v>
          </cell>
        </row>
        <row r="2243">
          <cell r="C2243" t="str">
            <v>44272</v>
          </cell>
          <cell r="D2243" t="str">
            <v>30C ORIGINAL 16 CANADIAN PALE ALE - GW</v>
          </cell>
          <cell r="E2243" t="str">
            <v>GREAT WESTERN BREWING COMPANY</v>
          </cell>
          <cell r="F2243" t="str">
            <v>10650</v>
          </cell>
          <cell r="G2243">
            <v>5</v>
          </cell>
          <cell r="H2243">
            <v>1</v>
          </cell>
          <cell r="I2243" t="str">
            <v>3274</v>
          </cell>
          <cell r="L2243">
            <v>30</v>
          </cell>
          <cell r="M2243">
            <v>54.14</v>
          </cell>
        </row>
        <row r="2244">
          <cell r="C2244" t="str">
            <v>44108</v>
          </cell>
          <cell r="D2244" t="str">
            <v>36C ALBERTA GENUINE DRAFT - BIG ROCK</v>
          </cell>
          <cell r="E2244" t="str">
            <v>BIG ROCK (ALBERTA) LTD. (R)</v>
          </cell>
          <cell r="F2244" t="str">
            <v>12780</v>
          </cell>
          <cell r="G2244">
            <v>5</v>
          </cell>
          <cell r="H2244">
            <v>1</v>
          </cell>
          <cell r="I2244" t="str">
            <v>3227</v>
          </cell>
          <cell r="L2244">
            <v>36</v>
          </cell>
          <cell r="M2244">
            <v>52.11</v>
          </cell>
        </row>
        <row r="2245">
          <cell r="C2245" t="str">
            <v>43682</v>
          </cell>
          <cell r="D2245" t="str">
            <v>36C BREWHOUSE PILSNER - GW</v>
          </cell>
          <cell r="E2245" t="str">
            <v>GREAT WESTERN BREWING COMPANY</v>
          </cell>
          <cell r="F2245" t="str">
            <v>12780</v>
          </cell>
          <cell r="G2245">
            <v>5</v>
          </cell>
          <cell r="H2245">
            <v>1</v>
          </cell>
          <cell r="I2245" t="str">
            <v>3274</v>
          </cell>
          <cell r="L2245">
            <v>36</v>
          </cell>
          <cell r="M2245">
            <v>49.1</v>
          </cell>
        </row>
        <row r="2246">
          <cell r="C2246" t="str">
            <v>43683</v>
          </cell>
          <cell r="D2246" t="str">
            <v>36C BREWHOUSE ULTRA - GW</v>
          </cell>
          <cell r="E2246" t="str">
            <v>GREAT WESTERN BREWING COMPANY</v>
          </cell>
          <cell r="F2246" t="str">
            <v>12780</v>
          </cell>
          <cell r="G2246">
            <v>4</v>
          </cell>
          <cell r="H2246">
            <v>1</v>
          </cell>
          <cell r="I2246" t="str">
            <v>3274</v>
          </cell>
          <cell r="L2246">
            <v>36</v>
          </cell>
          <cell r="M2246">
            <v>49.1</v>
          </cell>
        </row>
        <row r="2247">
          <cell r="C2247" t="str">
            <v>28460</v>
          </cell>
          <cell r="D2247" t="str">
            <v>36C BUDWEISER LABATT</v>
          </cell>
          <cell r="E2247" t="str">
            <v>LABATT BREWERIES OF CANADA</v>
          </cell>
          <cell r="F2247" t="str">
            <v>12780</v>
          </cell>
          <cell r="G2247">
            <v>5</v>
          </cell>
          <cell r="H2247">
            <v>1</v>
          </cell>
          <cell r="I2247" t="str">
            <v>1575</v>
          </cell>
          <cell r="L2247">
            <v>36</v>
          </cell>
          <cell r="M2247">
            <v>71.489999999999995</v>
          </cell>
        </row>
        <row r="2248">
          <cell r="C2248" t="str">
            <v>32426</v>
          </cell>
          <cell r="D2248" t="str">
            <v>36C CANADIAN MOLSON</v>
          </cell>
          <cell r="E2248" t="str">
            <v>MOLSON COORS CANADA</v>
          </cell>
          <cell r="F2248" t="str">
            <v>12780</v>
          </cell>
          <cell r="G2248">
            <v>5</v>
          </cell>
          <cell r="H2248">
            <v>1</v>
          </cell>
          <cell r="I2248" t="str">
            <v>3276</v>
          </cell>
          <cell r="L2248">
            <v>36</v>
          </cell>
          <cell r="M2248">
            <v>71.489999999999995</v>
          </cell>
        </row>
        <row r="2249">
          <cell r="C2249" t="str">
            <v>32424</v>
          </cell>
          <cell r="D2249" t="str">
            <v>36C COORS LIGHT - MOLSON</v>
          </cell>
          <cell r="E2249" t="str">
            <v>MOLSON COORS CANADA</v>
          </cell>
          <cell r="F2249" t="str">
            <v>12780</v>
          </cell>
          <cell r="G2249">
            <v>4</v>
          </cell>
          <cell r="H2249">
            <v>1</v>
          </cell>
          <cell r="I2249" t="str">
            <v>3276</v>
          </cell>
          <cell r="L2249">
            <v>36</v>
          </cell>
          <cell r="M2249">
            <v>71.489999999999995</v>
          </cell>
        </row>
        <row r="2250">
          <cell r="C2250" t="str">
            <v>32941</v>
          </cell>
          <cell r="D2250" t="str">
            <v>36C COORS ORIGINAL - MOLSON</v>
          </cell>
          <cell r="E2250" t="str">
            <v>MOLSON COORS CANADA</v>
          </cell>
          <cell r="F2250" t="str">
            <v>12780</v>
          </cell>
          <cell r="G2250">
            <v>5</v>
          </cell>
          <cell r="H2250">
            <v>1</v>
          </cell>
          <cell r="I2250" t="str">
            <v>3276</v>
          </cell>
          <cell r="L2250">
            <v>36</v>
          </cell>
          <cell r="M2250">
            <v>77.2</v>
          </cell>
        </row>
        <row r="2251">
          <cell r="C2251" t="str">
            <v>44665</v>
          </cell>
          <cell r="D2251" t="str">
            <v>36C GREAT WESTERN CLASSIC</v>
          </cell>
          <cell r="E2251" t="str">
            <v>GREAT WESTERN BREWING COMPANY</v>
          </cell>
          <cell r="F2251" t="str">
            <v>12780</v>
          </cell>
          <cell r="G2251">
            <v>5</v>
          </cell>
          <cell r="H2251">
            <v>1</v>
          </cell>
          <cell r="I2251" t="str">
            <v>3274</v>
          </cell>
          <cell r="L2251">
            <v>36</v>
          </cell>
          <cell r="M2251">
            <v>53.45</v>
          </cell>
        </row>
        <row r="2252">
          <cell r="C2252" t="str">
            <v>35944</v>
          </cell>
          <cell r="D2252" t="str">
            <v>36C GREAT WESTERN LIGHT</v>
          </cell>
          <cell r="E2252" t="str">
            <v>GREAT WESTERN BREWING COMPANY</v>
          </cell>
          <cell r="F2252" t="str">
            <v>12780</v>
          </cell>
          <cell r="G2252">
            <v>4</v>
          </cell>
          <cell r="H2252">
            <v>1</v>
          </cell>
          <cell r="I2252" t="str">
            <v>3274</v>
          </cell>
          <cell r="L2252">
            <v>36</v>
          </cell>
          <cell r="M2252">
            <v>53.45</v>
          </cell>
        </row>
        <row r="2253">
          <cell r="C2253" t="str">
            <v>35943</v>
          </cell>
          <cell r="D2253" t="str">
            <v>36C GREAT WESTERN PILSNER</v>
          </cell>
          <cell r="E2253" t="str">
            <v>GREAT WESTERN BREWING COMPANY</v>
          </cell>
          <cell r="F2253" t="str">
            <v>12780</v>
          </cell>
          <cell r="G2253">
            <v>5</v>
          </cell>
          <cell r="H2253">
            <v>1</v>
          </cell>
          <cell r="I2253" t="str">
            <v>3274</v>
          </cell>
          <cell r="L2253">
            <v>36</v>
          </cell>
          <cell r="M2253">
            <v>51.95</v>
          </cell>
        </row>
        <row r="2254">
          <cell r="C2254" t="str">
            <v>33188</v>
          </cell>
          <cell r="D2254" t="str">
            <v>36C KOKANEE - LABATT</v>
          </cell>
          <cell r="E2254" t="str">
            <v>LABATT BREWERIES OF CANADA</v>
          </cell>
          <cell r="F2254" t="str">
            <v>12780</v>
          </cell>
          <cell r="G2254">
            <v>5</v>
          </cell>
          <cell r="H2254">
            <v>1</v>
          </cell>
          <cell r="I2254" t="str">
            <v>1575</v>
          </cell>
          <cell r="L2254">
            <v>36</v>
          </cell>
          <cell r="M2254">
            <v>64.790000000000006</v>
          </cell>
        </row>
        <row r="2255">
          <cell r="C2255" t="str">
            <v>31038</v>
          </cell>
          <cell r="D2255" t="str">
            <v>36C LUCKY - LABATT</v>
          </cell>
          <cell r="E2255" t="str">
            <v>LABATT BREWERIES OF CANADA</v>
          </cell>
          <cell r="F2255" t="str">
            <v>12780</v>
          </cell>
          <cell r="G2255">
            <v>5</v>
          </cell>
          <cell r="H2255">
            <v>1</v>
          </cell>
          <cell r="I2255" t="str">
            <v>1575</v>
          </cell>
          <cell r="L2255">
            <v>36</v>
          </cell>
          <cell r="M2255">
            <v>57.29</v>
          </cell>
        </row>
        <row r="2256">
          <cell r="C2256" t="str">
            <v>32428</v>
          </cell>
          <cell r="D2256" t="str">
            <v>36C PILSNER MOLSON</v>
          </cell>
          <cell r="E2256" t="str">
            <v>MOLSON COORS CANADA</v>
          </cell>
          <cell r="F2256" t="str">
            <v>12780</v>
          </cell>
          <cell r="G2256">
            <v>5</v>
          </cell>
          <cell r="H2256">
            <v>1</v>
          </cell>
          <cell r="I2256" t="str">
            <v>3276</v>
          </cell>
          <cell r="L2256">
            <v>36</v>
          </cell>
          <cell r="M2256">
            <v>59.79</v>
          </cell>
        </row>
        <row r="2257">
          <cell r="C2257" t="str">
            <v>37780</v>
          </cell>
          <cell r="D2257" t="str">
            <v>48C BREWHOUSE PILSNER - GREAT WESTERN</v>
          </cell>
          <cell r="E2257" t="str">
            <v>GREAT WESTERN BREWING COMPANY</v>
          </cell>
          <cell r="F2257" t="str">
            <v>17040</v>
          </cell>
          <cell r="G2257">
            <v>5</v>
          </cell>
          <cell r="H2257">
            <v>1</v>
          </cell>
          <cell r="I2257" t="str">
            <v>3274</v>
          </cell>
          <cell r="L2257">
            <v>48</v>
          </cell>
          <cell r="M2257">
            <v>63.04</v>
          </cell>
        </row>
        <row r="2258">
          <cell r="C2258" t="str">
            <v>32390</v>
          </cell>
          <cell r="D2258" t="str">
            <v>48C BUD LIGHT LABATT</v>
          </cell>
          <cell r="E2258" t="str">
            <v>LABATT BREWERIES OF CANADA</v>
          </cell>
          <cell r="F2258" t="str">
            <v>17040</v>
          </cell>
          <cell r="G2258">
            <v>4</v>
          </cell>
          <cell r="H2258">
            <v>1</v>
          </cell>
          <cell r="I2258" t="str">
            <v>1575</v>
          </cell>
          <cell r="L2258">
            <v>48</v>
          </cell>
          <cell r="M2258">
            <v>93.49</v>
          </cell>
        </row>
        <row r="2259">
          <cell r="C2259" t="str">
            <v>32358</v>
          </cell>
          <cell r="D2259" t="str">
            <v>48C BUDWEISER - LABATT</v>
          </cell>
          <cell r="E2259" t="str">
            <v>LABATT BREWERIES OF CANADA</v>
          </cell>
          <cell r="F2259" t="str">
            <v>17040</v>
          </cell>
          <cell r="G2259">
            <v>5</v>
          </cell>
          <cell r="H2259">
            <v>1</v>
          </cell>
          <cell r="I2259" t="str">
            <v>1575</v>
          </cell>
          <cell r="L2259">
            <v>48</v>
          </cell>
          <cell r="M2259">
            <v>93.49</v>
          </cell>
        </row>
        <row r="2260">
          <cell r="C2260" t="str">
            <v>32427</v>
          </cell>
          <cell r="D2260" t="str">
            <v>48C CANADIAN MOLSON</v>
          </cell>
          <cell r="E2260" t="str">
            <v>MOLSON COORS CANADA</v>
          </cell>
          <cell r="F2260" t="str">
            <v>17040</v>
          </cell>
          <cell r="G2260">
            <v>5</v>
          </cell>
          <cell r="H2260">
            <v>1</v>
          </cell>
          <cell r="I2260" t="str">
            <v>3276</v>
          </cell>
          <cell r="L2260">
            <v>48</v>
          </cell>
          <cell r="M2260">
            <v>93</v>
          </cell>
        </row>
        <row r="2261">
          <cell r="C2261" t="str">
            <v>32425</v>
          </cell>
          <cell r="D2261" t="str">
            <v>48C COORS LIGHT - MOLSON</v>
          </cell>
          <cell r="E2261" t="str">
            <v>MOLSON COORS CANADA</v>
          </cell>
          <cell r="F2261" t="str">
            <v>17040</v>
          </cell>
          <cell r="G2261">
            <v>4</v>
          </cell>
          <cell r="H2261">
            <v>1</v>
          </cell>
          <cell r="I2261" t="str">
            <v>3276</v>
          </cell>
          <cell r="L2261">
            <v>48</v>
          </cell>
          <cell r="M2261">
            <v>93</v>
          </cell>
        </row>
        <row r="2262">
          <cell r="C2262" t="str">
            <v>32943</v>
          </cell>
          <cell r="D2262" t="str">
            <v>48C COORS ORIGINAL - MOLSON</v>
          </cell>
          <cell r="E2262" t="str">
            <v>MOLSON COORS CANADA</v>
          </cell>
          <cell r="F2262" t="str">
            <v>17040</v>
          </cell>
          <cell r="G2262">
            <v>5</v>
          </cell>
          <cell r="H2262">
            <v>1</v>
          </cell>
          <cell r="I2262" t="str">
            <v>3276</v>
          </cell>
          <cell r="L2262">
            <v>48</v>
          </cell>
          <cell r="M2262">
            <v>99.86</v>
          </cell>
        </row>
        <row r="2263">
          <cell r="C2263" t="str">
            <v>42617</v>
          </cell>
          <cell r="D2263" t="str">
            <v>48C GREAT WESTERN LIGHT</v>
          </cell>
          <cell r="E2263" t="str">
            <v>GREAT WESTERN BREWING COMPANY</v>
          </cell>
          <cell r="F2263" t="str">
            <v>17040</v>
          </cell>
          <cell r="G2263">
            <v>5.0999999999999996</v>
          </cell>
          <cell r="H2263">
            <v>1</v>
          </cell>
          <cell r="I2263" t="str">
            <v>3274</v>
          </cell>
          <cell r="L2263">
            <v>48</v>
          </cell>
          <cell r="M2263">
            <v>67.89</v>
          </cell>
        </row>
        <row r="2264">
          <cell r="C2264" t="str">
            <v>33783</v>
          </cell>
          <cell r="D2264" t="str">
            <v>48C GREAT WESTERN PILSNER</v>
          </cell>
          <cell r="E2264" t="str">
            <v>GREAT WESTERN BREWING COMPANY</v>
          </cell>
          <cell r="F2264" t="str">
            <v>17040</v>
          </cell>
          <cell r="G2264">
            <v>5</v>
          </cell>
          <cell r="H2264">
            <v>1</v>
          </cell>
          <cell r="I2264" t="str">
            <v>3274</v>
          </cell>
          <cell r="L2264">
            <v>48</v>
          </cell>
          <cell r="M2264">
            <v>65.66</v>
          </cell>
        </row>
        <row r="2265">
          <cell r="C2265" t="str">
            <v>32361</v>
          </cell>
          <cell r="D2265" t="str">
            <v>48C KOKANEE - LABATT</v>
          </cell>
          <cell r="E2265" t="str">
            <v>LABATT BREWERIES OF CANADA</v>
          </cell>
          <cell r="F2265" t="str">
            <v>17040</v>
          </cell>
          <cell r="G2265">
            <v>5</v>
          </cell>
          <cell r="H2265">
            <v>1</v>
          </cell>
          <cell r="I2265" t="str">
            <v>1575</v>
          </cell>
          <cell r="L2265">
            <v>48</v>
          </cell>
          <cell r="M2265">
            <v>84.78</v>
          </cell>
        </row>
        <row r="2266">
          <cell r="C2266" t="str">
            <v>32360</v>
          </cell>
          <cell r="D2266" t="str">
            <v>48C LUCKY - LABATT</v>
          </cell>
          <cell r="E2266" t="str">
            <v>LABATT BREWERIES OF CANADA</v>
          </cell>
          <cell r="F2266" t="str">
            <v>17040</v>
          </cell>
          <cell r="G2266">
            <v>5</v>
          </cell>
          <cell r="H2266">
            <v>1</v>
          </cell>
          <cell r="I2266" t="str">
            <v>1575</v>
          </cell>
          <cell r="L2266">
            <v>48</v>
          </cell>
          <cell r="M2266">
            <v>71.989999999999995</v>
          </cell>
        </row>
        <row r="2267">
          <cell r="C2267" t="str">
            <v>33784</v>
          </cell>
          <cell r="D2267" t="str">
            <v>48C ORIGINAL 16 CANADIAN PALE ALE - GW</v>
          </cell>
          <cell r="E2267" t="str">
            <v>GREAT WESTERN BREWING COMPANY</v>
          </cell>
          <cell r="F2267" t="str">
            <v>17040</v>
          </cell>
          <cell r="G2267">
            <v>5</v>
          </cell>
          <cell r="H2267">
            <v>1</v>
          </cell>
          <cell r="I2267" t="str">
            <v>3274</v>
          </cell>
          <cell r="L2267">
            <v>48</v>
          </cell>
          <cell r="M2267">
            <v>82.98</v>
          </cell>
        </row>
        <row r="2268">
          <cell r="C2268" t="str">
            <v>42944</v>
          </cell>
          <cell r="D2268" t="str">
            <v>48C PABST BLUE RIBBON - SLEEMAN</v>
          </cell>
          <cell r="E2268" t="str">
            <v>Sleeman Breweries Ltd / Les Brasseries S</v>
          </cell>
          <cell r="F2268" t="str">
            <v>17040</v>
          </cell>
          <cell r="G2268">
            <v>4.9000000000000004</v>
          </cell>
          <cell r="H2268">
            <v>1</v>
          </cell>
          <cell r="I2268" t="str">
            <v>3302</v>
          </cell>
          <cell r="L2268">
            <v>48</v>
          </cell>
          <cell r="M2268">
            <v>71.989999999999995</v>
          </cell>
        </row>
        <row r="2269">
          <cell r="C2269" t="str">
            <v>32430</v>
          </cell>
          <cell r="D2269" t="str">
            <v>48C PILSNER MOLSON</v>
          </cell>
          <cell r="E2269" t="str">
            <v>MOLSON COORS CANADA</v>
          </cell>
          <cell r="F2269" t="str">
            <v>17040</v>
          </cell>
          <cell r="G2269">
            <v>5</v>
          </cell>
          <cell r="H2269">
            <v>1</v>
          </cell>
          <cell r="I2269" t="str">
            <v>3276</v>
          </cell>
          <cell r="L2269">
            <v>48</v>
          </cell>
          <cell r="M2269">
            <v>78.3</v>
          </cell>
        </row>
        <row r="2270">
          <cell r="C2270" t="str">
            <v>35461</v>
          </cell>
          <cell r="D2270" t="str">
            <v>4C BANDED PEAK CRUSHMORE PILSNER -LABATT</v>
          </cell>
          <cell r="E2270" t="str">
            <v>BANDED PEAK BREWING - LABATT</v>
          </cell>
          <cell r="F2270" t="str">
            <v>1892</v>
          </cell>
          <cell r="G2270">
            <v>4.4000000000000004</v>
          </cell>
          <cell r="H2270">
            <v>1</v>
          </cell>
          <cell r="I2270" t="str">
            <v>1575</v>
          </cell>
          <cell r="L2270">
            <v>4</v>
          </cell>
          <cell r="M2270">
            <v>14.38</v>
          </cell>
        </row>
        <row r="2271">
          <cell r="C2271" t="str">
            <v>37734</v>
          </cell>
          <cell r="D2271" t="str">
            <v>4C BANDED PEAK CRUSHMORE PILSNER LABATT</v>
          </cell>
          <cell r="E2271" t="str">
            <v>BANDED PEAK BREWING - LABATT</v>
          </cell>
          <cell r="F2271" t="str">
            <v>1892</v>
          </cell>
          <cell r="G2271">
            <v>4.4000000000000004</v>
          </cell>
          <cell r="H2271">
            <v>1</v>
          </cell>
          <cell r="I2271" t="str">
            <v>1575</v>
          </cell>
          <cell r="L2271">
            <v>4</v>
          </cell>
          <cell r="M2271">
            <v>12.98</v>
          </cell>
        </row>
        <row r="2272">
          <cell r="C2272" t="str">
            <v>37435</v>
          </cell>
          <cell r="D2272" t="str">
            <v>4C BANDED PEAK FALL LINE HAZY IPA LABATT</v>
          </cell>
          <cell r="E2272" t="str">
            <v>BANDED PEAK BREWING - LABATT</v>
          </cell>
          <cell r="F2272" t="str">
            <v>1892</v>
          </cell>
          <cell r="G2272">
            <v>6.8</v>
          </cell>
          <cell r="H2272">
            <v>1</v>
          </cell>
          <cell r="I2272" t="str">
            <v>1575</v>
          </cell>
          <cell r="L2272">
            <v>4</v>
          </cell>
          <cell r="M2272">
            <v>13.39</v>
          </cell>
        </row>
        <row r="2273">
          <cell r="C2273" t="str">
            <v>35843</v>
          </cell>
          <cell r="D2273" t="str">
            <v>4C BANDED PEAK MICROBURST HAZY IPA - LAB</v>
          </cell>
          <cell r="E2273" t="str">
            <v>BANDED PEAK BREWING - LABATT</v>
          </cell>
          <cell r="F2273" t="str">
            <v>1892</v>
          </cell>
          <cell r="G2273">
            <v>6.1</v>
          </cell>
          <cell r="H2273">
            <v>1</v>
          </cell>
          <cell r="I2273" t="str">
            <v>1575</v>
          </cell>
          <cell r="L2273">
            <v>4</v>
          </cell>
          <cell r="M2273">
            <v>14.69</v>
          </cell>
        </row>
        <row r="2274">
          <cell r="C2274" t="str">
            <v>35459</v>
          </cell>
          <cell r="D2274" t="str">
            <v>4C BANDED PEAK SOUTHERN ASPECT - LABATT</v>
          </cell>
          <cell r="E2274" t="str">
            <v>BANDED PEAK BREWING - LABATT</v>
          </cell>
          <cell r="F2274" t="str">
            <v>1892</v>
          </cell>
          <cell r="G2274">
            <v>7.1</v>
          </cell>
          <cell r="H2274">
            <v>1</v>
          </cell>
          <cell r="I2274" t="str">
            <v>1575</v>
          </cell>
          <cell r="L2274">
            <v>4</v>
          </cell>
          <cell r="M2274">
            <v>14.68</v>
          </cell>
        </row>
        <row r="2275">
          <cell r="C2275" t="str">
            <v>33143</v>
          </cell>
          <cell r="D2275" t="str">
            <v>4C BELGIAN MOON MANGO WHEAT - MOLSON</v>
          </cell>
          <cell r="E2275" t="str">
            <v>MOLSON COORS CANADA</v>
          </cell>
          <cell r="F2275" t="str">
            <v>1892</v>
          </cell>
          <cell r="G2275">
            <v>5</v>
          </cell>
          <cell r="H2275">
            <v>1</v>
          </cell>
          <cell r="I2275" t="str">
            <v>3276</v>
          </cell>
          <cell r="L2275">
            <v>4</v>
          </cell>
          <cell r="M2275">
            <v>12.95</v>
          </cell>
        </row>
        <row r="2276">
          <cell r="C2276" t="str">
            <v>40635</v>
          </cell>
          <cell r="D2276" t="str">
            <v>4C BP ALPINE TART DRY HOPPED SOUR LABATT</v>
          </cell>
          <cell r="E2276" t="str">
            <v>BANDED PEAK BREWING - LABATT</v>
          </cell>
          <cell r="F2276" t="str">
            <v>1892</v>
          </cell>
          <cell r="G2276">
            <v>4.8</v>
          </cell>
          <cell r="H2276">
            <v>1</v>
          </cell>
          <cell r="I2276" t="str">
            <v>1575</v>
          </cell>
          <cell r="L2276">
            <v>4</v>
          </cell>
          <cell r="M2276">
            <v>11.04</v>
          </cell>
        </row>
        <row r="2277">
          <cell r="C2277" t="str">
            <v>41879</v>
          </cell>
          <cell r="D2277" t="str">
            <v>4C BP APPROACH AMBER LAGER - LABATT</v>
          </cell>
          <cell r="E2277" t="str">
            <v>BANDED PEAK BREWING - LABATT</v>
          </cell>
          <cell r="F2277" t="str">
            <v>1892</v>
          </cell>
          <cell r="G2277">
            <v>5.0999999999999996</v>
          </cell>
          <cell r="H2277">
            <v>1</v>
          </cell>
          <cell r="I2277" t="str">
            <v>1575</v>
          </cell>
          <cell r="L2277">
            <v>4</v>
          </cell>
          <cell r="M2277">
            <v>14.21</v>
          </cell>
        </row>
        <row r="2278">
          <cell r="C2278" t="str">
            <v>44371</v>
          </cell>
          <cell r="D2278" t="str">
            <v>4C BP CHOCKSTONE STOUT - LABATT</v>
          </cell>
          <cell r="E2278" t="str">
            <v>BANDED PEAK BREWING - LABATT</v>
          </cell>
          <cell r="F2278" t="str">
            <v>1892</v>
          </cell>
          <cell r="G2278">
            <v>5.7</v>
          </cell>
          <cell r="H2278">
            <v>1</v>
          </cell>
          <cell r="I2278" t="str">
            <v>1575</v>
          </cell>
          <cell r="L2278">
            <v>4</v>
          </cell>
          <cell r="M2278">
            <v>14.21</v>
          </cell>
        </row>
        <row r="2279">
          <cell r="C2279" t="str">
            <v>45465</v>
          </cell>
          <cell r="D2279" t="str">
            <v>4C BP GRAN NORTE LABATT</v>
          </cell>
          <cell r="E2279" t="str">
            <v>BANDED PEAK BREWING - LABATT</v>
          </cell>
          <cell r="F2279" t="str">
            <v>1892</v>
          </cell>
          <cell r="G2279">
            <v>4.7</v>
          </cell>
          <cell r="H2279">
            <v>1</v>
          </cell>
          <cell r="I2279" t="str">
            <v>1575</v>
          </cell>
          <cell r="L2279">
            <v>4</v>
          </cell>
          <cell r="M2279">
            <v>14.38</v>
          </cell>
        </row>
        <row r="2280">
          <cell r="C2280" t="str">
            <v>39701</v>
          </cell>
          <cell r="D2280" t="str">
            <v>4C BP NON ALC DRY CAMP ALE - LABATT</v>
          </cell>
          <cell r="E2280" t="str">
            <v>BANDED PEAK BREWING - LABATT</v>
          </cell>
          <cell r="F2280" t="str">
            <v>1420</v>
          </cell>
          <cell r="G2280">
            <v>0.3</v>
          </cell>
          <cell r="H2280">
            <v>1</v>
          </cell>
          <cell r="I2280" t="str">
            <v>1575</v>
          </cell>
          <cell r="L2280">
            <v>4</v>
          </cell>
          <cell r="M2280">
            <v>7.95</v>
          </cell>
        </row>
        <row r="2281">
          <cell r="C2281" t="str">
            <v>44373</v>
          </cell>
          <cell r="D2281" t="str">
            <v>4C BP NON ALC DRY CAMP PALE ALE - LABATT</v>
          </cell>
          <cell r="E2281" t="str">
            <v>BANDED PEAK BREWING - LABATT</v>
          </cell>
          <cell r="F2281" t="str">
            <v>1420</v>
          </cell>
          <cell r="G2281">
            <v>0.3</v>
          </cell>
          <cell r="H2281">
            <v>1</v>
          </cell>
          <cell r="I2281" t="str">
            <v>1575</v>
          </cell>
          <cell r="L2281">
            <v>4</v>
          </cell>
          <cell r="M2281">
            <v>7.95</v>
          </cell>
        </row>
        <row r="2282">
          <cell r="C2282" t="str">
            <v>46482</v>
          </cell>
          <cell r="D2282" t="str">
            <v>4C BUSCH BULLET - LABATT</v>
          </cell>
          <cell r="E2282" t="str">
            <v>LABATT BREWERIES OF CANADA</v>
          </cell>
          <cell r="F2282" t="str">
            <v>888</v>
          </cell>
          <cell r="G2282">
            <v>7</v>
          </cell>
          <cell r="H2282">
            <v>1</v>
          </cell>
          <cell r="I2282" t="str">
            <v>1575</v>
          </cell>
          <cell r="L2282">
            <v>4</v>
          </cell>
          <cell r="M2282">
            <v>4.4800000000000004</v>
          </cell>
        </row>
        <row r="2283">
          <cell r="C2283" t="str">
            <v>37579</v>
          </cell>
          <cell r="D2283" t="str">
            <v>4C GRASSHOPPER KRISTALLWEIZEN - BIG ROCK</v>
          </cell>
          <cell r="E2283" t="str">
            <v>BIG ROCK (ALBERTA) LTD. (R)</v>
          </cell>
          <cell r="F2283" t="str">
            <v>1892</v>
          </cell>
          <cell r="G2283">
            <v>5</v>
          </cell>
          <cell r="H2283">
            <v>1</v>
          </cell>
          <cell r="I2283" t="str">
            <v>3227</v>
          </cell>
          <cell r="L2283">
            <v>4</v>
          </cell>
          <cell r="M2283">
            <v>13</v>
          </cell>
        </row>
        <row r="2284">
          <cell r="C2284" t="str">
            <v>42813</v>
          </cell>
          <cell r="D2284" t="str">
            <v>4C GREAT WESTERN LIGHT - GW</v>
          </cell>
          <cell r="E2284" t="str">
            <v>GREAT WESTERN BREWING COMPANY</v>
          </cell>
          <cell r="F2284" t="str">
            <v>1892</v>
          </cell>
          <cell r="G2284">
            <v>4</v>
          </cell>
          <cell r="H2284">
            <v>1</v>
          </cell>
          <cell r="I2284" t="str">
            <v>3274</v>
          </cell>
          <cell r="L2284">
            <v>4</v>
          </cell>
          <cell r="M2284">
            <v>12.99</v>
          </cell>
        </row>
        <row r="2285">
          <cell r="C2285" t="str">
            <v>40174</v>
          </cell>
          <cell r="D2285" t="str">
            <v>4C GUINNESS NITRO COLD BREW COFFEE</v>
          </cell>
          <cell r="E2285" t="str">
            <v>DIAGEO CANADA INC (BDL)</v>
          </cell>
          <cell r="F2285" t="str">
            <v>1760</v>
          </cell>
          <cell r="G2285">
            <v>4</v>
          </cell>
          <cell r="H2285">
            <v>1</v>
          </cell>
          <cell r="I2285" t="str">
            <v>3224</v>
          </cell>
          <cell r="L2285">
            <v>4</v>
          </cell>
          <cell r="M2285">
            <v>13.68</v>
          </cell>
        </row>
        <row r="2286">
          <cell r="C2286" t="str">
            <v>2589</v>
          </cell>
          <cell r="D2286" t="str">
            <v>4C GUINNESS PUB DRAUGHT</v>
          </cell>
          <cell r="E2286" t="str">
            <v>DIAGEO CANADA INC (BDL)</v>
          </cell>
          <cell r="F2286" t="str">
            <v>1760</v>
          </cell>
          <cell r="G2286">
            <v>4.0999999999999996</v>
          </cell>
          <cell r="H2286">
            <v>1</v>
          </cell>
          <cell r="I2286" t="str">
            <v>3224</v>
          </cell>
          <cell r="L2286">
            <v>4</v>
          </cell>
          <cell r="M2286">
            <v>12.48</v>
          </cell>
        </row>
        <row r="2287">
          <cell r="C2287" t="str">
            <v>41916</v>
          </cell>
          <cell r="D2287" t="str">
            <v>4C GUINNESS ZERO - DIAGEO</v>
          </cell>
          <cell r="E2287" t="str">
            <v>DIAGEO CANADA INC (BDL)</v>
          </cell>
          <cell r="F2287" t="str">
            <v>1760</v>
          </cell>
          <cell r="G2287">
            <v>0.05</v>
          </cell>
          <cell r="H2287">
            <v>1</v>
          </cell>
          <cell r="I2287" t="str">
            <v>3224</v>
          </cell>
          <cell r="L2287">
            <v>4</v>
          </cell>
          <cell r="M2287">
            <v>9.99</v>
          </cell>
        </row>
        <row r="2288">
          <cell r="C2288" t="str">
            <v>38409</v>
          </cell>
          <cell r="D2288" t="str">
            <v>4C HONEY BROWN LAGER - BIG ROCK</v>
          </cell>
          <cell r="E2288" t="str">
            <v>BIG ROCK (ALBERTA) LTD. (R)</v>
          </cell>
          <cell r="F2288" t="str">
            <v>1892</v>
          </cell>
          <cell r="G2288">
            <v>5</v>
          </cell>
          <cell r="H2288">
            <v>1</v>
          </cell>
          <cell r="I2288" t="str">
            <v>3227</v>
          </cell>
          <cell r="L2288">
            <v>4</v>
          </cell>
          <cell r="M2288">
            <v>13</v>
          </cell>
        </row>
        <row r="2289">
          <cell r="C2289" t="str">
            <v>23388</v>
          </cell>
          <cell r="D2289" t="str">
            <v>4C KILKENNY IRISH CREAM ALE - DIAGEO</v>
          </cell>
          <cell r="E2289" t="str">
            <v>DIAGEO CANADA INC (BDL)</v>
          </cell>
          <cell r="F2289" t="str">
            <v>2000</v>
          </cell>
          <cell r="G2289">
            <v>4.3</v>
          </cell>
          <cell r="H2289">
            <v>1</v>
          </cell>
          <cell r="I2289" t="str">
            <v>3224</v>
          </cell>
          <cell r="L2289">
            <v>4</v>
          </cell>
          <cell r="M2289">
            <v>12.28</v>
          </cell>
        </row>
        <row r="2290">
          <cell r="C2290" t="str">
            <v>35976</v>
          </cell>
          <cell r="D2290" t="str">
            <v>4C MILL ST HOPPED &amp; CONFUSED 3.0 LABATT</v>
          </cell>
          <cell r="E2290" t="str">
            <v>MILL ST BREWERY</v>
          </cell>
          <cell r="F2290" t="str">
            <v>1892</v>
          </cell>
          <cell r="G2290">
            <v>4.7</v>
          </cell>
          <cell r="H2290">
            <v>1</v>
          </cell>
          <cell r="I2290" t="str">
            <v>1575</v>
          </cell>
          <cell r="L2290">
            <v>4</v>
          </cell>
          <cell r="M2290">
            <v>11.99</v>
          </cell>
        </row>
        <row r="2291">
          <cell r="C2291" t="str">
            <v>35842</v>
          </cell>
          <cell r="D2291" t="str">
            <v>4C MILL STREET ORGANIC HAZY IPA -LABATT</v>
          </cell>
          <cell r="E2291" t="str">
            <v>MILL ST BREWERY</v>
          </cell>
          <cell r="F2291" t="str">
            <v>1892</v>
          </cell>
          <cell r="G2291">
            <v>6</v>
          </cell>
          <cell r="H2291">
            <v>1</v>
          </cell>
          <cell r="I2291" t="str">
            <v>1575</v>
          </cell>
          <cell r="L2291">
            <v>4</v>
          </cell>
          <cell r="M2291">
            <v>11.99</v>
          </cell>
        </row>
        <row r="2292">
          <cell r="C2292" t="str">
            <v>35841</v>
          </cell>
          <cell r="D2292" t="str">
            <v>4C MILL STREET ORGANIC PILSNER - LABATT</v>
          </cell>
          <cell r="E2292" t="str">
            <v>MILL ST BREWERY</v>
          </cell>
          <cell r="F2292" t="str">
            <v>1892</v>
          </cell>
          <cell r="G2292">
            <v>5</v>
          </cell>
          <cell r="H2292">
            <v>1</v>
          </cell>
          <cell r="I2292" t="str">
            <v>1575</v>
          </cell>
          <cell r="L2292">
            <v>4</v>
          </cell>
          <cell r="M2292">
            <v>11.99</v>
          </cell>
        </row>
        <row r="2293">
          <cell r="C2293" t="str">
            <v>45899</v>
          </cell>
          <cell r="D2293" t="str">
            <v>4C MOLSON DRY - MOLSON</v>
          </cell>
          <cell r="E2293" t="str">
            <v>MOLSON COORS CANADA</v>
          </cell>
          <cell r="F2293" t="str">
            <v>1892</v>
          </cell>
          <cell r="G2293">
            <v>8.5</v>
          </cell>
          <cell r="H2293">
            <v>1</v>
          </cell>
          <cell r="I2293" t="str">
            <v>3276</v>
          </cell>
          <cell r="L2293">
            <v>4</v>
          </cell>
          <cell r="M2293">
            <v>9.49</v>
          </cell>
        </row>
        <row r="2294">
          <cell r="C2294" t="str">
            <v>16813</v>
          </cell>
          <cell r="D2294" t="str">
            <v>4C ORIGINAL 16 CANADIAN COPPER ALE</v>
          </cell>
          <cell r="E2294" t="str">
            <v>GREAT WESTERN BREWING COMPANY</v>
          </cell>
          <cell r="F2294" t="str">
            <v>1892</v>
          </cell>
          <cell r="G2294">
            <v>5</v>
          </cell>
          <cell r="H2294">
            <v>1</v>
          </cell>
          <cell r="I2294" t="str">
            <v>3274</v>
          </cell>
          <cell r="L2294">
            <v>4</v>
          </cell>
          <cell r="M2294">
            <v>12.99</v>
          </cell>
        </row>
        <row r="2295">
          <cell r="C2295" t="str">
            <v>13533</v>
          </cell>
          <cell r="D2295" t="str">
            <v>4C ORIGINAL 16 CANADIAN PALE ALE</v>
          </cell>
          <cell r="E2295" t="str">
            <v>GREAT WESTERN BREWING COMPANY</v>
          </cell>
          <cell r="F2295" t="str">
            <v>1892</v>
          </cell>
          <cell r="G2295">
            <v>5</v>
          </cell>
          <cell r="H2295">
            <v>1</v>
          </cell>
          <cell r="I2295" t="str">
            <v>3274</v>
          </cell>
          <cell r="L2295">
            <v>4</v>
          </cell>
          <cell r="M2295">
            <v>12.99</v>
          </cell>
        </row>
        <row r="2296">
          <cell r="C2296" t="str">
            <v>40147</v>
          </cell>
          <cell r="D2296" t="str">
            <v>4C SP NON ALC SUNSETTER PEACH ALE LABATT</v>
          </cell>
          <cell r="E2296" t="str">
            <v>TURNING POINT BREWERY</v>
          </cell>
          <cell r="F2296" t="str">
            <v>1420</v>
          </cell>
          <cell r="G2296">
            <v>0.5</v>
          </cell>
          <cell r="H2296">
            <v>1</v>
          </cell>
          <cell r="I2296" t="str">
            <v>1575</v>
          </cell>
          <cell r="L2296">
            <v>4</v>
          </cell>
          <cell r="M2296">
            <v>6.75</v>
          </cell>
        </row>
        <row r="2297">
          <cell r="C2297" t="str">
            <v>40146</v>
          </cell>
          <cell r="D2297" t="str">
            <v>4C SP NON ALC TRAIL HOPPER IPA LABATT</v>
          </cell>
          <cell r="E2297" t="str">
            <v>TURNING POINT BREWERY</v>
          </cell>
          <cell r="F2297" t="str">
            <v>1420</v>
          </cell>
          <cell r="G2297">
            <v>0.5</v>
          </cell>
          <cell r="H2297">
            <v>1</v>
          </cell>
          <cell r="I2297" t="str">
            <v>1575</v>
          </cell>
          <cell r="L2297">
            <v>4</v>
          </cell>
          <cell r="M2297">
            <v>6.75</v>
          </cell>
        </row>
        <row r="2298">
          <cell r="C2298" t="str">
            <v>43287</v>
          </cell>
          <cell r="D2298" t="str">
            <v>4C TALLGRASS TANGO MANGO WHEAT ALE LAB</v>
          </cell>
          <cell r="E2298" t="str">
            <v>BANDED PEAK BREWING - LABATT</v>
          </cell>
          <cell r="F2298" t="str">
            <v>1892</v>
          </cell>
          <cell r="G2298">
            <v>4.3</v>
          </cell>
          <cell r="H2298">
            <v>1</v>
          </cell>
          <cell r="I2298" t="str">
            <v>1575</v>
          </cell>
          <cell r="L2298">
            <v>4</v>
          </cell>
          <cell r="M2298">
            <v>14.21</v>
          </cell>
        </row>
        <row r="2299">
          <cell r="C2299" t="str">
            <v>35679</v>
          </cell>
          <cell r="D2299" t="str">
            <v>4C TRADITIONAL ALE - BIG ROCK</v>
          </cell>
          <cell r="E2299" t="str">
            <v>BIG ROCK (ALBERTA) LTD. (R)</v>
          </cell>
          <cell r="F2299" t="str">
            <v>1892</v>
          </cell>
          <cell r="G2299">
            <v>5</v>
          </cell>
          <cell r="H2299">
            <v>1</v>
          </cell>
          <cell r="I2299" t="str">
            <v>3227</v>
          </cell>
          <cell r="L2299">
            <v>4</v>
          </cell>
          <cell r="M2299">
            <v>13</v>
          </cell>
        </row>
        <row r="2300">
          <cell r="C2300" t="str">
            <v>43284</v>
          </cell>
          <cell r="D2300" t="str">
            <v>4C UNWINDER HAZY PALE ALE - BR</v>
          </cell>
          <cell r="E2300" t="str">
            <v>BIG ROCK (ALBERTA) LTD. (R)</v>
          </cell>
          <cell r="F2300" t="str">
            <v>1892</v>
          </cell>
          <cell r="G2300">
            <v>5.3</v>
          </cell>
          <cell r="H2300">
            <v>1</v>
          </cell>
          <cell r="I2300" t="str">
            <v>3227</v>
          </cell>
          <cell r="L2300">
            <v>4</v>
          </cell>
          <cell r="M2300">
            <v>13.3</v>
          </cell>
        </row>
        <row r="2301">
          <cell r="C2301" t="str">
            <v>44312</v>
          </cell>
          <cell r="D2301" t="str">
            <v>4C WINTER BITTER ALE - GREAT WESTERN</v>
          </cell>
          <cell r="E2301" t="str">
            <v>GREAT WESTERN BREWING COMPANY</v>
          </cell>
          <cell r="F2301" t="str">
            <v>1892</v>
          </cell>
          <cell r="G2301">
            <v>4.2</v>
          </cell>
          <cell r="H2301">
            <v>1</v>
          </cell>
          <cell r="I2301" t="str">
            <v>3274</v>
          </cell>
          <cell r="L2301">
            <v>4</v>
          </cell>
          <cell r="M2301">
            <v>12.78</v>
          </cell>
        </row>
        <row r="2302">
          <cell r="C2302" t="str">
            <v>46570</v>
          </cell>
          <cell r="D2302" t="str">
            <v>4C WRANGLER IPA - BIG ROCK</v>
          </cell>
          <cell r="E2302" t="str">
            <v>BIG ROCK (ALBERTA) LTD. (R)</v>
          </cell>
          <cell r="F2302" t="str">
            <v>1892</v>
          </cell>
          <cell r="G2302">
            <v>6.2</v>
          </cell>
          <cell r="H2302">
            <v>1</v>
          </cell>
          <cell r="I2302" t="str">
            <v>3227</v>
          </cell>
          <cell r="L2302">
            <v>4</v>
          </cell>
          <cell r="M2302">
            <v>13.3</v>
          </cell>
        </row>
        <row r="2303">
          <cell r="C2303" t="str">
            <v>46766</v>
          </cell>
          <cell r="D2303" t="str">
            <v>6B BLUE MOON NON ALC BELGIAN WHITE MOLS</v>
          </cell>
          <cell r="E2303" t="str">
            <v>MOLSON COORS CANADA</v>
          </cell>
          <cell r="F2303" t="str">
            <v>2130</v>
          </cell>
          <cell r="G2303">
            <v>0.5</v>
          </cell>
          <cell r="H2303">
            <v>1</v>
          </cell>
          <cell r="I2303" t="str">
            <v>3276</v>
          </cell>
          <cell r="L2303">
            <v>6</v>
          </cell>
          <cell r="M2303">
            <v>10.18</v>
          </cell>
        </row>
        <row r="2304">
          <cell r="C2304" t="str">
            <v>1499</v>
          </cell>
          <cell r="D2304" t="str">
            <v>6B BUDWEISER - LABATT</v>
          </cell>
          <cell r="E2304" t="str">
            <v>LABATT BREWERIES OF CANADA</v>
          </cell>
          <cell r="F2304" t="str">
            <v>2046</v>
          </cell>
          <cell r="G2304">
            <v>5</v>
          </cell>
          <cell r="H2304">
            <v>1</v>
          </cell>
          <cell r="I2304" t="str">
            <v>1575</v>
          </cell>
          <cell r="L2304">
            <v>6</v>
          </cell>
          <cell r="M2304">
            <v>13.49</v>
          </cell>
        </row>
        <row r="2305">
          <cell r="C2305" t="str">
            <v>1706</v>
          </cell>
          <cell r="D2305" t="str">
            <v>6B CANADIAN - MOLSON</v>
          </cell>
          <cell r="E2305" t="str">
            <v>MOLSON COORS CANADA</v>
          </cell>
          <cell r="F2305" t="str">
            <v>2046</v>
          </cell>
          <cell r="G2305">
            <v>5</v>
          </cell>
          <cell r="H2305">
            <v>1</v>
          </cell>
          <cell r="I2305" t="str">
            <v>3276</v>
          </cell>
          <cell r="L2305">
            <v>6</v>
          </cell>
          <cell r="M2305">
            <v>13.19</v>
          </cell>
        </row>
        <row r="2306">
          <cell r="C2306" t="str">
            <v>2091</v>
          </cell>
          <cell r="D2306" t="str">
            <v>6B COORS LIGHT - MOLSON</v>
          </cell>
          <cell r="E2306" t="str">
            <v>MOLSON COORS CANADA</v>
          </cell>
          <cell r="F2306" t="str">
            <v>2046</v>
          </cell>
          <cell r="G2306">
            <v>4</v>
          </cell>
          <cell r="H2306">
            <v>1</v>
          </cell>
          <cell r="I2306" t="str">
            <v>3276</v>
          </cell>
          <cell r="L2306">
            <v>6</v>
          </cell>
          <cell r="M2306">
            <v>13.5</v>
          </cell>
        </row>
        <row r="2307">
          <cell r="C2307" t="str">
            <v>45163</v>
          </cell>
          <cell r="D2307" t="str">
            <v>6B CORONA CERO - LABATT</v>
          </cell>
          <cell r="E2307" t="str">
            <v>LABATT BREWERIES OF CANADA</v>
          </cell>
          <cell r="F2307" t="str">
            <v>1980</v>
          </cell>
          <cell r="G2307">
            <v>0</v>
          </cell>
          <cell r="H2307">
            <v>1</v>
          </cell>
          <cell r="I2307" t="str">
            <v>1575</v>
          </cell>
          <cell r="L2307">
            <v>6</v>
          </cell>
          <cell r="M2307">
            <v>8.9</v>
          </cell>
        </row>
        <row r="2308">
          <cell r="C2308" t="str">
            <v>34732</v>
          </cell>
          <cell r="D2308" t="str">
            <v>6B CORONA DOMESTIC - LABATT</v>
          </cell>
          <cell r="E2308" t="str">
            <v>LABATT BREWERIES OF CANADA</v>
          </cell>
          <cell r="F2308" t="str">
            <v>1980</v>
          </cell>
          <cell r="G2308">
            <v>4.5999999999999996</v>
          </cell>
          <cell r="H2308">
            <v>1</v>
          </cell>
          <cell r="I2308" t="str">
            <v>1575</v>
          </cell>
          <cell r="L2308">
            <v>6</v>
          </cell>
          <cell r="M2308">
            <v>15.79</v>
          </cell>
        </row>
        <row r="2309">
          <cell r="C2309" t="str">
            <v>7111</v>
          </cell>
          <cell r="D2309" t="str">
            <v>6B CORONA LIGHT (MEXICO) - LABATT</v>
          </cell>
          <cell r="E2309" t="str">
            <v>CERVECERIA MODELO</v>
          </cell>
          <cell r="F2309" t="str">
            <v>1980</v>
          </cell>
          <cell r="G2309">
            <v>3.7</v>
          </cell>
          <cell r="H2309">
            <v>1</v>
          </cell>
          <cell r="I2309" t="str">
            <v>1575</v>
          </cell>
          <cell r="L2309">
            <v>6</v>
          </cell>
          <cell r="M2309">
            <v>15.79</v>
          </cell>
        </row>
        <row r="2310">
          <cell r="C2310" t="str">
            <v>38251</v>
          </cell>
          <cell r="D2310" t="str">
            <v>6B CORONA LIGHT DOMESTIC - LABATT</v>
          </cell>
          <cell r="E2310" t="str">
            <v>LABATT BREWERIES OF CANADA</v>
          </cell>
          <cell r="F2310" t="str">
            <v>1980</v>
          </cell>
          <cell r="G2310">
            <v>3.4</v>
          </cell>
          <cell r="H2310">
            <v>1</v>
          </cell>
          <cell r="I2310" t="str">
            <v>1575</v>
          </cell>
          <cell r="L2310">
            <v>6</v>
          </cell>
          <cell r="M2310">
            <v>15.79</v>
          </cell>
        </row>
        <row r="2311">
          <cell r="C2311" t="str">
            <v>37794</v>
          </cell>
          <cell r="D2311" t="str">
            <v>6B CORONA SUNBREW NON-ALC - LABATT</v>
          </cell>
          <cell r="E2311" t="str">
            <v>LABATT BREWERIES OF CANADA</v>
          </cell>
          <cell r="F2311" t="str">
            <v>1980</v>
          </cell>
          <cell r="G2311">
            <v>0</v>
          </cell>
          <cell r="H2311">
            <v>1</v>
          </cell>
          <cell r="I2311" t="str">
            <v>1575</v>
          </cell>
          <cell r="L2311">
            <v>6</v>
          </cell>
          <cell r="M2311">
            <v>8.9</v>
          </cell>
        </row>
        <row r="2312">
          <cell r="C2312" t="str">
            <v>7112</v>
          </cell>
          <cell r="D2312" t="str">
            <v>6B CORONITA EXTRA (MEXICO) - LABATT</v>
          </cell>
          <cell r="E2312" t="str">
            <v>CERVECERIA MODELO</v>
          </cell>
          <cell r="F2312" t="str">
            <v>1242</v>
          </cell>
          <cell r="G2312">
            <v>4.5999999999999996</v>
          </cell>
          <cell r="H2312">
            <v>1</v>
          </cell>
          <cell r="I2312" t="str">
            <v>1575</v>
          </cell>
          <cell r="L2312">
            <v>6</v>
          </cell>
          <cell r="M2312">
            <v>9.2799999999999994</v>
          </cell>
        </row>
        <row r="2313">
          <cell r="C2313" t="str">
            <v>7333</v>
          </cell>
          <cell r="D2313" t="str">
            <v>6B DOS EQUIS XX SPECIAL LAGER - MOLSON</v>
          </cell>
          <cell r="E2313" t="str">
            <v>CERV CUAUHTEMOC MOCTEZUMA</v>
          </cell>
          <cell r="F2313" t="str">
            <v>2130</v>
          </cell>
          <cell r="G2313">
            <v>4.5999999999999996</v>
          </cell>
          <cell r="H2313">
            <v>1</v>
          </cell>
          <cell r="I2313" t="str">
            <v>3276</v>
          </cell>
          <cell r="L2313">
            <v>6</v>
          </cell>
          <cell r="M2313">
            <v>16.989999999999998</v>
          </cell>
        </row>
        <row r="2314">
          <cell r="C2314" t="str">
            <v>40175</v>
          </cell>
          <cell r="D2314" t="str">
            <v>6B GUINNESS EXTRA STOUT - DIAGEO</v>
          </cell>
          <cell r="E2314" t="str">
            <v>DIAGEO CANADA INC (BDL)</v>
          </cell>
          <cell r="F2314" t="str">
            <v>1980</v>
          </cell>
          <cell r="G2314">
            <v>5</v>
          </cell>
          <cell r="H2314">
            <v>1</v>
          </cell>
          <cell r="I2314" t="str">
            <v>3224</v>
          </cell>
          <cell r="L2314">
            <v>6</v>
          </cell>
          <cell r="M2314">
            <v>15.49</v>
          </cell>
        </row>
        <row r="2315">
          <cell r="C2315" t="str">
            <v>5277</v>
          </cell>
          <cell r="D2315" t="str">
            <v>6B GUINNESS PUB DRAUGHT</v>
          </cell>
          <cell r="E2315" t="str">
            <v>DIAGEO CANADA INC (BDL)</v>
          </cell>
          <cell r="F2315" t="str">
            <v>1980</v>
          </cell>
          <cell r="G2315">
            <v>4.2</v>
          </cell>
          <cell r="H2315">
            <v>1</v>
          </cell>
          <cell r="I2315" t="str">
            <v>3224</v>
          </cell>
          <cell r="L2315">
            <v>6</v>
          </cell>
          <cell r="M2315">
            <v>15.69</v>
          </cell>
        </row>
        <row r="2316">
          <cell r="C2316" t="str">
            <v>28562</v>
          </cell>
          <cell r="D2316" t="str">
            <v>6B HEINEKEN 0.0 - MOLSON</v>
          </cell>
          <cell r="E2316" t="str">
            <v>HEINEKEN BROUWERIJEN</v>
          </cell>
          <cell r="F2316" t="str">
            <v>1980</v>
          </cell>
          <cell r="G2316">
            <v>0</v>
          </cell>
          <cell r="H2316">
            <v>1</v>
          </cell>
          <cell r="I2316" t="str">
            <v>3276</v>
          </cell>
          <cell r="L2316">
            <v>6</v>
          </cell>
          <cell r="M2316">
            <v>10.49</v>
          </cell>
        </row>
        <row r="2317">
          <cell r="C2317" t="str">
            <v>5531</v>
          </cell>
          <cell r="D2317" t="str">
            <v>6B HEINEKEN LAGER - MOLSON</v>
          </cell>
          <cell r="E2317" t="str">
            <v>HEINEKEN BROUWERIJEN</v>
          </cell>
          <cell r="F2317" t="str">
            <v>1980</v>
          </cell>
          <cell r="G2317">
            <v>5</v>
          </cell>
          <cell r="H2317">
            <v>1</v>
          </cell>
          <cell r="I2317" t="str">
            <v>4442</v>
          </cell>
          <cell r="L2317">
            <v>6</v>
          </cell>
          <cell r="M2317">
            <v>15.8</v>
          </cell>
        </row>
        <row r="2318">
          <cell r="C2318" t="str">
            <v>45088</v>
          </cell>
          <cell r="D2318" t="str">
            <v>6B HEINEKEN SILVER - MOLSON</v>
          </cell>
          <cell r="E2318" t="str">
            <v>HEINEKEN BROUWERIJEN</v>
          </cell>
          <cell r="F2318" t="str">
            <v>1980</v>
          </cell>
          <cell r="G2318">
            <v>4</v>
          </cell>
          <cell r="H2318">
            <v>1</v>
          </cell>
          <cell r="I2318" t="str">
            <v>3276</v>
          </cell>
          <cell r="L2318">
            <v>6</v>
          </cell>
          <cell r="M2318">
            <v>15.8</v>
          </cell>
        </row>
        <row r="2319">
          <cell r="C2319" t="str">
            <v>20936</v>
          </cell>
          <cell r="D2319" t="str">
            <v>6B HOEGAARDEN - LABATT</v>
          </cell>
          <cell r="E2319" t="str">
            <v>INBEV BELGIUM NV</v>
          </cell>
          <cell r="F2319" t="str">
            <v>1980</v>
          </cell>
          <cell r="G2319">
            <v>5</v>
          </cell>
          <cell r="H2319">
            <v>1</v>
          </cell>
          <cell r="I2319" t="str">
            <v>1575</v>
          </cell>
          <cell r="L2319">
            <v>6</v>
          </cell>
          <cell r="M2319">
            <v>15.79</v>
          </cell>
        </row>
        <row r="2320">
          <cell r="C2320" t="str">
            <v>46762</v>
          </cell>
          <cell r="D2320" t="str">
            <v>6B MADRI EXCEPCIONAL - MOLSON</v>
          </cell>
          <cell r="E2320" t="str">
            <v>MOLSON COORS CANADA</v>
          </cell>
          <cell r="F2320" t="str">
            <v>2130</v>
          </cell>
          <cell r="G2320">
            <v>4.5999999999999996</v>
          </cell>
          <cell r="H2320">
            <v>1</v>
          </cell>
          <cell r="I2320" t="str">
            <v>3276</v>
          </cell>
          <cell r="L2320">
            <v>6</v>
          </cell>
          <cell r="M2320">
            <v>14.74</v>
          </cell>
        </row>
        <row r="2321">
          <cell r="C2321" t="str">
            <v>27468</v>
          </cell>
          <cell r="D2321" t="str">
            <v>6B MILLER GENUINE DRAFT - MOLSON</v>
          </cell>
          <cell r="E2321" t="str">
            <v>MOLSON COORS CANADA</v>
          </cell>
          <cell r="F2321" t="str">
            <v>2130</v>
          </cell>
          <cell r="G2321">
            <v>4.7</v>
          </cell>
          <cell r="H2321">
            <v>1</v>
          </cell>
          <cell r="I2321" t="str">
            <v>3276</v>
          </cell>
          <cell r="L2321">
            <v>6</v>
          </cell>
          <cell r="M2321">
            <v>14.4</v>
          </cell>
        </row>
        <row r="2322">
          <cell r="C2322" t="str">
            <v>24068</v>
          </cell>
          <cell r="D2322" t="str">
            <v>6B MODELO ESPECIAL - LABATT</v>
          </cell>
          <cell r="E2322" t="str">
            <v>CERVECERIA MODELO</v>
          </cell>
          <cell r="F2322" t="str">
            <v>2130</v>
          </cell>
          <cell r="G2322">
            <v>4.5</v>
          </cell>
          <cell r="H2322">
            <v>1</v>
          </cell>
          <cell r="I2322" t="str">
            <v>1575</v>
          </cell>
          <cell r="L2322">
            <v>6</v>
          </cell>
          <cell r="M2322">
            <v>16.78</v>
          </cell>
        </row>
        <row r="2323">
          <cell r="C2323" t="str">
            <v>7114</v>
          </cell>
          <cell r="D2323" t="str">
            <v>6B PACIFICO CLARA (MEXICO) - LABATT</v>
          </cell>
          <cell r="E2323" t="str">
            <v>CERVECERIA MODELO</v>
          </cell>
          <cell r="F2323" t="str">
            <v>2130</v>
          </cell>
          <cell r="G2323">
            <v>4.5999999999999996</v>
          </cell>
          <cell r="H2323">
            <v>1</v>
          </cell>
          <cell r="I2323" t="str">
            <v>1575</v>
          </cell>
          <cell r="L2323">
            <v>6</v>
          </cell>
          <cell r="M2323">
            <v>16.78</v>
          </cell>
        </row>
        <row r="2324">
          <cell r="C2324" t="str">
            <v>3824</v>
          </cell>
          <cell r="D2324" t="str">
            <v>6B RICKARD'S RED - MOLSON</v>
          </cell>
          <cell r="E2324" t="str">
            <v>MOLSON COORS CANADA</v>
          </cell>
          <cell r="F2324" t="str">
            <v>2046</v>
          </cell>
          <cell r="G2324">
            <v>5.2</v>
          </cell>
          <cell r="H2324">
            <v>1</v>
          </cell>
          <cell r="I2324" t="str">
            <v>3276</v>
          </cell>
          <cell r="L2324">
            <v>6</v>
          </cell>
          <cell r="M2324">
            <v>14.2</v>
          </cell>
        </row>
        <row r="2325">
          <cell r="C2325" t="str">
            <v>28471</v>
          </cell>
          <cell r="D2325" t="str">
            <v>6B SAPPORO - SLEEMAN</v>
          </cell>
          <cell r="E2325" t="str">
            <v>Sleeman Breweries Ltd / Les Brasseries S</v>
          </cell>
          <cell r="F2325" t="str">
            <v>2130</v>
          </cell>
          <cell r="G2325">
            <v>5</v>
          </cell>
          <cell r="H2325">
            <v>1</v>
          </cell>
          <cell r="I2325" t="str">
            <v>3302</v>
          </cell>
          <cell r="L2325">
            <v>6</v>
          </cell>
          <cell r="M2325">
            <v>15.31</v>
          </cell>
        </row>
        <row r="2326">
          <cell r="C2326" t="str">
            <v>36008</v>
          </cell>
          <cell r="D2326" t="str">
            <v>6B SOL CERVEZA DOMESTIC MOLSON</v>
          </cell>
          <cell r="E2326" t="str">
            <v>MOLSON COORS CANADA</v>
          </cell>
          <cell r="F2326" t="str">
            <v>1980</v>
          </cell>
          <cell r="G2326">
            <v>4.5</v>
          </cell>
          <cell r="H2326">
            <v>1</v>
          </cell>
          <cell r="I2326" t="str">
            <v>3276</v>
          </cell>
          <cell r="L2326">
            <v>6</v>
          </cell>
          <cell r="M2326">
            <v>15.46</v>
          </cell>
        </row>
        <row r="2327">
          <cell r="C2327" t="str">
            <v>34627</v>
          </cell>
          <cell r="D2327" t="str">
            <v>6B STELLA ARTOIS DOMESTIC - LABATT</v>
          </cell>
          <cell r="E2327" t="str">
            <v>LABATT BREWERIES OF CANADA</v>
          </cell>
          <cell r="F2327" t="str">
            <v>1980</v>
          </cell>
          <cell r="G2327">
            <v>5</v>
          </cell>
          <cell r="H2327">
            <v>1</v>
          </cell>
          <cell r="I2327" t="str">
            <v>1575</v>
          </cell>
          <cell r="L2327">
            <v>6</v>
          </cell>
          <cell r="M2327">
            <v>15.79</v>
          </cell>
        </row>
        <row r="2328">
          <cell r="C2328" t="str">
            <v>6159</v>
          </cell>
          <cell r="D2328" t="str">
            <v>6C BEACH STORMER PILSNER - GW</v>
          </cell>
          <cell r="E2328" t="str">
            <v>GREAT WESTERN BREWING COMPANY</v>
          </cell>
          <cell r="F2328" t="str">
            <v>2130</v>
          </cell>
          <cell r="G2328">
            <v>5</v>
          </cell>
          <cell r="H2328">
            <v>1</v>
          </cell>
          <cell r="I2328" t="str">
            <v>3274</v>
          </cell>
          <cell r="L2328">
            <v>6</v>
          </cell>
          <cell r="M2328">
            <v>13.95</v>
          </cell>
        </row>
        <row r="2329">
          <cell r="C2329" t="str">
            <v>33282</v>
          </cell>
          <cell r="D2329" t="str">
            <v>6C BELGIAN MOON LIGHT SKY - MOLSON</v>
          </cell>
          <cell r="E2329" t="str">
            <v>MOLSON COORS CANADA</v>
          </cell>
          <cell r="F2329" t="str">
            <v>2130</v>
          </cell>
          <cell r="G2329">
            <v>4</v>
          </cell>
          <cell r="H2329">
            <v>1</v>
          </cell>
          <cell r="I2329" t="str">
            <v>3276</v>
          </cell>
          <cell r="L2329">
            <v>6</v>
          </cell>
          <cell r="M2329">
            <v>14.95</v>
          </cell>
        </row>
        <row r="2330">
          <cell r="C2330" t="str">
            <v>48488</v>
          </cell>
          <cell r="D2330" t="str">
            <v>6C BOW VALLEY LAGER - BIG ROCK</v>
          </cell>
          <cell r="E2330" t="str">
            <v>BIG ROCK (ALBERTA) LTD. (R)</v>
          </cell>
          <cell r="F2330" t="str">
            <v>2130</v>
          </cell>
          <cell r="G2330">
            <v>5</v>
          </cell>
          <cell r="H2330">
            <v>1</v>
          </cell>
          <cell r="I2330" t="str">
            <v>3227</v>
          </cell>
          <cell r="L2330">
            <v>6</v>
          </cell>
          <cell r="M2330">
            <v>8.4</v>
          </cell>
        </row>
        <row r="2331">
          <cell r="C2331" t="str">
            <v>33064</v>
          </cell>
          <cell r="D2331" t="str">
            <v>6C BOW VALLEY STRONG - BIG ROCK</v>
          </cell>
          <cell r="E2331" t="str">
            <v>BIG ROCK (ALBERTA) LTD. (R)</v>
          </cell>
          <cell r="F2331" t="str">
            <v>2130</v>
          </cell>
          <cell r="G2331">
            <v>7</v>
          </cell>
          <cell r="H2331">
            <v>1</v>
          </cell>
          <cell r="I2331" t="str">
            <v>3227</v>
          </cell>
          <cell r="L2331">
            <v>6</v>
          </cell>
          <cell r="M2331">
            <v>8.4</v>
          </cell>
        </row>
        <row r="2332">
          <cell r="C2332" t="str">
            <v>40634</v>
          </cell>
          <cell r="D2332" t="str">
            <v>6C BROWN'S SOCIAL LAGER - BIG ROCK</v>
          </cell>
          <cell r="E2332" t="str">
            <v>BIG ROCK (ALBERTA) LTD. (R)</v>
          </cell>
          <cell r="F2332" t="str">
            <v>2130</v>
          </cell>
          <cell r="G2332">
            <v>5</v>
          </cell>
          <cell r="H2332">
            <v>1</v>
          </cell>
          <cell r="I2332" t="str">
            <v>3227</v>
          </cell>
          <cell r="L2332">
            <v>6</v>
          </cell>
          <cell r="M2332">
            <v>10</v>
          </cell>
        </row>
        <row r="2333">
          <cell r="C2333" t="str">
            <v>43626</v>
          </cell>
          <cell r="D2333" t="str">
            <v>6C BUD LIGHT CHELADA (DOM) - LABATT</v>
          </cell>
          <cell r="E2333" t="str">
            <v>LABATT BREWERIES OF CANADA</v>
          </cell>
          <cell r="F2333" t="str">
            <v>2130</v>
          </cell>
          <cell r="G2333">
            <v>4</v>
          </cell>
          <cell r="H2333">
            <v>1</v>
          </cell>
          <cell r="I2333" t="str">
            <v>1575</v>
          </cell>
          <cell r="L2333">
            <v>6</v>
          </cell>
          <cell r="M2333">
            <v>16.48</v>
          </cell>
        </row>
        <row r="2334">
          <cell r="C2334" t="str">
            <v>43627</v>
          </cell>
          <cell r="D2334" t="str">
            <v>6C BUD LIGHT SPICY CHELADA (DOM) LAB</v>
          </cell>
          <cell r="E2334" t="str">
            <v>LABATT BREWERIES OF CANADA</v>
          </cell>
          <cell r="F2334" t="str">
            <v>2130</v>
          </cell>
          <cell r="G2334">
            <v>4</v>
          </cell>
          <cell r="H2334">
            <v>1</v>
          </cell>
          <cell r="I2334" t="str">
            <v>1575</v>
          </cell>
          <cell r="L2334">
            <v>6</v>
          </cell>
          <cell r="M2334">
            <v>16.48</v>
          </cell>
        </row>
        <row r="2335">
          <cell r="C2335" t="str">
            <v>34129</v>
          </cell>
          <cell r="D2335" t="str">
            <v>6C BUDWEISER ZERO - LABATT</v>
          </cell>
          <cell r="E2335" t="str">
            <v>LABATT BREWERIES OF CANADA</v>
          </cell>
          <cell r="F2335" t="str">
            <v>2130</v>
          </cell>
          <cell r="G2335">
            <v>0</v>
          </cell>
          <cell r="H2335">
            <v>1</v>
          </cell>
          <cell r="I2335" t="str">
            <v>1575</v>
          </cell>
          <cell r="L2335">
            <v>6</v>
          </cell>
          <cell r="M2335">
            <v>10.19</v>
          </cell>
        </row>
        <row r="2336">
          <cell r="C2336" t="str">
            <v>1709</v>
          </cell>
          <cell r="D2336" t="str">
            <v>6C CANADIAN - MOLSON</v>
          </cell>
          <cell r="E2336" t="str">
            <v>MOLSON COORS CANADA</v>
          </cell>
          <cell r="F2336" t="str">
            <v>2838</v>
          </cell>
          <cell r="G2336">
            <v>5</v>
          </cell>
          <cell r="H2336">
            <v>1</v>
          </cell>
          <cell r="I2336" t="str">
            <v>4442</v>
          </cell>
          <cell r="L2336">
            <v>6</v>
          </cell>
          <cell r="M2336">
            <v>18</v>
          </cell>
        </row>
        <row r="2337">
          <cell r="C2337" t="str">
            <v>23740</v>
          </cell>
          <cell r="D2337" t="str">
            <v>6C CHURCHILL BLONDE LAGER</v>
          </cell>
          <cell r="E2337" t="str">
            <v>CHURCHILL BREWING CO (M)</v>
          </cell>
          <cell r="F2337" t="str">
            <v>2130</v>
          </cell>
          <cell r="G2337">
            <v>5</v>
          </cell>
          <cell r="H2337">
            <v>1</v>
          </cell>
          <cell r="I2337" t="str">
            <v>205877</v>
          </cell>
          <cell r="L2337">
            <v>6</v>
          </cell>
          <cell r="M2337">
            <v>12.19</v>
          </cell>
        </row>
        <row r="2338">
          <cell r="C2338" t="str">
            <v>23739</v>
          </cell>
          <cell r="D2338" t="str">
            <v>6C CHURCHILL BRITISHER ENGLISH BROWN ALE</v>
          </cell>
          <cell r="E2338" t="str">
            <v>CHURCHILL BREWING CO (M)</v>
          </cell>
          <cell r="F2338" t="str">
            <v>2130</v>
          </cell>
          <cell r="G2338">
            <v>5</v>
          </cell>
          <cell r="H2338">
            <v>1</v>
          </cell>
          <cell r="I2338" t="str">
            <v>205877</v>
          </cell>
          <cell r="L2338">
            <v>6</v>
          </cell>
          <cell r="M2338">
            <v>13.7</v>
          </cell>
        </row>
        <row r="2339">
          <cell r="C2339" t="str">
            <v>36924</v>
          </cell>
          <cell r="D2339" t="str">
            <v>6C CHURCHILL LAWN MOWER YARD LAGER</v>
          </cell>
          <cell r="E2339" t="str">
            <v>CHURCHILL BREWING CO (M)</v>
          </cell>
          <cell r="F2339" t="str">
            <v>2130</v>
          </cell>
          <cell r="G2339">
            <v>5</v>
          </cell>
          <cell r="H2339">
            <v>1</v>
          </cell>
          <cell r="I2339" t="str">
            <v>205877</v>
          </cell>
          <cell r="L2339">
            <v>6</v>
          </cell>
          <cell r="M2339">
            <v>11.24</v>
          </cell>
        </row>
        <row r="2340">
          <cell r="C2340" t="str">
            <v>24507</v>
          </cell>
          <cell r="D2340" t="str">
            <v>6C CHURCHILL PLAINSMEN PILSNER</v>
          </cell>
          <cell r="E2340" t="str">
            <v>CHURCHILL BREWING CO (M)</v>
          </cell>
          <cell r="F2340" t="str">
            <v>2130</v>
          </cell>
          <cell r="G2340">
            <v>5</v>
          </cell>
          <cell r="H2340">
            <v>1</v>
          </cell>
          <cell r="I2340" t="str">
            <v>205877</v>
          </cell>
          <cell r="L2340">
            <v>6</v>
          </cell>
          <cell r="M2340">
            <v>12.19</v>
          </cell>
        </row>
        <row r="2341">
          <cell r="C2341" t="str">
            <v>23738</v>
          </cell>
          <cell r="D2341" t="str">
            <v>6C CHURCHILL RIVERMEN RED ALE</v>
          </cell>
          <cell r="E2341" t="str">
            <v>CHURCHILL BREWING CO (M)</v>
          </cell>
          <cell r="F2341" t="str">
            <v>2130</v>
          </cell>
          <cell r="G2341">
            <v>5</v>
          </cell>
          <cell r="H2341">
            <v>1</v>
          </cell>
          <cell r="I2341" t="str">
            <v>205877</v>
          </cell>
          <cell r="L2341">
            <v>6</v>
          </cell>
          <cell r="M2341">
            <v>12.19</v>
          </cell>
        </row>
        <row r="2342">
          <cell r="C2342" t="str">
            <v>45594</v>
          </cell>
          <cell r="D2342" t="str">
            <v>6C COLT 45 - SLEEMAN</v>
          </cell>
          <cell r="E2342" t="str">
            <v>Sleeman Breweries Ltd / Les Brasseries S</v>
          </cell>
          <cell r="F2342" t="str">
            <v>2130</v>
          </cell>
          <cell r="G2342">
            <v>8</v>
          </cell>
          <cell r="H2342">
            <v>1</v>
          </cell>
          <cell r="I2342" t="str">
            <v>3302</v>
          </cell>
          <cell r="L2342">
            <v>6</v>
          </cell>
          <cell r="M2342">
            <v>10.130000000000001</v>
          </cell>
        </row>
        <row r="2343">
          <cell r="C2343" t="str">
            <v>2092</v>
          </cell>
          <cell r="D2343" t="str">
            <v>6C COORS LIGHT -  MOLSON</v>
          </cell>
          <cell r="E2343" t="str">
            <v>MOLSON COORS CANADA</v>
          </cell>
          <cell r="F2343" t="str">
            <v>2838</v>
          </cell>
          <cell r="G2343">
            <v>4</v>
          </cell>
          <cell r="H2343">
            <v>1</v>
          </cell>
          <cell r="I2343" t="str">
            <v>4442</v>
          </cell>
          <cell r="L2343">
            <v>6</v>
          </cell>
          <cell r="M2343">
            <v>18</v>
          </cell>
        </row>
        <row r="2344">
          <cell r="C2344" t="str">
            <v>42651</v>
          </cell>
          <cell r="D2344" t="str">
            <v>6C CORIGINAL 16 ZERO - GREAT WESTERN</v>
          </cell>
          <cell r="E2344" t="str">
            <v>GREAT WESTERN BREWING COMPANY</v>
          </cell>
          <cell r="F2344" t="str">
            <v>2130</v>
          </cell>
          <cell r="G2344">
            <v>0</v>
          </cell>
          <cell r="H2344">
            <v>1</v>
          </cell>
          <cell r="I2344" t="str">
            <v>3274</v>
          </cell>
          <cell r="L2344">
            <v>6</v>
          </cell>
          <cell r="M2344">
            <v>8.9</v>
          </cell>
        </row>
        <row r="2345">
          <cell r="C2345" t="str">
            <v>35625</v>
          </cell>
          <cell r="D2345" t="str">
            <v>6C CORONA DOMESTIC - LABATT</v>
          </cell>
          <cell r="E2345" t="str">
            <v>LABATT BREWERIES OF CANADA</v>
          </cell>
          <cell r="F2345" t="str">
            <v>2130</v>
          </cell>
          <cell r="G2345">
            <v>4.5999999999999996</v>
          </cell>
          <cell r="H2345">
            <v>1</v>
          </cell>
          <cell r="I2345" t="str">
            <v>1575</v>
          </cell>
          <cell r="L2345">
            <v>6</v>
          </cell>
          <cell r="M2345">
            <v>15.58</v>
          </cell>
        </row>
        <row r="2346">
          <cell r="C2346" t="str">
            <v>34424</v>
          </cell>
          <cell r="D2346" t="str">
            <v>6C GIB BROCKTON WEST COAST IPA- MOLSON</v>
          </cell>
          <cell r="E2346" t="str">
            <v>CREEMORE SPRINGS BREWERY LTD</v>
          </cell>
          <cell r="F2346" t="str">
            <v>2130</v>
          </cell>
          <cell r="G2346">
            <v>6.5</v>
          </cell>
          <cell r="H2346">
            <v>1</v>
          </cell>
          <cell r="I2346" t="str">
            <v>3276</v>
          </cell>
          <cell r="L2346">
            <v>6</v>
          </cell>
          <cell r="M2346">
            <v>14.39</v>
          </cell>
        </row>
        <row r="2347">
          <cell r="C2347" t="str">
            <v>42747</v>
          </cell>
          <cell r="D2347" t="str">
            <v>6C GIB FALSE CREEK RASPBERRY ALE MOLSON</v>
          </cell>
          <cell r="E2347" t="str">
            <v>CREEMORE SPRINGS BREWERY LTD</v>
          </cell>
          <cell r="F2347" t="str">
            <v>2130</v>
          </cell>
          <cell r="G2347">
            <v>4.5</v>
          </cell>
          <cell r="H2347">
            <v>1</v>
          </cell>
          <cell r="I2347" t="str">
            <v>3276</v>
          </cell>
          <cell r="L2347">
            <v>6</v>
          </cell>
          <cell r="M2347">
            <v>14</v>
          </cell>
        </row>
        <row r="2348">
          <cell r="C2348" t="str">
            <v>45189</v>
          </cell>
          <cell r="D2348" t="str">
            <v>6C GIB HONEY CYPRESS - MOLSON</v>
          </cell>
          <cell r="E2348" t="str">
            <v>CREEMORE SPRINGS BREWERY LTD</v>
          </cell>
          <cell r="F2348" t="str">
            <v>2130</v>
          </cell>
          <cell r="G2348">
            <v>4.7</v>
          </cell>
          <cell r="H2348">
            <v>1</v>
          </cell>
          <cell r="I2348" t="str">
            <v>3276</v>
          </cell>
          <cell r="L2348">
            <v>6</v>
          </cell>
          <cell r="M2348">
            <v>14.39</v>
          </cell>
        </row>
        <row r="2349">
          <cell r="C2349" t="str">
            <v>39594</v>
          </cell>
          <cell r="D2349" t="str">
            <v>6C GIB ISLAND LAGER - MOLSON</v>
          </cell>
          <cell r="E2349" t="str">
            <v>CREEMORE SPRINGS BREWERY LTD</v>
          </cell>
          <cell r="F2349" t="str">
            <v>2130</v>
          </cell>
          <cell r="G2349">
            <v>5</v>
          </cell>
          <cell r="H2349">
            <v>1</v>
          </cell>
          <cell r="I2349" t="str">
            <v>3276</v>
          </cell>
          <cell r="L2349">
            <v>6</v>
          </cell>
          <cell r="M2349">
            <v>14.39</v>
          </cell>
        </row>
        <row r="2350">
          <cell r="C2350" t="str">
            <v>39598</v>
          </cell>
          <cell r="D2350" t="str">
            <v>6C GIB KITSILANO JUICY IPA - MOLSON</v>
          </cell>
          <cell r="E2350" t="str">
            <v>CREEMORE SPRINGS BREWERY LTD</v>
          </cell>
          <cell r="F2350" t="str">
            <v>2130</v>
          </cell>
          <cell r="G2350">
            <v>5.5</v>
          </cell>
          <cell r="H2350">
            <v>1</v>
          </cell>
          <cell r="I2350" t="str">
            <v>3276</v>
          </cell>
          <cell r="L2350">
            <v>6</v>
          </cell>
          <cell r="M2350">
            <v>14.39</v>
          </cell>
        </row>
        <row r="2351">
          <cell r="C2351" t="str">
            <v>2541</v>
          </cell>
          <cell r="D2351" t="str">
            <v>6C GOLD STRONG - GREAT WESTERN</v>
          </cell>
          <cell r="E2351" t="str">
            <v>GREAT WESTERN BREWING COMPANY</v>
          </cell>
          <cell r="F2351" t="str">
            <v>2130</v>
          </cell>
          <cell r="G2351">
            <v>6.5</v>
          </cell>
          <cell r="H2351">
            <v>1</v>
          </cell>
          <cell r="I2351" t="str">
            <v>3274</v>
          </cell>
          <cell r="L2351">
            <v>6</v>
          </cell>
          <cell r="M2351">
            <v>10.98</v>
          </cell>
        </row>
        <row r="2352">
          <cell r="C2352" t="str">
            <v>34423</v>
          </cell>
          <cell r="D2352" t="str">
            <v>6C GRANVILLE ENGLISH BAY PALE ALE MOLSON</v>
          </cell>
          <cell r="E2352" t="str">
            <v>CREEMORE SPRINGS BREWERY LTD</v>
          </cell>
          <cell r="F2352" t="str">
            <v>2130</v>
          </cell>
          <cell r="G2352">
            <v>5</v>
          </cell>
          <cell r="H2352">
            <v>1</v>
          </cell>
          <cell r="I2352" t="str">
            <v>3276</v>
          </cell>
          <cell r="L2352">
            <v>6</v>
          </cell>
          <cell r="M2352">
            <v>14.39</v>
          </cell>
        </row>
        <row r="2353">
          <cell r="C2353" t="str">
            <v>44594</v>
          </cell>
          <cell r="D2353" t="str">
            <v>6C GREAT WESTERN CLASSIC ARTILLERY</v>
          </cell>
          <cell r="E2353" t="str">
            <v>GREAT WESTERN BREWING COMPANY</v>
          </cell>
          <cell r="F2353" t="str">
            <v>2130</v>
          </cell>
          <cell r="G2353">
            <v>5</v>
          </cell>
          <cell r="H2353">
            <v>1</v>
          </cell>
          <cell r="I2353" t="str">
            <v>3274</v>
          </cell>
          <cell r="L2353">
            <v>6</v>
          </cell>
          <cell r="M2353">
            <v>13.95</v>
          </cell>
        </row>
        <row r="2354">
          <cell r="C2354" t="str">
            <v>28563</v>
          </cell>
          <cell r="D2354" t="str">
            <v>6C HEINEKEN 0.0 - MOLSON</v>
          </cell>
          <cell r="E2354" t="str">
            <v>HEINEKEN BROUWERIJEN</v>
          </cell>
          <cell r="F2354" t="str">
            <v>1980</v>
          </cell>
          <cell r="G2354">
            <v>0</v>
          </cell>
          <cell r="H2354">
            <v>1</v>
          </cell>
          <cell r="I2354" t="str">
            <v>3276</v>
          </cell>
          <cell r="L2354">
            <v>6</v>
          </cell>
          <cell r="M2354">
            <v>10.49</v>
          </cell>
        </row>
        <row r="2355">
          <cell r="C2355" t="str">
            <v>2622</v>
          </cell>
          <cell r="D2355" t="str">
            <v>6C HEINEKEN LAGER - MOLSON</v>
          </cell>
          <cell r="E2355" t="str">
            <v>HEINEKEN BROUWERIJEN</v>
          </cell>
          <cell r="F2355" t="str">
            <v>1980</v>
          </cell>
          <cell r="G2355">
            <v>5</v>
          </cell>
          <cell r="H2355">
            <v>1</v>
          </cell>
          <cell r="I2355" t="str">
            <v>3276</v>
          </cell>
          <cell r="L2355">
            <v>6</v>
          </cell>
          <cell r="M2355">
            <v>15.8</v>
          </cell>
        </row>
        <row r="2356">
          <cell r="C2356" t="str">
            <v>31547</v>
          </cell>
          <cell r="D2356" t="str">
            <v>6C HOEGAARDEN 0.0 - LABATT</v>
          </cell>
          <cell r="E2356" t="str">
            <v>INBEV BELGIUM NV</v>
          </cell>
          <cell r="F2356" t="str">
            <v>1980</v>
          </cell>
          <cell r="G2356">
            <v>0</v>
          </cell>
          <cell r="H2356">
            <v>1</v>
          </cell>
          <cell r="I2356" t="str">
            <v>1575</v>
          </cell>
          <cell r="L2356">
            <v>6</v>
          </cell>
          <cell r="M2356">
            <v>9.48</v>
          </cell>
        </row>
        <row r="2357">
          <cell r="C2357" t="str">
            <v>34465</v>
          </cell>
          <cell r="D2357" t="str">
            <v>6C INTREPID IPA - CHURCHILL</v>
          </cell>
          <cell r="E2357" t="str">
            <v>CHURCHILL BREWING CO (M)</v>
          </cell>
          <cell r="F2357" t="str">
            <v>2130</v>
          </cell>
          <cell r="G2357">
            <v>6.5</v>
          </cell>
          <cell r="H2357">
            <v>1</v>
          </cell>
          <cell r="I2357" t="str">
            <v>205877</v>
          </cell>
          <cell r="L2357">
            <v>6</v>
          </cell>
          <cell r="M2357">
            <v>13.7</v>
          </cell>
        </row>
        <row r="2358">
          <cell r="C2358" t="str">
            <v>45731</v>
          </cell>
          <cell r="D2358" t="str">
            <v>6C LAWN MOWER YARD LAGER ULTRA CHURCHILL</v>
          </cell>
          <cell r="E2358" t="str">
            <v>CHURCHILL BREWING CO (M)</v>
          </cell>
          <cell r="F2358" t="str">
            <v>2130</v>
          </cell>
          <cell r="G2358">
            <v>2.8</v>
          </cell>
          <cell r="H2358">
            <v>1</v>
          </cell>
          <cell r="I2358" t="str">
            <v>205877</v>
          </cell>
          <cell r="L2358">
            <v>6</v>
          </cell>
          <cell r="M2358">
            <v>11.24</v>
          </cell>
        </row>
        <row r="2359">
          <cell r="C2359" t="str">
            <v>31871</v>
          </cell>
          <cell r="D2359" t="str">
            <v>6C LAYER UP WINTER WHEAT ALE STANLEY PK</v>
          </cell>
          <cell r="E2359" t="str">
            <v>TURNING POINT BREWERY</v>
          </cell>
          <cell r="F2359" t="str">
            <v>2130</v>
          </cell>
          <cell r="G2359">
            <v>5.2</v>
          </cell>
          <cell r="H2359">
            <v>1</v>
          </cell>
          <cell r="I2359" t="str">
            <v>1575</v>
          </cell>
          <cell r="L2359">
            <v>6</v>
          </cell>
          <cell r="M2359">
            <v>13.48</v>
          </cell>
        </row>
        <row r="2360">
          <cell r="C2360" t="str">
            <v>30814</v>
          </cell>
          <cell r="D2360" t="str">
            <v>6C MILL STREET 100TH MERIDIAN - LABATT</v>
          </cell>
          <cell r="E2360" t="str">
            <v>MILL ST BREWERY</v>
          </cell>
          <cell r="F2360" t="str">
            <v>2130</v>
          </cell>
          <cell r="G2360">
            <v>5</v>
          </cell>
          <cell r="H2360">
            <v>1</v>
          </cell>
          <cell r="I2360" t="str">
            <v>1575</v>
          </cell>
          <cell r="L2360">
            <v>6</v>
          </cell>
          <cell r="M2360">
            <v>13.14</v>
          </cell>
        </row>
        <row r="2361">
          <cell r="C2361" t="str">
            <v>30811</v>
          </cell>
          <cell r="D2361" t="str">
            <v>6C MILL STREET ORIGINAL ORGANIC - LABATT</v>
          </cell>
          <cell r="E2361" t="str">
            <v>MILL ST BREWERY</v>
          </cell>
          <cell r="F2361" t="str">
            <v>2130</v>
          </cell>
          <cell r="G2361">
            <v>4.2</v>
          </cell>
          <cell r="H2361">
            <v>1</v>
          </cell>
          <cell r="I2361" t="str">
            <v>1575</v>
          </cell>
          <cell r="L2361">
            <v>6</v>
          </cell>
          <cell r="M2361">
            <v>13.14</v>
          </cell>
        </row>
        <row r="2362">
          <cell r="C2362" t="str">
            <v>30838</v>
          </cell>
          <cell r="D2362" t="str">
            <v>6C MILL STREET TANKHOUSE ALE - LABATT</v>
          </cell>
          <cell r="E2362" t="str">
            <v>MILL ST BREWERY</v>
          </cell>
          <cell r="F2362" t="str">
            <v>2130</v>
          </cell>
          <cell r="G2362">
            <v>5.2</v>
          </cell>
          <cell r="H2362">
            <v>1</v>
          </cell>
          <cell r="I2362" t="str">
            <v>1575</v>
          </cell>
          <cell r="L2362">
            <v>6</v>
          </cell>
          <cell r="M2362">
            <v>13.14</v>
          </cell>
        </row>
        <row r="2363">
          <cell r="C2363" t="str">
            <v>45522</v>
          </cell>
          <cell r="D2363" t="str">
            <v>6C MODELO LABATT (DOMESTIC)</v>
          </cell>
          <cell r="E2363" t="str">
            <v>LABATT BREWERIES OF CANADA</v>
          </cell>
          <cell r="F2363" t="str">
            <v>2130</v>
          </cell>
          <cell r="G2363">
            <v>4.5</v>
          </cell>
          <cell r="H2363">
            <v>1</v>
          </cell>
          <cell r="I2363" t="str">
            <v>1575</v>
          </cell>
          <cell r="L2363">
            <v>6</v>
          </cell>
          <cell r="M2363">
            <v>16.79</v>
          </cell>
        </row>
        <row r="2364">
          <cell r="C2364" t="str">
            <v>34438</v>
          </cell>
          <cell r="D2364" t="str">
            <v>6C ORIGINAL 16 CANADIAN COPPER ALE - GW</v>
          </cell>
          <cell r="E2364" t="str">
            <v>GREAT WESTERN BREWING COMPANY</v>
          </cell>
          <cell r="F2364" t="str">
            <v>2130</v>
          </cell>
          <cell r="G2364">
            <v>5.2</v>
          </cell>
          <cell r="H2364">
            <v>1</v>
          </cell>
          <cell r="I2364" t="str">
            <v>3274</v>
          </cell>
          <cell r="L2364">
            <v>6</v>
          </cell>
          <cell r="M2364">
            <v>14.49</v>
          </cell>
        </row>
        <row r="2365">
          <cell r="C2365" t="str">
            <v>16420</v>
          </cell>
          <cell r="D2365" t="str">
            <v>6C ORIGINAL 16 CANADIAN PALE ALE</v>
          </cell>
          <cell r="E2365" t="str">
            <v>GREAT WESTERN BREWING COMPANY</v>
          </cell>
          <cell r="F2365" t="str">
            <v>2130</v>
          </cell>
          <cell r="G2365">
            <v>5</v>
          </cell>
          <cell r="H2365">
            <v>1</v>
          </cell>
          <cell r="I2365" t="str">
            <v>3274</v>
          </cell>
          <cell r="L2365">
            <v>6</v>
          </cell>
          <cell r="M2365">
            <v>14.49</v>
          </cell>
        </row>
        <row r="2366">
          <cell r="C2366" t="str">
            <v>16508</v>
          </cell>
          <cell r="D2366" t="str">
            <v>6C PABST BLUE RIBBON - SLEEMAN</v>
          </cell>
          <cell r="E2366" t="str">
            <v>Sleeman Breweries Ltd / Les Brasseries S</v>
          </cell>
          <cell r="F2366" t="str">
            <v>2838</v>
          </cell>
          <cell r="G2366">
            <v>5</v>
          </cell>
          <cell r="H2366">
            <v>1</v>
          </cell>
          <cell r="I2366" t="str">
            <v>3302</v>
          </cell>
          <cell r="L2366">
            <v>6</v>
          </cell>
          <cell r="M2366">
            <v>13.4</v>
          </cell>
        </row>
        <row r="2367">
          <cell r="C2367" t="str">
            <v>42596</v>
          </cell>
          <cell r="D2367" t="str">
            <v>6C PACER NON ALC GOLDEN ALE</v>
          </cell>
          <cell r="E2367" t="str">
            <v>BIG ROCK (ALBERTA) LTD. (R)</v>
          </cell>
          <cell r="F2367" t="str">
            <v>2130</v>
          </cell>
          <cell r="G2367">
            <v>0.5</v>
          </cell>
          <cell r="H2367">
            <v>1</v>
          </cell>
          <cell r="I2367" t="str">
            <v>3227</v>
          </cell>
          <cell r="L2367">
            <v>6</v>
          </cell>
          <cell r="M2367">
            <v>9.49</v>
          </cell>
        </row>
        <row r="2368">
          <cell r="C2368" t="str">
            <v>42407</v>
          </cell>
          <cell r="D2368" t="str">
            <v>6C PACER NON ALC HAZY PALE ALE</v>
          </cell>
          <cell r="E2368" t="str">
            <v>BIG ROCK (ALBERTA) LTD. (R)</v>
          </cell>
          <cell r="F2368" t="str">
            <v>2130</v>
          </cell>
          <cell r="G2368">
            <v>0.5</v>
          </cell>
          <cell r="H2368">
            <v>1</v>
          </cell>
          <cell r="I2368" t="str">
            <v>3227</v>
          </cell>
          <cell r="L2368">
            <v>6</v>
          </cell>
          <cell r="M2368">
            <v>9.49</v>
          </cell>
        </row>
        <row r="2369">
          <cell r="C2369" t="str">
            <v>3648</v>
          </cell>
          <cell r="D2369" t="str">
            <v>6C PILSNER  - MOLSON</v>
          </cell>
          <cell r="E2369" t="str">
            <v>MOLSON COORS CANADA</v>
          </cell>
          <cell r="F2369" t="str">
            <v>2838</v>
          </cell>
          <cell r="G2369">
            <v>5</v>
          </cell>
          <cell r="H2369">
            <v>1</v>
          </cell>
          <cell r="I2369" t="str">
            <v>3276</v>
          </cell>
          <cell r="L2369">
            <v>6</v>
          </cell>
          <cell r="M2369">
            <v>13.4</v>
          </cell>
        </row>
        <row r="2370">
          <cell r="C2370" t="str">
            <v>45362</v>
          </cell>
          <cell r="D2370" t="str">
            <v>6C RADLER - CHURCHILL</v>
          </cell>
          <cell r="E2370" t="str">
            <v>CHURCHILL BREWING CO (M)</v>
          </cell>
          <cell r="F2370" t="str">
            <v>2130</v>
          </cell>
          <cell r="G2370">
            <v>3</v>
          </cell>
          <cell r="H2370">
            <v>1</v>
          </cell>
          <cell r="I2370" t="str">
            <v>205877</v>
          </cell>
          <cell r="L2370">
            <v>6</v>
          </cell>
          <cell r="M2370">
            <v>13.7</v>
          </cell>
        </row>
        <row r="2371">
          <cell r="C2371" t="str">
            <v>41590</v>
          </cell>
          <cell r="D2371" t="str">
            <v>6C SAPPORO - SLEEMAN</v>
          </cell>
          <cell r="E2371" t="str">
            <v>Sleeman Breweries Ltd / Les Brasseries S</v>
          </cell>
          <cell r="F2371" t="str">
            <v>3000</v>
          </cell>
          <cell r="G2371">
            <v>5</v>
          </cell>
          <cell r="H2371">
            <v>1</v>
          </cell>
          <cell r="I2371" t="str">
            <v>3302</v>
          </cell>
          <cell r="L2371">
            <v>6</v>
          </cell>
          <cell r="M2371">
            <v>20.62</v>
          </cell>
        </row>
        <row r="2372">
          <cell r="C2372" t="str">
            <v>44598</v>
          </cell>
          <cell r="D2372" t="str">
            <v>6C SAPPORO 0.0 NON ALC - SLEEMAN</v>
          </cell>
          <cell r="E2372" t="str">
            <v>BLACK FLY BEVERAGE COMPANY</v>
          </cell>
          <cell r="F2372" t="str">
            <v>2130</v>
          </cell>
          <cell r="G2372">
            <v>0</v>
          </cell>
          <cell r="H2372">
            <v>1</v>
          </cell>
          <cell r="I2372" t="str">
            <v>3302</v>
          </cell>
          <cell r="L2372">
            <v>6</v>
          </cell>
          <cell r="M2372">
            <v>9.44</v>
          </cell>
        </row>
        <row r="2373">
          <cell r="C2373" t="str">
            <v>26114</v>
          </cell>
          <cell r="D2373" t="str">
            <v>6C STANLEY PARK DAY TRIP LAGER - LABATT</v>
          </cell>
          <cell r="E2373" t="str">
            <v>TURNING POINT BREWERY</v>
          </cell>
          <cell r="F2373" t="str">
            <v>2130</v>
          </cell>
          <cell r="G2373">
            <v>4.4000000000000004</v>
          </cell>
          <cell r="H2373">
            <v>1</v>
          </cell>
          <cell r="I2373" t="str">
            <v>1575</v>
          </cell>
          <cell r="L2373">
            <v>6</v>
          </cell>
          <cell r="M2373">
            <v>13.48</v>
          </cell>
        </row>
        <row r="2374">
          <cell r="C2374" t="str">
            <v>34159</v>
          </cell>
          <cell r="D2374" t="str">
            <v>6C STANLEY PARK ELECTRO LAGER - LABATT</v>
          </cell>
          <cell r="E2374" t="str">
            <v>TURNING POINT BREWERY</v>
          </cell>
          <cell r="F2374" t="str">
            <v>2130</v>
          </cell>
          <cell r="G2374">
            <v>4</v>
          </cell>
          <cell r="H2374">
            <v>1</v>
          </cell>
          <cell r="I2374" t="str">
            <v>1575</v>
          </cell>
          <cell r="L2374">
            <v>6</v>
          </cell>
          <cell r="M2374">
            <v>13.48</v>
          </cell>
        </row>
        <row r="2375">
          <cell r="C2375" t="str">
            <v>26259</v>
          </cell>
          <cell r="D2375" t="str">
            <v>6C STANLEY PARK SUNSETTER LABATT</v>
          </cell>
          <cell r="E2375" t="str">
            <v>TURNING POINT BREWERY</v>
          </cell>
          <cell r="F2375" t="str">
            <v>2130</v>
          </cell>
          <cell r="G2375">
            <v>4.8</v>
          </cell>
          <cell r="H2375">
            <v>1</v>
          </cell>
          <cell r="I2375" t="str">
            <v>1575</v>
          </cell>
          <cell r="L2375">
            <v>6</v>
          </cell>
          <cell r="M2375">
            <v>14.49</v>
          </cell>
        </row>
        <row r="2376">
          <cell r="C2376" t="str">
            <v>28049</v>
          </cell>
          <cell r="D2376" t="str">
            <v>6C STANLEY PARK TRAIL HOPPER IPA LABATT</v>
          </cell>
          <cell r="E2376" t="str">
            <v>TURNING POINT BREWERY</v>
          </cell>
          <cell r="F2376" t="str">
            <v>2130</v>
          </cell>
          <cell r="G2376">
            <v>6.8</v>
          </cell>
          <cell r="H2376">
            <v>1</v>
          </cell>
          <cell r="I2376" t="str">
            <v>1575</v>
          </cell>
          <cell r="L2376">
            <v>6</v>
          </cell>
          <cell r="M2376">
            <v>13.69</v>
          </cell>
        </row>
        <row r="2377">
          <cell r="C2377" t="str">
            <v>34275</v>
          </cell>
          <cell r="D2377" t="str">
            <v>6C STELLA ARTOIS DOMESTIC - LABATT</v>
          </cell>
          <cell r="E2377" t="str">
            <v>LABATT BREWERIES OF CANADA</v>
          </cell>
          <cell r="F2377" t="str">
            <v>2130</v>
          </cell>
          <cell r="G2377">
            <v>5</v>
          </cell>
          <cell r="H2377">
            <v>1</v>
          </cell>
          <cell r="I2377" t="str">
            <v>1575</v>
          </cell>
          <cell r="L2377">
            <v>6</v>
          </cell>
          <cell r="M2377">
            <v>15.58</v>
          </cell>
        </row>
        <row r="2378">
          <cell r="C2378" t="str">
            <v>34466</v>
          </cell>
          <cell r="D2378" t="str">
            <v>6C SUNDOG BELGIAN WHITE - CHURCHILL</v>
          </cell>
          <cell r="E2378" t="str">
            <v>CHURCHILL BREWING CO (M)</v>
          </cell>
          <cell r="F2378" t="str">
            <v>2130</v>
          </cell>
          <cell r="G2378">
            <v>5</v>
          </cell>
          <cell r="H2378">
            <v>1</v>
          </cell>
          <cell r="I2378" t="str">
            <v>205877</v>
          </cell>
          <cell r="L2378">
            <v>6</v>
          </cell>
          <cell r="M2378">
            <v>13.7</v>
          </cell>
        </row>
        <row r="2379">
          <cell r="C2379" t="str">
            <v>43803</v>
          </cell>
          <cell r="D2379" t="str">
            <v>8C ALBERTA GENUINE DRAFT - BR</v>
          </cell>
          <cell r="E2379" t="str">
            <v>BIG ROCK (ALBERTA) LTD. (R)</v>
          </cell>
          <cell r="F2379" t="str">
            <v>2840</v>
          </cell>
          <cell r="G2379">
            <v>5</v>
          </cell>
          <cell r="H2379">
            <v>1</v>
          </cell>
          <cell r="I2379" t="str">
            <v>3227</v>
          </cell>
          <cell r="L2379">
            <v>8</v>
          </cell>
          <cell r="M2379">
            <v>12.8</v>
          </cell>
        </row>
        <row r="2380">
          <cell r="C2380" t="str">
            <v>28297</v>
          </cell>
          <cell r="D2380" t="str">
            <v>8C ALEXANDER KEITH'S IPA LABATT</v>
          </cell>
          <cell r="E2380" t="str">
            <v>LABATT BREWERIES OF CANADA</v>
          </cell>
          <cell r="F2380" t="str">
            <v>2840</v>
          </cell>
          <cell r="G2380">
            <v>5</v>
          </cell>
          <cell r="H2380">
            <v>1</v>
          </cell>
          <cell r="I2380" t="str">
            <v>1575</v>
          </cell>
          <cell r="L2380">
            <v>8</v>
          </cell>
          <cell r="M2380">
            <v>15.38</v>
          </cell>
        </row>
        <row r="2381">
          <cell r="C2381" t="str">
            <v>38368</v>
          </cell>
          <cell r="D2381" t="str">
            <v>8C BANDED PEAK TRAIL MIX PACK - LABATT</v>
          </cell>
          <cell r="E2381" t="str">
            <v>BANDED PEAK BREWING - LABATT</v>
          </cell>
          <cell r="F2381" t="str">
            <v>3784</v>
          </cell>
          <cell r="G2381">
            <v>5</v>
          </cell>
          <cell r="H2381">
            <v>1</v>
          </cell>
          <cell r="I2381" t="str">
            <v>1575</v>
          </cell>
          <cell r="L2381">
            <v>8</v>
          </cell>
          <cell r="M2381">
            <v>24.49</v>
          </cell>
        </row>
        <row r="2382">
          <cell r="C2382" t="str">
            <v>35935</v>
          </cell>
          <cell r="D2382" t="str">
            <v>8C BLACK ICE MOLSON</v>
          </cell>
          <cell r="E2382" t="str">
            <v>MOLSON COORS CANADA</v>
          </cell>
          <cell r="F2382" t="str">
            <v>2840</v>
          </cell>
          <cell r="G2382">
            <v>6.1</v>
          </cell>
          <cell r="H2382">
            <v>1</v>
          </cell>
          <cell r="I2382" t="str">
            <v>3276</v>
          </cell>
          <cell r="L2382">
            <v>8</v>
          </cell>
          <cell r="M2382">
            <v>15.69</v>
          </cell>
        </row>
        <row r="2383">
          <cell r="C2383" t="str">
            <v>35934</v>
          </cell>
          <cell r="D2383" t="str">
            <v>8C BLACK LABEL MOLSON</v>
          </cell>
          <cell r="E2383" t="str">
            <v>MOLSON COORS CANADA</v>
          </cell>
          <cell r="F2383" t="str">
            <v>2840</v>
          </cell>
          <cell r="G2383">
            <v>5</v>
          </cell>
          <cell r="H2383">
            <v>1</v>
          </cell>
          <cell r="I2383" t="str">
            <v>3276</v>
          </cell>
          <cell r="L2383">
            <v>8</v>
          </cell>
          <cell r="M2383">
            <v>15.3</v>
          </cell>
        </row>
        <row r="2384">
          <cell r="C2384" t="str">
            <v>48611</v>
          </cell>
          <cell r="D2384" t="str">
            <v>8C BP TRAIL MIX PK - LABATT</v>
          </cell>
          <cell r="E2384" t="str">
            <v>BANDED PEAK BREWING - LABATT</v>
          </cell>
          <cell r="F2384" t="str">
            <v>3784</v>
          </cell>
          <cell r="G2384">
            <v>4.9000000000000004</v>
          </cell>
          <cell r="H2384">
            <v>1</v>
          </cell>
          <cell r="I2384" t="str">
            <v>1575</v>
          </cell>
          <cell r="L2384">
            <v>8</v>
          </cell>
          <cell r="M2384">
            <v>24.49</v>
          </cell>
        </row>
        <row r="2385">
          <cell r="C2385" t="str">
            <v>44468</v>
          </cell>
          <cell r="D2385" t="str">
            <v>8C BR BARN BURNER VARIETY PK</v>
          </cell>
          <cell r="E2385" t="str">
            <v>BIG ROCK (ALBERTA) LTD. (R)</v>
          </cell>
          <cell r="F2385" t="str">
            <v>3784</v>
          </cell>
          <cell r="G2385">
            <v>6.5</v>
          </cell>
          <cell r="H2385">
            <v>1</v>
          </cell>
          <cell r="I2385" t="str">
            <v>3227</v>
          </cell>
          <cell r="L2385">
            <v>8</v>
          </cell>
          <cell r="M2385">
            <v>23.78</v>
          </cell>
        </row>
        <row r="2386">
          <cell r="C2386" t="str">
            <v>32921</v>
          </cell>
          <cell r="D2386" t="str">
            <v>8C BUD LIGHT - LABATT</v>
          </cell>
          <cell r="E2386" t="str">
            <v>LABATT BREWERIES OF CANADA</v>
          </cell>
          <cell r="F2386" t="str">
            <v>2840</v>
          </cell>
          <cell r="G2386">
            <v>4</v>
          </cell>
          <cell r="H2386">
            <v>1</v>
          </cell>
          <cell r="I2386" t="str">
            <v>1575</v>
          </cell>
          <cell r="L2386">
            <v>8</v>
          </cell>
          <cell r="M2386">
            <v>18.3</v>
          </cell>
        </row>
        <row r="2387">
          <cell r="C2387" t="str">
            <v>32924</v>
          </cell>
          <cell r="D2387" t="str">
            <v>8C BUDWEISER - LABATT</v>
          </cell>
          <cell r="E2387" t="str">
            <v>LABATT BREWERIES OF CANADA</v>
          </cell>
          <cell r="F2387" t="str">
            <v>2840</v>
          </cell>
          <cell r="G2387">
            <v>5</v>
          </cell>
          <cell r="H2387">
            <v>1</v>
          </cell>
          <cell r="I2387" t="str">
            <v>1575</v>
          </cell>
          <cell r="L2387">
            <v>8</v>
          </cell>
          <cell r="M2387">
            <v>18.3</v>
          </cell>
        </row>
        <row r="2388">
          <cell r="C2388" t="str">
            <v>32920</v>
          </cell>
          <cell r="D2388" t="str">
            <v>8C BUSCH - LABATT</v>
          </cell>
          <cell r="E2388" t="str">
            <v>LABATT BREWERIES OF CANADA</v>
          </cell>
          <cell r="F2388" t="str">
            <v>2840</v>
          </cell>
          <cell r="G2388">
            <v>4.7</v>
          </cell>
          <cell r="H2388">
            <v>1</v>
          </cell>
          <cell r="I2388" t="str">
            <v>1575</v>
          </cell>
          <cell r="L2388">
            <v>8</v>
          </cell>
          <cell r="M2388">
            <v>15.48</v>
          </cell>
        </row>
        <row r="2389">
          <cell r="C2389" t="str">
            <v>12610</v>
          </cell>
          <cell r="D2389" t="str">
            <v>8C CANADIAN - MOLSON</v>
          </cell>
          <cell r="E2389" t="str">
            <v>MOLSON COORS CANADA</v>
          </cell>
          <cell r="F2389" t="str">
            <v>2840</v>
          </cell>
          <cell r="G2389">
            <v>5</v>
          </cell>
          <cell r="H2389">
            <v>1</v>
          </cell>
          <cell r="I2389" t="str">
            <v>3276</v>
          </cell>
          <cell r="L2389">
            <v>8</v>
          </cell>
          <cell r="M2389">
            <v>18.3</v>
          </cell>
        </row>
        <row r="2390">
          <cell r="C2390" t="str">
            <v>12608</v>
          </cell>
          <cell r="D2390" t="str">
            <v>8C COORS LIGHT - MOLSON</v>
          </cell>
          <cell r="E2390" t="str">
            <v>MOLSON COORS CANADA</v>
          </cell>
          <cell r="F2390" t="str">
            <v>2840</v>
          </cell>
          <cell r="G2390">
            <v>4</v>
          </cell>
          <cell r="H2390">
            <v>1</v>
          </cell>
          <cell r="I2390" t="str">
            <v>3276</v>
          </cell>
          <cell r="L2390">
            <v>8</v>
          </cell>
          <cell r="M2390">
            <v>17.79</v>
          </cell>
        </row>
        <row r="2391">
          <cell r="C2391" t="str">
            <v>35510</v>
          </cell>
          <cell r="D2391" t="str">
            <v>8C COORS LIGHT - MOLSON</v>
          </cell>
          <cell r="E2391" t="str">
            <v>MOLSON COORS CANADA</v>
          </cell>
          <cell r="F2391" t="str">
            <v>2840</v>
          </cell>
          <cell r="G2391">
            <v>4</v>
          </cell>
          <cell r="H2391">
            <v>1</v>
          </cell>
          <cell r="I2391" t="str">
            <v>3276</v>
          </cell>
          <cell r="L2391">
            <v>8</v>
          </cell>
          <cell r="M2391">
            <v>18.3</v>
          </cell>
        </row>
        <row r="2392">
          <cell r="C2392" t="str">
            <v>35512</v>
          </cell>
          <cell r="D2392" t="str">
            <v>8C COORS ORIGINAL - MOLSON</v>
          </cell>
          <cell r="E2392" t="str">
            <v>MOLSON COORS CANADA</v>
          </cell>
          <cell r="F2392" t="str">
            <v>2840</v>
          </cell>
          <cell r="G2392">
            <v>5</v>
          </cell>
          <cell r="H2392">
            <v>1</v>
          </cell>
          <cell r="I2392" t="str">
            <v>3276</v>
          </cell>
          <cell r="L2392">
            <v>8</v>
          </cell>
          <cell r="M2392">
            <v>19.29</v>
          </cell>
        </row>
        <row r="2393">
          <cell r="C2393" t="str">
            <v>45283</v>
          </cell>
          <cell r="D2393" t="str">
            <v>8C GIB SUMMER MIXER - MOLSON</v>
          </cell>
          <cell r="E2393" t="str">
            <v>CREEMORE SPRINGS BREWERY LTD</v>
          </cell>
          <cell r="F2393" t="str">
            <v>3784</v>
          </cell>
          <cell r="G2393">
            <v>5</v>
          </cell>
          <cell r="H2393">
            <v>1</v>
          </cell>
          <cell r="I2393" t="str">
            <v>3276</v>
          </cell>
          <cell r="L2393">
            <v>8</v>
          </cell>
          <cell r="M2393">
            <v>23.99</v>
          </cell>
        </row>
        <row r="2394">
          <cell r="C2394" t="str">
            <v>46493</v>
          </cell>
          <cell r="D2394" t="str">
            <v>8C GIB WINTER MINGLER - MOLSON</v>
          </cell>
          <cell r="E2394" t="str">
            <v>CREEMORE SPRINGS BREWERY LTD</v>
          </cell>
          <cell r="F2394" t="str">
            <v>3784</v>
          </cell>
          <cell r="G2394">
            <v>5.5</v>
          </cell>
          <cell r="H2394">
            <v>1</v>
          </cell>
          <cell r="I2394" t="str">
            <v>3276</v>
          </cell>
          <cell r="L2394">
            <v>8</v>
          </cell>
          <cell r="M2394">
            <v>17.989999999999998</v>
          </cell>
        </row>
        <row r="2395">
          <cell r="C2395" t="str">
            <v>5088</v>
          </cell>
          <cell r="D2395" t="str">
            <v>8C GUINNESS PUB DRAUGHT</v>
          </cell>
          <cell r="E2395" t="str">
            <v>DIAGEO CANADA INC (BDL)</v>
          </cell>
          <cell r="F2395" t="str">
            <v>3520</v>
          </cell>
          <cell r="G2395">
            <v>4.2</v>
          </cell>
          <cell r="H2395">
            <v>1</v>
          </cell>
          <cell r="I2395" t="str">
            <v>3224</v>
          </cell>
          <cell r="L2395">
            <v>8</v>
          </cell>
          <cell r="M2395">
            <v>23.78</v>
          </cell>
        </row>
        <row r="2396">
          <cell r="C2396" t="str">
            <v>32923</v>
          </cell>
          <cell r="D2396" t="str">
            <v>8C KOKANEE - LABATT</v>
          </cell>
          <cell r="E2396" t="str">
            <v>LABATT BREWERIES OF CANADA</v>
          </cell>
          <cell r="F2396" t="str">
            <v>2840</v>
          </cell>
          <cell r="G2396">
            <v>5</v>
          </cell>
          <cell r="H2396">
            <v>1</v>
          </cell>
          <cell r="I2396" t="str">
            <v>1575</v>
          </cell>
          <cell r="L2396">
            <v>8</v>
          </cell>
          <cell r="M2396">
            <v>18.3</v>
          </cell>
        </row>
        <row r="2397">
          <cell r="C2397" t="str">
            <v>32919</v>
          </cell>
          <cell r="D2397" t="str">
            <v>8C LUCKY - LABATT</v>
          </cell>
          <cell r="E2397" t="str">
            <v>LABATT BREWERIES OF CANADA</v>
          </cell>
          <cell r="F2397" t="str">
            <v>2840</v>
          </cell>
          <cell r="G2397">
            <v>5</v>
          </cell>
          <cell r="H2397">
            <v>1</v>
          </cell>
          <cell r="I2397" t="str">
            <v>1575</v>
          </cell>
          <cell r="L2397">
            <v>8</v>
          </cell>
          <cell r="M2397">
            <v>15.48</v>
          </cell>
        </row>
        <row r="2398">
          <cell r="C2398" t="str">
            <v>30398</v>
          </cell>
          <cell r="D2398" t="str">
            <v>8C LUCKY EXTRA - LABATT</v>
          </cell>
          <cell r="E2398" t="str">
            <v>LABATT BREWERIES OF CANADA</v>
          </cell>
          <cell r="F2398" t="str">
            <v>2840</v>
          </cell>
          <cell r="G2398">
            <v>6</v>
          </cell>
          <cell r="H2398">
            <v>1</v>
          </cell>
          <cell r="I2398" t="str">
            <v>1575</v>
          </cell>
          <cell r="L2398">
            <v>8</v>
          </cell>
          <cell r="M2398">
            <v>15.48</v>
          </cell>
        </row>
        <row r="2399">
          <cell r="C2399" t="str">
            <v>28465</v>
          </cell>
          <cell r="D2399" t="str">
            <v>8C MICHELOB ULTRA - LABATT</v>
          </cell>
          <cell r="E2399" t="str">
            <v>LABATT BREWERIES OF CANADA</v>
          </cell>
          <cell r="F2399" t="str">
            <v>2840</v>
          </cell>
          <cell r="G2399">
            <v>4</v>
          </cell>
          <cell r="H2399">
            <v>1</v>
          </cell>
          <cell r="I2399" t="str">
            <v>1575</v>
          </cell>
          <cell r="L2399">
            <v>8</v>
          </cell>
          <cell r="M2399">
            <v>19.489999999999998</v>
          </cell>
        </row>
        <row r="2400">
          <cell r="C2400" t="str">
            <v>43644</v>
          </cell>
          <cell r="D2400" t="str">
            <v>8C MILLER LITE - MOLSON</v>
          </cell>
          <cell r="E2400" t="str">
            <v>MOLSON COORS CANADA</v>
          </cell>
          <cell r="F2400" t="str">
            <v>2840</v>
          </cell>
          <cell r="G2400">
            <v>4</v>
          </cell>
          <cell r="H2400">
            <v>1</v>
          </cell>
          <cell r="I2400" t="str">
            <v>3276</v>
          </cell>
          <cell r="L2400">
            <v>8</v>
          </cell>
          <cell r="M2400">
            <v>19.29</v>
          </cell>
        </row>
        <row r="2401">
          <cell r="C2401" t="str">
            <v>24755</v>
          </cell>
          <cell r="D2401" t="str">
            <v>8C MOLSON CANADIAN COLD SHOTS</v>
          </cell>
          <cell r="E2401" t="str">
            <v>MOLSON COORS CANADA</v>
          </cell>
          <cell r="F2401" t="str">
            <v>1888</v>
          </cell>
          <cell r="G2401">
            <v>6</v>
          </cell>
          <cell r="H2401">
            <v>1</v>
          </cell>
          <cell r="I2401" t="str">
            <v>3276</v>
          </cell>
          <cell r="L2401">
            <v>8</v>
          </cell>
          <cell r="M2401">
            <v>8.2899999999999991</v>
          </cell>
        </row>
        <row r="2402">
          <cell r="C2402" t="str">
            <v>34372</v>
          </cell>
          <cell r="D2402" t="str">
            <v>8C MOLSON COLD SHOTS</v>
          </cell>
          <cell r="E2402" t="str">
            <v>MOLSON COORS CANADA</v>
          </cell>
          <cell r="F2402" t="str">
            <v>1776</v>
          </cell>
          <cell r="G2402">
            <v>6</v>
          </cell>
          <cell r="H2402">
            <v>1</v>
          </cell>
          <cell r="I2402" t="str">
            <v>3276</v>
          </cell>
          <cell r="L2402">
            <v>8</v>
          </cell>
          <cell r="M2402">
            <v>8.99</v>
          </cell>
        </row>
        <row r="2403">
          <cell r="C2403" t="str">
            <v>32926</v>
          </cell>
          <cell r="D2403" t="str">
            <v>8C NATTY LIGHT - LABATT</v>
          </cell>
          <cell r="E2403" t="str">
            <v>LABATT BREWERIES OF CANADA</v>
          </cell>
          <cell r="F2403" t="str">
            <v>2840</v>
          </cell>
          <cell r="G2403">
            <v>4</v>
          </cell>
          <cell r="H2403">
            <v>1</v>
          </cell>
          <cell r="I2403" t="str">
            <v>1575</v>
          </cell>
          <cell r="L2403">
            <v>8</v>
          </cell>
          <cell r="M2403">
            <v>14.99</v>
          </cell>
        </row>
        <row r="2404">
          <cell r="C2404" t="str">
            <v>34546</v>
          </cell>
          <cell r="D2404" t="str">
            <v>8C OLD MILWAUKEE - SLEEMAN</v>
          </cell>
          <cell r="E2404" t="str">
            <v>Sleeman Breweries Ltd / Les Brasseries S</v>
          </cell>
          <cell r="F2404" t="str">
            <v>2840</v>
          </cell>
          <cell r="G2404">
            <v>5</v>
          </cell>
          <cell r="H2404">
            <v>1</v>
          </cell>
          <cell r="I2404" t="str">
            <v>3302</v>
          </cell>
          <cell r="L2404">
            <v>8</v>
          </cell>
          <cell r="M2404">
            <v>15.71</v>
          </cell>
        </row>
        <row r="2405">
          <cell r="C2405" t="str">
            <v>14094</v>
          </cell>
          <cell r="D2405" t="str">
            <v>8C OLD STYLE PILSNER  - MOLSON</v>
          </cell>
          <cell r="E2405" t="str">
            <v>MOLSON COORS CANADA</v>
          </cell>
          <cell r="F2405" t="str">
            <v>2840</v>
          </cell>
          <cell r="G2405">
            <v>5</v>
          </cell>
          <cell r="H2405">
            <v>1</v>
          </cell>
          <cell r="I2405" t="str">
            <v>3276</v>
          </cell>
          <cell r="L2405">
            <v>8</v>
          </cell>
          <cell r="M2405">
            <v>15.5</v>
          </cell>
        </row>
        <row r="2406">
          <cell r="C2406" t="str">
            <v>28461</v>
          </cell>
          <cell r="D2406" t="str">
            <v>SR 36C BUD LIGHT LABATT</v>
          </cell>
          <cell r="E2406" t="str">
            <v>LABATT BREWERIES OF CANADA</v>
          </cell>
          <cell r="F2406" t="str">
            <v>12780</v>
          </cell>
          <cell r="G2406">
            <v>4</v>
          </cell>
          <cell r="H2406">
            <v>1</v>
          </cell>
          <cell r="I2406" t="str">
            <v>1575</v>
          </cell>
          <cell r="L2406">
            <v>36</v>
          </cell>
          <cell r="M2406">
            <v>71.489999999999995</v>
          </cell>
        </row>
        <row r="2407">
          <cell r="C2407" t="str">
            <v>39503</v>
          </cell>
          <cell r="D2407" t="str">
            <v>12C ROCK CREEK CIDER VARIETY - BR</v>
          </cell>
          <cell r="E2407" t="str">
            <v>BIG ROCK (ALBERTA) LTD. (R)</v>
          </cell>
          <cell r="F2407" t="str">
            <v>4260</v>
          </cell>
          <cell r="G2407">
            <v>5</v>
          </cell>
          <cell r="H2407">
            <v>1</v>
          </cell>
          <cell r="I2407" t="str">
            <v>3227</v>
          </cell>
          <cell r="L2407">
            <v>12</v>
          </cell>
          <cell r="M2407">
            <v>24.25</v>
          </cell>
        </row>
        <row r="2408">
          <cell r="C2408" t="str">
            <v>33065</v>
          </cell>
          <cell r="D2408" t="str">
            <v>4CROCK CREEK ROSE CIDER</v>
          </cell>
          <cell r="E2408" t="str">
            <v>BIG ROCK (ALBERTA) LTD. (R)</v>
          </cell>
          <cell r="F2408" t="str">
            <v>1420</v>
          </cell>
          <cell r="G2408">
            <v>5.4</v>
          </cell>
          <cell r="H2408">
            <v>1</v>
          </cell>
          <cell r="I2408" t="str">
            <v>3227</v>
          </cell>
          <cell r="L2408">
            <v>4</v>
          </cell>
          <cell r="M2408">
            <v>9.89</v>
          </cell>
        </row>
        <row r="2409">
          <cell r="C2409" t="str">
            <v>21140</v>
          </cell>
          <cell r="D2409" t="str">
            <v>12C OKANAGAN CIDER - BC'S SAMPLER LABATT</v>
          </cell>
          <cell r="E2409" t="str">
            <v>TURNING POINT BREWERY</v>
          </cell>
          <cell r="F2409" t="str">
            <v>4260</v>
          </cell>
          <cell r="G2409">
            <v>5</v>
          </cell>
          <cell r="H2409">
            <v>1</v>
          </cell>
          <cell r="I2409" t="str">
            <v>205874</v>
          </cell>
          <cell r="K2409" t="str">
            <v>D</v>
          </cell>
          <cell r="L2409">
            <v>12</v>
          </cell>
          <cell r="M2409">
            <v>24.25</v>
          </cell>
        </row>
        <row r="2410">
          <cell r="C2410" t="str">
            <v>42867</v>
          </cell>
          <cell r="D2410" t="str">
            <v>12C OKANAGAN CIDER CRISP APPLE - LABATT</v>
          </cell>
          <cell r="E2410" t="str">
            <v>TURNING POINT BREWERY</v>
          </cell>
          <cell r="F2410" t="str">
            <v>4260</v>
          </cell>
          <cell r="G2410">
            <v>5</v>
          </cell>
          <cell r="H2410">
            <v>1</v>
          </cell>
          <cell r="I2410" t="str">
            <v>1575</v>
          </cell>
          <cell r="L2410">
            <v>12</v>
          </cell>
          <cell r="M2410">
            <v>24.25</v>
          </cell>
        </row>
        <row r="2411">
          <cell r="C2411" t="str">
            <v>42401</v>
          </cell>
          <cell r="D2411" t="str">
            <v>12C STRONGBOW ULTRA VARIETY  PK - MOLSON</v>
          </cell>
          <cell r="E2411" t="str">
            <v>HEINEKEN BROUWERIJEN</v>
          </cell>
          <cell r="F2411" t="str">
            <v>3960</v>
          </cell>
          <cell r="G2411">
            <v>4.5</v>
          </cell>
          <cell r="H2411">
            <v>1</v>
          </cell>
          <cell r="I2411" t="str">
            <v>3276</v>
          </cell>
          <cell r="L2411">
            <v>12</v>
          </cell>
          <cell r="M2411">
            <v>30</v>
          </cell>
        </row>
        <row r="2412">
          <cell r="C2412" t="str">
            <v>32366</v>
          </cell>
          <cell r="D2412" t="str">
            <v>1B OKANAGAN CIDER BLACK CHERRY LABATT</v>
          </cell>
          <cell r="E2412" t="str">
            <v>TURNING POINT BREWERY</v>
          </cell>
          <cell r="F2412" t="str">
            <v>2000</v>
          </cell>
          <cell r="G2412">
            <v>7</v>
          </cell>
          <cell r="H2412">
            <v>8</v>
          </cell>
          <cell r="I2412" t="str">
            <v>1575</v>
          </cell>
          <cell r="L2412">
            <v>1</v>
          </cell>
          <cell r="M2412">
            <v>9.99</v>
          </cell>
        </row>
        <row r="2413">
          <cell r="C2413" t="str">
            <v>28681</v>
          </cell>
          <cell r="D2413" t="str">
            <v>1B OKANAGAN CIDER GINGER APPLE LABATT</v>
          </cell>
          <cell r="E2413" t="str">
            <v>TURNING POINT BREWERY</v>
          </cell>
          <cell r="F2413" t="str">
            <v>2000</v>
          </cell>
          <cell r="G2413">
            <v>7</v>
          </cell>
          <cell r="H2413">
            <v>8</v>
          </cell>
          <cell r="I2413" t="str">
            <v>1575</v>
          </cell>
          <cell r="L2413">
            <v>1</v>
          </cell>
          <cell r="M2413">
            <v>9.01</v>
          </cell>
        </row>
        <row r="2414">
          <cell r="C2414" t="str">
            <v>32367</v>
          </cell>
          <cell r="D2414" t="str">
            <v>1B OKANAGAN CIDER HARVEST PEAR LABATT</v>
          </cell>
          <cell r="E2414" t="str">
            <v>TURNING POINT BREWERY</v>
          </cell>
          <cell r="F2414" t="str">
            <v>2000</v>
          </cell>
          <cell r="G2414">
            <v>7</v>
          </cell>
          <cell r="H2414">
            <v>8</v>
          </cell>
          <cell r="I2414" t="str">
            <v>1575</v>
          </cell>
          <cell r="L2414">
            <v>1</v>
          </cell>
          <cell r="M2414">
            <v>9.99</v>
          </cell>
        </row>
        <row r="2415">
          <cell r="C2415" t="str">
            <v>32364</v>
          </cell>
          <cell r="D2415" t="str">
            <v>1B OKANAGAN CIDER STRAW/RHUBARB LABATT</v>
          </cell>
          <cell r="E2415" t="str">
            <v>TURNING POINT BREWERY</v>
          </cell>
          <cell r="F2415" t="str">
            <v>2000</v>
          </cell>
          <cell r="G2415">
            <v>7</v>
          </cell>
          <cell r="H2415">
            <v>8</v>
          </cell>
          <cell r="I2415" t="str">
            <v>1575</v>
          </cell>
          <cell r="L2415">
            <v>1</v>
          </cell>
          <cell r="M2415">
            <v>9.01</v>
          </cell>
        </row>
        <row r="2416">
          <cell r="C2416" t="str">
            <v>32369</v>
          </cell>
          <cell r="D2416" t="str">
            <v>1B OKANAGAN CIDER WHITE GRAPE LABATT</v>
          </cell>
          <cell r="E2416" t="str">
            <v>TURNING POINT BREWERY</v>
          </cell>
          <cell r="F2416" t="str">
            <v>2000</v>
          </cell>
          <cell r="G2416">
            <v>7</v>
          </cell>
          <cell r="H2416">
            <v>8</v>
          </cell>
          <cell r="I2416" t="str">
            <v>1575</v>
          </cell>
          <cell r="L2416">
            <v>1</v>
          </cell>
          <cell r="M2416">
            <v>9.01</v>
          </cell>
        </row>
        <row r="2417">
          <cell r="C2417" t="str">
            <v>3438</v>
          </cell>
          <cell r="D2417" t="str">
            <v>1B OKANAGAN CRISP APPLE CIDER LABATT</v>
          </cell>
          <cell r="E2417" t="str">
            <v>TURNING POINT BREWERY</v>
          </cell>
          <cell r="F2417" t="str">
            <v>2000</v>
          </cell>
          <cell r="G2417">
            <v>7</v>
          </cell>
          <cell r="H2417">
            <v>8</v>
          </cell>
          <cell r="I2417" t="str">
            <v>1575</v>
          </cell>
          <cell r="K2417" t="str">
            <v xml:space="preserve"> </v>
          </cell>
          <cell r="L2417">
            <v>1</v>
          </cell>
          <cell r="M2417">
            <v>9.99</v>
          </cell>
        </row>
        <row r="2418">
          <cell r="C2418" t="str">
            <v>18465</v>
          </cell>
          <cell r="D2418" t="str">
            <v>1B OKANAGAN EXTRA ARCTIC RASPBERRY CIDER</v>
          </cell>
          <cell r="E2418" t="str">
            <v>TURNING POINT BREWERY</v>
          </cell>
          <cell r="F2418" t="str">
            <v>2000</v>
          </cell>
          <cell r="G2418">
            <v>7</v>
          </cell>
          <cell r="H2418">
            <v>8</v>
          </cell>
          <cell r="I2418" t="str">
            <v>1575</v>
          </cell>
          <cell r="K2418" t="str">
            <v xml:space="preserve"> </v>
          </cell>
          <cell r="L2418">
            <v>1</v>
          </cell>
          <cell r="M2418">
            <v>9.99</v>
          </cell>
        </row>
        <row r="2419">
          <cell r="C2419" t="str">
            <v>3431</v>
          </cell>
          <cell r="D2419" t="str">
            <v>1B OKANAGAN EXTRA GLACIER BERRY CIDER</v>
          </cell>
          <cell r="E2419" t="str">
            <v>TURNING POINT BREWERY</v>
          </cell>
          <cell r="F2419" t="str">
            <v>2000</v>
          </cell>
          <cell r="G2419">
            <v>7</v>
          </cell>
          <cell r="H2419">
            <v>8</v>
          </cell>
          <cell r="I2419" t="str">
            <v>1575</v>
          </cell>
          <cell r="K2419" t="str">
            <v xml:space="preserve"> </v>
          </cell>
          <cell r="L2419">
            <v>1</v>
          </cell>
          <cell r="M2419">
            <v>9.99</v>
          </cell>
        </row>
        <row r="2420">
          <cell r="C2420" t="str">
            <v>7571</v>
          </cell>
          <cell r="D2420" t="str">
            <v>1B OKANAGAN ORCHARD PEACH CIDER LABATT</v>
          </cell>
          <cell r="E2420" t="str">
            <v>TURNING POINT BREWERY</v>
          </cell>
          <cell r="F2420" t="str">
            <v>2000</v>
          </cell>
          <cell r="G2420">
            <v>7</v>
          </cell>
          <cell r="H2420">
            <v>8</v>
          </cell>
          <cell r="I2420" t="str">
            <v>1575</v>
          </cell>
          <cell r="K2420" t="str">
            <v xml:space="preserve"> </v>
          </cell>
          <cell r="L2420">
            <v>1</v>
          </cell>
          <cell r="M2420">
            <v>9.99</v>
          </cell>
        </row>
        <row r="2421">
          <cell r="C2421" t="str">
            <v>28123</v>
          </cell>
          <cell r="D2421" t="str">
            <v>1C OKANAGAN CIDER CRISP APPLE LABATT</v>
          </cell>
          <cell r="E2421" t="str">
            <v>TURNING POINT BREWERY</v>
          </cell>
          <cell r="F2421" t="str">
            <v>473</v>
          </cell>
          <cell r="G2421">
            <v>5</v>
          </cell>
          <cell r="H2421">
            <v>24</v>
          </cell>
          <cell r="I2421" t="str">
            <v>1575</v>
          </cell>
          <cell r="L2421">
            <v>1</v>
          </cell>
          <cell r="M2421">
            <v>3.03</v>
          </cell>
        </row>
        <row r="2422">
          <cell r="C2422" t="str">
            <v>28124</v>
          </cell>
          <cell r="D2422" t="str">
            <v>1C OKANAGAN CIDER HARVEST PEAR LABATT</v>
          </cell>
          <cell r="E2422" t="str">
            <v>TURNING POINT BREWERY</v>
          </cell>
          <cell r="F2422" t="str">
            <v>473</v>
          </cell>
          <cell r="G2422">
            <v>5</v>
          </cell>
          <cell r="H2422">
            <v>24</v>
          </cell>
          <cell r="I2422" t="str">
            <v>1575</v>
          </cell>
          <cell r="L2422">
            <v>1</v>
          </cell>
          <cell r="M2422">
            <v>3.03</v>
          </cell>
        </row>
        <row r="2423">
          <cell r="C2423" t="str">
            <v>31085</v>
          </cell>
          <cell r="D2423" t="str">
            <v>1C ROCK CREEK APPLE CIDER - BIG ROCK</v>
          </cell>
          <cell r="E2423" t="str">
            <v>BIG ROCK (ALBERTA) LTD. (R)</v>
          </cell>
          <cell r="F2423" t="str">
            <v>473</v>
          </cell>
          <cell r="G2423">
            <v>5.5</v>
          </cell>
          <cell r="H2423">
            <v>24</v>
          </cell>
          <cell r="I2423" t="str">
            <v>3227</v>
          </cell>
          <cell r="L2423">
            <v>1</v>
          </cell>
          <cell r="M2423">
            <v>3.08</v>
          </cell>
        </row>
        <row r="2424">
          <cell r="C2424" t="str">
            <v>26287</v>
          </cell>
          <cell r="D2424" t="str">
            <v>1K OKANAGAN CIDER CRISP APPLE LABATT</v>
          </cell>
          <cell r="E2424" t="str">
            <v>TURNING POINT BREWERY</v>
          </cell>
          <cell r="F2424" t="str">
            <v>20000</v>
          </cell>
          <cell r="G2424">
            <v>5</v>
          </cell>
          <cell r="H2424">
            <v>1</v>
          </cell>
          <cell r="I2424" t="str">
            <v>1575</v>
          </cell>
          <cell r="L2424">
            <v>1</v>
          </cell>
          <cell r="M2424">
            <v>99.98</v>
          </cell>
        </row>
        <row r="2425">
          <cell r="C2425" t="str">
            <v>5098</v>
          </cell>
          <cell r="D2425" t="str">
            <v>1K ROCK CREEK APPLE  CIDER BR</v>
          </cell>
          <cell r="E2425" t="str">
            <v>BIG ROCK (ALBERTA) LTD. (R)</v>
          </cell>
          <cell r="F2425" t="str">
            <v>58670</v>
          </cell>
          <cell r="G2425">
            <v>5.5</v>
          </cell>
          <cell r="H2425">
            <v>1</v>
          </cell>
          <cell r="I2425" t="str">
            <v>3227</v>
          </cell>
          <cell r="K2425" t="str">
            <v>D</v>
          </cell>
          <cell r="L2425">
            <v>1</v>
          </cell>
          <cell r="M2425">
            <v>254.99</v>
          </cell>
        </row>
        <row r="2426">
          <cell r="C2426" t="str">
            <v>36396</v>
          </cell>
          <cell r="D2426" t="str">
            <v>1K ROCK CREEK PEACH CIDER BIG ROCK</v>
          </cell>
          <cell r="E2426" t="str">
            <v>BIG ROCK (ALBERTA) LTD. (R)</v>
          </cell>
          <cell r="F2426" t="str">
            <v>30000</v>
          </cell>
          <cell r="G2426">
            <v>5</v>
          </cell>
          <cell r="H2426">
            <v>1</v>
          </cell>
          <cell r="I2426" t="str">
            <v>3227</v>
          </cell>
          <cell r="L2426">
            <v>1</v>
          </cell>
          <cell r="M2426">
            <v>133.99</v>
          </cell>
        </row>
        <row r="2427">
          <cell r="C2427" t="str">
            <v>24883</v>
          </cell>
          <cell r="D2427" t="str">
            <v>1K ROCK CREEK PEAR CIDER BIG ROCK</v>
          </cell>
          <cell r="E2427" t="str">
            <v>BIG ROCK BREWERY (r)</v>
          </cell>
          <cell r="F2427" t="str">
            <v>30000</v>
          </cell>
          <cell r="G2427">
            <v>5.8</v>
          </cell>
          <cell r="H2427">
            <v>1</v>
          </cell>
          <cell r="I2427" t="str">
            <v>3227</v>
          </cell>
          <cell r="L2427">
            <v>1</v>
          </cell>
          <cell r="M2427">
            <v>133.99</v>
          </cell>
        </row>
        <row r="2428">
          <cell r="C2428" t="str">
            <v>5168</v>
          </cell>
          <cell r="D2428" t="str">
            <v>1K STRONGBOW CIDER KEG - MOLSON</v>
          </cell>
          <cell r="E2428" t="str">
            <v>HEINEKEN BROUWERIJEN</v>
          </cell>
          <cell r="F2428" t="str">
            <v>50000</v>
          </cell>
          <cell r="G2428">
            <v>5.3</v>
          </cell>
          <cell r="H2428">
            <v>1</v>
          </cell>
          <cell r="I2428" t="str">
            <v>3276</v>
          </cell>
          <cell r="K2428" t="str">
            <v>D</v>
          </cell>
          <cell r="L2428">
            <v>1</v>
          </cell>
          <cell r="M2428">
            <v>234.8</v>
          </cell>
        </row>
        <row r="2429">
          <cell r="C2429" t="str">
            <v>7429</v>
          </cell>
          <cell r="D2429" t="str">
            <v>4C STRONGBOW  CIDER - MOLSON</v>
          </cell>
          <cell r="E2429" t="str">
            <v>HEINEKEN BROUWERIJEN</v>
          </cell>
          <cell r="F2429" t="str">
            <v>2000</v>
          </cell>
          <cell r="G2429">
            <v>5.3</v>
          </cell>
          <cell r="H2429">
            <v>1</v>
          </cell>
          <cell r="I2429" t="str">
            <v>3276</v>
          </cell>
          <cell r="K2429" t="str">
            <v xml:space="preserve"> </v>
          </cell>
          <cell r="L2429">
            <v>4</v>
          </cell>
          <cell r="M2429">
            <v>13.69</v>
          </cell>
        </row>
        <row r="2430">
          <cell r="C2430" t="str">
            <v>26093</v>
          </cell>
          <cell r="D2430" t="str">
            <v>4C STRONGBOW DARK FRUIT CIDER - MOLSON</v>
          </cell>
          <cell r="E2430" t="str">
            <v>HEINEKEN BROUWERIJEN</v>
          </cell>
          <cell r="F2430" t="str">
            <v>1760</v>
          </cell>
          <cell r="G2430">
            <v>4.5</v>
          </cell>
          <cell r="H2430">
            <v>1</v>
          </cell>
          <cell r="I2430" t="str">
            <v>3276</v>
          </cell>
          <cell r="L2430">
            <v>4</v>
          </cell>
          <cell r="M2430">
            <v>12.2</v>
          </cell>
        </row>
        <row r="2431">
          <cell r="C2431" t="str">
            <v>21965</v>
          </cell>
          <cell r="D2431" t="str">
            <v>4C STRONGBOW GOLD - MOLSON</v>
          </cell>
          <cell r="E2431" t="str">
            <v>HEINEKEN BROUWERIJEN</v>
          </cell>
          <cell r="F2431" t="str">
            <v>1760</v>
          </cell>
          <cell r="G2431">
            <v>4.5</v>
          </cell>
          <cell r="H2431">
            <v>1</v>
          </cell>
          <cell r="I2431" t="str">
            <v>3276</v>
          </cell>
          <cell r="L2431">
            <v>4</v>
          </cell>
          <cell r="M2431">
            <v>12.2</v>
          </cell>
        </row>
        <row r="2432">
          <cell r="C2432" t="str">
            <v>30928</v>
          </cell>
          <cell r="D2432" t="str">
            <v>4C STRONGBOW ROSE - MOLSON</v>
          </cell>
          <cell r="E2432" t="str">
            <v>HEINEKEN BROUWERIJEN</v>
          </cell>
          <cell r="F2432" t="str">
            <v>1760</v>
          </cell>
          <cell r="G2432">
            <v>4.5</v>
          </cell>
          <cell r="H2432">
            <v>1</v>
          </cell>
          <cell r="I2432" t="str">
            <v>3276</v>
          </cell>
          <cell r="L2432">
            <v>4</v>
          </cell>
          <cell r="M2432">
            <v>12</v>
          </cell>
        </row>
        <row r="2433">
          <cell r="C2433" t="str">
            <v>30387</v>
          </cell>
          <cell r="D2433" t="str">
            <v>6B ROCK CREEK ROSE - BIG ROCK</v>
          </cell>
          <cell r="E2433" t="str">
            <v>BIG ROCK (ALBERTA) LTD. (R)</v>
          </cell>
          <cell r="F2433" t="str">
            <v>1980</v>
          </cell>
          <cell r="G2433">
            <v>5.4</v>
          </cell>
          <cell r="H2433">
            <v>1</v>
          </cell>
          <cell r="I2433" t="str">
            <v>3227</v>
          </cell>
          <cell r="L2433">
            <v>6</v>
          </cell>
          <cell r="M2433">
            <v>12.52</v>
          </cell>
        </row>
        <row r="2434">
          <cell r="C2434" t="str">
            <v>7532</v>
          </cell>
          <cell r="D2434" t="str">
            <v>6B STRONGBOW CIDER - MOLSON</v>
          </cell>
          <cell r="E2434" t="str">
            <v>HEINEKEN BROUWERIJEN</v>
          </cell>
          <cell r="F2434" t="str">
            <v>1980</v>
          </cell>
          <cell r="G2434">
            <v>5.3</v>
          </cell>
          <cell r="H2434">
            <v>1</v>
          </cell>
          <cell r="I2434" t="str">
            <v>3276</v>
          </cell>
          <cell r="K2434" t="str">
            <v xml:space="preserve"> </v>
          </cell>
          <cell r="L2434">
            <v>6</v>
          </cell>
          <cell r="M2434">
            <v>13.69</v>
          </cell>
        </row>
        <row r="2435">
          <cell r="C2435" t="str">
            <v>34003</v>
          </cell>
          <cell r="D2435" t="str">
            <v>6C OK CIDER SASKATOON BERRY LABATT</v>
          </cell>
          <cell r="E2435" t="str">
            <v>TURNING POINT BREWERY</v>
          </cell>
          <cell r="F2435" t="str">
            <v>2130</v>
          </cell>
          <cell r="G2435">
            <v>5</v>
          </cell>
          <cell r="H2435">
            <v>1</v>
          </cell>
          <cell r="I2435" t="str">
            <v>1575</v>
          </cell>
          <cell r="L2435">
            <v>6</v>
          </cell>
          <cell r="M2435">
            <v>12.29</v>
          </cell>
        </row>
        <row r="2436">
          <cell r="C2436" t="str">
            <v>19226</v>
          </cell>
          <cell r="D2436" t="str">
            <v>6C OKANAGAN  CIDER WHITE GRAPE LABATT</v>
          </cell>
          <cell r="E2436" t="str">
            <v>TURNING POINT BREWERY</v>
          </cell>
          <cell r="F2436" t="str">
            <v>2130</v>
          </cell>
          <cell r="G2436">
            <v>5</v>
          </cell>
          <cell r="H2436">
            <v>1</v>
          </cell>
          <cell r="I2436" t="str">
            <v>1575</v>
          </cell>
          <cell r="K2436" t="str">
            <v xml:space="preserve"> </v>
          </cell>
          <cell r="L2436">
            <v>6</v>
          </cell>
          <cell r="M2436">
            <v>11.78</v>
          </cell>
        </row>
        <row r="2437">
          <cell r="C2437" t="str">
            <v>19760</v>
          </cell>
          <cell r="D2437" t="str">
            <v>6C OKANAGAN  CRISP APPLE CIDER LABATT</v>
          </cell>
          <cell r="E2437" t="str">
            <v>TURNING POINT BREWERY</v>
          </cell>
          <cell r="F2437" t="str">
            <v>2130</v>
          </cell>
          <cell r="G2437">
            <v>5</v>
          </cell>
          <cell r="H2437">
            <v>1</v>
          </cell>
          <cell r="I2437" t="str">
            <v>1575</v>
          </cell>
          <cell r="K2437" t="str">
            <v xml:space="preserve"> </v>
          </cell>
          <cell r="L2437">
            <v>6</v>
          </cell>
          <cell r="M2437">
            <v>12.89</v>
          </cell>
        </row>
        <row r="2438">
          <cell r="C2438" t="str">
            <v>16243</v>
          </cell>
          <cell r="D2438" t="str">
            <v>6C OKANAGAN BLACK CHERRY LABATT</v>
          </cell>
          <cell r="E2438" t="str">
            <v>TURNING POINT BREWERY</v>
          </cell>
          <cell r="F2438" t="str">
            <v>2130</v>
          </cell>
          <cell r="G2438">
            <v>5</v>
          </cell>
          <cell r="H2438">
            <v>1</v>
          </cell>
          <cell r="I2438" t="str">
            <v>1575</v>
          </cell>
          <cell r="K2438" t="str">
            <v xml:space="preserve"> </v>
          </cell>
          <cell r="L2438">
            <v>6</v>
          </cell>
          <cell r="M2438">
            <v>12.89</v>
          </cell>
        </row>
        <row r="2439">
          <cell r="C2439" t="str">
            <v>32375</v>
          </cell>
          <cell r="D2439" t="str">
            <v>6C OKANAGAN CIDER APRICOT HIBISCUS LABAT</v>
          </cell>
          <cell r="E2439" t="str">
            <v>TURNING POINT BREWERY</v>
          </cell>
          <cell r="F2439" t="str">
            <v>2130</v>
          </cell>
          <cell r="G2439">
            <v>5</v>
          </cell>
          <cell r="H2439">
            <v>1</v>
          </cell>
          <cell r="I2439" t="str">
            <v>1575</v>
          </cell>
          <cell r="L2439">
            <v>6</v>
          </cell>
          <cell r="M2439">
            <v>12.29</v>
          </cell>
        </row>
        <row r="2440">
          <cell r="C2440" t="str">
            <v>28680</v>
          </cell>
          <cell r="D2440" t="str">
            <v>6C OKANAGAN CIDER BLACKBERRY LABATT</v>
          </cell>
          <cell r="E2440" t="str">
            <v>TURNING POINT BREWERY</v>
          </cell>
          <cell r="F2440" t="str">
            <v>2130</v>
          </cell>
          <cell r="G2440">
            <v>5</v>
          </cell>
          <cell r="H2440">
            <v>1</v>
          </cell>
          <cell r="I2440" t="str">
            <v>1575</v>
          </cell>
          <cell r="L2440">
            <v>6</v>
          </cell>
          <cell r="M2440">
            <v>12.29</v>
          </cell>
        </row>
        <row r="2441">
          <cell r="C2441" t="str">
            <v>19225</v>
          </cell>
          <cell r="D2441" t="str">
            <v>6C OKANAGAN CIDER ORCHARD PEACH LABATT</v>
          </cell>
          <cell r="E2441" t="str">
            <v>TURNING POINT BREWERY</v>
          </cell>
          <cell r="F2441" t="str">
            <v>2130</v>
          </cell>
          <cell r="G2441">
            <v>5</v>
          </cell>
          <cell r="H2441">
            <v>1</v>
          </cell>
          <cell r="I2441" t="str">
            <v>1575</v>
          </cell>
          <cell r="L2441">
            <v>6</v>
          </cell>
          <cell r="M2441">
            <v>12.89</v>
          </cell>
        </row>
        <row r="2442">
          <cell r="C2442" t="str">
            <v>28125</v>
          </cell>
          <cell r="D2442" t="str">
            <v>6C OKANAGAN CIDER WINTER APPLE LABATT</v>
          </cell>
          <cell r="E2442" t="str">
            <v>TURNING POINT BREWERY</v>
          </cell>
          <cell r="F2442" t="str">
            <v>2130</v>
          </cell>
          <cell r="G2442">
            <v>6</v>
          </cell>
          <cell r="H2442">
            <v>1</v>
          </cell>
          <cell r="I2442" t="str">
            <v>1575</v>
          </cell>
          <cell r="L2442">
            <v>6</v>
          </cell>
          <cell r="M2442">
            <v>11.78</v>
          </cell>
        </row>
        <row r="2443">
          <cell r="C2443" t="str">
            <v>16797</v>
          </cell>
          <cell r="D2443" t="str">
            <v>6C OKANAGAN GINGER APPLE CIDER LABATT</v>
          </cell>
          <cell r="E2443" t="str">
            <v>TURNING POINT BREWERY</v>
          </cell>
          <cell r="F2443" t="str">
            <v>2130</v>
          </cell>
          <cell r="G2443">
            <v>5</v>
          </cell>
          <cell r="H2443">
            <v>1</v>
          </cell>
          <cell r="I2443" t="str">
            <v>1575</v>
          </cell>
          <cell r="K2443" t="str">
            <v xml:space="preserve"> </v>
          </cell>
          <cell r="L2443">
            <v>6</v>
          </cell>
          <cell r="M2443">
            <v>12.89</v>
          </cell>
        </row>
        <row r="2444">
          <cell r="C2444" t="str">
            <v>13336</v>
          </cell>
          <cell r="D2444" t="str">
            <v>6C OKANAGAN HARVEST PEAR CIDER LABATT</v>
          </cell>
          <cell r="E2444" t="str">
            <v>TURNING POINT BREWERY</v>
          </cell>
          <cell r="F2444" t="str">
            <v>2130</v>
          </cell>
          <cell r="G2444">
            <v>5</v>
          </cell>
          <cell r="H2444">
            <v>1</v>
          </cell>
          <cell r="I2444" t="str">
            <v>1575</v>
          </cell>
          <cell r="K2444" t="str">
            <v>D</v>
          </cell>
          <cell r="L2444">
            <v>6</v>
          </cell>
          <cell r="M2444">
            <v>12.89</v>
          </cell>
        </row>
        <row r="2445">
          <cell r="C2445" t="str">
            <v>24221</v>
          </cell>
          <cell r="D2445" t="str">
            <v>6C ROCK CREEK PEACH CIDER</v>
          </cell>
          <cell r="E2445" t="str">
            <v>BIG ROCK BREWERY (r)</v>
          </cell>
          <cell r="F2445" t="str">
            <v>2130</v>
          </cell>
          <cell r="G2445">
            <v>5.5</v>
          </cell>
          <cell r="H2445">
            <v>1</v>
          </cell>
          <cell r="I2445" t="str">
            <v>3227</v>
          </cell>
          <cell r="L2445">
            <v>6</v>
          </cell>
          <cell r="M2445">
            <v>12.38</v>
          </cell>
        </row>
        <row r="2446">
          <cell r="C2446" t="str">
            <v>22233</v>
          </cell>
          <cell r="D2446" t="str">
            <v>6C ROCK CREEK PEAR CIDER</v>
          </cell>
          <cell r="E2446" t="str">
            <v>BIG ROCK BREWERY (r)</v>
          </cell>
          <cell r="F2446" t="str">
            <v>2130</v>
          </cell>
          <cell r="G2446">
            <v>5.8</v>
          </cell>
          <cell r="H2446">
            <v>1</v>
          </cell>
          <cell r="I2446" t="str">
            <v>3227</v>
          </cell>
          <cell r="L2446">
            <v>6</v>
          </cell>
          <cell r="M2446">
            <v>12.38</v>
          </cell>
        </row>
        <row r="2447">
          <cell r="C2447" t="str">
            <v>6112</v>
          </cell>
          <cell r="D2447" t="str">
            <v>6C ROCK CREEK PREMIUM DRY APPLE CIDER</v>
          </cell>
          <cell r="E2447" t="str">
            <v>BIG ROCK (ALBERTA) LTD. (R)</v>
          </cell>
          <cell r="F2447" t="str">
            <v>2130</v>
          </cell>
          <cell r="G2447">
            <v>5.5</v>
          </cell>
          <cell r="H2447">
            <v>1</v>
          </cell>
          <cell r="I2447" t="str">
            <v>3227</v>
          </cell>
          <cell r="K2447" t="str">
            <v xml:space="preserve"> </v>
          </cell>
          <cell r="L2447">
            <v>6</v>
          </cell>
          <cell r="M2447">
            <v>12.63</v>
          </cell>
        </row>
        <row r="2448">
          <cell r="C2448" t="str">
            <v>24009</v>
          </cell>
          <cell r="D2448" t="str">
            <v>6C ROCK CREEK VARIETY PACK BIG ROCK</v>
          </cell>
          <cell r="E2448" t="str">
            <v>BIG ROCK BREWERY (r)</v>
          </cell>
          <cell r="F2448" t="str">
            <v>2130</v>
          </cell>
          <cell r="G2448">
            <v>5.8</v>
          </cell>
          <cell r="H2448">
            <v>1</v>
          </cell>
          <cell r="I2448" t="str">
            <v>3227</v>
          </cell>
          <cell r="L2448">
            <v>6</v>
          </cell>
          <cell r="M2448">
            <v>12.16</v>
          </cell>
        </row>
        <row r="2449">
          <cell r="C2449" t="str">
            <v>35683</v>
          </cell>
          <cell r="D2449" t="str">
            <v>12C BL SELTZER MIXER MALT PK - LABATT</v>
          </cell>
          <cell r="E2449" t="str">
            <v>TURNING POINT BREWERY</v>
          </cell>
          <cell r="F2449" t="str">
            <v>4260</v>
          </cell>
          <cell r="G2449">
            <v>4</v>
          </cell>
          <cell r="H2449">
            <v>1</v>
          </cell>
          <cell r="I2449" t="str">
            <v>1575</v>
          </cell>
          <cell r="L2449">
            <v>12</v>
          </cell>
          <cell r="M2449">
            <v>24.48</v>
          </cell>
        </row>
        <row r="2450">
          <cell r="C2450" t="str">
            <v>28684</v>
          </cell>
          <cell r="D2450" t="str">
            <v>12C MIKE'S HARDER ICED TEA LABATT</v>
          </cell>
          <cell r="E2450" t="str">
            <v>TURNING POINT BREWERY</v>
          </cell>
          <cell r="F2450" t="str">
            <v>4260</v>
          </cell>
          <cell r="G2450">
            <v>8</v>
          </cell>
          <cell r="H2450">
            <v>1</v>
          </cell>
          <cell r="I2450" t="str">
            <v>1575</v>
          </cell>
          <cell r="L2450">
            <v>12</v>
          </cell>
          <cell r="M2450">
            <v>20.27</v>
          </cell>
        </row>
        <row r="2451">
          <cell r="C2451" t="str">
            <v>37202</v>
          </cell>
          <cell r="D2451" t="str">
            <v>1C BL BLACK CHERRY SELTZER MALT- LAB</v>
          </cell>
          <cell r="E2451" t="str">
            <v>TURNING POINT BREWERY</v>
          </cell>
          <cell r="F2451" t="str">
            <v>473</v>
          </cell>
          <cell r="G2451">
            <v>4</v>
          </cell>
          <cell r="H2451">
            <v>12</v>
          </cell>
          <cell r="I2451" t="str">
            <v>1575</v>
          </cell>
          <cell r="L2451">
            <v>1</v>
          </cell>
          <cell r="M2451">
            <v>2.95</v>
          </cell>
        </row>
        <row r="2452">
          <cell r="C2452" t="str">
            <v>37200</v>
          </cell>
          <cell r="D2452" t="str">
            <v>1C BL MANGO SELTZER MALT - LABATT</v>
          </cell>
          <cell r="E2452" t="str">
            <v>TURNING POINT BREWERY</v>
          </cell>
          <cell r="F2452" t="str">
            <v>473</v>
          </cell>
          <cell r="G2452">
            <v>4</v>
          </cell>
          <cell r="H2452">
            <v>12</v>
          </cell>
          <cell r="I2452" t="str">
            <v>1575</v>
          </cell>
          <cell r="L2452">
            <v>1</v>
          </cell>
          <cell r="M2452">
            <v>2.95</v>
          </cell>
        </row>
        <row r="2453">
          <cell r="C2453" t="str">
            <v>37201</v>
          </cell>
          <cell r="D2453" t="str">
            <v>1C BL STRAWBERRY SELTZER  MALT- LABATT</v>
          </cell>
          <cell r="E2453" t="str">
            <v>TURNING POINT BREWERY</v>
          </cell>
          <cell r="F2453" t="str">
            <v>473</v>
          </cell>
          <cell r="G2453">
            <v>4</v>
          </cell>
          <cell r="H2453">
            <v>12</v>
          </cell>
          <cell r="I2453" t="str">
            <v>1575</v>
          </cell>
          <cell r="L2453">
            <v>1</v>
          </cell>
          <cell r="M2453">
            <v>2.95</v>
          </cell>
        </row>
        <row r="2454">
          <cell r="C2454" t="str">
            <v>45282</v>
          </cell>
          <cell r="D2454" t="str">
            <v>1C COORS SELTZER CHERRY SLUSHIE (MALT)</v>
          </cell>
          <cell r="E2454" t="str">
            <v>MOLSON COORS CANADA</v>
          </cell>
          <cell r="F2454" t="str">
            <v>473</v>
          </cell>
          <cell r="G2454">
            <v>5</v>
          </cell>
          <cell r="H2454">
            <v>24</v>
          </cell>
          <cell r="I2454" t="str">
            <v>3276</v>
          </cell>
          <cell r="L2454">
            <v>1</v>
          </cell>
          <cell r="M2454">
            <v>3.16</v>
          </cell>
        </row>
        <row r="2455">
          <cell r="C2455" t="str">
            <v>45281</v>
          </cell>
          <cell r="D2455" t="str">
            <v>1C COORS SELTZER GRAPE SLUSHIE (MALT)</v>
          </cell>
          <cell r="E2455" t="str">
            <v>MOLSON COORS CANADA</v>
          </cell>
          <cell r="F2455" t="str">
            <v>473</v>
          </cell>
          <cell r="G2455">
            <v>4.5</v>
          </cell>
          <cell r="H2455">
            <v>24</v>
          </cell>
          <cell r="I2455" t="str">
            <v>3276</v>
          </cell>
          <cell r="L2455">
            <v>1</v>
          </cell>
          <cell r="M2455">
            <v>3.16</v>
          </cell>
        </row>
        <row r="2456">
          <cell r="C2456" t="str">
            <v>45656</v>
          </cell>
          <cell r="D2456" t="str">
            <v>1C MIKE'S HALFER LEMONADE &amp; LAGER (MALT)</v>
          </cell>
          <cell r="E2456" t="str">
            <v>LABATT BREWERIES OF CANADA</v>
          </cell>
          <cell r="F2456" t="str">
            <v>473</v>
          </cell>
          <cell r="G2456">
            <v>4</v>
          </cell>
          <cell r="H2456">
            <v>12</v>
          </cell>
          <cell r="I2456" t="str">
            <v>205874</v>
          </cell>
          <cell r="L2456">
            <v>1</v>
          </cell>
          <cell r="M2456">
            <v>3.89</v>
          </cell>
        </row>
        <row r="2457">
          <cell r="C2457" t="str">
            <v>28683</v>
          </cell>
          <cell r="D2457" t="str">
            <v>1C MIKE'S HARDER BLACK CHERRY LEMONADE</v>
          </cell>
          <cell r="E2457" t="str">
            <v>TURNING POINT BREWERY</v>
          </cell>
          <cell r="F2457" t="str">
            <v>740</v>
          </cell>
          <cell r="G2457">
            <v>8</v>
          </cell>
          <cell r="H2457">
            <v>12</v>
          </cell>
          <cell r="I2457" t="str">
            <v>1575</v>
          </cell>
          <cell r="L2457">
            <v>1</v>
          </cell>
          <cell r="M2457">
            <v>3.7</v>
          </cell>
        </row>
        <row r="2458">
          <cell r="C2458" t="str">
            <v>28682</v>
          </cell>
          <cell r="D2458" t="str">
            <v>1C MIKE'S HARDER LEMONADE LABATT</v>
          </cell>
          <cell r="E2458" t="str">
            <v>TURNING POINT BREWERY</v>
          </cell>
          <cell r="F2458" t="str">
            <v>740</v>
          </cell>
          <cell r="G2458">
            <v>8</v>
          </cell>
          <cell r="H2458">
            <v>12</v>
          </cell>
          <cell r="I2458" t="str">
            <v>1575</v>
          </cell>
          <cell r="L2458">
            <v>1</v>
          </cell>
          <cell r="M2458">
            <v>3.7</v>
          </cell>
        </row>
        <row r="2459">
          <cell r="C2459" t="str">
            <v>41392</v>
          </cell>
          <cell r="D2459" t="str">
            <v>1C VIZZY BLACK CHERRY LIME (MALT)MOLSON</v>
          </cell>
          <cell r="E2459" t="str">
            <v>MOLSON COORS CANADA</v>
          </cell>
          <cell r="F2459" t="str">
            <v>473</v>
          </cell>
          <cell r="G2459">
            <v>5</v>
          </cell>
          <cell r="H2459">
            <v>24</v>
          </cell>
          <cell r="I2459" t="str">
            <v>3276</v>
          </cell>
          <cell r="L2459">
            <v>1</v>
          </cell>
          <cell r="M2459">
            <v>2.99</v>
          </cell>
        </row>
        <row r="2460">
          <cell r="C2460" t="str">
            <v>35589</v>
          </cell>
          <cell r="D2460" t="str">
            <v>1C VIZZY BLUEBERRY POMEGRANATE MALT MOL</v>
          </cell>
          <cell r="E2460" t="str">
            <v>MOLSON COORS CANADA</v>
          </cell>
          <cell r="F2460" t="str">
            <v>473</v>
          </cell>
          <cell r="G2460">
            <v>5</v>
          </cell>
          <cell r="H2460">
            <v>24</v>
          </cell>
          <cell r="I2460" t="str">
            <v>3276</v>
          </cell>
          <cell r="L2460">
            <v>1</v>
          </cell>
          <cell r="M2460">
            <v>3.12</v>
          </cell>
        </row>
        <row r="2461">
          <cell r="C2461" t="str">
            <v>45173</v>
          </cell>
          <cell r="D2461" t="str">
            <v>1C VIZZY ORANGE CREAM POP (MALT) MOLSON</v>
          </cell>
          <cell r="E2461" t="str">
            <v>MOLSON COORS CANADA</v>
          </cell>
          <cell r="F2461" t="str">
            <v>473</v>
          </cell>
          <cell r="G2461">
            <v>5</v>
          </cell>
          <cell r="H2461">
            <v>24</v>
          </cell>
          <cell r="I2461" t="str">
            <v>3276</v>
          </cell>
          <cell r="L2461">
            <v>1</v>
          </cell>
          <cell r="M2461">
            <v>3.1</v>
          </cell>
        </row>
        <row r="2462">
          <cell r="C2462" t="str">
            <v>35588</v>
          </cell>
          <cell r="D2462" t="str">
            <v>1C VIZZY PINEAPPLE MANGO MALT- MOLSON</v>
          </cell>
          <cell r="E2462" t="str">
            <v>MOLSON COORS CANADA</v>
          </cell>
          <cell r="F2462" t="str">
            <v>473</v>
          </cell>
          <cell r="G2462">
            <v>5</v>
          </cell>
          <cell r="H2462">
            <v>24</v>
          </cell>
          <cell r="I2462" t="str">
            <v>3276</v>
          </cell>
          <cell r="L2462">
            <v>1</v>
          </cell>
          <cell r="M2462">
            <v>3.01</v>
          </cell>
        </row>
        <row r="2463">
          <cell r="C2463" t="str">
            <v>41255</v>
          </cell>
          <cell r="D2463" t="str">
            <v>1K RASPBERRY LEMONADE (MLT) MOLSON</v>
          </cell>
          <cell r="E2463" t="str">
            <v>MOLSON COORS CANADA</v>
          </cell>
          <cell r="F2463" t="str">
            <v>19500</v>
          </cell>
          <cell r="G2463">
            <v>5</v>
          </cell>
          <cell r="H2463">
            <v>1</v>
          </cell>
          <cell r="I2463" t="str">
            <v>3276</v>
          </cell>
          <cell r="L2463">
            <v>1</v>
          </cell>
          <cell r="M2463">
            <v>90</v>
          </cell>
        </row>
        <row r="2464">
          <cell r="C2464" t="str">
            <v>39322</v>
          </cell>
          <cell r="D2464" t="str">
            <v>1K VIZZY PAPAYA PASSIONFRUIT (MALT)-MOLS</v>
          </cell>
          <cell r="E2464" t="str">
            <v>MOLSON COORS CANADA</v>
          </cell>
          <cell r="F2464" t="str">
            <v>19500</v>
          </cell>
          <cell r="G2464">
            <v>5</v>
          </cell>
          <cell r="H2464">
            <v>1</v>
          </cell>
          <cell r="I2464" t="str">
            <v>3276</v>
          </cell>
          <cell r="L2464">
            <v>1</v>
          </cell>
          <cell r="M2464">
            <v>90</v>
          </cell>
        </row>
        <row r="2465">
          <cell r="C2465" t="str">
            <v>37923</v>
          </cell>
          <cell r="D2465" t="str">
            <v>24C BL SELTZER MIXER MALT PK - LABATT</v>
          </cell>
          <cell r="E2465" t="str">
            <v>TURNING POINT BREWERY</v>
          </cell>
          <cell r="F2465" t="str">
            <v>8520</v>
          </cell>
          <cell r="G2465">
            <v>4</v>
          </cell>
          <cell r="H2465">
            <v>1</v>
          </cell>
          <cell r="I2465" t="str">
            <v>1575</v>
          </cell>
          <cell r="L2465">
            <v>24</v>
          </cell>
          <cell r="M2465">
            <v>45.15</v>
          </cell>
        </row>
        <row r="2466">
          <cell r="C2466" t="str">
            <v>35680</v>
          </cell>
          <cell r="D2466" t="str">
            <v>6C BL BLACK CHERRY SELTZER MALT- LAB</v>
          </cell>
          <cell r="E2466" t="str">
            <v>TURNING POINT BREWERY</v>
          </cell>
          <cell r="F2466" t="str">
            <v>2130</v>
          </cell>
          <cell r="G2466">
            <v>4</v>
          </cell>
          <cell r="H2466">
            <v>1</v>
          </cell>
          <cell r="I2466" t="str">
            <v>1575</v>
          </cell>
          <cell r="L2466">
            <v>6</v>
          </cell>
          <cell r="M2466">
            <v>12.44</v>
          </cell>
        </row>
        <row r="2467">
          <cell r="C2467" t="str">
            <v>35681</v>
          </cell>
          <cell r="D2467" t="str">
            <v>6C BL MANGO SELTZER MALT - LABATT</v>
          </cell>
          <cell r="E2467" t="str">
            <v>TURNING POINT BREWERY</v>
          </cell>
          <cell r="F2467" t="str">
            <v>2130</v>
          </cell>
          <cell r="G2467">
            <v>4</v>
          </cell>
          <cell r="H2467">
            <v>1</v>
          </cell>
          <cell r="I2467" t="str">
            <v>1575</v>
          </cell>
          <cell r="L2467">
            <v>6</v>
          </cell>
          <cell r="M2467">
            <v>12.44</v>
          </cell>
        </row>
        <row r="2468">
          <cell r="C2468" t="str">
            <v>35682</v>
          </cell>
          <cell r="D2468" t="str">
            <v>6C BL STRAWBERRY SELTZER MALT - LABATT</v>
          </cell>
          <cell r="E2468" t="str">
            <v>TURNING POINT BREWERY</v>
          </cell>
          <cell r="F2468" t="str">
            <v>2130</v>
          </cell>
          <cell r="G2468">
            <v>4</v>
          </cell>
          <cell r="H2468">
            <v>1</v>
          </cell>
          <cell r="I2468" t="str">
            <v>1575</v>
          </cell>
          <cell r="L2468">
            <v>6</v>
          </cell>
          <cell r="M2468">
            <v>12.44</v>
          </cell>
        </row>
        <row r="2469">
          <cell r="C2469" t="str">
            <v>43084</v>
          </cell>
          <cell r="D2469" t="str">
            <v>12C 306 HARD ICED TEA - GREAT WESTERN</v>
          </cell>
          <cell r="E2469" t="str">
            <v>GREAT WESTERN BREWING COMPANY</v>
          </cell>
          <cell r="F2469" t="str">
            <v>4260</v>
          </cell>
          <cell r="G2469">
            <v>5</v>
          </cell>
          <cell r="H2469">
            <v>1</v>
          </cell>
          <cell r="I2469" t="str">
            <v>3274</v>
          </cell>
          <cell r="L2469">
            <v>12</v>
          </cell>
          <cell r="M2469">
            <v>21.99</v>
          </cell>
        </row>
        <row r="2470">
          <cell r="C2470" t="str">
            <v>41113</v>
          </cell>
          <cell r="D2470" t="str">
            <v>12C 306 MIX VARIETY PK (SPT) - GW</v>
          </cell>
          <cell r="E2470" t="str">
            <v>GREAT WESTERN BREWING COMPANY</v>
          </cell>
          <cell r="F2470" t="str">
            <v>4260</v>
          </cell>
          <cell r="G2470">
            <v>5</v>
          </cell>
          <cell r="H2470">
            <v>1</v>
          </cell>
          <cell r="I2470" t="str">
            <v>3274</v>
          </cell>
          <cell r="L2470">
            <v>12</v>
          </cell>
          <cell r="M2470">
            <v>21.99</v>
          </cell>
        </row>
        <row r="2471">
          <cell r="C2471" t="str">
            <v>38509</v>
          </cell>
          <cell r="D2471" t="str">
            <v>12C ARIZONA HALF AND HALF (SPT) - MOLSON</v>
          </cell>
          <cell r="E2471" t="str">
            <v>MOLSON COORS CANADA</v>
          </cell>
          <cell r="F2471" t="str">
            <v>4260</v>
          </cell>
          <cell r="G2471">
            <v>5</v>
          </cell>
          <cell r="H2471">
            <v>1</v>
          </cell>
          <cell r="I2471" t="str">
            <v>3276</v>
          </cell>
          <cell r="L2471">
            <v>12</v>
          </cell>
          <cell r="M2471">
            <v>26</v>
          </cell>
        </row>
        <row r="2472">
          <cell r="C2472" t="str">
            <v>42838</v>
          </cell>
          <cell r="D2472" t="str">
            <v>12C ARIZONA HARD HALF &amp; HALF(SPT)MOLSON</v>
          </cell>
          <cell r="E2472" t="str">
            <v>MOLSON COORS CANADA</v>
          </cell>
          <cell r="F2472" t="str">
            <v>4260</v>
          </cell>
          <cell r="G2472">
            <v>5</v>
          </cell>
          <cell r="H2472">
            <v>1</v>
          </cell>
          <cell r="I2472" t="str">
            <v>3276</v>
          </cell>
          <cell r="L2472">
            <v>12</v>
          </cell>
          <cell r="M2472">
            <v>26</v>
          </cell>
        </row>
        <row r="2473">
          <cell r="C2473" t="str">
            <v>35656</v>
          </cell>
          <cell r="D2473" t="str">
            <v>12C ARIZONA HARD ICED TEA MIXER MOLSON</v>
          </cell>
          <cell r="E2473" t="str">
            <v>MOLSON COORS BEVERAGE COMPANY</v>
          </cell>
          <cell r="F2473" t="str">
            <v>4260</v>
          </cell>
          <cell r="G2473">
            <v>5</v>
          </cell>
          <cell r="H2473">
            <v>1</v>
          </cell>
          <cell r="I2473" t="str">
            <v>3276</v>
          </cell>
          <cell r="L2473">
            <v>12</v>
          </cell>
          <cell r="M2473">
            <v>26</v>
          </cell>
        </row>
        <row r="2474">
          <cell r="C2474" t="str">
            <v>38413</v>
          </cell>
          <cell r="D2474" t="str">
            <v>12C ARIZONA HARD LEMON ICED TEA (SPT)MOL</v>
          </cell>
          <cell r="E2474" t="str">
            <v>MOLSON COORS CANADA</v>
          </cell>
          <cell r="F2474" t="str">
            <v>4260</v>
          </cell>
          <cell r="G2474">
            <v>5</v>
          </cell>
          <cell r="H2474">
            <v>1</v>
          </cell>
          <cell r="I2474" t="str">
            <v>3276</v>
          </cell>
          <cell r="L2474">
            <v>12</v>
          </cell>
          <cell r="M2474">
            <v>26</v>
          </cell>
        </row>
        <row r="2475">
          <cell r="C2475" t="str">
            <v>46876</v>
          </cell>
          <cell r="D2475" t="str">
            <v>12C ARIZONA HARD VP (SPT) - MOLSON</v>
          </cell>
          <cell r="E2475" t="str">
            <v>MOLSON COORS CANADA</v>
          </cell>
          <cell r="F2475" t="str">
            <v>4260</v>
          </cell>
          <cell r="G2475">
            <v>4.5</v>
          </cell>
          <cell r="H2475">
            <v>1</v>
          </cell>
          <cell r="I2475" t="str">
            <v>3276</v>
          </cell>
          <cell r="L2475">
            <v>12</v>
          </cell>
          <cell r="M2475">
            <v>26</v>
          </cell>
        </row>
        <row r="2476">
          <cell r="C2476" t="str">
            <v>45215</v>
          </cell>
          <cell r="D2476" t="str">
            <v>12C AVIT HALF &amp; HALF (SPT) - LABATT</v>
          </cell>
          <cell r="E2476" t="str">
            <v>LABATT BREWERIES OF CANADA</v>
          </cell>
          <cell r="F2476" t="str">
            <v>4260</v>
          </cell>
          <cell r="G2476">
            <v>5</v>
          </cell>
          <cell r="H2476">
            <v>1</v>
          </cell>
          <cell r="I2476" t="str">
            <v>205874</v>
          </cell>
          <cell r="L2476">
            <v>12</v>
          </cell>
          <cell r="M2476">
            <v>27.28</v>
          </cell>
        </row>
        <row r="2477">
          <cell r="C2477" t="str">
            <v>21970</v>
          </cell>
          <cell r="D2477" t="str">
            <v>12C AVIT LEMON HARD ICED TEA - LABATT</v>
          </cell>
          <cell r="E2477" t="str">
            <v>TURNING POINT BREWERY</v>
          </cell>
          <cell r="F2477" t="str">
            <v>4260</v>
          </cell>
          <cell r="G2477">
            <v>5</v>
          </cell>
          <cell r="H2477">
            <v>1</v>
          </cell>
          <cell r="I2477" t="str">
            <v>205874</v>
          </cell>
          <cell r="L2477">
            <v>12</v>
          </cell>
          <cell r="M2477">
            <v>27.28</v>
          </cell>
        </row>
        <row r="2478">
          <cell r="C2478" t="str">
            <v>26365</v>
          </cell>
          <cell r="D2478" t="str">
            <v>12C AVIT MIXER - LABATT</v>
          </cell>
          <cell r="E2478" t="str">
            <v>TURNING POINT BREWERY</v>
          </cell>
          <cell r="F2478" t="str">
            <v>4260</v>
          </cell>
          <cell r="G2478">
            <v>5</v>
          </cell>
          <cell r="H2478">
            <v>2</v>
          </cell>
          <cell r="I2478" t="str">
            <v>205874</v>
          </cell>
          <cell r="L2478">
            <v>12</v>
          </cell>
          <cell r="M2478">
            <v>27.28</v>
          </cell>
        </row>
        <row r="2479">
          <cell r="C2479" t="str">
            <v>38239</v>
          </cell>
          <cell r="D2479" t="str">
            <v>12C BL LEMONADE SELTZER VAR (SPT) - LAB</v>
          </cell>
          <cell r="E2479" t="str">
            <v>TURNING POINT BREWERY</v>
          </cell>
          <cell r="F2479" t="str">
            <v>4260</v>
          </cell>
          <cell r="G2479">
            <v>4</v>
          </cell>
          <cell r="H2479">
            <v>1</v>
          </cell>
          <cell r="I2479" t="str">
            <v>205874</v>
          </cell>
          <cell r="L2479">
            <v>12</v>
          </cell>
          <cell r="M2479">
            <v>26.98</v>
          </cell>
        </row>
        <row r="2480">
          <cell r="C2480" t="str">
            <v>40575</v>
          </cell>
          <cell r="D2480" t="str">
            <v>12C BL SELTZER HARD SODA MIX (SPT) LAB</v>
          </cell>
          <cell r="E2480" t="str">
            <v>TURNING POINT BREWERY</v>
          </cell>
          <cell r="F2480" t="str">
            <v>4260</v>
          </cell>
          <cell r="G2480">
            <v>4</v>
          </cell>
          <cell r="H2480">
            <v>1</v>
          </cell>
          <cell r="I2480" t="str">
            <v>205874</v>
          </cell>
          <cell r="L2480">
            <v>12</v>
          </cell>
          <cell r="M2480">
            <v>25.1</v>
          </cell>
        </row>
        <row r="2481">
          <cell r="C2481" t="str">
            <v>37392</v>
          </cell>
          <cell r="D2481" t="str">
            <v>12C BL SELTZER HOLIDAY VARIETY SPT LAB</v>
          </cell>
          <cell r="E2481" t="str">
            <v>TURNING POINT BREWERY</v>
          </cell>
          <cell r="F2481" t="str">
            <v>4260</v>
          </cell>
          <cell r="G2481">
            <v>4</v>
          </cell>
          <cell r="H2481">
            <v>1</v>
          </cell>
          <cell r="I2481" t="str">
            <v>205874</v>
          </cell>
          <cell r="L2481">
            <v>12</v>
          </cell>
          <cell r="M2481">
            <v>23.52</v>
          </cell>
        </row>
        <row r="2482">
          <cell r="C2482" t="str">
            <v>39062</v>
          </cell>
          <cell r="D2482" t="str">
            <v>12C BL SELTZER OUT OF OFFICE MIXER (SPT)</v>
          </cell>
          <cell r="E2482" t="str">
            <v>LABATT BREWERIES OF CANADA</v>
          </cell>
          <cell r="F2482" t="str">
            <v>4260</v>
          </cell>
          <cell r="G2482">
            <v>4</v>
          </cell>
          <cell r="H2482">
            <v>1</v>
          </cell>
          <cell r="I2482" t="str">
            <v>205874</v>
          </cell>
          <cell r="L2482">
            <v>12</v>
          </cell>
          <cell r="M2482">
            <v>27.99</v>
          </cell>
        </row>
        <row r="2483">
          <cell r="C2483" t="str">
            <v>42770</v>
          </cell>
          <cell r="D2483" t="str">
            <v>12C COORS SELTZ ISLAND BREEZE (SPT) MOL</v>
          </cell>
          <cell r="E2483" t="str">
            <v>MOLSON COORS CANADA</v>
          </cell>
          <cell r="F2483" t="str">
            <v>4260</v>
          </cell>
          <cell r="G2483">
            <v>4.5</v>
          </cell>
          <cell r="H2483">
            <v>1</v>
          </cell>
          <cell r="I2483" t="str">
            <v>3276</v>
          </cell>
          <cell r="L2483">
            <v>12</v>
          </cell>
          <cell r="M2483">
            <v>27.99</v>
          </cell>
        </row>
        <row r="2484">
          <cell r="C2484" t="str">
            <v>38416</v>
          </cell>
          <cell r="D2484" t="str">
            <v>12C COORS SELTZER FRUIT SPLASH PK (SPT)M</v>
          </cell>
          <cell r="E2484" t="str">
            <v>MOLSON COORS CANADA</v>
          </cell>
          <cell r="F2484" t="str">
            <v>4260</v>
          </cell>
          <cell r="G2484">
            <v>4.5</v>
          </cell>
          <cell r="H2484">
            <v>1</v>
          </cell>
          <cell r="I2484" t="str">
            <v>3276</v>
          </cell>
          <cell r="L2484">
            <v>12</v>
          </cell>
          <cell r="M2484">
            <v>27.99</v>
          </cell>
        </row>
        <row r="2485">
          <cell r="C2485" t="str">
            <v>45139</v>
          </cell>
          <cell r="D2485" t="str">
            <v>12C COORS SELTZER MIXABLES SPT - MOLSON</v>
          </cell>
          <cell r="E2485" t="str">
            <v>MOLSON COORS CANADA</v>
          </cell>
          <cell r="F2485" t="str">
            <v>4260</v>
          </cell>
          <cell r="G2485">
            <v>4.5</v>
          </cell>
          <cell r="H2485">
            <v>1</v>
          </cell>
          <cell r="I2485" t="str">
            <v>3276</v>
          </cell>
          <cell r="L2485">
            <v>12</v>
          </cell>
          <cell r="M2485">
            <v>27.99</v>
          </cell>
        </row>
        <row r="2486">
          <cell r="C2486" t="str">
            <v>40688</v>
          </cell>
          <cell r="D2486" t="str">
            <v>12C COORS SELTZER SLUSHIE MIX (SPT) MOLS</v>
          </cell>
          <cell r="E2486" t="str">
            <v>MOLSON COORS CANADA</v>
          </cell>
          <cell r="F2486" t="str">
            <v>4260</v>
          </cell>
          <cell r="G2486">
            <v>4</v>
          </cell>
          <cell r="H2486">
            <v>1</v>
          </cell>
          <cell r="I2486" t="str">
            <v>3276</v>
          </cell>
          <cell r="L2486">
            <v>12</v>
          </cell>
          <cell r="M2486">
            <v>27.99</v>
          </cell>
        </row>
        <row r="2487">
          <cell r="C2487" t="str">
            <v>46887</v>
          </cell>
          <cell r="D2487" t="str">
            <v>12C COORS SELTZER SLUSHIE VP (SPT) MOL</v>
          </cell>
          <cell r="E2487" t="str">
            <v>MOLSON COORS CANADA</v>
          </cell>
          <cell r="F2487" t="str">
            <v>4260</v>
          </cell>
          <cell r="G2487">
            <v>7</v>
          </cell>
          <cell r="H2487">
            <v>1</v>
          </cell>
          <cell r="I2487" t="str">
            <v>3276</v>
          </cell>
          <cell r="L2487">
            <v>12</v>
          </cell>
          <cell r="M2487">
            <v>27.99</v>
          </cell>
        </row>
        <row r="2488">
          <cell r="C2488" t="str">
            <v>38246</v>
          </cell>
          <cell r="D2488" t="str">
            <v>12C CORONA SELTZER VARIETY (SPT)- LABATT</v>
          </cell>
          <cell r="E2488" t="str">
            <v>TURNING POINT BREWERY</v>
          </cell>
          <cell r="F2488" t="str">
            <v>4260</v>
          </cell>
          <cell r="G2488">
            <v>4.2</v>
          </cell>
          <cell r="H2488">
            <v>1</v>
          </cell>
          <cell r="I2488" t="str">
            <v>205874</v>
          </cell>
          <cell r="L2488">
            <v>12</v>
          </cell>
          <cell r="M2488">
            <v>26.98</v>
          </cell>
        </row>
        <row r="2489">
          <cell r="C2489" t="str">
            <v>42084</v>
          </cell>
          <cell r="D2489" t="str">
            <v>12C DECA HARD ICED TEA - BIG ROCK</v>
          </cell>
          <cell r="E2489" t="str">
            <v>BIG ROCK (ALBERTA) LTD. (R)</v>
          </cell>
          <cell r="F2489" t="str">
            <v>4260</v>
          </cell>
          <cell r="G2489">
            <v>5</v>
          </cell>
          <cell r="H2489">
            <v>1</v>
          </cell>
          <cell r="I2489" t="str">
            <v>3227</v>
          </cell>
          <cell r="L2489">
            <v>12</v>
          </cell>
          <cell r="M2489">
            <v>19.8</v>
          </cell>
        </row>
        <row r="2490">
          <cell r="C2490" t="str">
            <v>36302</v>
          </cell>
          <cell r="D2490" t="str">
            <v>12C DECA VODKA SODA VARITY PK - BIG ROCK</v>
          </cell>
          <cell r="E2490" t="str">
            <v>BIG ROCK (ALBERTA) LTD. (R)</v>
          </cell>
          <cell r="F2490" t="str">
            <v>4260</v>
          </cell>
          <cell r="G2490">
            <v>5</v>
          </cell>
          <cell r="H2490">
            <v>1</v>
          </cell>
          <cell r="I2490" t="str">
            <v>3227</v>
          </cell>
          <cell r="L2490">
            <v>12</v>
          </cell>
          <cell r="M2490">
            <v>20.100000000000001</v>
          </cell>
        </row>
        <row r="2491">
          <cell r="C2491" t="str">
            <v>48215</v>
          </cell>
          <cell r="D2491" t="str">
            <v>12C HOOP TEA (SPT) LABATT</v>
          </cell>
          <cell r="E2491" t="str">
            <v>LABATT BREWERIES OF CANADA</v>
          </cell>
          <cell r="F2491" t="str">
            <v>4260</v>
          </cell>
          <cell r="G2491">
            <v>7</v>
          </cell>
          <cell r="H2491">
            <v>1</v>
          </cell>
          <cell r="I2491" t="str">
            <v>205874</v>
          </cell>
          <cell r="L2491">
            <v>12</v>
          </cell>
          <cell r="M2491">
            <v>25.3</v>
          </cell>
        </row>
        <row r="2492">
          <cell r="C2492" t="str">
            <v>45425</v>
          </cell>
          <cell r="D2492" t="str">
            <v>12C LAKE LIFE HALF &amp; HALF (SPT) - GW</v>
          </cell>
          <cell r="E2492" t="str">
            <v>GREAT WESTERN BREWING COMPANY</v>
          </cell>
          <cell r="F2492" t="str">
            <v>4260</v>
          </cell>
          <cell r="G2492">
            <v>5</v>
          </cell>
          <cell r="H2492">
            <v>1</v>
          </cell>
          <cell r="I2492" t="str">
            <v>3274</v>
          </cell>
          <cell r="L2492">
            <v>12</v>
          </cell>
          <cell r="M2492">
            <v>27.28</v>
          </cell>
        </row>
        <row r="2493">
          <cell r="C2493" t="str">
            <v>45422</v>
          </cell>
          <cell r="D2493" t="str">
            <v>12C LAKE LIFE HARD ICED TEA (SPT) - GW</v>
          </cell>
          <cell r="E2493" t="str">
            <v>GREAT WESTERN BREWING COMPANY</v>
          </cell>
          <cell r="F2493" t="str">
            <v>4260</v>
          </cell>
          <cell r="G2493">
            <v>5</v>
          </cell>
          <cell r="H2493">
            <v>1</v>
          </cell>
          <cell r="I2493" t="str">
            <v>3274</v>
          </cell>
          <cell r="L2493">
            <v>12</v>
          </cell>
          <cell r="M2493">
            <v>27.28</v>
          </cell>
        </row>
        <row r="2494">
          <cell r="C2494" t="str">
            <v>45424</v>
          </cell>
          <cell r="D2494" t="str">
            <v>12C LAKE LIFE LEMONADE (SPT) - GW</v>
          </cell>
          <cell r="E2494" t="str">
            <v>GREAT WESTERN BREWING COMPANY</v>
          </cell>
          <cell r="F2494" t="str">
            <v>4260</v>
          </cell>
          <cell r="G2494">
            <v>5</v>
          </cell>
          <cell r="H2494">
            <v>1</v>
          </cell>
          <cell r="I2494" t="str">
            <v>3274</v>
          </cell>
          <cell r="L2494">
            <v>12</v>
          </cell>
          <cell r="M2494">
            <v>27.28</v>
          </cell>
        </row>
        <row r="2495">
          <cell r="C2495" t="str">
            <v>39321</v>
          </cell>
          <cell r="D2495" t="str">
            <v>12C MIKE'S HARD FREEZE PACK - LABATT</v>
          </cell>
          <cell r="E2495" t="str">
            <v>TURNING POINT BREWERY</v>
          </cell>
          <cell r="F2495" t="str">
            <v>4260</v>
          </cell>
          <cell r="G2495">
            <v>5</v>
          </cell>
          <cell r="H2495">
            <v>1</v>
          </cell>
          <cell r="I2495" t="str">
            <v>205874</v>
          </cell>
          <cell r="L2495">
            <v>12</v>
          </cell>
          <cell r="M2495">
            <v>25.59</v>
          </cell>
        </row>
        <row r="2496">
          <cell r="C2496" t="str">
            <v>38488</v>
          </cell>
          <cell r="D2496" t="str">
            <v>12C MIKE'S HARD LEMON TEA (SPT) - LABATT</v>
          </cell>
          <cell r="E2496" t="str">
            <v>RTD CANADA</v>
          </cell>
          <cell r="F2496" t="str">
            <v>4260</v>
          </cell>
          <cell r="G2496">
            <v>5</v>
          </cell>
          <cell r="H2496">
            <v>1</v>
          </cell>
          <cell r="I2496" t="str">
            <v>1575</v>
          </cell>
          <cell r="L2496">
            <v>12</v>
          </cell>
          <cell r="M2496">
            <v>27.28</v>
          </cell>
        </row>
        <row r="2497">
          <cell r="C2497" t="str">
            <v>43139</v>
          </cell>
          <cell r="D2497" t="str">
            <v>12C MIKE'S HARD LEMONADE</v>
          </cell>
          <cell r="E2497" t="str">
            <v>RTD CANADA</v>
          </cell>
          <cell r="F2497" t="str">
            <v>4260</v>
          </cell>
          <cell r="G2497">
            <v>5</v>
          </cell>
          <cell r="H2497">
            <v>1</v>
          </cell>
          <cell r="I2497" t="str">
            <v>205874</v>
          </cell>
          <cell r="L2497">
            <v>12</v>
          </cell>
          <cell r="M2497">
            <v>25.59</v>
          </cell>
        </row>
        <row r="2498">
          <cell r="C2498" t="str">
            <v>26367</v>
          </cell>
          <cell r="D2498" t="str">
            <v>12C MIKE'S HARD MIXED PACK</v>
          </cell>
          <cell r="E2498" t="str">
            <v>TURNING POINT BREWERY</v>
          </cell>
          <cell r="F2498" t="str">
            <v>4260</v>
          </cell>
          <cell r="G2498">
            <v>5</v>
          </cell>
          <cell r="H2498">
            <v>1</v>
          </cell>
          <cell r="I2498" t="str">
            <v>205874</v>
          </cell>
          <cell r="L2498">
            <v>12</v>
          </cell>
          <cell r="M2498">
            <v>25.59</v>
          </cell>
        </row>
        <row r="2499">
          <cell r="C2499" t="str">
            <v>38487</v>
          </cell>
          <cell r="D2499" t="str">
            <v>12C MIKE'S HARD TEA MIXER (SPT) LABATT</v>
          </cell>
          <cell r="E2499" t="str">
            <v>RTD CANADA</v>
          </cell>
          <cell r="F2499" t="str">
            <v>4260</v>
          </cell>
          <cell r="G2499">
            <v>5</v>
          </cell>
          <cell r="H2499">
            <v>1</v>
          </cell>
          <cell r="I2499" t="str">
            <v>1575</v>
          </cell>
          <cell r="L2499">
            <v>12</v>
          </cell>
          <cell r="M2499">
            <v>27.28</v>
          </cell>
        </row>
        <row r="2500">
          <cell r="C2500" t="str">
            <v>44316</v>
          </cell>
          <cell r="D2500" t="str">
            <v>12C MIKE'S HARDER MIXER (SPT) - LABATT</v>
          </cell>
          <cell r="E2500" t="str">
            <v>LABATT BREWERIES OF CANADA</v>
          </cell>
          <cell r="F2500" t="str">
            <v>4260</v>
          </cell>
          <cell r="G2500">
            <v>7</v>
          </cell>
          <cell r="H2500">
            <v>1</v>
          </cell>
          <cell r="I2500" t="str">
            <v>1575</v>
          </cell>
          <cell r="L2500">
            <v>12</v>
          </cell>
          <cell r="M2500">
            <v>25.59</v>
          </cell>
        </row>
        <row r="2501">
          <cell r="C2501" t="str">
            <v>42966</v>
          </cell>
          <cell r="D2501" t="str">
            <v>12C MIKE'S PINK LEMONADE ICED TEA (Spt)</v>
          </cell>
          <cell r="E2501" t="str">
            <v>LABATT BREWERIES OF CANADA</v>
          </cell>
          <cell r="F2501" t="str">
            <v>4260</v>
          </cell>
          <cell r="G2501">
            <v>5</v>
          </cell>
          <cell r="H2501">
            <v>1</v>
          </cell>
          <cell r="I2501" t="str">
            <v>1575</v>
          </cell>
          <cell r="L2501">
            <v>12</v>
          </cell>
          <cell r="M2501">
            <v>27.28</v>
          </cell>
        </row>
        <row r="2502">
          <cell r="C2502" t="str">
            <v>40782</v>
          </cell>
          <cell r="D2502" t="str">
            <v>12C NUTRL TROPICAL MIXER</v>
          </cell>
          <cell r="E2502" t="str">
            <v>RTD CANADA</v>
          </cell>
          <cell r="F2502" t="str">
            <v>4260</v>
          </cell>
          <cell r="G2502">
            <v>5</v>
          </cell>
          <cell r="H2502">
            <v>1</v>
          </cell>
          <cell r="I2502" t="str">
            <v>205874</v>
          </cell>
          <cell r="L2502">
            <v>12</v>
          </cell>
          <cell r="M2502">
            <v>27.24</v>
          </cell>
        </row>
        <row r="2503">
          <cell r="C2503" t="str">
            <v>40737</v>
          </cell>
          <cell r="D2503" t="str">
            <v>12C NUTRL VODKA SODA 7% MIXER</v>
          </cell>
          <cell r="E2503" t="str">
            <v>RTD CANADA</v>
          </cell>
          <cell r="F2503" t="str">
            <v>4260</v>
          </cell>
          <cell r="G2503">
            <v>7</v>
          </cell>
          <cell r="H2503">
            <v>1</v>
          </cell>
          <cell r="I2503" t="str">
            <v>205874</v>
          </cell>
          <cell r="L2503">
            <v>12</v>
          </cell>
          <cell r="M2503">
            <v>29.29</v>
          </cell>
        </row>
        <row r="2504">
          <cell r="C2504" t="str">
            <v>45151</v>
          </cell>
          <cell r="D2504" t="str">
            <v>12C NUTRL VODKA SODA BERRY MIX(SPT) LAB</v>
          </cell>
          <cell r="E2504" t="str">
            <v>LABATT BREWERIES OF CANADA</v>
          </cell>
          <cell r="F2504" t="str">
            <v>4260</v>
          </cell>
          <cell r="G2504">
            <v>7</v>
          </cell>
          <cell r="H2504">
            <v>1</v>
          </cell>
          <cell r="I2504" t="str">
            <v>205874</v>
          </cell>
          <cell r="L2504">
            <v>12</v>
          </cell>
          <cell r="M2504">
            <v>29.29</v>
          </cell>
        </row>
        <row r="2505">
          <cell r="C2505" t="str">
            <v>43150</v>
          </cell>
          <cell r="D2505" t="str">
            <v>12C NUTRL VODKA SODA LIME</v>
          </cell>
          <cell r="E2505" t="str">
            <v>RTD CANADA</v>
          </cell>
          <cell r="F2505" t="str">
            <v>4260</v>
          </cell>
          <cell r="G2505">
            <v>5</v>
          </cell>
          <cell r="H2505">
            <v>1</v>
          </cell>
          <cell r="I2505" t="str">
            <v>205874</v>
          </cell>
          <cell r="L2505">
            <v>12</v>
          </cell>
          <cell r="M2505">
            <v>27.24</v>
          </cell>
        </row>
        <row r="2506">
          <cell r="C2506" t="str">
            <v>34406</v>
          </cell>
          <cell r="D2506" t="str">
            <v>12C NUTRL VODKA SODA MIXED PACK 12pk</v>
          </cell>
          <cell r="E2506" t="str">
            <v>GOODRIDGE &amp; WILLIAMS DISTILLING INC</v>
          </cell>
          <cell r="F2506" t="str">
            <v>4260</v>
          </cell>
          <cell r="G2506">
            <v>5</v>
          </cell>
          <cell r="H2506">
            <v>1</v>
          </cell>
          <cell r="I2506" t="str">
            <v>205874</v>
          </cell>
          <cell r="L2506">
            <v>12</v>
          </cell>
          <cell r="M2506">
            <v>27.24</v>
          </cell>
        </row>
        <row r="2507">
          <cell r="C2507" t="str">
            <v>35708</v>
          </cell>
          <cell r="D2507" t="str">
            <v>12C O16 HARD SELTZER VARIETY (SPT) -GW</v>
          </cell>
          <cell r="E2507" t="str">
            <v>GREAT WESTERN BREWING COMPANY</v>
          </cell>
          <cell r="F2507" t="str">
            <v>4260</v>
          </cell>
          <cell r="G2507">
            <v>4.8</v>
          </cell>
          <cell r="H2507">
            <v>1</v>
          </cell>
          <cell r="I2507" t="str">
            <v>3274</v>
          </cell>
          <cell r="L2507">
            <v>12</v>
          </cell>
          <cell r="M2507">
            <v>24.49</v>
          </cell>
        </row>
        <row r="2508">
          <cell r="C2508" t="str">
            <v>42663</v>
          </cell>
          <cell r="D2508" t="str">
            <v>12C PABST STRONG VODKA ICED TEA  SLEEMAN</v>
          </cell>
          <cell r="E2508" t="str">
            <v>BLACK FLY BEVERAGE COMPANY</v>
          </cell>
          <cell r="F2508" t="str">
            <v>4260</v>
          </cell>
          <cell r="G2508">
            <v>5.9</v>
          </cell>
          <cell r="H2508">
            <v>1</v>
          </cell>
          <cell r="I2508" t="str">
            <v>3302</v>
          </cell>
          <cell r="L2508">
            <v>12</v>
          </cell>
          <cell r="M2508">
            <v>26.66</v>
          </cell>
        </row>
        <row r="2509">
          <cell r="C2509" t="str">
            <v>45011</v>
          </cell>
          <cell r="D2509" t="str">
            <v>12C PABST STRONG VODKA LEMONADE SPT SLM</v>
          </cell>
          <cell r="E2509" t="str">
            <v>BLACK FLY BEVERAGE COMPANY</v>
          </cell>
          <cell r="F2509" t="str">
            <v>4260</v>
          </cell>
          <cell r="G2509">
            <v>5.9</v>
          </cell>
          <cell r="H2509">
            <v>1</v>
          </cell>
          <cell r="I2509" t="str">
            <v>3302</v>
          </cell>
          <cell r="L2509">
            <v>12</v>
          </cell>
          <cell r="M2509">
            <v>26.66</v>
          </cell>
        </row>
        <row r="2510">
          <cell r="C2510" t="str">
            <v>30853</v>
          </cell>
          <cell r="D2510" t="str">
            <v>12C PALM BAY VARIETY PACK</v>
          </cell>
          <cell r="E2510" t="str">
            <v>TURNING POINT BREWERY</v>
          </cell>
          <cell r="F2510" t="str">
            <v>4260</v>
          </cell>
          <cell r="G2510">
            <v>5</v>
          </cell>
          <cell r="H2510">
            <v>1</v>
          </cell>
          <cell r="I2510" t="str">
            <v>205874</v>
          </cell>
          <cell r="L2510">
            <v>12</v>
          </cell>
          <cell r="M2510">
            <v>25.59</v>
          </cell>
        </row>
        <row r="2511">
          <cell r="C2511" t="str">
            <v>44248</v>
          </cell>
          <cell r="D2511" t="str">
            <v>12C SIMPLY SPIKED CRAN (SPT) - MOLSON</v>
          </cell>
          <cell r="E2511" t="str">
            <v>MOLSON COORS CANADA</v>
          </cell>
          <cell r="F2511" t="str">
            <v>4260</v>
          </cell>
          <cell r="G2511">
            <v>5</v>
          </cell>
          <cell r="H2511">
            <v>1</v>
          </cell>
          <cell r="I2511" t="str">
            <v>3276</v>
          </cell>
          <cell r="L2511">
            <v>12</v>
          </cell>
          <cell r="M2511">
            <v>26.49</v>
          </cell>
        </row>
        <row r="2512">
          <cell r="C2512" t="str">
            <v>40678</v>
          </cell>
          <cell r="D2512" t="str">
            <v>12C SIMPLY SPIKED LEMONADE (SPT) MOLSON</v>
          </cell>
          <cell r="E2512" t="str">
            <v>MOLSON COORS CANADA</v>
          </cell>
          <cell r="F2512" t="str">
            <v>4260</v>
          </cell>
          <cell r="G2512">
            <v>5</v>
          </cell>
          <cell r="H2512">
            <v>1</v>
          </cell>
          <cell r="I2512" t="str">
            <v>3276</v>
          </cell>
          <cell r="L2512">
            <v>12</v>
          </cell>
          <cell r="M2512">
            <v>26.49</v>
          </cell>
        </row>
        <row r="2513">
          <cell r="C2513" t="str">
            <v>40677</v>
          </cell>
          <cell r="D2513" t="str">
            <v>12C SIMPLY SPIKED LEMONADE MIXR(SPT) MOL</v>
          </cell>
          <cell r="E2513" t="str">
            <v>MOLSON COORS CANADA</v>
          </cell>
          <cell r="F2513" t="str">
            <v>4260</v>
          </cell>
          <cell r="G2513">
            <v>5</v>
          </cell>
          <cell r="H2513">
            <v>1</v>
          </cell>
          <cell r="I2513" t="str">
            <v>3276</v>
          </cell>
          <cell r="L2513">
            <v>12</v>
          </cell>
          <cell r="M2513">
            <v>26.49</v>
          </cell>
        </row>
        <row r="2514">
          <cell r="C2514" t="str">
            <v>45169</v>
          </cell>
          <cell r="D2514" t="str">
            <v>12C SIMPLY SPIKED LIMEADE VARIETY (SPT)</v>
          </cell>
          <cell r="E2514" t="str">
            <v>MOLSON COORS CANADA</v>
          </cell>
          <cell r="F2514" t="str">
            <v>4260</v>
          </cell>
          <cell r="G2514">
            <v>5</v>
          </cell>
          <cell r="H2514">
            <v>1</v>
          </cell>
          <cell r="I2514" t="str">
            <v>3276</v>
          </cell>
          <cell r="L2514">
            <v>12</v>
          </cell>
          <cell r="M2514">
            <v>26.49</v>
          </cell>
        </row>
        <row r="2515">
          <cell r="C2515" t="str">
            <v>42792</v>
          </cell>
          <cell r="D2515" t="str">
            <v>12C SIMPLY SPIKED PEACH MIXER (SPT)MOL</v>
          </cell>
          <cell r="E2515" t="str">
            <v>MOLSON COORS CANADA</v>
          </cell>
          <cell r="F2515" t="str">
            <v>4260</v>
          </cell>
          <cell r="G2515">
            <v>5</v>
          </cell>
          <cell r="H2515">
            <v>1</v>
          </cell>
          <cell r="I2515" t="str">
            <v>3276</v>
          </cell>
          <cell r="L2515">
            <v>12</v>
          </cell>
          <cell r="M2515">
            <v>25.72</v>
          </cell>
        </row>
        <row r="2516">
          <cell r="C2516" t="str">
            <v>45171</v>
          </cell>
          <cell r="D2516" t="str">
            <v>12C SIMPLY SPIKED SIG. LIMEADE (SPT) MOL</v>
          </cell>
          <cell r="E2516" t="str">
            <v>MOLSON COORS CANADA</v>
          </cell>
          <cell r="F2516" t="str">
            <v>4260</v>
          </cell>
          <cell r="G2516">
            <v>5</v>
          </cell>
          <cell r="H2516">
            <v>1</v>
          </cell>
          <cell r="I2516" t="str">
            <v>3276</v>
          </cell>
          <cell r="L2516">
            <v>12</v>
          </cell>
          <cell r="M2516">
            <v>26.49</v>
          </cell>
        </row>
        <row r="2517">
          <cell r="C2517" t="str">
            <v>42795</v>
          </cell>
          <cell r="D2517" t="str">
            <v>12C SIMPLY SPIKED SIGNATURE PEACH(SPTMOL</v>
          </cell>
          <cell r="E2517" t="str">
            <v>MOLSON COORS CANADA</v>
          </cell>
          <cell r="F2517" t="str">
            <v>4260</v>
          </cell>
          <cell r="G2517">
            <v>5</v>
          </cell>
          <cell r="H2517">
            <v>1</v>
          </cell>
          <cell r="I2517" t="str">
            <v>3276</v>
          </cell>
          <cell r="L2517">
            <v>12</v>
          </cell>
          <cell r="M2517">
            <v>26.49</v>
          </cell>
        </row>
        <row r="2518">
          <cell r="C2518" t="str">
            <v>42671</v>
          </cell>
          <cell r="D2518" t="str">
            <v>12C SOCIAL LITE CKTAIL SELTZER MIX SLIM</v>
          </cell>
          <cell r="E2518" t="str">
            <v>AWARE BEVERAGES</v>
          </cell>
          <cell r="F2518" t="str">
            <v>4260</v>
          </cell>
          <cell r="G2518">
            <v>5</v>
          </cell>
          <cell r="H2518">
            <v>1</v>
          </cell>
          <cell r="I2518" t="str">
            <v>3302</v>
          </cell>
          <cell r="L2518">
            <v>12</v>
          </cell>
          <cell r="M2518">
            <v>27.16</v>
          </cell>
        </row>
        <row r="2519">
          <cell r="C2519" t="str">
            <v>39976</v>
          </cell>
          <cell r="D2519" t="str">
            <v>12C SOCIAL LITE MIXER PK - SLEEMANS</v>
          </cell>
          <cell r="E2519" t="str">
            <v>AWARE BEVERAGES</v>
          </cell>
          <cell r="F2519" t="str">
            <v>4260</v>
          </cell>
          <cell r="G2519">
            <v>4</v>
          </cell>
          <cell r="H2519">
            <v>1</v>
          </cell>
          <cell r="I2519" t="str">
            <v>3302</v>
          </cell>
          <cell r="L2519">
            <v>12</v>
          </cell>
          <cell r="M2519">
            <v>27.16</v>
          </cell>
        </row>
        <row r="2520">
          <cell r="C2520" t="str">
            <v>42669</v>
          </cell>
          <cell r="D2520" t="str">
            <v>12C SOCIAL LITE VARIETY MIXER SLEEMAN</v>
          </cell>
          <cell r="E2520" t="str">
            <v>AWARE BEVERAGES</v>
          </cell>
          <cell r="F2520" t="str">
            <v>4260</v>
          </cell>
          <cell r="G2520">
            <v>4</v>
          </cell>
          <cell r="H2520">
            <v>1</v>
          </cell>
          <cell r="I2520" t="str">
            <v>3302</v>
          </cell>
          <cell r="L2520">
            <v>12</v>
          </cell>
          <cell r="M2520">
            <v>27.16</v>
          </cell>
        </row>
        <row r="2521">
          <cell r="C2521" t="str">
            <v>45149</v>
          </cell>
          <cell r="D2521" t="str">
            <v>12C SVNS HARD 7UP MIXER (SPT) LABATT</v>
          </cell>
          <cell r="E2521" t="str">
            <v>LABATT BREWERIES OF CANADA</v>
          </cell>
          <cell r="F2521" t="str">
            <v>4260</v>
          </cell>
          <cell r="G2521">
            <v>7</v>
          </cell>
          <cell r="H2521">
            <v>1</v>
          </cell>
          <cell r="I2521" t="str">
            <v>205874</v>
          </cell>
          <cell r="L2521">
            <v>12</v>
          </cell>
          <cell r="M2521">
            <v>27.99</v>
          </cell>
        </row>
        <row r="2522">
          <cell r="C2522" t="str">
            <v>48316</v>
          </cell>
          <cell r="D2522" t="str">
            <v>12C SVNS HARD 7UP MIXER (SPT) LABATT</v>
          </cell>
          <cell r="E2522" t="str">
            <v>LABATT BREWERIES OF CANADA</v>
          </cell>
          <cell r="F2522" t="str">
            <v>4260</v>
          </cell>
          <cell r="G2522">
            <v>7</v>
          </cell>
          <cell r="H2522">
            <v>1</v>
          </cell>
          <cell r="I2522" t="str">
            <v>205874</v>
          </cell>
          <cell r="L2522">
            <v>12</v>
          </cell>
          <cell r="M2522">
            <v>27.99</v>
          </cell>
        </row>
        <row r="2523">
          <cell r="C2523" t="str">
            <v>42964</v>
          </cell>
          <cell r="D2523" t="str">
            <v>12C SVNS HARD 7UP ORIGINAL - LABATT(SPT)</v>
          </cell>
          <cell r="E2523" t="str">
            <v>LABATT BREWERIES OF CANADA</v>
          </cell>
          <cell r="F2523" t="str">
            <v>4260</v>
          </cell>
          <cell r="G2523">
            <v>7</v>
          </cell>
          <cell r="H2523">
            <v>1</v>
          </cell>
          <cell r="I2523" t="str">
            <v>1575</v>
          </cell>
          <cell r="L2523">
            <v>12</v>
          </cell>
          <cell r="M2523">
            <v>27.99</v>
          </cell>
        </row>
        <row r="2524">
          <cell r="C2524" t="str">
            <v>33740</v>
          </cell>
          <cell r="D2524" t="str">
            <v>12C TEMPO GIN SMASH MIXED PACK</v>
          </cell>
          <cell r="E2524" t="str">
            <v>GOODRIDGE &amp; WILLIAMS DISTILLING INC</v>
          </cell>
          <cell r="F2524" t="str">
            <v>4260</v>
          </cell>
          <cell r="G2524">
            <v>5</v>
          </cell>
          <cell r="H2524">
            <v>1</v>
          </cell>
          <cell r="I2524" t="str">
            <v>205874</v>
          </cell>
          <cell r="L2524">
            <v>12</v>
          </cell>
          <cell r="M2524">
            <v>25.59</v>
          </cell>
        </row>
        <row r="2525">
          <cell r="C2525" t="str">
            <v>40690</v>
          </cell>
          <cell r="D2525" t="str">
            <v>12C TOPO CHICO MARGARITA MIX (SPT) MOLS</v>
          </cell>
          <cell r="E2525" t="str">
            <v>MOLSON COORS CANADA</v>
          </cell>
          <cell r="F2525" t="str">
            <v>4260</v>
          </cell>
          <cell r="G2525">
            <v>5</v>
          </cell>
          <cell r="H2525">
            <v>1</v>
          </cell>
          <cell r="I2525" t="str">
            <v>3276</v>
          </cell>
          <cell r="L2525">
            <v>12</v>
          </cell>
          <cell r="M2525">
            <v>25.87</v>
          </cell>
        </row>
        <row r="2526">
          <cell r="C2526" t="str">
            <v>38505</v>
          </cell>
          <cell r="D2526" t="str">
            <v>12C TOPO CHICO MIXER (SPT) - MOLSON</v>
          </cell>
          <cell r="E2526" t="str">
            <v>MOLSON COORS CANADA</v>
          </cell>
          <cell r="F2526" t="str">
            <v>4260</v>
          </cell>
          <cell r="G2526">
            <v>4.7</v>
          </cell>
          <cell r="H2526">
            <v>1</v>
          </cell>
          <cell r="I2526" t="str">
            <v>3276</v>
          </cell>
          <cell r="L2526">
            <v>12</v>
          </cell>
          <cell r="M2526">
            <v>25.87</v>
          </cell>
        </row>
        <row r="2527">
          <cell r="C2527" t="str">
            <v>42837</v>
          </cell>
          <cell r="D2527" t="str">
            <v>12C VIZZY MAX VARIETY PK (SPT)- MOLSON</v>
          </cell>
          <cell r="E2527" t="str">
            <v>MOLSON COORS CANADA</v>
          </cell>
          <cell r="F2527" t="str">
            <v>4260</v>
          </cell>
          <cell r="G2527">
            <v>7</v>
          </cell>
          <cell r="H2527">
            <v>1</v>
          </cell>
          <cell r="I2527" t="str">
            <v>3276</v>
          </cell>
          <cell r="L2527">
            <v>12</v>
          </cell>
          <cell r="M2527">
            <v>27.99</v>
          </cell>
        </row>
        <row r="2528">
          <cell r="C2528" t="str">
            <v>35737</v>
          </cell>
          <cell r="D2528" t="str">
            <v>12C VIZZY MIXER PACK - MOLSON</v>
          </cell>
          <cell r="E2528" t="str">
            <v>MOLSON COORS BEVERAGE COMPANY</v>
          </cell>
          <cell r="F2528" t="str">
            <v>4260</v>
          </cell>
          <cell r="G2528">
            <v>5</v>
          </cell>
          <cell r="H2528">
            <v>1</v>
          </cell>
          <cell r="I2528" t="str">
            <v>3276</v>
          </cell>
          <cell r="L2528">
            <v>12</v>
          </cell>
          <cell r="M2528">
            <v>27.99</v>
          </cell>
        </row>
        <row r="2529">
          <cell r="C2529" t="str">
            <v>45197</v>
          </cell>
          <cell r="D2529" t="str">
            <v>12C VIZZY ORANGE CREAM POP MIXER SPT MOL</v>
          </cell>
          <cell r="E2529" t="str">
            <v>MOLSON COORS CANADA</v>
          </cell>
          <cell r="F2529" t="str">
            <v>4260</v>
          </cell>
          <cell r="G2529">
            <v>5</v>
          </cell>
          <cell r="H2529">
            <v>1</v>
          </cell>
          <cell r="I2529" t="str">
            <v>3276</v>
          </cell>
          <cell r="L2529">
            <v>12</v>
          </cell>
          <cell r="M2529">
            <v>27.99</v>
          </cell>
        </row>
        <row r="2530">
          <cell r="C2530" t="str">
            <v>39543</v>
          </cell>
          <cell r="D2530" t="str">
            <v>12C WHITE PEAKS ORIG W/MEYER LEMON - BR</v>
          </cell>
          <cell r="E2530" t="str">
            <v>BIG ROCK (ALBERTA) LTD. (R)</v>
          </cell>
          <cell r="F2530" t="str">
            <v>4260</v>
          </cell>
          <cell r="G2530">
            <v>5</v>
          </cell>
          <cell r="H2530">
            <v>1</v>
          </cell>
          <cell r="I2530" t="str">
            <v>3227</v>
          </cell>
          <cell r="L2530">
            <v>12</v>
          </cell>
          <cell r="M2530">
            <v>26.98</v>
          </cell>
        </row>
        <row r="2531">
          <cell r="C2531" t="str">
            <v>36303</v>
          </cell>
          <cell r="D2531" t="str">
            <v>12C WHITE PEAKS TEA VARITY PK - BIG ROCK</v>
          </cell>
          <cell r="E2531" t="str">
            <v>BIG ROCK (ALBERTA) LTD. (R)</v>
          </cell>
          <cell r="F2531" t="str">
            <v>4260</v>
          </cell>
          <cell r="G2531">
            <v>5</v>
          </cell>
          <cell r="H2531">
            <v>1</v>
          </cell>
          <cell r="I2531" t="str">
            <v>3227</v>
          </cell>
          <cell r="L2531">
            <v>12</v>
          </cell>
          <cell r="M2531">
            <v>26.98</v>
          </cell>
        </row>
        <row r="2532">
          <cell r="C2532" t="str">
            <v>36922</v>
          </cell>
          <cell r="D2532" t="str">
            <v>12C YES GUY HARD ICED TEA LEMON - RTD</v>
          </cell>
          <cell r="E2532" t="str">
            <v>GOODRIDGE &amp; WILLIAMS DISTILLING INC</v>
          </cell>
          <cell r="F2532" t="str">
            <v>4260</v>
          </cell>
          <cell r="G2532">
            <v>5</v>
          </cell>
          <cell r="H2532">
            <v>1</v>
          </cell>
          <cell r="I2532" t="str">
            <v>205874</v>
          </cell>
          <cell r="L2532">
            <v>12</v>
          </cell>
          <cell r="M2532">
            <v>23.99</v>
          </cell>
        </row>
        <row r="2533">
          <cell r="C2533" t="str">
            <v>35753</v>
          </cell>
          <cell r="D2533" t="str">
            <v>12C YES GUY HARD ICED TEA MIXER - LABATT</v>
          </cell>
          <cell r="E2533" t="str">
            <v>GOODRIDGE &amp; WILLIAMS DISTILLING INC</v>
          </cell>
          <cell r="F2533" t="str">
            <v>4260</v>
          </cell>
          <cell r="G2533">
            <v>5</v>
          </cell>
          <cell r="H2533">
            <v>1</v>
          </cell>
          <cell r="I2533" t="str">
            <v>205874</v>
          </cell>
          <cell r="L2533">
            <v>12</v>
          </cell>
          <cell r="M2533">
            <v>23.99</v>
          </cell>
        </row>
        <row r="2534">
          <cell r="C2534" t="str">
            <v>47392</v>
          </cell>
          <cell r="D2534" t="str">
            <v>15C AVIT MIXER (SPT) LABATT</v>
          </cell>
          <cell r="E2534" t="str">
            <v>TURNING POINT BREWERY</v>
          </cell>
          <cell r="F2534" t="str">
            <v>5325</v>
          </cell>
          <cell r="G2534">
            <v>5</v>
          </cell>
          <cell r="H2534">
            <v>1</v>
          </cell>
          <cell r="I2534" t="str">
            <v>205874</v>
          </cell>
          <cell r="L2534">
            <v>15</v>
          </cell>
          <cell r="M2534">
            <v>33.479999999999997</v>
          </cell>
        </row>
        <row r="2535">
          <cell r="C2535" t="str">
            <v>47393</v>
          </cell>
          <cell r="D2535" t="str">
            <v>15C NURTL VODLA SODA TROP MIX (SPT) LAB</v>
          </cell>
          <cell r="E2535" t="str">
            <v>GOODRIDGE &amp; WILLIAMS DISTILLING INC</v>
          </cell>
          <cell r="F2535" t="str">
            <v>5325</v>
          </cell>
          <cell r="G2535">
            <v>5</v>
          </cell>
          <cell r="H2535">
            <v>1</v>
          </cell>
          <cell r="I2535" t="str">
            <v>205874</v>
          </cell>
          <cell r="L2535">
            <v>15</v>
          </cell>
          <cell r="M2535">
            <v>33.479999999999997</v>
          </cell>
        </row>
        <row r="2536">
          <cell r="C2536" t="str">
            <v>35147</v>
          </cell>
          <cell r="D2536" t="str">
            <v>1B AVIT LEMON HARD ICED TEA - LABATT</v>
          </cell>
          <cell r="E2536" t="str">
            <v>TURNING POINT BREWERY</v>
          </cell>
          <cell r="F2536" t="str">
            <v>2000</v>
          </cell>
          <cell r="G2536">
            <v>7</v>
          </cell>
          <cell r="H2536">
            <v>8</v>
          </cell>
          <cell r="I2536" t="str">
            <v>205874</v>
          </cell>
          <cell r="L2536">
            <v>1</v>
          </cell>
          <cell r="M2536">
            <v>9.99</v>
          </cell>
        </row>
        <row r="2537">
          <cell r="C2537" t="str">
            <v>44472</v>
          </cell>
          <cell r="D2537" t="str">
            <v>1B MIKE'S HARDER LEMONADE (SPT) LABATT</v>
          </cell>
          <cell r="E2537" t="str">
            <v>LABATT BREWERIES OF CANADA</v>
          </cell>
          <cell r="F2537" t="str">
            <v>1000</v>
          </cell>
          <cell r="G2537">
            <v>7</v>
          </cell>
          <cell r="H2537">
            <v>12</v>
          </cell>
          <cell r="I2537" t="str">
            <v>205874</v>
          </cell>
          <cell r="L2537">
            <v>1</v>
          </cell>
          <cell r="M2537">
            <v>6.19</v>
          </cell>
        </row>
        <row r="2538">
          <cell r="C2538" t="str">
            <v>36265</v>
          </cell>
          <cell r="D2538" t="str">
            <v>1C ARIZONA HARD GREEN TEA ICED TEA MOLS</v>
          </cell>
          <cell r="E2538" t="str">
            <v>MOLSON COORS BEVERAGE COMPANY</v>
          </cell>
          <cell r="F2538" t="str">
            <v>473</v>
          </cell>
          <cell r="G2538">
            <v>5</v>
          </cell>
          <cell r="H2538">
            <v>24</v>
          </cell>
          <cell r="I2538" t="str">
            <v>3276</v>
          </cell>
          <cell r="L2538">
            <v>1</v>
          </cell>
          <cell r="M2538">
            <v>2.95</v>
          </cell>
        </row>
        <row r="2539">
          <cell r="C2539" t="str">
            <v>36019</v>
          </cell>
          <cell r="D2539" t="str">
            <v>1C ARIZONA HARD LEMON ICED TEA MOLSON</v>
          </cell>
          <cell r="E2539" t="str">
            <v>MOLSON COORS BEVERAGE COMPANY</v>
          </cell>
          <cell r="F2539" t="str">
            <v>473</v>
          </cell>
          <cell r="G2539">
            <v>5</v>
          </cell>
          <cell r="H2539">
            <v>24</v>
          </cell>
          <cell r="I2539" t="str">
            <v>3276</v>
          </cell>
          <cell r="L2539">
            <v>1</v>
          </cell>
          <cell r="M2539">
            <v>2.95</v>
          </cell>
        </row>
        <row r="2540">
          <cell r="C2540" t="str">
            <v>36264</v>
          </cell>
          <cell r="D2540" t="str">
            <v>1C ARIZONA HARD PEACH ICED TEA MOLSON</v>
          </cell>
          <cell r="E2540" t="str">
            <v>MOLSON COORS BEVERAGE COMPANY</v>
          </cell>
          <cell r="F2540" t="str">
            <v>473</v>
          </cell>
          <cell r="G2540">
            <v>5</v>
          </cell>
          <cell r="H2540">
            <v>24</v>
          </cell>
          <cell r="I2540" t="str">
            <v>3276</v>
          </cell>
          <cell r="L2540">
            <v>1</v>
          </cell>
          <cell r="M2540">
            <v>2.95</v>
          </cell>
        </row>
        <row r="2541">
          <cell r="C2541" t="str">
            <v>45301</v>
          </cell>
          <cell r="D2541" t="str">
            <v>1C AV HARD IT LEMON 7% (SPT) - LABATT</v>
          </cell>
          <cell r="E2541" t="str">
            <v>LABATT BREWERIES OF CANADA</v>
          </cell>
          <cell r="F2541" t="str">
            <v>473</v>
          </cell>
          <cell r="G2541">
            <v>7</v>
          </cell>
          <cell r="H2541">
            <v>24</v>
          </cell>
          <cell r="I2541" t="str">
            <v>205874</v>
          </cell>
          <cell r="L2541">
            <v>1</v>
          </cell>
          <cell r="M2541">
            <v>3.06</v>
          </cell>
        </row>
        <row r="2542">
          <cell r="C2542" t="str">
            <v>42771</v>
          </cell>
          <cell r="D2542" t="str">
            <v>1C COORS SELTZ PINEAPPLE COLADA (SPT)MOL</v>
          </cell>
          <cell r="E2542" t="str">
            <v>MOLSON COORS CANADA</v>
          </cell>
          <cell r="F2542" t="str">
            <v>473</v>
          </cell>
          <cell r="G2542">
            <v>4.5</v>
          </cell>
          <cell r="H2542">
            <v>24</v>
          </cell>
          <cell r="I2542" t="str">
            <v>3276</v>
          </cell>
          <cell r="L2542">
            <v>1</v>
          </cell>
          <cell r="M2542">
            <v>3.16</v>
          </cell>
        </row>
        <row r="2543">
          <cell r="C2543" t="str">
            <v>40689</v>
          </cell>
          <cell r="D2543" t="str">
            <v>1C COORS SELTZER CHERRY SLUSHIE (SPT)MOL</v>
          </cell>
          <cell r="E2543" t="str">
            <v>MOLSON COORS CANADA</v>
          </cell>
          <cell r="F2543" t="str">
            <v>473</v>
          </cell>
          <cell r="G2543">
            <v>4</v>
          </cell>
          <cell r="H2543">
            <v>24</v>
          </cell>
          <cell r="I2543" t="str">
            <v>3276</v>
          </cell>
          <cell r="L2543">
            <v>1</v>
          </cell>
          <cell r="M2543">
            <v>3.16</v>
          </cell>
        </row>
        <row r="2544">
          <cell r="C2544" t="str">
            <v>45783</v>
          </cell>
          <cell r="D2544" t="str">
            <v>1C COORS SELTZER GRAPE SLUSHIE - (SPT)</v>
          </cell>
          <cell r="E2544" t="str">
            <v>MOLSON COORS CANADA</v>
          </cell>
          <cell r="F2544" t="str">
            <v>473</v>
          </cell>
          <cell r="G2544">
            <v>4.5</v>
          </cell>
          <cell r="H2544">
            <v>24</v>
          </cell>
          <cell r="I2544" t="str">
            <v>3276</v>
          </cell>
          <cell r="L2544">
            <v>1</v>
          </cell>
          <cell r="M2544">
            <v>3.05</v>
          </cell>
        </row>
        <row r="2545">
          <cell r="C2545" t="str">
            <v>46888</v>
          </cell>
          <cell r="D2545" t="str">
            <v>1C COORS SELTZER SLUSH GREEN APPLE (SPT)</v>
          </cell>
          <cell r="E2545" t="str">
            <v>MOLSON COORS CANADA</v>
          </cell>
          <cell r="F2545" t="str">
            <v>473</v>
          </cell>
          <cell r="G2545">
            <v>7</v>
          </cell>
          <cell r="H2545">
            <v>24</v>
          </cell>
          <cell r="I2545" t="str">
            <v>3276</v>
          </cell>
          <cell r="L2545">
            <v>1</v>
          </cell>
          <cell r="M2545">
            <v>3.16</v>
          </cell>
        </row>
        <row r="2546">
          <cell r="C2546" t="str">
            <v>48319</v>
          </cell>
          <cell r="D2546" t="str">
            <v>1C CUTWATER LEMON DROP MARTINI (SPT)LAB</v>
          </cell>
          <cell r="E2546" t="str">
            <v>LABATT BREWERIES OF CANADA</v>
          </cell>
          <cell r="F2546" t="str">
            <v>355</v>
          </cell>
          <cell r="G2546">
            <v>11</v>
          </cell>
          <cell r="H2546">
            <v>24</v>
          </cell>
          <cell r="I2546" t="str">
            <v>205874</v>
          </cell>
          <cell r="L2546">
            <v>1</v>
          </cell>
          <cell r="M2546">
            <v>3.98</v>
          </cell>
        </row>
        <row r="2547">
          <cell r="C2547" t="str">
            <v>47386</v>
          </cell>
          <cell r="D2547" t="str">
            <v>1C CUTWATER LIME MARGARITA (SPT) LABATT</v>
          </cell>
          <cell r="E2547" t="str">
            <v>LABATT BREWERIES OF CANADA</v>
          </cell>
          <cell r="F2547" t="str">
            <v>355</v>
          </cell>
          <cell r="G2547">
            <v>12.5</v>
          </cell>
          <cell r="H2547">
            <v>24</v>
          </cell>
          <cell r="I2547" t="str">
            <v>205874</v>
          </cell>
          <cell r="L2547">
            <v>1</v>
          </cell>
          <cell r="M2547">
            <v>3.98</v>
          </cell>
        </row>
        <row r="2548">
          <cell r="C2548" t="str">
            <v>47388</v>
          </cell>
          <cell r="D2548" t="str">
            <v>1C CUTWATER MANGO MARGARITA (SPT) LABATT</v>
          </cell>
          <cell r="E2548" t="str">
            <v>LABATT BREWERIES OF CANADA</v>
          </cell>
          <cell r="F2548" t="str">
            <v>355</v>
          </cell>
          <cell r="G2548">
            <v>12.5</v>
          </cell>
          <cell r="H2548">
            <v>24</v>
          </cell>
          <cell r="I2548" t="str">
            <v>205874</v>
          </cell>
          <cell r="L2548">
            <v>1</v>
          </cell>
          <cell r="M2548">
            <v>3.98</v>
          </cell>
        </row>
        <row r="2549">
          <cell r="C2549" t="str">
            <v>48216</v>
          </cell>
          <cell r="D2549" t="str">
            <v>1C HOOP TEA (SPT) LABATT</v>
          </cell>
          <cell r="E2549" t="str">
            <v>LABATT BREWERIES OF CANADA</v>
          </cell>
          <cell r="F2549" t="str">
            <v>473</v>
          </cell>
          <cell r="G2549">
            <v>7</v>
          </cell>
          <cell r="H2549">
            <v>24</v>
          </cell>
          <cell r="I2549" t="str">
            <v>205874</v>
          </cell>
          <cell r="L2549">
            <v>1</v>
          </cell>
          <cell r="M2549">
            <v>2.5</v>
          </cell>
        </row>
        <row r="2550">
          <cell r="C2550" t="str">
            <v>33178</v>
          </cell>
          <cell r="D2550" t="str">
            <v>1C MIKE'S HARD BLUE FREEZE LEMONADE</v>
          </cell>
          <cell r="E2550" t="str">
            <v>TURNING POINT BREWERY</v>
          </cell>
          <cell r="F2550" t="str">
            <v>473</v>
          </cell>
          <cell r="G2550">
            <v>5</v>
          </cell>
          <cell r="H2550">
            <v>24</v>
          </cell>
          <cell r="I2550" t="str">
            <v>205874</v>
          </cell>
          <cell r="L2550">
            <v>1</v>
          </cell>
          <cell r="M2550">
            <v>3.89</v>
          </cell>
        </row>
        <row r="2551">
          <cell r="C2551" t="str">
            <v>48317</v>
          </cell>
          <cell r="D2551" t="str">
            <v>1C MIKE'S HARD BLUE RASP LEMON (SPT) LAB</v>
          </cell>
          <cell r="E2551" t="str">
            <v>LABATT BREWERIES OF CANADA</v>
          </cell>
          <cell r="F2551" t="str">
            <v>473</v>
          </cell>
          <cell r="G2551">
            <v>5</v>
          </cell>
          <cell r="H2551">
            <v>24</v>
          </cell>
          <cell r="I2551" t="str">
            <v>205874</v>
          </cell>
          <cell r="L2551">
            <v>1</v>
          </cell>
          <cell r="M2551">
            <v>3.38</v>
          </cell>
        </row>
        <row r="2552">
          <cell r="C2552" t="str">
            <v>43141</v>
          </cell>
          <cell r="D2552" t="str">
            <v>1C MIKE'S HARD PURPLE FREEZE</v>
          </cell>
          <cell r="E2552" t="str">
            <v>RTD CANADA</v>
          </cell>
          <cell r="F2552" t="str">
            <v>473</v>
          </cell>
          <cell r="G2552">
            <v>5</v>
          </cell>
          <cell r="H2552">
            <v>24</v>
          </cell>
          <cell r="I2552" t="str">
            <v>205874</v>
          </cell>
          <cell r="L2552">
            <v>1</v>
          </cell>
          <cell r="M2552">
            <v>3.89</v>
          </cell>
        </row>
        <row r="2553">
          <cell r="C2553" t="str">
            <v>46662</v>
          </cell>
          <cell r="D2553" t="str">
            <v>1C MIKE'S HARDER LEMONADE (SPT) LABATT</v>
          </cell>
          <cell r="E2553" t="str">
            <v>TURNING POINT BREWERY</v>
          </cell>
          <cell r="F2553" t="str">
            <v>740</v>
          </cell>
          <cell r="G2553">
            <v>7</v>
          </cell>
          <cell r="H2553">
            <v>12</v>
          </cell>
          <cell r="I2553" t="str">
            <v>1575</v>
          </cell>
          <cell r="L2553">
            <v>1</v>
          </cell>
          <cell r="M2553">
            <v>3.99</v>
          </cell>
        </row>
        <row r="2554">
          <cell r="C2554" t="str">
            <v>43142</v>
          </cell>
          <cell r="D2554" t="str">
            <v>1C MIKE'S HARDER LEMONADE 7%</v>
          </cell>
          <cell r="E2554" t="str">
            <v>RTD CANADA</v>
          </cell>
          <cell r="F2554" t="str">
            <v>473</v>
          </cell>
          <cell r="G2554">
            <v>7</v>
          </cell>
          <cell r="H2554">
            <v>24</v>
          </cell>
          <cell r="I2554" t="str">
            <v>205874</v>
          </cell>
          <cell r="L2554">
            <v>1</v>
          </cell>
          <cell r="M2554">
            <v>3.16</v>
          </cell>
        </row>
        <row r="2555">
          <cell r="C2555" t="str">
            <v>48217</v>
          </cell>
          <cell r="D2555" t="str">
            <v>1C MIKE'S HARDER MANGO LEMONADE (SPT)</v>
          </cell>
          <cell r="E2555" t="str">
            <v>TURNING POINT BREWERY</v>
          </cell>
          <cell r="F2555" t="str">
            <v>740</v>
          </cell>
          <cell r="G2555">
            <v>7</v>
          </cell>
          <cell r="H2555">
            <v>12</v>
          </cell>
          <cell r="I2555" t="str">
            <v>205874</v>
          </cell>
          <cell r="L2555">
            <v>1</v>
          </cell>
          <cell r="M2555">
            <v>3.99</v>
          </cell>
        </row>
        <row r="2556">
          <cell r="C2556" t="str">
            <v>48212</v>
          </cell>
          <cell r="D2556" t="str">
            <v>1C MIKE'S HARDER STRAW/LEMON (SPT) LAB</v>
          </cell>
          <cell r="E2556" t="str">
            <v>TURNING POINT BREWERY</v>
          </cell>
          <cell r="F2556" t="str">
            <v>473</v>
          </cell>
          <cell r="G2556">
            <v>7</v>
          </cell>
          <cell r="H2556">
            <v>24</v>
          </cell>
          <cell r="I2556" t="str">
            <v>205874</v>
          </cell>
          <cell r="L2556">
            <v>1</v>
          </cell>
          <cell r="M2556">
            <v>2.5</v>
          </cell>
        </row>
        <row r="2557">
          <cell r="C2557" t="str">
            <v>45147</v>
          </cell>
          <cell r="D2557" t="str">
            <v>1C MIKE'S PINK FREEZE (SPT) LABATT</v>
          </cell>
          <cell r="E2557" t="str">
            <v>LABATT BREWERIES OF CANADA</v>
          </cell>
          <cell r="F2557" t="str">
            <v>473</v>
          </cell>
          <cell r="G2557">
            <v>5</v>
          </cell>
          <cell r="H2557">
            <v>24</v>
          </cell>
          <cell r="I2557" t="str">
            <v>205874</v>
          </cell>
          <cell r="L2557">
            <v>1</v>
          </cell>
          <cell r="M2557">
            <v>3.89</v>
          </cell>
        </row>
        <row r="2558">
          <cell r="C2558" t="str">
            <v>39154</v>
          </cell>
          <cell r="D2558" t="str">
            <v>1C MIKES HARD LEMON ICED TEA LABATT</v>
          </cell>
          <cell r="E2558" t="str">
            <v>RTD CANADA</v>
          </cell>
          <cell r="F2558" t="str">
            <v>473</v>
          </cell>
          <cell r="G2558">
            <v>5</v>
          </cell>
          <cell r="H2558">
            <v>24</v>
          </cell>
          <cell r="I2558" t="str">
            <v>205874</v>
          </cell>
          <cell r="L2558">
            <v>1</v>
          </cell>
          <cell r="M2558">
            <v>3.18</v>
          </cell>
        </row>
        <row r="2559">
          <cell r="C2559" t="str">
            <v>45841</v>
          </cell>
          <cell r="D2559" t="str">
            <v>1C NUTRL VODKA SODA LIME (SPT) LABATT</v>
          </cell>
          <cell r="E2559" t="str">
            <v>LABATT BREWERIES OF CANADA</v>
          </cell>
          <cell r="F2559" t="str">
            <v>473</v>
          </cell>
          <cell r="G2559">
            <v>5</v>
          </cell>
          <cell r="H2559">
            <v>24</v>
          </cell>
          <cell r="I2559" t="str">
            <v>1575</v>
          </cell>
          <cell r="L2559">
            <v>1</v>
          </cell>
          <cell r="M2559">
            <v>3.06</v>
          </cell>
        </row>
        <row r="2560">
          <cell r="C2560" t="str">
            <v>42664</v>
          </cell>
          <cell r="D2560" t="str">
            <v>1C PABST STRONG VODKA ICED TEA  SLEEMAN</v>
          </cell>
          <cell r="E2560" t="str">
            <v>BLACK FLY BEVERAGE COMPANY</v>
          </cell>
          <cell r="F2560" t="str">
            <v>473</v>
          </cell>
          <cell r="G2560">
            <v>5.9</v>
          </cell>
          <cell r="H2560">
            <v>24</v>
          </cell>
          <cell r="I2560" t="str">
            <v>3302</v>
          </cell>
          <cell r="L2560">
            <v>1</v>
          </cell>
          <cell r="M2560">
            <v>3.01</v>
          </cell>
        </row>
        <row r="2561">
          <cell r="C2561" t="str">
            <v>45016</v>
          </cell>
          <cell r="D2561" t="str">
            <v>1C PABST STRONG VODKA LEMONADE SPT SLM</v>
          </cell>
          <cell r="E2561" t="str">
            <v>BLACK FLY BEVERAGE COMPANY</v>
          </cell>
          <cell r="F2561" t="str">
            <v>473</v>
          </cell>
          <cell r="G2561">
            <v>5.9</v>
          </cell>
          <cell r="H2561">
            <v>24</v>
          </cell>
          <cell r="I2561" t="str">
            <v>3302</v>
          </cell>
          <cell r="L2561">
            <v>1</v>
          </cell>
          <cell r="M2561">
            <v>3.01</v>
          </cell>
        </row>
        <row r="2562">
          <cell r="C2562" t="str">
            <v>31043</v>
          </cell>
          <cell r="D2562" t="str">
            <v>1C ROCKSTAR &amp; VODKA FRUIT PUNCH</v>
          </cell>
          <cell r="E2562" t="str">
            <v>TURNING POINT BREWERY</v>
          </cell>
          <cell r="F2562" t="str">
            <v>473</v>
          </cell>
          <cell r="G2562">
            <v>6.9</v>
          </cell>
          <cell r="H2562">
            <v>24</v>
          </cell>
          <cell r="I2562" t="str">
            <v>205874</v>
          </cell>
          <cell r="L2562">
            <v>1</v>
          </cell>
          <cell r="M2562">
            <v>3.63</v>
          </cell>
        </row>
        <row r="2563">
          <cell r="C2563" t="str">
            <v>31044</v>
          </cell>
          <cell r="D2563" t="str">
            <v>1C ROCKSTAR &amp; VODKA ORIGINAL</v>
          </cell>
          <cell r="E2563" t="str">
            <v>TURNING POINT BREWERY</v>
          </cell>
          <cell r="F2563" t="str">
            <v>473</v>
          </cell>
          <cell r="G2563">
            <v>6.9</v>
          </cell>
          <cell r="H2563">
            <v>24</v>
          </cell>
          <cell r="I2563" t="str">
            <v>205874</v>
          </cell>
          <cell r="L2563">
            <v>1</v>
          </cell>
          <cell r="M2563">
            <v>3.63</v>
          </cell>
        </row>
        <row r="2564">
          <cell r="C2564" t="str">
            <v>46878</v>
          </cell>
          <cell r="D2564" t="str">
            <v>1C SIMPLY BOLD CHERRY LIMEADE (SPT) MOLS</v>
          </cell>
          <cell r="E2564" t="str">
            <v>MOLSON COORS CANADA</v>
          </cell>
          <cell r="F2564" t="str">
            <v>473</v>
          </cell>
          <cell r="G2564">
            <v>7</v>
          </cell>
          <cell r="H2564">
            <v>24</v>
          </cell>
          <cell r="I2564" t="str">
            <v>3276</v>
          </cell>
          <cell r="L2564">
            <v>1</v>
          </cell>
          <cell r="M2564">
            <v>3.16</v>
          </cell>
        </row>
        <row r="2565">
          <cell r="C2565" t="str">
            <v>40687</v>
          </cell>
          <cell r="D2565" t="str">
            <v>1C SIMPLY SPIKED LEMONADE (SPT) MOLSON</v>
          </cell>
          <cell r="E2565" t="str">
            <v>MOLSON COORS CANADA</v>
          </cell>
          <cell r="F2565" t="str">
            <v>355</v>
          </cell>
          <cell r="G2565">
            <v>5</v>
          </cell>
          <cell r="H2565">
            <v>24</v>
          </cell>
          <cell r="I2565" t="str">
            <v>3276</v>
          </cell>
          <cell r="L2565">
            <v>1</v>
          </cell>
          <cell r="M2565">
            <v>2.5</v>
          </cell>
        </row>
        <row r="2566">
          <cell r="C2566" t="str">
            <v>42774</v>
          </cell>
          <cell r="D2566" t="str">
            <v>1C SIMPLY SPIKED SIGNATURE PEACH(SPT)MOL</v>
          </cell>
          <cell r="E2566" t="str">
            <v>MOLSON COORS CANADA</v>
          </cell>
          <cell r="F2566" t="str">
            <v>355</v>
          </cell>
          <cell r="G2566">
            <v>5</v>
          </cell>
          <cell r="H2566">
            <v>24</v>
          </cell>
          <cell r="I2566" t="str">
            <v>3276</v>
          </cell>
          <cell r="L2566">
            <v>1</v>
          </cell>
          <cell r="M2566">
            <v>2.39</v>
          </cell>
        </row>
        <row r="2567">
          <cell r="C2567" t="str">
            <v>48314</v>
          </cell>
          <cell r="D2567" t="str">
            <v>1C SVNS HARD 7UP ORIGINAL (SPT) LABATT</v>
          </cell>
          <cell r="E2567" t="str">
            <v>LABATT BREWERIES OF CANADA</v>
          </cell>
          <cell r="F2567" t="str">
            <v>437</v>
          </cell>
          <cell r="G2567">
            <v>7</v>
          </cell>
          <cell r="H2567">
            <v>24</v>
          </cell>
          <cell r="I2567" t="str">
            <v>205874</v>
          </cell>
          <cell r="L2567">
            <v>1</v>
          </cell>
          <cell r="M2567">
            <v>2.56</v>
          </cell>
        </row>
        <row r="2568">
          <cell r="C2568" t="str">
            <v>48218</v>
          </cell>
          <cell r="D2568" t="str">
            <v>1C SVNS RASPBERRY (SPT) LABATT</v>
          </cell>
          <cell r="E2568" t="str">
            <v>LABATT BREWERIES OF CANADA</v>
          </cell>
          <cell r="F2568" t="str">
            <v>473</v>
          </cell>
          <cell r="G2568">
            <v>7</v>
          </cell>
          <cell r="H2568">
            <v>24</v>
          </cell>
          <cell r="I2568" t="str">
            <v>205874</v>
          </cell>
          <cell r="L2568">
            <v>1</v>
          </cell>
          <cell r="M2568">
            <v>2.56</v>
          </cell>
        </row>
        <row r="2569">
          <cell r="C2569" t="str">
            <v>40676</v>
          </cell>
          <cell r="D2569" t="str">
            <v>1C TOPO CHICO SIGNATURE MARGARITA (SPT)</v>
          </cell>
          <cell r="E2569" t="str">
            <v>MOLSON COORS CANADA</v>
          </cell>
          <cell r="F2569" t="str">
            <v>473</v>
          </cell>
          <cell r="G2569">
            <v>5</v>
          </cell>
          <cell r="H2569">
            <v>24</v>
          </cell>
          <cell r="I2569" t="str">
            <v>3276</v>
          </cell>
          <cell r="L2569">
            <v>1</v>
          </cell>
          <cell r="M2569">
            <v>3.2</v>
          </cell>
        </row>
        <row r="2570">
          <cell r="C2570" t="str">
            <v>38506</v>
          </cell>
          <cell r="D2570" t="str">
            <v>1C TOPO CHICO STRAW GUAVA (SPT)- MOLSON</v>
          </cell>
          <cell r="E2570" t="str">
            <v>MOLSON COORS CANADA</v>
          </cell>
          <cell r="F2570" t="str">
            <v>473</v>
          </cell>
          <cell r="G2570">
            <v>4.7</v>
          </cell>
          <cell r="H2570">
            <v>24</v>
          </cell>
          <cell r="I2570" t="str">
            <v>3276</v>
          </cell>
          <cell r="L2570">
            <v>1</v>
          </cell>
          <cell r="M2570">
            <v>2.95</v>
          </cell>
        </row>
        <row r="2571">
          <cell r="C2571" t="str">
            <v>38507</v>
          </cell>
          <cell r="D2571" t="str">
            <v>1C TOPO CHICO TROP MANGO (SPT)- MOLSON</v>
          </cell>
          <cell r="E2571" t="str">
            <v>MOLSON COORS CANADA</v>
          </cell>
          <cell r="F2571" t="str">
            <v>473</v>
          </cell>
          <cell r="G2571">
            <v>4.7</v>
          </cell>
          <cell r="H2571">
            <v>24</v>
          </cell>
          <cell r="I2571" t="str">
            <v>3276</v>
          </cell>
          <cell r="L2571">
            <v>1</v>
          </cell>
          <cell r="M2571">
            <v>2.95</v>
          </cell>
        </row>
        <row r="2572">
          <cell r="C2572" t="str">
            <v>42797</v>
          </cell>
          <cell r="D2572" t="str">
            <v>1C VIZZY DRAGON FRUIT MANGO (SPT) MOLSON</v>
          </cell>
          <cell r="E2572" t="str">
            <v>MOLSON COORS CANADA</v>
          </cell>
          <cell r="F2572" t="str">
            <v>473</v>
          </cell>
          <cell r="G2572">
            <v>7</v>
          </cell>
          <cell r="H2572">
            <v>24</v>
          </cell>
          <cell r="I2572" t="str">
            <v>3276</v>
          </cell>
          <cell r="L2572">
            <v>1</v>
          </cell>
          <cell r="M2572">
            <v>3.16</v>
          </cell>
        </row>
        <row r="2573">
          <cell r="C2573" t="str">
            <v>42980</v>
          </cell>
          <cell r="D2573" t="str">
            <v>1C VIZZY MIMOSA STRAW/ORANGE(MALT)MOLSON</v>
          </cell>
          <cell r="E2573" t="str">
            <v>MOLSON COORS CANADA</v>
          </cell>
          <cell r="F2573" t="str">
            <v>473</v>
          </cell>
          <cell r="G2573">
            <v>5</v>
          </cell>
          <cell r="H2573">
            <v>24</v>
          </cell>
          <cell r="I2573" t="str">
            <v>3276</v>
          </cell>
          <cell r="L2573">
            <v>1</v>
          </cell>
          <cell r="M2573">
            <v>2.99</v>
          </cell>
        </row>
        <row r="2574">
          <cell r="C2574" t="str">
            <v>45167</v>
          </cell>
          <cell r="D2574" t="str">
            <v>1C VIZZY ORANGE CREAM POP (SPT) - MOLSON</v>
          </cell>
          <cell r="E2574" t="str">
            <v>MOLSON COORS CANADA</v>
          </cell>
          <cell r="F2574" t="str">
            <v>473</v>
          </cell>
          <cell r="G2574">
            <v>5</v>
          </cell>
          <cell r="H2574">
            <v>24</v>
          </cell>
          <cell r="I2574" t="str">
            <v>3276</v>
          </cell>
          <cell r="L2574">
            <v>1</v>
          </cell>
          <cell r="M2574">
            <v>3.16</v>
          </cell>
        </row>
        <row r="2575">
          <cell r="C2575" t="str">
            <v>40673</v>
          </cell>
          <cell r="D2575" t="str">
            <v>1C VIZZY STRAW/ORANGE MIMOSA (SPT)MOLSON</v>
          </cell>
          <cell r="E2575" t="str">
            <v>MOLSON COORS CANADA</v>
          </cell>
          <cell r="F2575" t="str">
            <v>473</v>
          </cell>
          <cell r="G2575">
            <v>5</v>
          </cell>
          <cell r="H2575">
            <v>24</v>
          </cell>
          <cell r="I2575" t="str">
            <v>3276</v>
          </cell>
          <cell r="L2575">
            <v>1</v>
          </cell>
          <cell r="M2575">
            <v>2.99</v>
          </cell>
        </row>
        <row r="2576">
          <cell r="C2576" t="str">
            <v>38401</v>
          </cell>
          <cell r="D2576" t="str">
            <v>1C VIZZY STRAWBERRY LEMONADE (SPT) - MOL</v>
          </cell>
          <cell r="E2576" t="str">
            <v>MOLSON COORS CANADA</v>
          </cell>
          <cell r="F2576" t="str">
            <v>473</v>
          </cell>
          <cell r="G2576">
            <v>5</v>
          </cell>
          <cell r="H2576">
            <v>24</v>
          </cell>
          <cell r="I2576" t="str">
            <v>3276</v>
          </cell>
          <cell r="L2576">
            <v>1</v>
          </cell>
          <cell r="M2576">
            <v>3.01</v>
          </cell>
        </row>
        <row r="2577">
          <cell r="C2577" t="str">
            <v>42869</v>
          </cell>
          <cell r="D2577" t="str">
            <v>1C WHITE PEAKS ORIGINAL HARD TEA - BR</v>
          </cell>
          <cell r="E2577" t="str">
            <v>BIG ROCK (ALBERTA) LTD. (R)</v>
          </cell>
          <cell r="F2577" t="str">
            <v>473</v>
          </cell>
          <cell r="G2577">
            <v>5</v>
          </cell>
          <cell r="H2577">
            <v>24</v>
          </cell>
          <cell r="I2577" t="str">
            <v>3227</v>
          </cell>
          <cell r="L2577">
            <v>1</v>
          </cell>
          <cell r="M2577">
            <v>3.05</v>
          </cell>
        </row>
        <row r="2578">
          <cell r="C2578" t="str">
            <v>45885</v>
          </cell>
          <cell r="D2578" t="str">
            <v>1K HUDSONS BLUE RASP VODKA SODA - BR</v>
          </cell>
          <cell r="E2578" t="str">
            <v>BIG ROCK (ALBERTA) LTD. (R)</v>
          </cell>
          <cell r="F2578" t="str">
            <v>58600</v>
          </cell>
          <cell r="G2578">
            <v>5</v>
          </cell>
          <cell r="H2578">
            <v>1</v>
          </cell>
          <cell r="I2578" t="str">
            <v>3227</v>
          </cell>
          <cell r="L2578">
            <v>1</v>
          </cell>
          <cell r="M2578">
            <v>207.12</v>
          </cell>
        </row>
        <row r="2579">
          <cell r="C2579" t="str">
            <v>43559</v>
          </cell>
          <cell r="D2579" t="str">
            <v>1K LEO'S BLUEBERRY FIZZ - BIG ROCK</v>
          </cell>
          <cell r="E2579" t="str">
            <v>BIG ROCK (ALBERTA) LTD. (R)</v>
          </cell>
          <cell r="F2579" t="str">
            <v>58670</v>
          </cell>
          <cell r="G2579">
            <v>5</v>
          </cell>
          <cell r="H2579">
            <v>1</v>
          </cell>
          <cell r="I2579" t="str">
            <v>3227</v>
          </cell>
          <cell r="L2579">
            <v>1</v>
          </cell>
          <cell r="M2579">
            <v>207.65</v>
          </cell>
        </row>
        <row r="2580">
          <cell r="C2580" t="str">
            <v>40173</v>
          </cell>
          <cell r="D2580" t="str">
            <v>1K LEO'S GRAPE FIZZ (SPIRIT) - BIG ROCK</v>
          </cell>
          <cell r="E2580" t="str">
            <v>BIG ROCK (ALBERTA) LTD. (R)</v>
          </cell>
          <cell r="F2580" t="str">
            <v>58670</v>
          </cell>
          <cell r="G2580">
            <v>5</v>
          </cell>
          <cell r="H2580">
            <v>1</v>
          </cell>
          <cell r="I2580" t="str">
            <v>3227</v>
          </cell>
          <cell r="L2580">
            <v>1</v>
          </cell>
          <cell r="M2580">
            <v>207.65</v>
          </cell>
        </row>
        <row r="2581">
          <cell r="C2581" t="str">
            <v>44535</v>
          </cell>
          <cell r="D2581" t="str">
            <v>1K LEO'S ORANGE FIZZ (SPT)- BIG ROCK</v>
          </cell>
          <cell r="E2581" t="str">
            <v>BIG ROCK (ALBERTA) LTD. (R)</v>
          </cell>
          <cell r="F2581" t="str">
            <v>58670</v>
          </cell>
          <cell r="G2581">
            <v>5</v>
          </cell>
          <cell r="H2581">
            <v>1</v>
          </cell>
          <cell r="I2581" t="str">
            <v>3227</v>
          </cell>
          <cell r="L2581">
            <v>1</v>
          </cell>
          <cell r="M2581">
            <v>207.65</v>
          </cell>
        </row>
        <row r="2582">
          <cell r="C2582" t="str">
            <v>40704</v>
          </cell>
          <cell r="D2582" t="str">
            <v>1K LEO'S PEACH FIZZ (SPT) - BR</v>
          </cell>
          <cell r="E2582" t="str">
            <v>BIG ROCK (ALBERTA) LTD. (R)</v>
          </cell>
          <cell r="F2582" t="str">
            <v>58600</v>
          </cell>
          <cell r="G2582">
            <v>5</v>
          </cell>
          <cell r="H2582">
            <v>1</v>
          </cell>
          <cell r="I2582" t="str">
            <v>3227</v>
          </cell>
          <cell r="L2582">
            <v>1</v>
          </cell>
          <cell r="M2582">
            <v>207.65</v>
          </cell>
        </row>
        <row r="2583">
          <cell r="C2583" t="str">
            <v>45887</v>
          </cell>
          <cell r="D2583" t="str">
            <v>1K LEO'S RASPBERRY FIZZ (SPT) - BR</v>
          </cell>
          <cell r="E2583" t="str">
            <v>BIG ROCK (ALBERTA) LTD. (R)</v>
          </cell>
          <cell r="F2583" t="str">
            <v>58600</v>
          </cell>
          <cell r="G2583">
            <v>5</v>
          </cell>
          <cell r="H2583">
            <v>1</v>
          </cell>
          <cell r="I2583" t="str">
            <v>3227</v>
          </cell>
          <cell r="L2583">
            <v>1</v>
          </cell>
          <cell r="M2583">
            <v>207.65</v>
          </cell>
        </row>
        <row r="2584">
          <cell r="C2584" t="str">
            <v>46772</v>
          </cell>
          <cell r="D2584" t="str">
            <v>1K LEO'S SOUR APPLE FIZZ (SPT) BIG ROCK</v>
          </cell>
          <cell r="E2584" t="str">
            <v>BIG ROCK (ALBERTA) LTD. (R)</v>
          </cell>
          <cell r="F2584" t="str">
            <v>58670</v>
          </cell>
          <cell r="G2584">
            <v>5</v>
          </cell>
          <cell r="H2584">
            <v>1</v>
          </cell>
          <cell r="I2584" t="str">
            <v>3227</v>
          </cell>
          <cell r="L2584">
            <v>1</v>
          </cell>
          <cell r="M2584">
            <v>207.65</v>
          </cell>
        </row>
        <row r="2585">
          <cell r="C2585" t="str">
            <v>45886</v>
          </cell>
          <cell r="D2585" t="str">
            <v>1K LEO'S WATERMELON FIZZ (SPT) - BR</v>
          </cell>
          <cell r="E2585" t="str">
            <v>BIG ROCK (ALBERTA) LTD. (R)</v>
          </cell>
          <cell r="F2585" t="str">
            <v>58600</v>
          </cell>
          <cell r="G2585">
            <v>5</v>
          </cell>
          <cell r="H2585">
            <v>1</v>
          </cell>
          <cell r="I2585" t="str">
            <v>3227</v>
          </cell>
          <cell r="L2585">
            <v>1</v>
          </cell>
          <cell r="M2585">
            <v>207.65</v>
          </cell>
        </row>
        <row r="2586">
          <cell r="C2586" t="str">
            <v>36403</v>
          </cell>
          <cell r="D2586" t="str">
            <v>1K LEO'S WILD CHERRY FIZZ - BIG ROCK</v>
          </cell>
          <cell r="E2586" t="str">
            <v>BIG ROCK (ALBERTA) LTD. (R)</v>
          </cell>
          <cell r="F2586" t="str">
            <v>58670</v>
          </cell>
          <cell r="G2586">
            <v>4</v>
          </cell>
          <cell r="H2586">
            <v>1</v>
          </cell>
          <cell r="I2586" t="str">
            <v>3227</v>
          </cell>
          <cell r="L2586">
            <v>1</v>
          </cell>
          <cell r="M2586">
            <v>207.65</v>
          </cell>
        </row>
        <row r="2587">
          <cell r="C2587" t="str">
            <v>40970</v>
          </cell>
          <cell r="D2587" t="str">
            <v>1K WHITE PEAKS ORIGINAL (SPT) - BR</v>
          </cell>
          <cell r="E2587" t="str">
            <v>BIG ROCK (ALBERTA) LTD. (R)</v>
          </cell>
          <cell r="F2587" t="str">
            <v>30000</v>
          </cell>
          <cell r="G2587">
            <v>5</v>
          </cell>
          <cell r="H2587">
            <v>1</v>
          </cell>
          <cell r="I2587" t="str">
            <v>3227</v>
          </cell>
          <cell r="L2587">
            <v>1</v>
          </cell>
          <cell r="M2587">
            <v>170.03</v>
          </cell>
        </row>
        <row r="2588">
          <cell r="C2588" t="str">
            <v>35698</v>
          </cell>
          <cell r="D2588" t="str">
            <v>1P MIKE'S HARD BLUE FREEZE FROZEN</v>
          </cell>
          <cell r="E2588" t="str">
            <v>TURNING POINT BREWERY</v>
          </cell>
          <cell r="F2588" t="str">
            <v>296</v>
          </cell>
          <cell r="G2588">
            <v>5</v>
          </cell>
          <cell r="H2588">
            <v>24</v>
          </cell>
          <cell r="I2588" t="str">
            <v>205874</v>
          </cell>
          <cell r="L2588">
            <v>1</v>
          </cell>
          <cell r="M2588">
            <v>3.2</v>
          </cell>
        </row>
        <row r="2589">
          <cell r="C2589" t="str">
            <v>38492</v>
          </cell>
          <cell r="D2589" t="str">
            <v>1P PALM BAY FROZEN RAINBOW TWIST</v>
          </cell>
          <cell r="E2589" t="str">
            <v>LABATT BREWERIES OF CANADA</v>
          </cell>
          <cell r="F2589" t="str">
            <v>296</v>
          </cell>
          <cell r="G2589">
            <v>5</v>
          </cell>
          <cell r="H2589">
            <v>24</v>
          </cell>
          <cell r="I2589" t="str">
            <v>205874</v>
          </cell>
          <cell r="L2589">
            <v>1</v>
          </cell>
          <cell r="M2589">
            <v>3.2</v>
          </cell>
        </row>
        <row r="2590">
          <cell r="C2590" t="str">
            <v>39642</v>
          </cell>
          <cell r="D2590" t="str">
            <v>24B NUTRL DOUBLE LEMON(SPT) - LABATT</v>
          </cell>
          <cell r="E2590" t="str">
            <v>GOODRIDGE &amp; WILLIAMS DISTILLING INC</v>
          </cell>
          <cell r="F2590" t="str">
            <v>8520</v>
          </cell>
          <cell r="G2590">
            <v>5</v>
          </cell>
          <cell r="H2590">
            <v>1</v>
          </cell>
          <cell r="I2590" t="str">
            <v>205874</v>
          </cell>
          <cell r="L2590">
            <v>24</v>
          </cell>
          <cell r="M2590">
            <v>45.99</v>
          </cell>
        </row>
        <row r="2591">
          <cell r="C2591" t="str">
            <v>45216</v>
          </cell>
          <cell r="D2591" t="str">
            <v>24C AVIT HARD ICED TEA LEMON (SPT) LAB</v>
          </cell>
          <cell r="E2591" t="str">
            <v>LABATT BREWERIES OF CANADA</v>
          </cell>
          <cell r="F2591" t="str">
            <v>8520</v>
          </cell>
          <cell r="G2591">
            <v>5</v>
          </cell>
          <cell r="H2591">
            <v>1</v>
          </cell>
          <cell r="I2591" t="str">
            <v>205874</v>
          </cell>
          <cell r="L2591">
            <v>24</v>
          </cell>
          <cell r="M2591">
            <v>50.4</v>
          </cell>
        </row>
        <row r="2592">
          <cell r="C2592" t="str">
            <v>42979</v>
          </cell>
          <cell r="D2592" t="str">
            <v>24C COORS SELTZER SLUSHIE SPT - MOLSON</v>
          </cell>
          <cell r="E2592" t="str">
            <v>MOLSON COORS CANADA</v>
          </cell>
          <cell r="F2592" t="str">
            <v>8520</v>
          </cell>
          <cell r="G2592">
            <v>4.5</v>
          </cell>
          <cell r="H2592">
            <v>1</v>
          </cell>
          <cell r="I2592" t="str">
            <v>3276</v>
          </cell>
          <cell r="L2592">
            <v>24</v>
          </cell>
          <cell r="M2592">
            <v>49.49</v>
          </cell>
        </row>
        <row r="2593">
          <cell r="C2593" t="str">
            <v>45838</v>
          </cell>
          <cell r="D2593" t="str">
            <v>24C NUTRL VODKA SODA BAR CLASSICS (SPT)</v>
          </cell>
          <cell r="E2593" t="str">
            <v>LABATT BREWERIES OF CANADA</v>
          </cell>
          <cell r="F2593" t="str">
            <v>8520</v>
          </cell>
          <cell r="G2593">
            <v>5</v>
          </cell>
          <cell r="H2593">
            <v>1</v>
          </cell>
          <cell r="I2593" t="str">
            <v>1575</v>
          </cell>
          <cell r="L2593">
            <v>24</v>
          </cell>
          <cell r="M2593">
            <v>46.99</v>
          </cell>
        </row>
        <row r="2594">
          <cell r="C2594" t="str">
            <v>38400</v>
          </cell>
          <cell r="D2594" t="str">
            <v>24C VIZZY SIGNATURE MIXER (SPT) - MOLSON</v>
          </cell>
          <cell r="E2594" t="str">
            <v>MOLSON COORS CANADA</v>
          </cell>
          <cell r="F2594" t="str">
            <v>8520</v>
          </cell>
          <cell r="G2594">
            <v>5</v>
          </cell>
          <cell r="H2594">
            <v>1</v>
          </cell>
          <cell r="I2594" t="str">
            <v>3276</v>
          </cell>
          <cell r="L2594">
            <v>24</v>
          </cell>
          <cell r="M2594">
            <v>49.49</v>
          </cell>
        </row>
        <row r="2595">
          <cell r="C2595" t="str">
            <v>38516</v>
          </cell>
          <cell r="D2595" t="str">
            <v>30C EX OKANAGAN CIDER MIXER 30X355ML</v>
          </cell>
          <cell r="E2595" t="str">
            <v>LABATT BREWERIES</v>
          </cell>
          <cell r="F2595" t="str">
            <v>10650</v>
          </cell>
          <cell r="G2595">
            <v>5</v>
          </cell>
          <cell r="H2595">
            <v>1</v>
          </cell>
          <cell r="I2595" t="str">
            <v>205874</v>
          </cell>
          <cell r="L2595">
            <v>30</v>
          </cell>
          <cell r="M2595">
            <v>61.7</v>
          </cell>
        </row>
        <row r="2596">
          <cell r="C2596" t="str">
            <v>41583</v>
          </cell>
          <cell r="D2596" t="str">
            <v>30C MIKES HARD MEGA MIX PK LABATT</v>
          </cell>
          <cell r="E2596" t="str">
            <v>LABATT BREWERIES OF CANADA</v>
          </cell>
          <cell r="F2596" t="str">
            <v>10650</v>
          </cell>
          <cell r="G2596">
            <v>5</v>
          </cell>
          <cell r="H2596">
            <v>1</v>
          </cell>
          <cell r="I2596" t="str">
            <v>205874</v>
          </cell>
          <cell r="L2596">
            <v>30</v>
          </cell>
          <cell r="M2596">
            <v>61.23</v>
          </cell>
        </row>
        <row r="2597">
          <cell r="C2597" t="str">
            <v>45185</v>
          </cell>
          <cell r="D2597" t="str">
            <v>30C SIMPLY SPIKED MIXER #2 (SPT) MOLSON</v>
          </cell>
          <cell r="E2597" t="str">
            <v>MOLSON COORS CANADA</v>
          </cell>
          <cell r="F2597" t="str">
            <v>10650</v>
          </cell>
          <cell r="G2597">
            <v>5</v>
          </cell>
          <cell r="H2597">
            <v>1</v>
          </cell>
          <cell r="I2597" t="str">
            <v>3276</v>
          </cell>
          <cell r="L2597">
            <v>30</v>
          </cell>
          <cell r="M2597">
            <v>59.99</v>
          </cell>
        </row>
        <row r="2598">
          <cell r="C2598" t="str">
            <v>43286</v>
          </cell>
          <cell r="D2598" t="str">
            <v>30C SIMPLY SPIKED MIXER (SPT) MOLSON</v>
          </cell>
          <cell r="E2598" t="str">
            <v>MOLSON COORS CANADA</v>
          </cell>
          <cell r="F2598" t="str">
            <v>10650</v>
          </cell>
          <cell r="G2598">
            <v>5</v>
          </cell>
          <cell r="H2598">
            <v>1</v>
          </cell>
          <cell r="I2598" t="str">
            <v>3276</v>
          </cell>
          <cell r="L2598">
            <v>30</v>
          </cell>
          <cell r="M2598">
            <v>57.53</v>
          </cell>
        </row>
        <row r="2599">
          <cell r="C2599" t="str">
            <v>38518</v>
          </cell>
          <cell r="D2599" t="str">
            <v>30C TEMPO GIN SMASH MIXER - LABATT</v>
          </cell>
          <cell r="E2599" t="str">
            <v>LABATT BREWERIES</v>
          </cell>
          <cell r="F2599" t="str">
            <v>10650</v>
          </cell>
          <cell r="G2599">
            <v>5</v>
          </cell>
          <cell r="H2599">
            <v>1</v>
          </cell>
          <cell r="I2599" t="str">
            <v>205874</v>
          </cell>
          <cell r="L2599">
            <v>30</v>
          </cell>
          <cell r="M2599">
            <v>61.7</v>
          </cell>
        </row>
        <row r="2600">
          <cell r="C2600" t="str">
            <v>45141</v>
          </cell>
          <cell r="D2600" t="str">
            <v>30C VIZZY ULTIMATE MIXER #2 SPT - MOLSON</v>
          </cell>
          <cell r="E2600" t="str">
            <v>MOLSON COORS CANADA</v>
          </cell>
          <cell r="F2600" t="str">
            <v>10650</v>
          </cell>
          <cell r="G2600">
            <v>5</v>
          </cell>
          <cell r="H2600">
            <v>1</v>
          </cell>
          <cell r="I2600" t="str">
            <v>3276</v>
          </cell>
          <cell r="L2600">
            <v>30</v>
          </cell>
          <cell r="M2600">
            <v>59.99</v>
          </cell>
        </row>
        <row r="2601">
          <cell r="C2601" t="str">
            <v>48185</v>
          </cell>
          <cell r="D2601" t="str">
            <v>4C CUTWATER LEMON DROP MARTINI (SPT) LAB</v>
          </cell>
          <cell r="E2601" t="str">
            <v>LABATT BREWERIES OF CANADA</v>
          </cell>
          <cell r="F2601" t="str">
            <v>1420</v>
          </cell>
          <cell r="G2601">
            <v>11</v>
          </cell>
          <cell r="H2601">
            <v>1</v>
          </cell>
          <cell r="I2601" t="str">
            <v>205874</v>
          </cell>
          <cell r="L2601">
            <v>4</v>
          </cell>
          <cell r="M2601">
            <v>13.98</v>
          </cell>
        </row>
        <row r="2602">
          <cell r="C2602" t="str">
            <v>45144</v>
          </cell>
          <cell r="D2602" t="str">
            <v>4C CUTWATER MANGO MARGARITA (SPT) - LAB</v>
          </cell>
          <cell r="E2602" t="str">
            <v>LABATT BREWERIES OF CANADA</v>
          </cell>
          <cell r="F2602" t="str">
            <v>1420</v>
          </cell>
          <cell r="G2602">
            <v>12.5</v>
          </cell>
          <cell r="H2602">
            <v>1</v>
          </cell>
          <cell r="I2602" t="str">
            <v>205874</v>
          </cell>
          <cell r="L2602">
            <v>4</v>
          </cell>
          <cell r="M2602">
            <v>14.18</v>
          </cell>
        </row>
        <row r="2603">
          <cell r="C2603" t="str">
            <v>43004</v>
          </cell>
          <cell r="D2603" t="str">
            <v>4C CUTWATER MARGARITA(SPT) - LABATT</v>
          </cell>
          <cell r="E2603" t="str">
            <v>LABATT BREWERIES OF CANADA</v>
          </cell>
          <cell r="F2603" t="str">
            <v>1420</v>
          </cell>
          <cell r="G2603">
            <v>12.5</v>
          </cell>
          <cell r="H2603">
            <v>1</v>
          </cell>
          <cell r="I2603" t="str">
            <v>1575</v>
          </cell>
          <cell r="L2603">
            <v>4</v>
          </cell>
          <cell r="M2603">
            <v>14.18</v>
          </cell>
        </row>
        <row r="2604">
          <cell r="C2604" t="str">
            <v>45143</v>
          </cell>
          <cell r="D2604" t="str">
            <v>4C CUTWATER RUM MAI TAI  (SPT) LAB</v>
          </cell>
          <cell r="E2604" t="str">
            <v>LABATT BREWERIES OF CANADA</v>
          </cell>
          <cell r="F2604" t="str">
            <v>1420</v>
          </cell>
          <cell r="G2604">
            <v>12.5</v>
          </cell>
          <cell r="H2604">
            <v>1</v>
          </cell>
          <cell r="I2604" t="str">
            <v>205874</v>
          </cell>
          <cell r="L2604">
            <v>4</v>
          </cell>
          <cell r="M2604">
            <v>14.18</v>
          </cell>
        </row>
        <row r="2605">
          <cell r="C2605" t="str">
            <v>45145</v>
          </cell>
          <cell r="D2605" t="str">
            <v>4C CUTWATER VODKA MULE (SPT) LAB</v>
          </cell>
          <cell r="E2605" t="str">
            <v>LABATT BREWERIES OF CANADA</v>
          </cell>
          <cell r="F2605" t="str">
            <v>1420</v>
          </cell>
          <cell r="G2605">
            <v>7</v>
          </cell>
          <cell r="H2605">
            <v>1</v>
          </cell>
          <cell r="I2605" t="str">
            <v>205874</v>
          </cell>
          <cell r="L2605">
            <v>4</v>
          </cell>
          <cell r="M2605">
            <v>12.19</v>
          </cell>
        </row>
        <row r="2606">
          <cell r="C2606" t="str">
            <v>42945</v>
          </cell>
          <cell r="D2606" t="str">
            <v>4C SOCIAL LITE TOM COLLINS SLEEMAN (Spt)</v>
          </cell>
          <cell r="E2606" t="str">
            <v>AWARE BEVERAGES</v>
          </cell>
          <cell r="F2606" t="str">
            <v>1420</v>
          </cell>
          <cell r="G2606">
            <v>7</v>
          </cell>
          <cell r="H2606">
            <v>1</v>
          </cell>
          <cell r="I2606" t="str">
            <v>3302</v>
          </cell>
          <cell r="L2606">
            <v>4</v>
          </cell>
          <cell r="M2606">
            <v>11.9</v>
          </cell>
        </row>
        <row r="2607">
          <cell r="C2607" t="str">
            <v>43151</v>
          </cell>
          <cell r="D2607" t="str">
            <v>6C  NUTRL VODKA SODA ORANGE</v>
          </cell>
          <cell r="E2607" t="str">
            <v>RTD CANADA</v>
          </cell>
          <cell r="F2607" t="str">
            <v>2130</v>
          </cell>
          <cell r="G2607">
            <v>5</v>
          </cell>
          <cell r="H2607">
            <v>1</v>
          </cell>
          <cell r="I2607" t="str">
            <v>205874</v>
          </cell>
          <cell r="L2607">
            <v>6</v>
          </cell>
          <cell r="M2607">
            <v>14.24</v>
          </cell>
        </row>
        <row r="2608">
          <cell r="C2608" t="str">
            <v>38508</v>
          </cell>
          <cell r="D2608" t="str">
            <v>6C ARIZONA HALF AND HALF (SPT) - MOLSON</v>
          </cell>
          <cell r="E2608" t="str">
            <v>MOLSON COORS CANADA</v>
          </cell>
          <cell r="F2608" t="str">
            <v>2130</v>
          </cell>
          <cell r="G2608">
            <v>5</v>
          </cell>
          <cell r="H2608">
            <v>1</v>
          </cell>
          <cell r="I2608" t="str">
            <v>3276</v>
          </cell>
          <cell r="L2608">
            <v>6</v>
          </cell>
          <cell r="M2608">
            <v>13.25</v>
          </cell>
        </row>
        <row r="2609">
          <cell r="C2609" t="str">
            <v>36018</v>
          </cell>
          <cell r="D2609" t="str">
            <v>6C ARIZONA HARD LEMON ICED TEA MOLSON</v>
          </cell>
          <cell r="E2609" t="str">
            <v>MOLSON COORS BEVERAGE COMPANY</v>
          </cell>
          <cell r="F2609" t="str">
            <v>2130</v>
          </cell>
          <cell r="G2609">
            <v>5</v>
          </cell>
          <cell r="H2609">
            <v>1</v>
          </cell>
          <cell r="I2609" t="str">
            <v>3276</v>
          </cell>
          <cell r="L2609">
            <v>6</v>
          </cell>
          <cell r="M2609">
            <v>13.89</v>
          </cell>
        </row>
        <row r="2610">
          <cell r="C2610" t="str">
            <v>36266</v>
          </cell>
          <cell r="D2610" t="str">
            <v>6C ARIZONA HARD PEACH ICED TEA MOLSON</v>
          </cell>
          <cell r="E2610" t="str">
            <v>MOLSON COORS BEVERAGE COMPANY</v>
          </cell>
          <cell r="F2610" t="str">
            <v>2130</v>
          </cell>
          <cell r="G2610">
            <v>5</v>
          </cell>
          <cell r="H2610">
            <v>1</v>
          </cell>
          <cell r="I2610" t="str">
            <v>3276</v>
          </cell>
          <cell r="L2610">
            <v>6</v>
          </cell>
          <cell r="M2610">
            <v>13.3</v>
          </cell>
        </row>
        <row r="2611">
          <cell r="C2611" t="str">
            <v>47399</v>
          </cell>
          <cell r="D2611" t="str">
            <v>6C ARIZONA HARD RASPBERRY (SPT) MOLSON</v>
          </cell>
          <cell r="E2611" t="str">
            <v>MOLSON COORS BEVERAGE COMPANY</v>
          </cell>
          <cell r="F2611" t="str">
            <v>2130</v>
          </cell>
          <cell r="G2611">
            <v>4.5</v>
          </cell>
          <cell r="H2611">
            <v>1</v>
          </cell>
          <cell r="I2611" t="str">
            <v>3276</v>
          </cell>
          <cell r="L2611">
            <v>6</v>
          </cell>
          <cell r="M2611">
            <v>13.3</v>
          </cell>
        </row>
        <row r="2612">
          <cell r="C2612" t="str">
            <v>26119</v>
          </cell>
          <cell r="D2612" t="str">
            <v>6C AVIT GREEN TEA - LABATT</v>
          </cell>
          <cell r="E2612" t="str">
            <v>TURNING POINT BREWERY</v>
          </cell>
          <cell r="F2612" t="str">
            <v>2130</v>
          </cell>
          <cell r="G2612">
            <v>5</v>
          </cell>
          <cell r="H2612">
            <v>1</v>
          </cell>
          <cell r="I2612" t="str">
            <v>205874</v>
          </cell>
          <cell r="L2612">
            <v>6</v>
          </cell>
          <cell r="M2612">
            <v>13.89</v>
          </cell>
        </row>
        <row r="2613">
          <cell r="C2613" t="str">
            <v>33959</v>
          </cell>
          <cell r="D2613" t="str">
            <v>6C AVIT HALF &amp; HALF - LABATT</v>
          </cell>
          <cell r="E2613" t="str">
            <v>TURNING POINT BREWERY</v>
          </cell>
          <cell r="F2613" t="str">
            <v>2130</v>
          </cell>
          <cell r="G2613">
            <v>5</v>
          </cell>
          <cell r="H2613">
            <v>1</v>
          </cell>
          <cell r="I2613" t="str">
            <v>205874</v>
          </cell>
          <cell r="L2613">
            <v>6</v>
          </cell>
          <cell r="M2613">
            <v>13.89</v>
          </cell>
        </row>
        <row r="2614">
          <cell r="C2614" t="str">
            <v>22752</v>
          </cell>
          <cell r="D2614" t="str">
            <v>6C AVIT PEACH HARD ICED TEA - LABATT</v>
          </cell>
          <cell r="E2614" t="str">
            <v>TURNING POINT BREWERY</v>
          </cell>
          <cell r="F2614" t="str">
            <v>2130</v>
          </cell>
          <cell r="G2614">
            <v>5</v>
          </cell>
          <cell r="H2614">
            <v>1</v>
          </cell>
          <cell r="I2614" t="str">
            <v>205874</v>
          </cell>
          <cell r="L2614">
            <v>6</v>
          </cell>
          <cell r="M2614">
            <v>13.89</v>
          </cell>
        </row>
        <row r="2615">
          <cell r="C2615" t="str">
            <v>24146</v>
          </cell>
          <cell r="D2615" t="str">
            <v>6C AVIT RASPBERRY HARD ICED TEA LAB</v>
          </cell>
          <cell r="E2615" t="str">
            <v>TURNING POINT BREWERY</v>
          </cell>
          <cell r="F2615" t="str">
            <v>2130</v>
          </cell>
          <cell r="G2615">
            <v>5</v>
          </cell>
          <cell r="H2615">
            <v>1</v>
          </cell>
          <cell r="I2615" t="str">
            <v>205874</v>
          </cell>
          <cell r="L2615">
            <v>6</v>
          </cell>
          <cell r="M2615">
            <v>13.89</v>
          </cell>
        </row>
        <row r="2616">
          <cell r="C2616" t="str">
            <v>37110</v>
          </cell>
          <cell r="D2616" t="str">
            <v>6C BL SELTZER LEMONADE BLK CHERRY SPT</v>
          </cell>
          <cell r="E2616" t="str">
            <v>TURNING POINT BREWERY</v>
          </cell>
          <cell r="F2616" t="str">
            <v>2130</v>
          </cell>
          <cell r="G2616">
            <v>4</v>
          </cell>
          <cell r="H2616">
            <v>1</v>
          </cell>
          <cell r="I2616" t="str">
            <v>205874</v>
          </cell>
          <cell r="L2616">
            <v>6</v>
          </cell>
          <cell r="M2616">
            <v>13.98</v>
          </cell>
        </row>
        <row r="2617">
          <cell r="C2617" t="str">
            <v>37109</v>
          </cell>
          <cell r="D2617" t="str">
            <v>6C BL SELTZER LEMONADE STRAWBERRY SPT</v>
          </cell>
          <cell r="E2617" t="str">
            <v>TURNING POINT BREWERY</v>
          </cell>
          <cell r="F2617" t="str">
            <v>2130</v>
          </cell>
          <cell r="G2617">
            <v>4</v>
          </cell>
          <cell r="H2617">
            <v>1</v>
          </cell>
          <cell r="I2617" t="str">
            <v>205874</v>
          </cell>
          <cell r="L2617">
            <v>6</v>
          </cell>
          <cell r="M2617">
            <v>13.98</v>
          </cell>
        </row>
        <row r="2618">
          <cell r="C2618" t="str">
            <v>38557</v>
          </cell>
          <cell r="D2618" t="str">
            <v>6C BUD LIGHT BLACK CHERRY SELTZER (SPT)</v>
          </cell>
          <cell r="E2618" t="str">
            <v>LABATT BREWERIES OF CANADA</v>
          </cell>
          <cell r="F2618" t="str">
            <v>2130</v>
          </cell>
          <cell r="G2618">
            <v>4</v>
          </cell>
          <cell r="H2618">
            <v>1</v>
          </cell>
          <cell r="I2618" t="str">
            <v>205874</v>
          </cell>
          <cell r="L2618">
            <v>6</v>
          </cell>
          <cell r="M2618">
            <v>13.98</v>
          </cell>
        </row>
        <row r="2619">
          <cell r="C2619" t="str">
            <v>38558</v>
          </cell>
          <cell r="D2619" t="str">
            <v>6C BUD LIGHT MANGO SELTZER (SPT) - LAB</v>
          </cell>
          <cell r="E2619" t="str">
            <v>LABATT BREWERIES OF CANADA</v>
          </cell>
          <cell r="F2619" t="str">
            <v>2130</v>
          </cell>
          <cell r="G2619">
            <v>4</v>
          </cell>
          <cell r="H2619">
            <v>1</v>
          </cell>
          <cell r="I2619" t="str">
            <v>205874</v>
          </cell>
          <cell r="L2619">
            <v>6</v>
          </cell>
          <cell r="M2619">
            <v>13.98</v>
          </cell>
        </row>
        <row r="2620">
          <cell r="C2620" t="str">
            <v>38233</v>
          </cell>
          <cell r="D2620" t="str">
            <v>6C BUD LIGHT PASSIONFRUIT SELTZ SPT- LAB</v>
          </cell>
          <cell r="E2620" t="str">
            <v>TURNING POINT BREWERY</v>
          </cell>
          <cell r="F2620" t="str">
            <v>2130</v>
          </cell>
          <cell r="G2620">
            <v>4</v>
          </cell>
          <cell r="H2620">
            <v>1</v>
          </cell>
          <cell r="I2620" t="str">
            <v>205874</v>
          </cell>
          <cell r="L2620">
            <v>6</v>
          </cell>
          <cell r="M2620">
            <v>13.98</v>
          </cell>
        </row>
        <row r="2621">
          <cell r="C2621" t="str">
            <v>38264</v>
          </cell>
          <cell r="D2621" t="str">
            <v>6C BUD LIGHT PEACH SELTZER (SPT)- LABATT</v>
          </cell>
          <cell r="E2621" t="str">
            <v>TURNING POINT BREWERY</v>
          </cell>
          <cell r="F2621" t="str">
            <v>2130</v>
          </cell>
          <cell r="G2621">
            <v>4</v>
          </cell>
          <cell r="H2621">
            <v>1</v>
          </cell>
          <cell r="I2621" t="str">
            <v>205874</v>
          </cell>
          <cell r="L2621">
            <v>6</v>
          </cell>
          <cell r="M2621">
            <v>13.98</v>
          </cell>
        </row>
        <row r="2622">
          <cell r="C2622" t="str">
            <v>38559</v>
          </cell>
          <cell r="D2622" t="str">
            <v>6C BUD LIGHT STRAWBERRY SELTZER (SPT)LAB</v>
          </cell>
          <cell r="E2622" t="str">
            <v>LABATT BREWERIES OF CANADA</v>
          </cell>
          <cell r="F2622" t="str">
            <v>2130</v>
          </cell>
          <cell r="G2622">
            <v>4</v>
          </cell>
          <cell r="H2622">
            <v>1</v>
          </cell>
          <cell r="I2622" t="str">
            <v>205874</v>
          </cell>
          <cell r="L2622">
            <v>6</v>
          </cell>
          <cell r="M2622">
            <v>13.98</v>
          </cell>
        </row>
        <row r="2623">
          <cell r="C2623" t="str">
            <v>40686</v>
          </cell>
          <cell r="D2623" t="str">
            <v>6C COORS CHERRY SLUSHIE (SPT) MOLSON</v>
          </cell>
          <cell r="E2623" t="str">
            <v>MOLSON COORS CANADA</v>
          </cell>
          <cell r="F2623" t="str">
            <v>2130</v>
          </cell>
          <cell r="G2623">
            <v>5</v>
          </cell>
          <cell r="H2623">
            <v>1</v>
          </cell>
          <cell r="I2623" t="str">
            <v>3276</v>
          </cell>
          <cell r="L2623">
            <v>6</v>
          </cell>
          <cell r="M2623">
            <v>14.69</v>
          </cell>
        </row>
        <row r="2624">
          <cell r="C2624" t="str">
            <v>42767</v>
          </cell>
          <cell r="D2624" t="str">
            <v>6C COORS SELTZ PINEAPPLE COLADA (SPT)MOL</v>
          </cell>
          <cell r="E2624" t="str">
            <v>MOLSON COORS CANADA</v>
          </cell>
          <cell r="F2624" t="str">
            <v>2130</v>
          </cell>
          <cell r="G2624">
            <v>4.5</v>
          </cell>
          <cell r="H2624">
            <v>1</v>
          </cell>
          <cell r="I2624" t="str">
            <v>3276</v>
          </cell>
          <cell r="L2624">
            <v>6</v>
          </cell>
          <cell r="M2624">
            <v>14.69</v>
          </cell>
        </row>
        <row r="2625">
          <cell r="C2625" t="str">
            <v>47402</v>
          </cell>
          <cell r="D2625" t="str">
            <v>6C COORS SELTZ SLUSH GR APPLE (SPT) MOL</v>
          </cell>
          <cell r="E2625" t="str">
            <v>MOLSON COORS CANADA</v>
          </cell>
          <cell r="F2625" t="str">
            <v>2130</v>
          </cell>
          <cell r="G2625">
            <v>7</v>
          </cell>
          <cell r="H2625">
            <v>1</v>
          </cell>
          <cell r="I2625" t="str">
            <v>3276</v>
          </cell>
          <cell r="L2625">
            <v>6</v>
          </cell>
          <cell r="M2625">
            <v>14.69</v>
          </cell>
        </row>
        <row r="2626">
          <cell r="C2626" t="str">
            <v>38245</v>
          </cell>
          <cell r="D2626" t="str">
            <v>6C CORONA TROP GRAPEFRUIT LEMGRS SPT LAB</v>
          </cell>
          <cell r="E2626" t="str">
            <v>TURNING POINT BREWERY</v>
          </cell>
          <cell r="F2626" t="str">
            <v>2130</v>
          </cell>
          <cell r="G2626">
            <v>4.2</v>
          </cell>
          <cell r="H2626">
            <v>1</v>
          </cell>
          <cell r="I2626" t="str">
            <v>205874</v>
          </cell>
          <cell r="L2626">
            <v>6</v>
          </cell>
          <cell r="M2626">
            <v>14.99</v>
          </cell>
        </row>
        <row r="2627">
          <cell r="C2627" t="str">
            <v>38241</v>
          </cell>
          <cell r="D2627" t="str">
            <v>6C CORONA TROPICAL CACTUS LIME (SPT)-LAB</v>
          </cell>
          <cell r="E2627" t="str">
            <v>TURNING POINT BREWERY</v>
          </cell>
          <cell r="F2627" t="str">
            <v>2130</v>
          </cell>
          <cell r="G2627">
            <v>4.2</v>
          </cell>
          <cell r="H2627">
            <v>1</v>
          </cell>
          <cell r="I2627" t="str">
            <v>205874</v>
          </cell>
          <cell r="L2627">
            <v>6</v>
          </cell>
          <cell r="M2627">
            <v>14.99</v>
          </cell>
        </row>
        <row r="2628">
          <cell r="C2628" t="str">
            <v>38243</v>
          </cell>
          <cell r="D2628" t="str">
            <v>6C CORONA TROPICAL RASPBERRY LEMON SPT</v>
          </cell>
          <cell r="E2628" t="str">
            <v>TURNING POINT BREWERY</v>
          </cell>
          <cell r="F2628" t="str">
            <v>2130</v>
          </cell>
          <cell r="G2628">
            <v>4.2</v>
          </cell>
          <cell r="H2628">
            <v>1</v>
          </cell>
          <cell r="I2628" t="str">
            <v>205874</v>
          </cell>
          <cell r="L2628">
            <v>6</v>
          </cell>
          <cell r="M2628">
            <v>14.99</v>
          </cell>
        </row>
        <row r="2629">
          <cell r="C2629" t="str">
            <v>36304</v>
          </cell>
          <cell r="D2629" t="str">
            <v>6C DECA BLACK CHERRY VODKA SODA</v>
          </cell>
          <cell r="E2629" t="str">
            <v>BIG ROCK (ALBERTA) LTD. (R)</v>
          </cell>
          <cell r="F2629" t="str">
            <v>2130</v>
          </cell>
          <cell r="G2629">
            <v>5</v>
          </cell>
          <cell r="H2629">
            <v>1</v>
          </cell>
          <cell r="I2629" t="str">
            <v>3227</v>
          </cell>
          <cell r="L2629">
            <v>6</v>
          </cell>
          <cell r="M2629">
            <v>12.57</v>
          </cell>
        </row>
        <row r="2630">
          <cell r="C2630" t="str">
            <v>36310</v>
          </cell>
          <cell r="D2630" t="str">
            <v>6C DECA LIME VODKA SODA</v>
          </cell>
          <cell r="E2630" t="str">
            <v>BIG ROCK (ALBERTA) LTD. (R)</v>
          </cell>
          <cell r="F2630" t="str">
            <v>2130</v>
          </cell>
          <cell r="G2630">
            <v>5</v>
          </cell>
          <cell r="H2630">
            <v>1</v>
          </cell>
          <cell r="I2630" t="str">
            <v>3227</v>
          </cell>
          <cell r="L2630">
            <v>6</v>
          </cell>
          <cell r="M2630">
            <v>12.57</v>
          </cell>
        </row>
        <row r="2631">
          <cell r="C2631" t="str">
            <v>36311</v>
          </cell>
          <cell r="D2631" t="str">
            <v>6C DECA PEACH VODKA SODA</v>
          </cell>
          <cell r="E2631" t="str">
            <v>BIG ROCK (ALBERTA) LTD. (R)</v>
          </cell>
          <cell r="F2631" t="str">
            <v>2130</v>
          </cell>
          <cell r="G2631">
            <v>5</v>
          </cell>
          <cell r="H2631">
            <v>1</v>
          </cell>
          <cell r="I2631" t="str">
            <v>3227</v>
          </cell>
          <cell r="L2631">
            <v>6</v>
          </cell>
          <cell r="M2631">
            <v>12.57</v>
          </cell>
        </row>
        <row r="2632">
          <cell r="C2632" t="str">
            <v>48214</v>
          </cell>
          <cell r="D2632" t="str">
            <v>6C HOOP TEA (SPT) LABATT</v>
          </cell>
          <cell r="E2632" t="str">
            <v>LABATT BREWERIES OF CANADA</v>
          </cell>
          <cell r="F2632" t="str">
            <v>2130</v>
          </cell>
          <cell r="G2632">
            <v>7</v>
          </cell>
          <cell r="H2632">
            <v>1</v>
          </cell>
          <cell r="I2632" t="str">
            <v>205874</v>
          </cell>
          <cell r="L2632">
            <v>6</v>
          </cell>
          <cell r="M2632">
            <v>13.28</v>
          </cell>
        </row>
        <row r="2633">
          <cell r="C2633" t="str">
            <v>22102</v>
          </cell>
          <cell r="D2633" t="str">
            <v>6C MIKE'S HARD BLACK CHERRY</v>
          </cell>
          <cell r="E2633" t="str">
            <v>TURNING POINT BREWERY</v>
          </cell>
          <cell r="F2633" t="str">
            <v>2130</v>
          </cell>
          <cell r="G2633">
            <v>5</v>
          </cell>
          <cell r="H2633">
            <v>1</v>
          </cell>
          <cell r="I2633" t="str">
            <v>205874</v>
          </cell>
          <cell r="L2633">
            <v>6</v>
          </cell>
          <cell r="M2633">
            <v>14.54</v>
          </cell>
        </row>
        <row r="2634">
          <cell r="C2634" t="str">
            <v>33654</v>
          </cell>
          <cell r="D2634" t="str">
            <v>6C MIKE'S HARD BLUE FREEZE LEMONADE</v>
          </cell>
          <cell r="E2634" t="str">
            <v>TURNING POINT BREWERY</v>
          </cell>
          <cell r="F2634" t="str">
            <v>2130</v>
          </cell>
          <cell r="G2634">
            <v>5</v>
          </cell>
          <cell r="H2634">
            <v>1</v>
          </cell>
          <cell r="I2634" t="str">
            <v>205874</v>
          </cell>
          <cell r="L2634">
            <v>6</v>
          </cell>
          <cell r="M2634">
            <v>14.54</v>
          </cell>
        </row>
        <row r="2635">
          <cell r="C2635" t="str">
            <v>16942</v>
          </cell>
          <cell r="D2635" t="str">
            <v>6C MIKE'S HARD LEMONADE</v>
          </cell>
          <cell r="E2635" t="str">
            <v>TURNING POINT BREWERY</v>
          </cell>
          <cell r="F2635" t="str">
            <v>2130</v>
          </cell>
          <cell r="G2635">
            <v>5</v>
          </cell>
          <cell r="H2635">
            <v>1</v>
          </cell>
          <cell r="I2635" t="str">
            <v>205874</v>
          </cell>
          <cell r="K2635" t="str">
            <v xml:space="preserve"> </v>
          </cell>
          <cell r="L2635">
            <v>6</v>
          </cell>
          <cell r="M2635">
            <v>14.54</v>
          </cell>
        </row>
        <row r="2636">
          <cell r="C2636" t="str">
            <v>32122</v>
          </cell>
          <cell r="D2636" t="str">
            <v>6C MIKE'S HARD LIME</v>
          </cell>
          <cell r="E2636" t="str">
            <v>TURNING POINT BREWERY</v>
          </cell>
          <cell r="F2636" t="str">
            <v>2130</v>
          </cell>
          <cell r="G2636">
            <v>5</v>
          </cell>
          <cell r="H2636">
            <v>1</v>
          </cell>
          <cell r="I2636" t="str">
            <v>205874</v>
          </cell>
          <cell r="L2636">
            <v>6</v>
          </cell>
          <cell r="M2636">
            <v>14.54</v>
          </cell>
        </row>
        <row r="2637">
          <cell r="C2637" t="str">
            <v>33957</v>
          </cell>
          <cell r="D2637" t="str">
            <v>6C MIKE'S HARD PEACH FUZZ</v>
          </cell>
          <cell r="E2637" t="str">
            <v>TURNING POINT BREWERY</v>
          </cell>
          <cell r="F2637" t="str">
            <v>2130</v>
          </cell>
          <cell r="G2637">
            <v>5</v>
          </cell>
          <cell r="H2637">
            <v>1</v>
          </cell>
          <cell r="I2637" t="str">
            <v>205874</v>
          </cell>
          <cell r="L2637">
            <v>6</v>
          </cell>
          <cell r="M2637">
            <v>14.54</v>
          </cell>
        </row>
        <row r="2638">
          <cell r="C2638" t="str">
            <v>43140</v>
          </cell>
          <cell r="D2638" t="str">
            <v>6C MIKE'S HARD PURPLE FREEZE</v>
          </cell>
          <cell r="E2638" t="str">
            <v>RTD CANADA</v>
          </cell>
          <cell r="F2638" t="str">
            <v>2130</v>
          </cell>
          <cell r="G2638">
            <v>5</v>
          </cell>
          <cell r="H2638">
            <v>1</v>
          </cell>
          <cell r="I2638" t="str">
            <v>205874</v>
          </cell>
          <cell r="L2638">
            <v>6</v>
          </cell>
          <cell r="M2638">
            <v>14.54</v>
          </cell>
        </row>
        <row r="2639">
          <cell r="C2639" t="str">
            <v>38479</v>
          </cell>
          <cell r="D2639" t="str">
            <v>6C MIKE'S HARD RED FREEZE</v>
          </cell>
          <cell r="E2639" t="str">
            <v>RTD CANADA</v>
          </cell>
          <cell r="F2639" t="str">
            <v>2130</v>
          </cell>
          <cell r="G2639">
            <v>5</v>
          </cell>
          <cell r="H2639">
            <v>1</v>
          </cell>
          <cell r="I2639" t="str">
            <v>205874</v>
          </cell>
          <cell r="L2639">
            <v>6</v>
          </cell>
          <cell r="M2639">
            <v>14.54</v>
          </cell>
        </row>
        <row r="2640">
          <cell r="C2640" t="str">
            <v>35700</v>
          </cell>
          <cell r="D2640" t="str">
            <v>6C MIKE'S HARD WHITE FREEZE</v>
          </cell>
          <cell r="E2640" t="str">
            <v>TURNING POINT BREWERY</v>
          </cell>
          <cell r="F2640" t="str">
            <v>2130</v>
          </cell>
          <cell r="G2640">
            <v>5</v>
          </cell>
          <cell r="H2640">
            <v>1</v>
          </cell>
          <cell r="I2640" t="str">
            <v>205874</v>
          </cell>
          <cell r="L2640">
            <v>6</v>
          </cell>
          <cell r="M2640">
            <v>14.54</v>
          </cell>
        </row>
        <row r="2641">
          <cell r="C2641" t="str">
            <v>41435</v>
          </cell>
          <cell r="D2641" t="str">
            <v>6C MIKE'S ICED TEA LEMON (SPT) LABATT</v>
          </cell>
          <cell r="E2641" t="str">
            <v>LABATT BREWERIES OF CANADA</v>
          </cell>
          <cell r="F2641" t="str">
            <v>2130</v>
          </cell>
          <cell r="G2641">
            <v>5</v>
          </cell>
          <cell r="H2641">
            <v>1</v>
          </cell>
          <cell r="I2641" t="str">
            <v>1575</v>
          </cell>
          <cell r="L2641">
            <v>6</v>
          </cell>
          <cell r="M2641">
            <v>13.89</v>
          </cell>
        </row>
        <row r="2642">
          <cell r="C2642" t="str">
            <v>40779</v>
          </cell>
          <cell r="D2642" t="str">
            <v>6C MIKE'S ORANGE N' CREAM</v>
          </cell>
          <cell r="E2642" t="str">
            <v>RTD CANADA</v>
          </cell>
          <cell r="F2642" t="str">
            <v>2130</v>
          </cell>
          <cell r="G2642">
            <v>5</v>
          </cell>
          <cell r="H2642">
            <v>1</v>
          </cell>
          <cell r="I2642" t="str">
            <v>205874</v>
          </cell>
          <cell r="L2642">
            <v>6</v>
          </cell>
          <cell r="M2642">
            <v>14.54</v>
          </cell>
        </row>
        <row r="2643">
          <cell r="C2643" t="str">
            <v>42556</v>
          </cell>
          <cell r="D2643" t="str">
            <v>6C NUTRL VODKA SODA GRAPE</v>
          </cell>
          <cell r="E2643" t="str">
            <v>LABATT BREWERIES OF CANADA</v>
          </cell>
          <cell r="F2643" t="str">
            <v>2130</v>
          </cell>
          <cell r="G2643">
            <v>5</v>
          </cell>
          <cell r="H2643">
            <v>1</v>
          </cell>
          <cell r="I2643" t="str">
            <v>205874</v>
          </cell>
          <cell r="L2643">
            <v>6</v>
          </cell>
          <cell r="M2643">
            <v>14.24</v>
          </cell>
        </row>
        <row r="2644">
          <cell r="C2644" t="str">
            <v>28772</v>
          </cell>
          <cell r="D2644" t="str">
            <v>6C NUTRL VODKA SODA GRAPEFRUIT</v>
          </cell>
          <cell r="E2644" t="str">
            <v>GOODRIDGE &amp; WILLIAMS DISTILLING INC</v>
          </cell>
          <cell r="F2644" t="str">
            <v>2130</v>
          </cell>
          <cell r="G2644">
            <v>5</v>
          </cell>
          <cell r="H2644">
            <v>1</v>
          </cell>
          <cell r="I2644" t="str">
            <v>205874</v>
          </cell>
          <cell r="L2644">
            <v>6</v>
          </cell>
          <cell r="M2644">
            <v>14.24</v>
          </cell>
        </row>
        <row r="2645">
          <cell r="C2645" t="str">
            <v>48174</v>
          </cell>
          <cell r="D2645" t="str">
            <v>6C NUTRL VODKA SODA GREEN APPLE (SPT)LAB</v>
          </cell>
          <cell r="E2645" t="str">
            <v>GOODRIDGE &amp; WILLIAMS DISTILLING INC</v>
          </cell>
          <cell r="F2645" t="str">
            <v>2130</v>
          </cell>
          <cell r="G2645">
            <v>5</v>
          </cell>
          <cell r="H2645">
            <v>1</v>
          </cell>
          <cell r="I2645" t="str">
            <v>205874</v>
          </cell>
          <cell r="L2645">
            <v>6</v>
          </cell>
          <cell r="M2645">
            <v>14.24</v>
          </cell>
        </row>
        <row r="2646">
          <cell r="C2646" t="str">
            <v>30237</v>
          </cell>
          <cell r="D2646" t="str">
            <v>6C NUTRL VODKA SODA PINEAPPLE</v>
          </cell>
          <cell r="E2646" t="str">
            <v>GOODRIDGE &amp; WILLIAMS DISTILLING INC</v>
          </cell>
          <cell r="F2646" t="str">
            <v>2130</v>
          </cell>
          <cell r="G2646">
            <v>5</v>
          </cell>
          <cell r="H2646">
            <v>1</v>
          </cell>
          <cell r="I2646" t="str">
            <v>205874</v>
          </cell>
          <cell r="L2646">
            <v>6</v>
          </cell>
          <cell r="M2646">
            <v>14.24</v>
          </cell>
        </row>
        <row r="2647">
          <cell r="C2647" t="str">
            <v>38490</v>
          </cell>
          <cell r="D2647" t="str">
            <v>6C NUTRL VODKA SODA RASPBERRY</v>
          </cell>
          <cell r="E2647" t="str">
            <v>RTD CANADA</v>
          </cell>
          <cell r="F2647" t="str">
            <v>2130</v>
          </cell>
          <cell r="G2647">
            <v>5</v>
          </cell>
          <cell r="H2647">
            <v>1</v>
          </cell>
          <cell r="I2647" t="str">
            <v>205874</v>
          </cell>
          <cell r="L2647">
            <v>6</v>
          </cell>
          <cell r="M2647">
            <v>14.24</v>
          </cell>
        </row>
        <row r="2648">
          <cell r="C2648" t="str">
            <v>35273</v>
          </cell>
          <cell r="D2648" t="str">
            <v>6C O16 HARD SELTZER CRANBERRY (SPT) GW</v>
          </cell>
          <cell r="E2648" t="str">
            <v>GREAT WESTERN BREWING COMPANY</v>
          </cell>
          <cell r="F2648" t="str">
            <v>2130</v>
          </cell>
          <cell r="G2648">
            <v>4.8</v>
          </cell>
          <cell r="H2648">
            <v>1</v>
          </cell>
          <cell r="I2648" t="str">
            <v>3274</v>
          </cell>
          <cell r="L2648">
            <v>6</v>
          </cell>
          <cell r="M2648">
            <v>12.13</v>
          </cell>
        </row>
        <row r="2649">
          <cell r="C2649" t="str">
            <v>34303</v>
          </cell>
          <cell r="D2649" t="str">
            <v>6C O16 HARD SELTZER LEMON S'TOON (SPT)</v>
          </cell>
          <cell r="E2649" t="str">
            <v>GREAT WESTERN BREWING COMPANY</v>
          </cell>
          <cell r="F2649" t="str">
            <v>2130</v>
          </cell>
          <cell r="G2649">
            <v>4.8</v>
          </cell>
          <cell r="H2649">
            <v>1</v>
          </cell>
          <cell r="I2649" t="str">
            <v>3274</v>
          </cell>
          <cell r="L2649">
            <v>6</v>
          </cell>
          <cell r="M2649">
            <v>12.13</v>
          </cell>
        </row>
        <row r="2650">
          <cell r="C2650" t="str">
            <v>35980</v>
          </cell>
          <cell r="D2650" t="str">
            <v>6C O16 HARD SELTZER MIXED BERRY (SPT)</v>
          </cell>
          <cell r="E2650" t="str">
            <v>GREAT WESTERN BREWING COMPANY</v>
          </cell>
          <cell r="F2650" t="str">
            <v>2130</v>
          </cell>
          <cell r="G2650">
            <v>4.8</v>
          </cell>
          <cell r="H2650">
            <v>1</v>
          </cell>
          <cell r="I2650" t="str">
            <v>3274</v>
          </cell>
          <cell r="L2650">
            <v>6</v>
          </cell>
          <cell r="M2650">
            <v>12.13</v>
          </cell>
        </row>
        <row r="2651">
          <cell r="C2651" t="str">
            <v>34304</v>
          </cell>
          <cell r="D2651" t="str">
            <v>6C O16 HARD SELTZER PEACH (SPT) GW</v>
          </cell>
          <cell r="E2651" t="str">
            <v>GREAT WESTERN BREWING COMPANY</v>
          </cell>
          <cell r="F2651" t="str">
            <v>2130</v>
          </cell>
          <cell r="G2651">
            <v>4.8</v>
          </cell>
          <cell r="H2651">
            <v>1</v>
          </cell>
          <cell r="I2651" t="str">
            <v>3274</v>
          </cell>
          <cell r="L2651">
            <v>6</v>
          </cell>
          <cell r="M2651">
            <v>12.13</v>
          </cell>
        </row>
        <row r="2652">
          <cell r="C2652" t="str">
            <v>8661</v>
          </cell>
          <cell r="D2652" t="str">
            <v>6C PALM B RUBY GRAPEFRUIT SUNRISE SPRITZ</v>
          </cell>
          <cell r="E2652" t="str">
            <v>TURNING POINT BREWERY</v>
          </cell>
          <cell r="F2652" t="str">
            <v>2130</v>
          </cell>
          <cell r="G2652">
            <v>5</v>
          </cell>
          <cell r="H2652">
            <v>1</v>
          </cell>
          <cell r="I2652" t="str">
            <v>205874</v>
          </cell>
          <cell r="K2652" t="str">
            <v xml:space="preserve"> </v>
          </cell>
          <cell r="L2652">
            <v>6</v>
          </cell>
          <cell r="M2652">
            <v>14.84</v>
          </cell>
        </row>
        <row r="2653">
          <cell r="C2653" t="str">
            <v>35710</v>
          </cell>
          <cell r="D2653" t="str">
            <v>6C PALM BAY RAINBOW TWIST</v>
          </cell>
          <cell r="E2653" t="str">
            <v>TURNING POINT BREWERY</v>
          </cell>
          <cell r="F2653" t="str">
            <v>2130</v>
          </cell>
          <cell r="G2653">
            <v>5</v>
          </cell>
          <cell r="H2653">
            <v>1</v>
          </cell>
          <cell r="I2653" t="str">
            <v>205874</v>
          </cell>
          <cell r="L2653">
            <v>6</v>
          </cell>
          <cell r="M2653">
            <v>14.84</v>
          </cell>
        </row>
        <row r="2654">
          <cell r="C2654" t="str">
            <v>14660</v>
          </cell>
          <cell r="D2654" t="str">
            <v>6C PALM BAY STRAWBERRY PINEAPPLE</v>
          </cell>
          <cell r="E2654" t="str">
            <v>TURNING POINT BREWERY</v>
          </cell>
          <cell r="F2654" t="str">
            <v>2130</v>
          </cell>
          <cell r="G2654">
            <v>5</v>
          </cell>
          <cell r="H2654">
            <v>1</v>
          </cell>
          <cell r="I2654" t="str">
            <v>205874</v>
          </cell>
          <cell r="K2654" t="str">
            <v xml:space="preserve"> </v>
          </cell>
          <cell r="L2654">
            <v>6</v>
          </cell>
          <cell r="M2654">
            <v>14.84</v>
          </cell>
        </row>
        <row r="2655">
          <cell r="C2655" t="str">
            <v>46880</v>
          </cell>
          <cell r="D2655" t="str">
            <v>6C SIMPLY BOLD CHERRY LIMEADE (SPT) MOLS</v>
          </cell>
          <cell r="E2655" t="str">
            <v>MOLSON COORS CANADA</v>
          </cell>
          <cell r="F2655" t="str">
            <v>2130</v>
          </cell>
          <cell r="G2655">
            <v>7</v>
          </cell>
          <cell r="H2655">
            <v>1</v>
          </cell>
          <cell r="I2655" t="str">
            <v>3276</v>
          </cell>
          <cell r="L2655">
            <v>6</v>
          </cell>
          <cell r="M2655">
            <v>14.69</v>
          </cell>
        </row>
        <row r="2656">
          <cell r="C2656" t="str">
            <v>40692</v>
          </cell>
          <cell r="D2656" t="str">
            <v>6C SIMPLY SPIKED LEMONADE (SPT) MOLSON</v>
          </cell>
          <cell r="E2656" t="str">
            <v>MOLSON COORS CANADA</v>
          </cell>
          <cell r="F2656" t="str">
            <v>2130</v>
          </cell>
          <cell r="G2656">
            <v>5</v>
          </cell>
          <cell r="H2656">
            <v>1</v>
          </cell>
          <cell r="I2656" t="str">
            <v>3276</v>
          </cell>
          <cell r="L2656">
            <v>6</v>
          </cell>
          <cell r="M2656">
            <v>14.07</v>
          </cell>
        </row>
        <row r="2657">
          <cell r="C2657" t="str">
            <v>42776</v>
          </cell>
          <cell r="D2657" t="str">
            <v>6C SIMPLY SPIKED SIGNATURE PEACH(SPT)MOL</v>
          </cell>
          <cell r="E2657" t="str">
            <v>MOLSON COORS CANADA</v>
          </cell>
          <cell r="F2657" t="str">
            <v>2130</v>
          </cell>
          <cell r="G2657">
            <v>5</v>
          </cell>
          <cell r="H2657">
            <v>1</v>
          </cell>
          <cell r="I2657" t="str">
            <v>3276</v>
          </cell>
          <cell r="L2657">
            <v>6</v>
          </cell>
          <cell r="M2657">
            <v>14.69</v>
          </cell>
        </row>
        <row r="2658">
          <cell r="C2658" t="str">
            <v>42667</v>
          </cell>
          <cell r="D2658" t="str">
            <v>6C SOCIAL LITE ITALIAN SPRITZ SLEEMAN</v>
          </cell>
          <cell r="E2658" t="str">
            <v>AWARE BEVERAGES</v>
          </cell>
          <cell r="F2658" t="str">
            <v>2130</v>
          </cell>
          <cell r="G2658">
            <v>5</v>
          </cell>
          <cell r="H2658">
            <v>1</v>
          </cell>
          <cell r="I2658" t="str">
            <v>3302</v>
          </cell>
          <cell r="L2658">
            <v>6</v>
          </cell>
          <cell r="M2658">
            <v>14.07</v>
          </cell>
        </row>
        <row r="2659">
          <cell r="C2659" t="str">
            <v>42965</v>
          </cell>
          <cell r="D2659" t="str">
            <v>6C SVNS HARD 7UP LEMONADE - LABATT (SPT)</v>
          </cell>
          <cell r="E2659" t="str">
            <v>LABATT BREWERIES OF CANADA</v>
          </cell>
          <cell r="F2659" t="str">
            <v>2130</v>
          </cell>
          <cell r="G2659">
            <v>7</v>
          </cell>
          <cell r="H2659">
            <v>1</v>
          </cell>
          <cell r="I2659" t="str">
            <v>1575</v>
          </cell>
          <cell r="L2659">
            <v>6</v>
          </cell>
          <cell r="M2659">
            <v>14.69</v>
          </cell>
        </row>
        <row r="2660">
          <cell r="C2660" t="str">
            <v>42962</v>
          </cell>
          <cell r="D2660" t="str">
            <v>6C SVNS HARD 7UP ORIGINAL - LABATT(SPT)</v>
          </cell>
          <cell r="E2660" t="str">
            <v>LABATT BREWERIES OF CANADA</v>
          </cell>
          <cell r="F2660" t="str">
            <v>2130</v>
          </cell>
          <cell r="G2660">
            <v>7</v>
          </cell>
          <cell r="H2660">
            <v>1</v>
          </cell>
          <cell r="I2660" t="str">
            <v>1575</v>
          </cell>
          <cell r="L2660">
            <v>6</v>
          </cell>
          <cell r="M2660">
            <v>14.69</v>
          </cell>
        </row>
        <row r="2661">
          <cell r="C2661" t="str">
            <v>47621</v>
          </cell>
          <cell r="D2661" t="str">
            <v>6C TEA BAR LEMON HARD ICED TEA (SPT) LAB</v>
          </cell>
          <cell r="E2661" t="str">
            <v>BANDED PEAK BREWING - LABATT</v>
          </cell>
          <cell r="F2661" t="str">
            <v>2130</v>
          </cell>
          <cell r="G2661">
            <v>5</v>
          </cell>
          <cell r="H2661">
            <v>1</v>
          </cell>
          <cell r="I2661" t="str">
            <v>205874</v>
          </cell>
          <cell r="L2661">
            <v>6</v>
          </cell>
          <cell r="M2661">
            <v>13.89</v>
          </cell>
        </row>
        <row r="2662">
          <cell r="C2662" t="str">
            <v>45975</v>
          </cell>
          <cell r="D2662" t="str">
            <v>6C TEMPO GIN  PINEAPPLE COCO (SPT) LAB</v>
          </cell>
          <cell r="E2662" t="str">
            <v>GOODRIDGE &amp; WILLIAMS DISTILLING INC</v>
          </cell>
          <cell r="F2662" t="str">
            <v>2130</v>
          </cell>
          <cell r="G2662">
            <v>5</v>
          </cell>
          <cell r="H2662">
            <v>1</v>
          </cell>
          <cell r="I2662" t="str">
            <v>1575</v>
          </cell>
          <cell r="L2662">
            <v>6</v>
          </cell>
          <cell r="M2662">
            <v>14.84</v>
          </cell>
        </row>
        <row r="2663">
          <cell r="C2663" t="str">
            <v>38493</v>
          </cell>
          <cell r="D2663" t="str">
            <v>6C TEMPO GIN SMASH BLACKBERRY LIME</v>
          </cell>
          <cell r="E2663" t="str">
            <v>RTD CANADA</v>
          </cell>
          <cell r="F2663" t="str">
            <v>2130</v>
          </cell>
          <cell r="G2663">
            <v>5</v>
          </cell>
          <cell r="H2663">
            <v>1</v>
          </cell>
          <cell r="I2663" t="str">
            <v>205874</v>
          </cell>
          <cell r="L2663">
            <v>6</v>
          </cell>
          <cell r="M2663">
            <v>14.84</v>
          </cell>
        </row>
        <row r="2664">
          <cell r="C2664" t="str">
            <v>36742</v>
          </cell>
          <cell r="D2664" t="str">
            <v>6C TEMPO GIN SMASH MANGO PEACH</v>
          </cell>
          <cell r="E2664" t="str">
            <v>GOODRIDGE &amp; WILLIAMS DISTILLING INC</v>
          </cell>
          <cell r="F2664" t="str">
            <v>2130</v>
          </cell>
          <cell r="G2664">
            <v>5</v>
          </cell>
          <cell r="H2664">
            <v>1</v>
          </cell>
          <cell r="I2664" t="str">
            <v>205874</v>
          </cell>
          <cell r="L2664">
            <v>6</v>
          </cell>
          <cell r="M2664">
            <v>14.84</v>
          </cell>
        </row>
        <row r="2665">
          <cell r="C2665" t="str">
            <v>40675</v>
          </cell>
          <cell r="D2665" t="str">
            <v>6C TOPO CHICO SIGNATURE MARGARITA (SPT)</v>
          </cell>
          <cell r="E2665" t="str">
            <v>MOLSON COORS CANADA</v>
          </cell>
          <cell r="F2665" t="str">
            <v>2130</v>
          </cell>
          <cell r="G2665">
            <v>5</v>
          </cell>
          <cell r="H2665">
            <v>1</v>
          </cell>
          <cell r="I2665" t="str">
            <v>3276</v>
          </cell>
          <cell r="L2665">
            <v>6</v>
          </cell>
          <cell r="M2665">
            <v>13.49</v>
          </cell>
        </row>
        <row r="2666">
          <cell r="C2666" t="str">
            <v>40837</v>
          </cell>
          <cell r="D2666" t="str">
            <v>6C TOPO CHICO STRAWBERRY GUAVA (SPT)</v>
          </cell>
          <cell r="E2666" t="str">
            <v>MOLSON COORS CANADA</v>
          </cell>
          <cell r="F2666" t="str">
            <v>2130</v>
          </cell>
          <cell r="G2666">
            <v>4.7</v>
          </cell>
          <cell r="H2666">
            <v>1</v>
          </cell>
          <cell r="I2666" t="str">
            <v>3276</v>
          </cell>
          <cell r="L2666">
            <v>6</v>
          </cell>
          <cell r="M2666">
            <v>13.49</v>
          </cell>
        </row>
        <row r="2667">
          <cell r="C2667" t="str">
            <v>42836</v>
          </cell>
          <cell r="D2667" t="str">
            <v>6C VIZZY MAX DRAGON FRUIT MANGO (SPT)MOL</v>
          </cell>
          <cell r="E2667" t="str">
            <v>MOLSON COORS CANADA</v>
          </cell>
          <cell r="F2667" t="str">
            <v>2130</v>
          </cell>
          <cell r="G2667">
            <v>7</v>
          </cell>
          <cell r="H2667">
            <v>1</v>
          </cell>
          <cell r="I2667" t="str">
            <v>3276</v>
          </cell>
          <cell r="L2667">
            <v>6</v>
          </cell>
          <cell r="M2667">
            <v>14.69</v>
          </cell>
        </row>
        <row r="2668">
          <cell r="C2668" t="str">
            <v>45140</v>
          </cell>
          <cell r="D2668" t="str">
            <v>6C VIZZY ORANGE CREAM POP SPT- MOL</v>
          </cell>
          <cell r="E2668" t="str">
            <v>MOLSON COORS CANADA</v>
          </cell>
          <cell r="F2668" t="str">
            <v>2130</v>
          </cell>
          <cell r="G2668">
            <v>5</v>
          </cell>
          <cell r="H2668">
            <v>1</v>
          </cell>
          <cell r="I2668" t="str">
            <v>3276</v>
          </cell>
          <cell r="L2668">
            <v>6</v>
          </cell>
          <cell r="M2668">
            <v>14.69</v>
          </cell>
        </row>
        <row r="2669">
          <cell r="C2669" t="str">
            <v>40674</v>
          </cell>
          <cell r="D2669" t="str">
            <v>6C VIZZY PAPAYA PASSIONFRUIT(SPT) MOLSON</v>
          </cell>
          <cell r="E2669" t="str">
            <v>MOLSON COORS CANADA</v>
          </cell>
          <cell r="F2669" t="str">
            <v>2130</v>
          </cell>
          <cell r="G2669">
            <v>5</v>
          </cell>
          <cell r="H2669">
            <v>1</v>
          </cell>
          <cell r="I2669" t="str">
            <v>3276</v>
          </cell>
          <cell r="L2669">
            <v>6</v>
          </cell>
          <cell r="M2669">
            <v>14.24</v>
          </cell>
        </row>
        <row r="2670">
          <cell r="C2670" t="str">
            <v>40672</v>
          </cell>
          <cell r="D2670" t="str">
            <v>6C VIZZY STRAW/ORANGE MIMOSA (SPT)MOLSON</v>
          </cell>
          <cell r="E2670" t="str">
            <v>MOLSON COORS CANADA</v>
          </cell>
          <cell r="F2670" t="str">
            <v>2130</v>
          </cell>
          <cell r="G2670">
            <v>5</v>
          </cell>
          <cell r="H2670">
            <v>1</v>
          </cell>
          <cell r="I2670" t="str">
            <v>3276</v>
          </cell>
          <cell r="L2670">
            <v>6</v>
          </cell>
          <cell r="M2670">
            <v>14.24</v>
          </cell>
        </row>
        <row r="2671">
          <cell r="C2671" t="str">
            <v>38757</v>
          </cell>
          <cell r="D2671" t="str">
            <v>6C WHITE PEAKS GREEN TEA WITH HONEY BR S</v>
          </cell>
          <cell r="E2671" t="str">
            <v>BIG ROCK (ALBERTA) LTD. (R)</v>
          </cell>
          <cell r="F2671" t="str">
            <v>2130</v>
          </cell>
          <cell r="G2671">
            <v>5</v>
          </cell>
          <cell r="H2671">
            <v>1</v>
          </cell>
          <cell r="I2671" t="str">
            <v>3227</v>
          </cell>
          <cell r="L2671">
            <v>6</v>
          </cell>
          <cell r="M2671">
            <v>13.49</v>
          </cell>
        </row>
        <row r="2672">
          <cell r="C2672" t="str">
            <v>39318</v>
          </cell>
          <cell r="D2672" t="str">
            <v>6C WHITE PEAKS PEACH APRICOT(SPT) - BR</v>
          </cell>
          <cell r="E2672" t="str">
            <v>BIG ROCK (ALBERTA) LTD. (R)</v>
          </cell>
          <cell r="F2672" t="str">
            <v>2130</v>
          </cell>
          <cell r="G2672">
            <v>5</v>
          </cell>
          <cell r="H2672">
            <v>1</v>
          </cell>
          <cell r="I2672" t="str">
            <v>3227</v>
          </cell>
          <cell r="L2672">
            <v>6</v>
          </cell>
          <cell r="M2672">
            <v>14.05</v>
          </cell>
        </row>
        <row r="2673">
          <cell r="C2673" t="str">
            <v>39317</v>
          </cell>
          <cell r="D2673" t="str">
            <v>6C WHITE PEAKS SASKATOON BLUEBERRY(SPT)</v>
          </cell>
          <cell r="E2673" t="str">
            <v>BIG ROCK (ALBERTA) LTD. (R)</v>
          </cell>
          <cell r="F2673" t="str">
            <v>2130</v>
          </cell>
          <cell r="G2673">
            <v>5</v>
          </cell>
          <cell r="H2673">
            <v>1</v>
          </cell>
          <cell r="I2673" t="str">
            <v>3227</v>
          </cell>
          <cell r="L2673">
            <v>6</v>
          </cell>
          <cell r="M2673">
            <v>14.05</v>
          </cell>
        </row>
        <row r="2674">
          <cell r="C2674" t="str">
            <v>36923</v>
          </cell>
          <cell r="D2674" t="str">
            <v>6C YES GUY HARD ICED GREEN TEA LEMONADE</v>
          </cell>
          <cell r="E2674" t="str">
            <v>GOODRIDGE &amp; WILLIAMS DISTILLING INC</v>
          </cell>
          <cell r="F2674" t="str">
            <v>2130</v>
          </cell>
          <cell r="G2674">
            <v>5</v>
          </cell>
          <cell r="H2674">
            <v>1</v>
          </cell>
          <cell r="I2674" t="str">
            <v>205874</v>
          </cell>
          <cell r="L2674">
            <v>6</v>
          </cell>
          <cell r="M2674">
            <v>11.99</v>
          </cell>
        </row>
        <row r="2675">
          <cell r="C2675" t="str">
            <v>35749</v>
          </cell>
          <cell r="D2675" t="str">
            <v>6C YES GUY HARD ICED TEA LEMON - RTD</v>
          </cell>
          <cell r="E2675" t="str">
            <v>GOODRIDGE &amp; WILLIAMS DISTILLING INC</v>
          </cell>
          <cell r="F2675" t="str">
            <v>2130</v>
          </cell>
          <cell r="G2675">
            <v>5</v>
          </cell>
          <cell r="H2675">
            <v>1</v>
          </cell>
          <cell r="I2675" t="str">
            <v>205874</v>
          </cell>
          <cell r="L2675">
            <v>6</v>
          </cell>
          <cell r="M2675">
            <v>11.99</v>
          </cell>
        </row>
        <row r="2676">
          <cell r="C2676" t="str">
            <v>36921</v>
          </cell>
          <cell r="D2676" t="str">
            <v>6C YES GUY HARD ICED TEA PEACH - RTD</v>
          </cell>
          <cell r="E2676" t="str">
            <v>GOODRIDGE &amp; WILLIAMS DISTILLING INC</v>
          </cell>
          <cell r="F2676" t="str">
            <v>2130</v>
          </cell>
          <cell r="G2676">
            <v>5</v>
          </cell>
          <cell r="H2676">
            <v>1</v>
          </cell>
          <cell r="I2676" t="str">
            <v>205874</v>
          </cell>
          <cell r="L2676">
            <v>6</v>
          </cell>
          <cell r="M2676">
            <v>11.99</v>
          </cell>
        </row>
        <row r="2677">
          <cell r="C2677" t="str">
            <v>36920</v>
          </cell>
          <cell r="D2677" t="str">
            <v>6C YES GUY HARD ICED TEA RASPBERRY - RTD</v>
          </cell>
          <cell r="E2677" t="str">
            <v>GOODRIDGE &amp; WILLIAMS DISTILLING INC</v>
          </cell>
          <cell r="F2677" t="str">
            <v>2130</v>
          </cell>
          <cell r="G2677">
            <v>5</v>
          </cell>
          <cell r="H2677">
            <v>1</v>
          </cell>
          <cell r="I2677" t="str">
            <v>205874</v>
          </cell>
          <cell r="L2677">
            <v>6</v>
          </cell>
          <cell r="M2677">
            <v>11.99</v>
          </cell>
        </row>
        <row r="2678">
          <cell r="C2678" t="str">
            <v>45142</v>
          </cell>
          <cell r="D2678" t="str">
            <v>8C CUTWATER SIG C'TAIL VRTY PK SPT- LAB</v>
          </cell>
          <cell r="E2678" t="str">
            <v>LABATT BREWERIES OF CANADA</v>
          </cell>
          <cell r="F2678" t="str">
            <v>2840</v>
          </cell>
          <cell r="G2678">
            <v>11.13</v>
          </cell>
          <cell r="H2678">
            <v>1</v>
          </cell>
          <cell r="I2678" t="str">
            <v>205874</v>
          </cell>
          <cell r="L2678">
            <v>8</v>
          </cell>
          <cell r="M2678">
            <v>26.38</v>
          </cell>
        </row>
        <row r="2679">
          <cell r="C2679" t="str">
            <v>46282</v>
          </cell>
          <cell r="D2679" t="str">
            <v>8C LAKE LIFE BLACKBERRY SELTZER - GW</v>
          </cell>
          <cell r="E2679" t="str">
            <v>GREAT WESTERN BREWING COMPANY</v>
          </cell>
          <cell r="F2679" t="str">
            <v>2840</v>
          </cell>
          <cell r="G2679">
            <v>5</v>
          </cell>
          <cell r="H2679">
            <v>1</v>
          </cell>
          <cell r="I2679" t="str">
            <v>3274</v>
          </cell>
          <cell r="L2679">
            <v>8</v>
          </cell>
          <cell r="M2679">
            <v>18.18</v>
          </cell>
        </row>
        <row r="2680">
          <cell r="C2680" t="str">
            <v>45204</v>
          </cell>
          <cell r="D2680" t="str">
            <v>8C NUTRL ESSENTIALS MIX (SPT) - LABATT</v>
          </cell>
          <cell r="E2680" t="str">
            <v>LABATT BREWERIES OF CANADA</v>
          </cell>
          <cell r="F2680" t="str">
            <v>2840</v>
          </cell>
          <cell r="G2680">
            <v>5</v>
          </cell>
          <cell r="H2680">
            <v>1</v>
          </cell>
          <cell r="I2680" t="str">
            <v>205874</v>
          </cell>
          <cell r="L2680">
            <v>8</v>
          </cell>
          <cell r="M2680">
            <v>18.2</v>
          </cell>
        </row>
        <row r="2681">
          <cell r="C2681" t="str">
            <v>46884</v>
          </cell>
          <cell r="D2681" t="str">
            <v>8C SIMPLY BOLD VP (SPT) MOLSON</v>
          </cell>
          <cell r="E2681" t="str">
            <v>MOLSON COORS CANADA</v>
          </cell>
          <cell r="F2681" t="str">
            <v>2840</v>
          </cell>
          <cell r="G2681">
            <v>7</v>
          </cell>
          <cell r="H2681">
            <v>1</v>
          </cell>
          <cell r="I2681" t="str">
            <v>3276</v>
          </cell>
          <cell r="L2681">
            <v>8</v>
          </cell>
          <cell r="M2681">
            <v>17.989999999999998</v>
          </cell>
        </row>
        <row r="2682">
          <cell r="C2682" t="str">
            <v>40581</v>
          </cell>
          <cell r="D2682" t="str">
            <v>8C SOCIAL LITE CKTL SELT MIX(SPT)SLEEMAN</v>
          </cell>
          <cell r="E2682" t="str">
            <v>AWARE BEVERAGES</v>
          </cell>
          <cell r="F2682" t="str">
            <v>2840</v>
          </cell>
          <cell r="G2682">
            <v>5</v>
          </cell>
          <cell r="H2682">
            <v>1</v>
          </cell>
          <cell r="I2682" t="str">
            <v>3302</v>
          </cell>
          <cell r="L2682">
            <v>8</v>
          </cell>
          <cell r="M2682">
            <v>17.11</v>
          </cell>
        </row>
        <row r="2683">
          <cell r="C2683" t="str">
            <v>20569</v>
          </cell>
          <cell r="D2683" t="str">
            <v>ANGRY ORCHARD CRISP APPLE CIDER</v>
          </cell>
          <cell r="E2683" t="str">
            <v>THE BOSTON BEER COMPANY</v>
          </cell>
          <cell r="F2683" t="str">
            <v>2130</v>
          </cell>
          <cell r="G2683">
            <v>5</v>
          </cell>
          <cell r="H2683">
            <v>4</v>
          </cell>
          <cell r="I2683" t="str">
            <v>3278</v>
          </cell>
          <cell r="K2683" t="str">
            <v xml:space="preserve"> </v>
          </cell>
          <cell r="L2683">
            <v>6</v>
          </cell>
          <cell r="M2683">
            <v>13.16</v>
          </cell>
        </row>
        <row r="2684">
          <cell r="C2684" t="str">
            <v>29194</v>
          </cell>
          <cell r="D2684" t="str">
            <v>BUMPER CROP CRISP APPLE CIDER</v>
          </cell>
          <cell r="E2684" t="str">
            <v>NORTHAM BREWERY (R)</v>
          </cell>
          <cell r="F2684" t="str">
            <v>2130</v>
          </cell>
          <cell r="G2684">
            <v>7</v>
          </cell>
          <cell r="H2684">
            <v>4</v>
          </cell>
          <cell r="I2684" t="str">
            <v>137744</v>
          </cell>
          <cell r="L2684">
            <v>6</v>
          </cell>
          <cell r="M2684">
            <v>11.07</v>
          </cell>
        </row>
        <row r="2685">
          <cell r="C2685" t="str">
            <v>35660</v>
          </cell>
          <cell r="D2685" t="str">
            <v>BUMPER CROP MIXER</v>
          </cell>
          <cell r="E2685" t="str">
            <v>NORTHAM BREWERY (R)</v>
          </cell>
          <cell r="F2685" t="str">
            <v>4260</v>
          </cell>
          <cell r="G2685">
            <v>7</v>
          </cell>
          <cell r="H2685">
            <v>2</v>
          </cell>
          <cell r="I2685" t="str">
            <v>137744</v>
          </cell>
          <cell r="L2685">
            <v>12</v>
          </cell>
          <cell r="M2685">
            <v>22.16</v>
          </cell>
        </row>
        <row r="2686">
          <cell r="C2686" t="str">
            <v>28862</v>
          </cell>
          <cell r="D2686" t="str">
            <v>BUMPER CROP MOUNTAIN PEAR</v>
          </cell>
          <cell r="E2686" t="str">
            <v>NORTHAM BREWERY (R)</v>
          </cell>
          <cell r="F2686" t="str">
            <v>2130</v>
          </cell>
          <cell r="G2686">
            <v>7</v>
          </cell>
          <cell r="H2686">
            <v>4</v>
          </cell>
          <cell r="I2686" t="str">
            <v>137744</v>
          </cell>
          <cell r="L2686">
            <v>6</v>
          </cell>
          <cell r="M2686">
            <v>11.07</v>
          </cell>
        </row>
        <row r="2687">
          <cell r="C2687" t="str">
            <v>21021</v>
          </cell>
          <cell r="D2687" t="str">
            <v>CARLSBERG SOMERSBY APPLE CIDER</v>
          </cell>
          <cell r="E2687" t="str">
            <v>CARLSBERG BREWERIES A/S</v>
          </cell>
          <cell r="F2687" t="str">
            <v>25000</v>
          </cell>
          <cell r="G2687">
            <v>4.5</v>
          </cell>
          <cell r="H2687">
            <v>1</v>
          </cell>
          <cell r="I2687" t="str">
            <v>128241</v>
          </cell>
          <cell r="K2687" t="str">
            <v xml:space="preserve"> </v>
          </cell>
          <cell r="L2687">
            <v>1</v>
          </cell>
          <cell r="M2687">
            <v>119.22</v>
          </cell>
        </row>
        <row r="2688">
          <cell r="C2688" t="str">
            <v>19755</v>
          </cell>
          <cell r="D2688" t="str">
            <v>GROWERS BLACKBERRY CIDER</v>
          </cell>
          <cell r="E2688" t="str">
            <v>ARTERRA WINES CANADA INC</v>
          </cell>
          <cell r="F2688" t="str">
            <v>2000</v>
          </cell>
          <cell r="G2688">
            <v>7</v>
          </cell>
          <cell r="H2688">
            <v>8</v>
          </cell>
          <cell r="I2688" t="str">
            <v>1008</v>
          </cell>
          <cell r="K2688" t="str">
            <v xml:space="preserve"> </v>
          </cell>
          <cell r="L2688">
            <v>1</v>
          </cell>
          <cell r="M2688">
            <v>9.64</v>
          </cell>
        </row>
        <row r="2689">
          <cell r="C2689" t="str">
            <v>2584</v>
          </cell>
          <cell r="D2689" t="str">
            <v>GROWERS ORCHARDBERRY CIDER</v>
          </cell>
          <cell r="E2689" t="str">
            <v>ARTERRA WINES CANADA INC</v>
          </cell>
          <cell r="F2689" t="str">
            <v>2000</v>
          </cell>
          <cell r="G2689">
            <v>6</v>
          </cell>
          <cell r="H2689">
            <v>8</v>
          </cell>
          <cell r="I2689" t="str">
            <v>1008</v>
          </cell>
          <cell r="K2689" t="str">
            <v xml:space="preserve"> </v>
          </cell>
          <cell r="L2689">
            <v>1</v>
          </cell>
          <cell r="M2689">
            <v>9.64</v>
          </cell>
        </row>
        <row r="2690">
          <cell r="C2690" t="str">
            <v>6844</v>
          </cell>
          <cell r="D2690" t="str">
            <v>GROWERS POMEGRANATE CIDER</v>
          </cell>
          <cell r="E2690" t="str">
            <v>ARTERRA WINES CANADA INC</v>
          </cell>
          <cell r="F2690" t="str">
            <v>2000</v>
          </cell>
          <cell r="G2690">
            <v>7</v>
          </cell>
          <cell r="H2690">
            <v>8</v>
          </cell>
          <cell r="I2690" t="str">
            <v>1008</v>
          </cell>
          <cell r="K2690" t="str">
            <v xml:space="preserve"> </v>
          </cell>
          <cell r="L2690">
            <v>1</v>
          </cell>
          <cell r="M2690">
            <v>9.64</v>
          </cell>
        </row>
        <row r="2691">
          <cell r="C2691" t="str">
            <v>2587</v>
          </cell>
          <cell r="D2691" t="str">
            <v>GROWERS RASPBERRY CIDER</v>
          </cell>
          <cell r="E2691" t="str">
            <v>ARTERRA WINES CANADA INC</v>
          </cell>
          <cell r="F2691" t="str">
            <v>2000</v>
          </cell>
          <cell r="G2691">
            <v>6</v>
          </cell>
          <cell r="H2691">
            <v>8</v>
          </cell>
          <cell r="I2691" t="str">
            <v>1008</v>
          </cell>
          <cell r="K2691" t="str">
            <v xml:space="preserve"> </v>
          </cell>
          <cell r="L2691">
            <v>1</v>
          </cell>
          <cell r="M2691">
            <v>9.64</v>
          </cell>
        </row>
        <row r="2692">
          <cell r="C2692" t="str">
            <v>43108</v>
          </cell>
          <cell r="D2692" t="str">
            <v>GROWERS ROSE CIDER</v>
          </cell>
          <cell r="E2692" t="str">
            <v>ARTERRA WINES CANADA INC</v>
          </cell>
          <cell r="F2692" t="str">
            <v>1000</v>
          </cell>
          <cell r="G2692">
            <v>5</v>
          </cell>
          <cell r="H2692">
            <v>12</v>
          </cell>
          <cell r="I2692" t="str">
            <v>1008</v>
          </cell>
          <cell r="L2692">
            <v>1</v>
          </cell>
          <cell r="M2692">
            <v>6.04</v>
          </cell>
        </row>
        <row r="2693">
          <cell r="C2693" t="str">
            <v>16786</v>
          </cell>
          <cell r="D2693" t="str">
            <v>GROWERS STRAWBERRY RHUBARB</v>
          </cell>
          <cell r="E2693" t="str">
            <v>ARTERRA WINES CANADA INC</v>
          </cell>
          <cell r="F2693" t="str">
            <v>2000</v>
          </cell>
          <cell r="G2693">
            <v>7</v>
          </cell>
          <cell r="H2693">
            <v>8</v>
          </cell>
          <cell r="I2693" t="str">
            <v>1008</v>
          </cell>
          <cell r="K2693" t="str">
            <v xml:space="preserve"> </v>
          </cell>
          <cell r="L2693">
            <v>1</v>
          </cell>
          <cell r="M2693">
            <v>9.64</v>
          </cell>
        </row>
        <row r="2694">
          <cell r="C2694" t="str">
            <v>37126</v>
          </cell>
          <cell r="D2694" t="str">
            <v>GROWERS VARIETY PACK</v>
          </cell>
          <cell r="E2694" t="str">
            <v>ARTERRA WINES CANADA INC</v>
          </cell>
          <cell r="F2694" t="str">
            <v>4260</v>
          </cell>
          <cell r="G2694">
            <v>5</v>
          </cell>
          <cell r="H2694">
            <v>2</v>
          </cell>
          <cell r="I2694" t="str">
            <v>1008</v>
          </cell>
          <cell r="L2694">
            <v>12</v>
          </cell>
          <cell r="M2694">
            <v>23.33</v>
          </cell>
        </row>
        <row r="2695">
          <cell r="C2695" t="str">
            <v>43109</v>
          </cell>
          <cell r="D2695" t="str">
            <v>GROWERS WINTER CRANBERRY</v>
          </cell>
          <cell r="E2695" t="str">
            <v>ARTERRA WINES CANADA INC</v>
          </cell>
          <cell r="F2695" t="str">
            <v>1000</v>
          </cell>
          <cell r="G2695">
            <v>7</v>
          </cell>
          <cell r="H2695">
            <v>12</v>
          </cell>
          <cell r="I2695" t="str">
            <v>1008</v>
          </cell>
          <cell r="L2695">
            <v>1</v>
          </cell>
          <cell r="M2695">
            <v>6.04</v>
          </cell>
        </row>
        <row r="2696">
          <cell r="C2696" t="str">
            <v>14254</v>
          </cell>
          <cell r="D2696" t="str">
            <v>LONETREE AUTHENTIC APPLE CIDER</v>
          </cell>
          <cell r="E2696" t="str">
            <v>NORTHAM BREWERY (R)</v>
          </cell>
          <cell r="F2696" t="str">
            <v>2130</v>
          </cell>
          <cell r="G2696">
            <v>5.5</v>
          </cell>
          <cell r="H2696">
            <v>4</v>
          </cell>
          <cell r="I2696" t="str">
            <v>137744</v>
          </cell>
          <cell r="L2696">
            <v>6</v>
          </cell>
          <cell r="M2696">
            <v>12.57</v>
          </cell>
        </row>
        <row r="2697">
          <cell r="C2697" t="str">
            <v>23002</v>
          </cell>
          <cell r="D2697" t="str">
            <v>LONETREE GINGER &amp; APPLE CIDER</v>
          </cell>
          <cell r="E2697" t="str">
            <v>NORTHAM BREWERY (R)</v>
          </cell>
          <cell r="F2697" t="str">
            <v>2130</v>
          </cell>
          <cell r="G2697">
            <v>5.5</v>
          </cell>
          <cell r="H2697">
            <v>4</v>
          </cell>
          <cell r="I2697" t="str">
            <v>137744</v>
          </cell>
          <cell r="L2697">
            <v>6</v>
          </cell>
          <cell r="M2697">
            <v>12.57</v>
          </cell>
        </row>
        <row r="2698">
          <cell r="C2698" t="str">
            <v>7745</v>
          </cell>
          <cell r="D2698" t="str">
            <v>MAGNERS IRISH  CIDER</v>
          </cell>
          <cell r="E2698" t="str">
            <v>WILLIAM MAGNER &amp; CO</v>
          </cell>
          <cell r="F2698" t="str">
            <v>2000</v>
          </cell>
          <cell r="G2698">
            <v>4.5</v>
          </cell>
          <cell r="H2698">
            <v>6</v>
          </cell>
          <cell r="I2698" t="str">
            <v>3308</v>
          </cell>
          <cell r="K2698" t="str">
            <v xml:space="preserve"> </v>
          </cell>
          <cell r="L2698">
            <v>4</v>
          </cell>
          <cell r="M2698">
            <v>13.58</v>
          </cell>
        </row>
        <row r="2699">
          <cell r="C2699" t="str">
            <v>33261</v>
          </cell>
          <cell r="D2699" t="str">
            <v>NO BOATS ON SUNDAY ORIGINAL CIDER</v>
          </cell>
          <cell r="E2699" t="str">
            <v>ANDREW PELLER LIMITED</v>
          </cell>
          <cell r="F2699" t="str">
            <v>1892</v>
          </cell>
          <cell r="G2699">
            <v>5</v>
          </cell>
          <cell r="H2699">
            <v>6</v>
          </cell>
          <cell r="I2699" t="str">
            <v>4095</v>
          </cell>
          <cell r="L2699">
            <v>4</v>
          </cell>
          <cell r="M2699">
            <v>16.03</v>
          </cell>
        </row>
        <row r="2700">
          <cell r="C2700" t="str">
            <v>33521</v>
          </cell>
          <cell r="D2700" t="str">
            <v>SOMERSBY APPLE CIDER</v>
          </cell>
          <cell r="E2700" t="str">
            <v>CARLSBERG CANADA WATERLOO BREWING LTD</v>
          </cell>
          <cell r="F2700" t="str">
            <v>1892</v>
          </cell>
          <cell r="G2700">
            <v>4.5</v>
          </cell>
          <cell r="H2700">
            <v>6</v>
          </cell>
          <cell r="I2700" t="str">
            <v>3274</v>
          </cell>
          <cell r="L2700">
            <v>4</v>
          </cell>
          <cell r="M2700">
            <v>12.39</v>
          </cell>
        </row>
        <row r="2701">
          <cell r="C2701" t="str">
            <v>33047</v>
          </cell>
          <cell r="D2701" t="str">
            <v>SOMERSBY BLACKBERRY CIDER</v>
          </cell>
          <cell r="E2701" t="str">
            <v>CARLSBERG CANADA WATERLOO BREWING LTD</v>
          </cell>
          <cell r="F2701" t="str">
            <v>1892</v>
          </cell>
          <cell r="G2701">
            <v>4.5</v>
          </cell>
          <cell r="H2701">
            <v>6</v>
          </cell>
          <cell r="I2701" t="str">
            <v>3274</v>
          </cell>
          <cell r="L2701">
            <v>4</v>
          </cell>
          <cell r="M2701">
            <v>12.39</v>
          </cell>
        </row>
        <row r="2702">
          <cell r="C2702" t="str">
            <v>38435</v>
          </cell>
          <cell r="D2702" t="str">
            <v>SOMERSBY CIDER MIXER PACK</v>
          </cell>
          <cell r="E2702" t="str">
            <v>CARLSBERG CANADA WATERLOO BREWING LTD</v>
          </cell>
          <cell r="F2702" t="str">
            <v>3784</v>
          </cell>
          <cell r="G2702">
            <v>4.5</v>
          </cell>
          <cell r="H2702">
            <v>3</v>
          </cell>
          <cell r="I2702" t="str">
            <v>3274</v>
          </cell>
          <cell r="L2702">
            <v>8</v>
          </cell>
          <cell r="M2702">
            <v>24.04</v>
          </cell>
        </row>
        <row r="2703">
          <cell r="C2703" t="str">
            <v>33478</v>
          </cell>
          <cell r="D2703" t="str">
            <v>SOMERSBY MANGO LIME CIDER</v>
          </cell>
          <cell r="E2703" t="str">
            <v>CARLSBERG BREWERIES A/S</v>
          </cell>
          <cell r="F2703" t="str">
            <v>473</v>
          </cell>
          <cell r="G2703">
            <v>4.5</v>
          </cell>
          <cell r="H2703">
            <v>24</v>
          </cell>
          <cell r="I2703" t="str">
            <v>3274</v>
          </cell>
          <cell r="L2703">
            <v>1</v>
          </cell>
          <cell r="M2703">
            <v>2.94</v>
          </cell>
        </row>
        <row r="2704">
          <cell r="C2704" t="str">
            <v>43546</v>
          </cell>
          <cell r="D2704" t="str">
            <v>SOMERSBY PEAR CIDER</v>
          </cell>
          <cell r="E2704" t="str">
            <v>CARLSBERG CANADA WATERLOO BREWING LTD</v>
          </cell>
          <cell r="F2704" t="str">
            <v>1892</v>
          </cell>
          <cell r="G2704">
            <v>4.5</v>
          </cell>
          <cell r="H2704">
            <v>6</v>
          </cell>
          <cell r="I2704" t="str">
            <v>3274</v>
          </cell>
          <cell r="L2704">
            <v>4</v>
          </cell>
          <cell r="M2704">
            <v>12.84</v>
          </cell>
        </row>
        <row r="2705">
          <cell r="C2705" t="str">
            <v>43547</v>
          </cell>
          <cell r="D2705" t="str">
            <v>SOMERSBY RED RHUBARB CIDER</v>
          </cell>
          <cell r="E2705" t="str">
            <v>CARLSBERG CANADA WATERLOO BREWING LTD</v>
          </cell>
          <cell r="F2705" t="str">
            <v>1892</v>
          </cell>
          <cell r="G2705">
            <v>4.5</v>
          </cell>
          <cell r="H2705">
            <v>6</v>
          </cell>
          <cell r="I2705" t="str">
            <v>3274</v>
          </cell>
          <cell r="L2705">
            <v>4</v>
          </cell>
          <cell r="M2705">
            <v>12.84</v>
          </cell>
        </row>
        <row r="2706">
          <cell r="C2706" t="str">
            <v>45329</v>
          </cell>
          <cell r="D2706" t="str">
            <v>DEMON MIXED PACT</v>
          </cell>
          <cell r="E2706" t="str">
            <v>NEW LEVEL BREWING (m)</v>
          </cell>
          <cell r="F2706" t="str">
            <v>1892</v>
          </cell>
          <cell r="G2706">
            <v>6</v>
          </cell>
          <cell r="H2706">
            <v>6</v>
          </cell>
          <cell r="I2706" t="str">
            <v>206057</v>
          </cell>
          <cell r="L2706">
            <v>4</v>
          </cell>
          <cell r="M2706">
            <v>17.23</v>
          </cell>
        </row>
        <row r="2707">
          <cell r="C2707" t="str">
            <v>15707</v>
          </cell>
          <cell r="D2707" t="str">
            <v>TWISTED TEA HARD  ICED TEA (USA)</v>
          </cell>
          <cell r="E2707" t="str">
            <v>THE BOSTON BEER COMPANY</v>
          </cell>
          <cell r="F2707" t="str">
            <v>2130</v>
          </cell>
          <cell r="G2707">
            <v>5</v>
          </cell>
          <cell r="H2707">
            <v>4</v>
          </cell>
          <cell r="I2707" t="str">
            <v>3278</v>
          </cell>
          <cell r="K2707" t="str">
            <v xml:space="preserve"> </v>
          </cell>
          <cell r="L2707">
            <v>6</v>
          </cell>
          <cell r="M2707">
            <v>13.93</v>
          </cell>
        </row>
        <row r="2708">
          <cell r="C2708" t="str">
            <v>48471</v>
          </cell>
          <cell r="D2708" t="str">
            <v>196 LEMON</v>
          </cell>
          <cell r="E2708" t="str">
            <v>SUNTORY YAMAZAKI DISTILLERY</v>
          </cell>
          <cell r="F2708" t="str">
            <v>1420</v>
          </cell>
          <cell r="G2708">
            <v>6</v>
          </cell>
          <cell r="H2708">
            <v>6</v>
          </cell>
          <cell r="I2708" t="str">
            <v>3242</v>
          </cell>
          <cell r="L2708">
            <v>4</v>
          </cell>
          <cell r="M2708">
            <v>8.74</v>
          </cell>
        </row>
        <row r="2709">
          <cell r="C2709" t="str">
            <v>48472</v>
          </cell>
          <cell r="D2709" t="str">
            <v>196 VARIETY PACK</v>
          </cell>
          <cell r="E2709" t="str">
            <v>SUNTORY YAMAZAKI DISTILLERY</v>
          </cell>
          <cell r="F2709" t="str">
            <v>2840</v>
          </cell>
          <cell r="G2709">
            <v>6</v>
          </cell>
          <cell r="H2709">
            <v>3</v>
          </cell>
          <cell r="I2709" t="str">
            <v>3242</v>
          </cell>
          <cell r="L2709">
            <v>8</v>
          </cell>
          <cell r="M2709">
            <v>16.12</v>
          </cell>
        </row>
        <row r="2710">
          <cell r="C2710" t="str">
            <v>40723</v>
          </cell>
          <cell r="D2710" t="str">
            <v>2 HOOTS HARD ICED TEA 12 PACK</v>
          </cell>
          <cell r="E2710" t="str">
            <v>MARK ANTHONY BRANDS LTD.</v>
          </cell>
          <cell r="F2710" t="str">
            <v>4260</v>
          </cell>
          <cell r="G2710">
            <v>5</v>
          </cell>
          <cell r="H2710">
            <v>2</v>
          </cell>
          <cell r="I2710" t="str">
            <v>1009</v>
          </cell>
          <cell r="L2710">
            <v>12</v>
          </cell>
          <cell r="M2710">
            <v>28.09</v>
          </cell>
        </row>
        <row r="2711">
          <cell r="C2711" t="str">
            <v>40724</v>
          </cell>
          <cell r="D2711" t="str">
            <v>2 HOOTS LEMON TEA BAG-IN-BOX</v>
          </cell>
          <cell r="E2711" t="str">
            <v>MARK ANTHONY BRANDS LTD.</v>
          </cell>
          <cell r="F2711" t="str">
            <v>4000</v>
          </cell>
          <cell r="G2711">
            <v>5</v>
          </cell>
          <cell r="H2711">
            <v>4</v>
          </cell>
          <cell r="I2711" t="str">
            <v>1009</v>
          </cell>
          <cell r="L2711">
            <v>1</v>
          </cell>
          <cell r="M2711">
            <v>21.65</v>
          </cell>
        </row>
        <row r="2712">
          <cell r="C2712" t="str">
            <v>40725</v>
          </cell>
          <cell r="D2712" t="str">
            <v>ABSOLUT BERRY VODKARITA COCKTAIL</v>
          </cell>
          <cell r="E2712" t="str">
            <v>HIRAM WALKER &amp; SONS LTD</v>
          </cell>
          <cell r="F2712" t="str">
            <v>1420</v>
          </cell>
          <cell r="G2712">
            <v>7</v>
          </cell>
          <cell r="H2712">
            <v>6</v>
          </cell>
          <cell r="I2712" t="str">
            <v>3237</v>
          </cell>
          <cell r="L2712">
            <v>4</v>
          </cell>
          <cell r="M2712">
            <v>13.52</v>
          </cell>
        </row>
        <row r="2713">
          <cell r="C2713" t="str">
            <v>45313</v>
          </cell>
          <cell r="D2713" t="str">
            <v>ABSOLUT COCKTAILS VARIETY PACK</v>
          </cell>
          <cell r="E2713" t="str">
            <v>HIRAM WALKER &amp; SONS LTD</v>
          </cell>
          <cell r="F2713" t="str">
            <v>2840</v>
          </cell>
          <cell r="G2713">
            <v>7</v>
          </cell>
          <cell r="H2713">
            <v>3</v>
          </cell>
          <cell r="I2713" t="str">
            <v>3234</v>
          </cell>
          <cell r="L2713">
            <v>8</v>
          </cell>
          <cell r="M2713">
            <v>21.14</v>
          </cell>
        </row>
        <row r="2714">
          <cell r="C2714" t="str">
            <v>38311</v>
          </cell>
          <cell r="D2714" t="str">
            <v>ABSOLUT MANGO MULE COCKTAIL</v>
          </cell>
          <cell r="E2714" t="str">
            <v>HIRAM WALKER &amp; SONS LTD</v>
          </cell>
          <cell r="F2714" t="str">
            <v>1420</v>
          </cell>
          <cell r="G2714">
            <v>7</v>
          </cell>
          <cell r="H2714">
            <v>6</v>
          </cell>
          <cell r="I2714" t="str">
            <v>3234</v>
          </cell>
          <cell r="L2714">
            <v>4</v>
          </cell>
          <cell r="M2714">
            <v>13.52</v>
          </cell>
        </row>
        <row r="2715">
          <cell r="C2715" t="str">
            <v>45314</v>
          </cell>
          <cell r="D2715" t="str">
            <v>ABSOLUT OCEAN SPRAY VARIETY PACK</v>
          </cell>
          <cell r="E2715" t="str">
            <v>HIRAM WALKER &amp; SONS LTD</v>
          </cell>
          <cell r="F2715" t="str">
            <v>2840</v>
          </cell>
          <cell r="G2715">
            <v>4.5</v>
          </cell>
          <cell r="H2715">
            <v>3</v>
          </cell>
          <cell r="I2715" t="str">
            <v>3234</v>
          </cell>
          <cell r="L2715">
            <v>8</v>
          </cell>
          <cell r="M2715">
            <v>21.14</v>
          </cell>
        </row>
        <row r="2716">
          <cell r="C2716" t="str">
            <v>7551</v>
          </cell>
          <cell r="D2716" t="str">
            <v>BACARDI MOJITO</v>
          </cell>
          <cell r="E2716" t="str">
            <v>BACARDI BOTTLING CORP</v>
          </cell>
          <cell r="F2716" t="str">
            <v>750</v>
          </cell>
          <cell r="G2716">
            <v>12.5</v>
          </cell>
          <cell r="H2716">
            <v>12</v>
          </cell>
          <cell r="I2716" t="str">
            <v>3233</v>
          </cell>
          <cell r="L2716">
            <v>1</v>
          </cell>
          <cell r="M2716">
            <v>13.01</v>
          </cell>
        </row>
        <row r="2717">
          <cell r="C2717" t="str">
            <v>36080</v>
          </cell>
          <cell r="D2717" t="str">
            <v>BACARDI MOJITO</v>
          </cell>
          <cell r="E2717" t="str">
            <v>BACARDI CANADA INC</v>
          </cell>
          <cell r="F2717" t="str">
            <v>2130</v>
          </cell>
          <cell r="G2717">
            <v>5</v>
          </cell>
          <cell r="H2717">
            <v>4</v>
          </cell>
          <cell r="I2717" t="str">
            <v>3233</v>
          </cell>
          <cell r="L2717">
            <v>6</v>
          </cell>
          <cell r="M2717">
            <v>14.5</v>
          </cell>
        </row>
        <row r="2718">
          <cell r="C2718" t="str">
            <v>38526</v>
          </cell>
          <cell r="D2718" t="str">
            <v>BACARDI PINA COLADA</v>
          </cell>
          <cell r="E2718" t="str">
            <v>BACARDI CANADA  INC</v>
          </cell>
          <cell r="F2718" t="str">
            <v>2130</v>
          </cell>
          <cell r="G2718">
            <v>5</v>
          </cell>
          <cell r="H2718">
            <v>4</v>
          </cell>
          <cell r="I2718" t="str">
            <v>3233</v>
          </cell>
          <cell r="L2718">
            <v>6</v>
          </cell>
          <cell r="M2718">
            <v>14.5</v>
          </cell>
        </row>
        <row r="2719">
          <cell r="C2719" t="str">
            <v>40731</v>
          </cell>
          <cell r="D2719" t="str">
            <v>BACARDI RTD MIX PACK</v>
          </cell>
          <cell r="E2719" t="str">
            <v>BACARDI CANADA  INC</v>
          </cell>
          <cell r="F2719" t="str">
            <v>4260</v>
          </cell>
          <cell r="G2719">
            <v>5</v>
          </cell>
          <cell r="H2719">
            <v>2</v>
          </cell>
          <cell r="I2719" t="str">
            <v>3233</v>
          </cell>
          <cell r="L2719">
            <v>12</v>
          </cell>
          <cell r="M2719">
            <v>25.7</v>
          </cell>
        </row>
        <row r="2720">
          <cell r="C2720" t="str">
            <v>33529</v>
          </cell>
          <cell r="D2720" t="str">
            <v>BACARDI RUM PUNCH</v>
          </cell>
          <cell r="E2720" t="str">
            <v>BACARDI CANADA  INC</v>
          </cell>
          <cell r="F2720" t="str">
            <v>2130</v>
          </cell>
          <cell r="G2720">
            <v>5</v>
          </cell>
          <cell r="H2720">
            <v>4</v>
          </cell>
          <cell r="I2720" t="str">
            <v>3233</v>
          </cell>
          <cell r="L2720">
            <v>6</v>
          </cell>
          <cell r="M2720">
            <v>14.5</v>
          </cell>
        </row>
        <row r="2721">
          <cell r="C2721" t="str">
            <v>15327</v>
          </cell>
          <cell r="D2721" t="str">
            <v>BACARDI SPICED &amp; COLA</v>
          </cell>
          <cell r="E2721" t="str">
            <v>BACARDI CANADA  INC</v>
          </cell>
          <cell r="F2721" t="str">
            <v>473</v>
          </cell>
          <cell r="G2721">
            <v>7</v>
          </cell>
          <cell r="H2721">
            <v>24</v>
          </cell>
          <cell r="I2721" t="str">
            <v>3233</v>
          </cell>
          <cell r="K2721" t="str">
            <v xml:space="preserve"> </v>
          </cell>
          <cell r="L2721">
            <v>1</v>
          </cell>
          <cell r="M2721">
            <v>3.5</v>
          </cell>
        </row>
        <row r="2722">
          <cell r="C2722" t="str">
            <v>43131</v>
          </cell>
          <cell r="D2722" t="str">
            <v>BALI WATER MIX PACK</v>
          </cell>
          <cell r="E2722" t="str">
            <v>ASIA FOOD &amp; BEVERAGE CO</v>
          </cell>
          <cell r="F2722" t="str">
            <v>2840</v>
          </cell>
          <cell r="G2722">
            <v>5</v>
          </cell>
          <cell r="H2722">
            <v>3</v>
          </cell>
          <cell r="I2722" t="str">
            <v>194112</v>
          </cell>
          <cell r="L2722">
            <v>8</v>
          </cell>
          <cell r="M2722">
            <v>25.06</v>
          </cell>
        </row>
        <row r="2723">
          <cell r="C2723" t="str">
            <v>18343</v>
          </cell>
          <cell r="D2723" t="str">
            <v>BARTENDERS COCKTAILS AWESOME ORANGE</v>
          </cell>
          <cell r="E2723" t="str">
            <v>CHARLES JACQUIN ET CIE</v>
          </cell>
          <cell r="F2723" t="str">
            <v>750</v>
          </cell>
          <cell r="G2723">
            <v>12.5</v>
          </cell>
          <cell r="H2723">
            <v>12</v>
          </cell>
          <cell r="I2723" t="str">
            <v>194112</v>
          </cell>
          <cell r="L2723">
            <v>1</v>
          </cell>
          <cell r="M2723">
            <v>23.33</v>
          </cell>
        </row>
        <row r="2724">
          <cell r="C2724" t="str">
            <v>12691</v>
          </cell>
          <cell r="D2724" t="str">
            <v>BARTENDERS COCKTAILS I'M BANANAS OVER</v>
          </cell>
          <cell r="E2724" t="str">
            <v>CHARLES JACQUIN ET CIE</v>
          </cell>
          <cell r="F2724" t="str">
            <v>750</v>
          </cell>
          <cell r="G2724">
            <v>12.5</v>
          </cell>
          <cell r="H2724">
            <v>12</v>
          </cell>
          <cell r="I2724" t="str">
            <v>194112</v>
          </cell>
          <cell r="L2724">
            <v>1</v>
          </cell>
          <cell r="M2724">
            <v>23.33</v>
          </cell>
        </row>
        <row r="2725">
          <cell r="C2725" t="str">
            <v>45346</v>
          </cell>
          <cell r="D2725" t="str">
            <v>BEVO RUM SELTZER MIX PACK</v>
          </cell>
          <cell r="E2725" t="str">
            <v>BEVO BEVERAGE CORP (m)</v>
          </cell>
          <cell r="F2725" t="str">
            <v>2130</v>
          </cell>
          <cell r="G2725">
            <v>5</v>
          </cell>
          <cell r="H2725">
            <v>4</v>
          </cell>
          <cell r="I2725" t="str">
            <v>206271</v>
          </cell>
          <cell r="L2725">
            <v>6</v>
          </cell>
          <cell r="M2725">
            <v>15.06</v>
          </cell>
        </row>
        <row r="2726">
          <cell r="C2726" t="str">
            <v>48403</v>
          </cell>
          <cell r="D2726" t="str">
            <v>BLACK FLY BLUEBERRY CITRUS KING CAN</v>
          </cell>
          <cell r="E2726" t="str">
            <v>BLACK FLY BEVERAGE COMPANY</v>
          </cell>
          <cell r="F2726" t="str">
            <v>710</v>
          </cell>
          <cell r="G2726">
            <v>7</v>
          </cell>
          <cell r="H2726">
            <v>12</v>
          </cell>
          <cell r="I2726" t="str">
            <v>206073</v>
          </cell>
          <cell r="L2726">
            <v>1</v>
          </cell>
          <cell r="M2726">
            <v>4.25</v>
          </cell>
        </row>
        <row r="2727">
          <cell r="C2727" t="str">
            <v>40706</v>
          </cell>
          <cell r="D2727" t="str">
            <v>BLACK FLY CLASSIC COCKTAIL MIXER</v>
          </cell>
          <cell r="E2727" t="str">
            <v>BLACK FLY BEVERAGE COMPANY</v>
          </cell>
          <cell r="F2727" t="str">
            <v>4260</v>
          </cell>
          <cell r="G2727">
            <v>7</v>
          </cell>
          <cell r="H2727">
            <v>2</v>
          </cell>
          <cell r="I2727" t="str">
            <v>206073</v>
          </cell>
          <cell r="L2727">
            <v>12</v>
          </cell>
          <cell r="M2727">
            <v>28</v>
          </cell>
        </row>
        <row r="2728">
          <cell r="C2728" t="str">
            <v>43156</v>
          </cell>
          <cell r="D2728" t="str">
            <v>BLACK FLY COCKTAIL MEGA MIXER</v>
          </cell>
          <cell r="E2728" t="str">
            <v>BLACK FLY BEVERAGE COMPANY</v>
          </cell>
          <cell r="F2728" t="str">
            <v>10650</v>
          </cell>
          <cell r="G2728">
            <v>7</v>
          </cell>
          <cell r="H2728">
            <v>1</v>
          </cell>
          <cell r="I2728" t="str">
            <v>206073</v>
          </cell>
          <cell r="L2728">
            <v>30</v>
          </cell>
          <cell r="M2728">
            <v>60.21</v>
          </cell>
        </row>
        <row r="2729">
          <cell r="C2729" t="str">
            <v>48404</v>
          </cell>
          <cell r="D2729" t="str">
            <v>BLACK FLY CRANBERRY RASPBERRY KING CAN</v>
          </cell>
          <cell r="E2729" t="str">
            <v>BLACK FLY BEVERAGE COMPANY</v>
          </cell>
          <cell r="F2729" t="str">
            <v>710</v>
          </cell>
          <cell r="G2729">
            <v>7</v>
          </cell>
          <cell r="H2729">
            <v>12</v>
          </cell>
          <cell r="I2729" t="str">
            <v>206073</v>
          </cell>
          <cell r="L2729">
            <v>1</v>
          </cell>
          <cell r="M2729">
            <v>4.25</v>
          </cell>
        </row>
        <row r="2730">
          <cell r="C2730" t="str">
            <v>45447</v>
          </cell>
          <cell r="D2730" t="str">
            <v>BLACK FLY CRUSHED ROOT BEER</v>
          </cell>
          <cell r="E2730" t="str">
            <v>BLACK FLY BEVERAGE COMPANY</v>
          </cell>
          <cell r="F2730" t="str">
            <v>473</v>
          </cell>
          <cell r="G2730">
            <v>7</v>
          </cell>
          <cell r="H2730">
            <v>24</v>
          </cell>
          <cell r="I2730" t="str">
            <v>206073</v>
          </cell>
          <cell r="L2730">
            <v>1</v>
          </cell>
          <cell r="M2730">
            <v>3.17</v>
          </cell>
        </row>
        <row r="2731">
          <cell r="C2731" t="str">
            <v>48401</v>
          </cell>
          <cell r="D2731" t="str">
            <v>BLACK FLY GIN BRAMBLE</v>
          </cell>
          <cell r="E2731" t="str">
            <v>BLACK FLY BEVERAGE COMPANY</v>
          </cell>
          <cell r="F2731" t="str">
            <v>473</v>
          </cell>
          <cell r="G2731">
            <v>7</v>
          </cell>
          <cell r="H2731">
            <v>24</v>
          </cell>
          <cell r="I2731" t="str">
            <v>206073</v>
          </cell>
          <cell r="L2731">
            <v>1</v>
          </cell>
          <cell r="M2731">
            <v>3.17</v>
          </cell>
        </row>
        <row r="2732">
          <cell r="C2732" t="str">
            <v>43093</v>
          </cell>
          <cell r="D2732" t="str">
            <v>BLACK FLY GIN FIZZ GRAPEFRUIT</v>
          </cell>
          <cell r="E2732" t="str">
            <v>BLACK FLY BEVERAGE COMPANY</v>
          </cell>
          <cell r="F2732" t="str">
            <v>1420</v>
          </cell>
          <cell r="G2732">
            <v>7</v>
          </cell>
          <cell r="H2732">
            <v>6</v>
          </cell>
          <cell r="I2732" t="str">
            <v>206073</v>
          </cell>
          <cell r="L2732">
            <v>4</v>
          </cell>
          <cell r="M2732">
            <v>10.199999999999999</v>
          </cell>
        </row>
        <row r="2733">
          <cell r="C2733" t="str">
            <v>43094</v>
          </cell>
          <cell r="D2733" t="str">
            <v>BLACK FLY GIN FIZZ MIXER</v>
          </cell>
          <cell r="E2733" t="str">
            <v>BLACK FLY BEVERAGE COMPANY</v>
          </cell>
          <cell r="F2733" t="str">
            <v>2840</v>
          </cell>
          <cell r="G2733">
            <v>7</v>
          </cell>
          <cell r="H2733">
            <v>3</v>
          </cell>
          <cell r="I2733" t="str">
            <v>206073</v>
          </cell>
          <cell r="L2733">
            <v>8</v>
          </cell>
          <cell r="M2733">
            <v>21</v>
          </cell>
        </row>
        <row r="2734">
          <cell r="C2734" t="str">
            <v>40707</v>
          </cell>
          <cell r="D2734" t="str">
            <v>BLACK FLY GIN GREYHOUND</v>
          </cell>
          <cell r="E2734" t="str">
            <v>BLACK FLY BEVERAGE COMPANY</v>
          </cell>
          <cell r="F2734" t="str">
            <v>473</v>
          </cell>
          <cell r="G2734">
            <v>7</v>
          </cell>
          <cell r="H2734">
            <v>24</v>
          </cell>
          <cell r="I2734" t="str">
            <v>206073</v>
          </cell>
          <cell r="L2734">
            <v>1</v>
          </cell>
          <cell r="M2734">
            <v>3.17</v>
          </cell>
        </row>
        <row r="2735">
          <cell r="C2735" t="str">
            <v>45315</v>
          </cell>
          <cell r="D2735" t="str">
            <v>BLACK FLY HARD ICED TEA</v>
          </cell>
          <cell r="E2735" t="str">
            <v>BLACK FLY BEVERAGE COMPANY</v>
          </cell>
          <cell r="F2735" t="str">
            <v>473</v>
          </cell>
          <cell r="G2735">
            <v>7</v>
          </cell>
          <cell r="H2735">
            <v>24</v>
          </cell>
          <cell r="I2735" t="str">
            <v>206073</v>
          </cell>
          <cell r="L2735">
            <v>1</v>
          </cell>
          <cell r="M2735">
            <v>3.17</v>
          </cell>
        </row>
        <row r="2736">
          <cell r="C2736" t="str">
            <v>40708</v>
          </cell>
          <cell r="D2736" t="str">
            <v>BLACK FLY LONG ISLAND ICED TEA</v>
          </cell>
          <cell r="E2736" t="str">
            <v>BLACK FLY BEVERAGE COMPANY</v>
          </cell>
          <cell r="F2736" t="str">
            <v>473</v>
          </cell>
          <cell r="G2736">
            <v>7</v>
          </cell>
          <cell r="H2736">
            <v>24</v>
          </cell>
          <cell r="I2736" t="str">
            <v>206073</v>
          </cell>
          <cell r="L2736">
            <v>1</v>
          </cell>
          <cell r="M2736">
            <v>3.17</v>
          </cell>
        </row>
        <row r="2737">
          <cell r="C2737" t="str">
            <v>17440</v>
          </cell>
          <cell r="D2737" t="str">
            <v>BLACK FLY LONG ISLAND ICED TEA</v>
          </cell>
          <cell r="E2737" t="str">
            <v>BLACK FLY BEVERAGE COMPANY</v>
          </cell>
          <cell r="F2737" t="str">
            <v>1600</v>
          </cell>
          <cell r="G2737">
            <v>7</v>
          </cell>
          <cell r="H2737">
            <v>8</v>
          </cell>
          <cell r="I2737" t="str">
            <v>206073</v>
          </cell>
          <cell r="L2737">
            <v>4</v>
          </cell>
          <cell r="M2737">
            <v>11.5</v>
          </cell>
        </row>
        <row r="2738">
          <cell r="C2738" t="str">
            <v>45316</v>
          </cell>
          <cell r="D2738" t="str">
            <v>BLACK FLY MAXX CHERRY BOMB</v>
          </cell>
          <cell r="E2738" t="str">
            <v>BLACK FLY BEVERAGE COMPANY</v>
          </cell>
          <cell r="F2738" t="str">
            <v>250</v>
          </cell>
          <cell r="G2738">
            <v>12</v>
          </cell>
          <cell r="H2738">
            <v>24</v>
          </cell>
          <cell r="I2738" t="str">
            <v>206073</v>
          </cell>
          <cell r="L2738">
            <v>1</v>
          </cell>
          <cell r="M2738">
            <v>3.11</v>
          </cell>
        </row>
        <row r="2739">
          <cell r="C2739" t="str">
            <v>45317</v>
          </cell>
          <cell r="D2739" t="str">
            <v>BLACK FLY MAXX LEMON DROP</v>
          </cell>
          <cell r="E2739" t="str">
            <v>BLACK FLY BEVERAGE COMPANY</v>
          </cell>
          <cell r="F2739" t="str">
            <v>250</v>
          </cell>
          <cell r="G2739">
            <v>12</v>
          </cell>
          <cell r="H2739">
            <v>24</v>
          </cell>
          <cell r="I2739" t="str">
            <v>206073</v>
          </cell>
          <cell r="L2739">
            <v>1</v>
          </cell>
          <cell r="M2739">
            <v>3.11</v>
          </cell>
        </row>
        <row r="2740">
          <cell r="C2740" t="str">
            <v>48406</v>
          </cell>
          <cell r="D2740" t="str">
            <v>BLACK FLY MAXX RASPBERRY RUSH</v>
          </cell>
          <cell r="E2740" t="str">
            <v>BLACK FLY BEVERAGE COMPANY</v>
          </cell>
          <cell r="F2740" t="str">
            <v>250</v>
          </cell>
          <cell r="G2740">
            <v>12</v>
          </cell>
          <cell r="H2740">
            <v>24</v>
          </cell>
          <cell r="I2740" t="str">
            <v>206073</v>
          </cell>
          <cell r="L2740">
            <v>1</v>
          </cell>
          <cell r="M2740">
            <v>3.11</v>
          </cell>
        </row>
        <row r="2741">
          <cell r="C2741" t="str">
            <v>45318</v>
          </cell>
          <cell r="D2741" t="str">
            <v>BLACK FLY RUM MIAMI MIXER</v>
          </cell>
          <cell r="E2741" t="str">
            <v>BLACK FLY BEVERAGE COMPANY</v>
          </cell>
          <cell r="F2741" t="str">
            <v>4260</v>
          </cell>
          <cell r="G2741">
            <v>7</v>
          </cell>
          <cell r="H2741">
            <v>2</v>
          </cell>
          <cell r="I2741" t="str">
            <v>206073</v>
          </cell>
          <cell r="L2741">
            <v>12</v>
          </cell>
          <cell r="M2741">
            <v>28</v>
          </cell>
        </row>
        <row r="2742">
          <cell r="C2742" t="str">
            <v>45243</v>
          </cell>
          <cell r="D2742" t="str">
            <v>BLACK FLY RUM MIAMI VICE</v>
          </cell>
          <cell r="E2742" t="str">
            <v>BLACK FLY BEVERAGE COMPANY</v>
          </cell>
          <cell r="F2742" t="str">
            <v>1600</v>
          </cell>
          <cell r="G2742">
            <v>7</v>
          </cell>
          <cell r="H2742">
            <v>8</v>
          </cell>
          <cell r="I2742" t="str">
            <v>206073</v>
          </cell>
          <cell r="L2742">
            <v>4</v>
          </cell>
          <cell r="M2742">
            <v>11.5</v>
          </cell>
        </row>
        <row r="2743">
          <cell r="C2743" t="str">
            <v>43095</v>
          </cell>
          <cell r="D2743" t="str">
            <v>BLACK FLY RUM MOJITO</v>
          </cell>
          <cell r="E2743" t="str">
            <v>BLACK FLY BEVERAGE COMPANY</v>
          </cell>
          <cell r="F2743" t="str">
            <v>473</v>
          </cell>
          <cell r="G2743">
            <v>7</v>
          </cell>
          <cell r="H2743">
            <v>24</v>
          </cell>
          <cell r="I2743" t="str">
            <v>206073</v>
          </cell>
          <cell r="L2743">
            <v>1</v>
          </cell>
          <cell r="M2743">
            <v>3.17</v>
          </cell>
        </row>
        <row r="2744">
          <cell r="C2744" t="str">
            <v>38421</v>
          </cell>
          <cell r="D2744" t="str">
            <v>BLACK FLY RUM PINA COLADA</v>
          </cell>
          <cell r="E2744" t="str">
            <v>BLACK FLY BEVERAGE COMPANY</v>
          </cell>
          <cell r="F2744" t="str">
            <v>1600</v>
          </cell>
          <cell r="G2744">
            <v>7</v>
          </cell>
          <cell r="H2744">
            <v>8</v>
          </cell>
          <cell r="I2744" t="str">
            <v>206073</v>
          </cell>
          <cell r="L2744">
            <v>4</v>
          </cell>
          <cell r="M2744">
            <v>11.5</v>
          </cell>
        </row>
        <row r="2745">
          <cell r="C2745" t="str">
            <v>21966</v>
          </cell>
          <cell r="D2745" t="str">
            <v>BLACK FLY RUM PUNCH</v>
          </cell>
          <cell r="E2745" t="str">
            <v>BLACK FLY BEVERAGE COMPANY</v>
          </cell>
          <cell r="F2745" t="str">
            <v>1600</v>
          </cell>
          <cell r="G2745">
            <v>7</v>
          </cell>
          <cell r="H2745">
            <v>8</v>
          </cell>
          <cell r="I2745" t="str">
            <v>206073</v>
          </cell>
          <cell r="L2745">
            <v>4</v>
          </cell>
          <cell r="M2745">
            <v>11.5</v>
          </cell>
        </row>
        <row r="2746">
          <cell r="C2746" t="str">
            <v>43096</v>
          </cell>
          <cell r="D2746" t="str">
            <v>BLACK FLY RUM RASPBERRY MOJITO</v>
          </cell>
          <cell r="E2746" t="str">
            <v>BLACK FLY BEVERAGE COMPANY</v>
          </cell>
          <cell r="F2746" t="str">
            <v>1600</v>
          </cell>
          <cell r="G2746">
            <v>7</v>
          </cell>
          <cell r="H2746">
            <v>8</v>
          </cell>
          <cell r="I2746" t="str">
            <v>206073</v>
          </cell>
          <cell r="L2746">
            <v>4</v>
          </cell>
          <cell r="M2746">
            <v>10.15</v>
          </cell>
        </row>
        <row r="2747">
          <cell r="C2747" t="str">
            <v>26537</v>
          </cell>
          <cell r="D2747" t="str">
            <v>BLACK FLY SOUR RASPBERRY</v>
          </cell>
          <cell r="E2747" t="str">
            <v>BLACK FLY BEVERAGE COMPANY</v>
          </cell>
          <cell r="F2747" t="str">
            <v>473</v>
          </cell>
          <cell r="G2747">
            <v>7</v>
          </cell>
          <cell r="H2747">
            <v>24</v>
          </cell>
          <cell r="I2747" t="str">
            <v>206073</v>
          </cell>
          <cell r="L2747">
            <v>1</v>
          </cell>
          <cell r="M2747">
            <v>3.17</v>
          </cell>
        </row>
        <row r="2748">
          <cell r="C2748" t="str">
            <v>40710</v>
          </cell>
          <cell r="D2748" t="str">
            <v>BLACK FLY TEQUILA MARGARITA</v>
          </cell>
          <cell r="E2748" t="str">
            <v>BLACK FLY BEVERAGE COMPANY</v>
          </cell>
          <cell r="F2748" t="str">
            <v>473</v>
          </cell>
          <cell r="G2748">
            <v>7</v>
          </cell>
          <cell r="H2748">
            <v>24</v>
          </cell>
          <cell r="I2748" t="str">
            <v>206073</v>
          </cell>
          <cell r="L2748">
            <v>1</v>
          </cell>
          <cell r="M2748">
            <v>3.17</v>
          </cell>
        </row>
        <row r="2749">
          <cell r="C2749" t="str">
            <v>23072</v>
          </cell>
          <cell r="D2749" t="str">
            <v>BLACK FLY TEQUILA MARGARITA</v>
          </cell>
          <cell r="E2749" t="str">
            <v>BLACK FLY BEVERAGE COMPANY</v>
          </cell>
          <cell r="F2749" t="str">
            <v>1600</v>
          </cell>
          <cell r="G2749">
            <v>7</v>
          </cell>
          <cell r="H2749">
            <v>8</v>
          </cell>
          <cell r="I2749" t="str">
            <v>206073</v>
          </cell>
          <cell r="L2749">
            <v>4</v>
          </cell>
          <cell r="M2749">
            <v>11.5</v>
          </cell>
        </row>
        <row r="2750">
          <cell r="C2750" t="str">
            <v>40711</v>
          </cell>
          <cell r="D2750" t="str">
            <v>BLACK FLY TEQUILA SUNRISE</v>
          </cell>
          <cell r="E2750" t="str">
            <v>BLACK FLY BEVERAGE COMPANY</v>
          </cell>
          <cell r="F2750" t="str">
            <v>473</v>
          </cell>
          <cell r="G2750">
            <v>7</v>
          </cell>
          <cell r="H2750">
            <v>24</v>
          </cell>
          <cell r="I2750" t="str">
            <v>206073</v>
          </cell>
          <cell r="L2750">
            <v>1</v>
          </cell>
          <cell r="M2750">
            <v>3.17</v>
          </cell>
        </row>
        <row r="2751">
          <cell r="C2751" t="str">
            <v>48402</v>
          </cell>
          <cell r="D2751" t="str">
            <v>BLACK FLY VODKA BLUE LAGOON</v>
          </cell>
          <cell r="E2751" t="str">
            <v>BLACK FLY BEVERAGE COMPANY</v>
          </cell>
          <cell r="F2751" t="str">
            <v>1600</v>
          </cell>
          <cell r="G2751">
            <v>7</v>
          </cell>
          <cell r="H2751">
            <v>6</v>
          </cell>
          <cell r="I2751" t="str">
            <v>206073</v>
          </cell>
          <cell r="L2751">
            <v>4</v>
          </cell>
          <cell r="M2751">
            <v>11.5</v>
          </cell>
        </row>
        <row r="2752">
          <cell r="C2752" t="str">
            <v>22033</v>
          </cell>
          <cell r="D2752" t="str">
            <v>BLACK FLY VODKA CITRUS</v>
          </cell>
          <cell r="E2752" t="str">
            <v>BLACK FLY BEVERAGE COMPANY</v>
          </cell>
          <cell r="F2752" t="str">
            <v>1600</v>
          </cell>
          <cell r="G2752">
            <v>7</v>
          </cell>
          <cell r="H2752">
            <v>8</v>
          </cell>
          <cell r="I2752" t="str">
            <v>206073</v>
          </cell>
          <cell r="L2752">
            <v>4</v>
          </cell>
          <cell r="M2752">
            <v>11.5</v>
          </cell>
        </row>
        <row r="2753">
          <cell r="C2753" t="str">
            <v>45319</v>
          </cell>
          <cell r="D2753" t="str">
            <v>BLACK FLY VODKA COSMOPOLITAN</v>
          </cell>
          <cell r="E2753" t="str">
            <v>BLACK FLY BEVERAGE COMPANY</v>
          </cell>
          <cell r="F2753" t="str">
            <v>473</v>
          </cell>
          <cell r="G2753">
            <v>7</v>
          </cell>
          <cell r="H2753">
            <v>24</v>
          </cell>
          <cell r="I2753" t="str">
            <v>206073</v>
          </cell>
          <cell r="L2753">
            <v>1</v>
          </cell>
          <cell r="M2753">
            <v>3.17</v>
          </cell>
        </row>
        <row r="2754">
          <cell r="C2754" t="str">
            <v>24624</v>
          </cell>
          <cell r="D2754" t="str">
            <v>BLACK FLY VODKA CRANBERRY</v>
          </cell>
          <cell r="E2754" t="str">
            <v>BLACK FLY BEVERAGE COMPANY</v>
          </cell>
          <cell r="F2754" t="str">
            <v>1600</v>
          </cell>
          <cell r="G2754">
            <v>7</v>
          </cell>
          <cell r="H2754">
            <v>8</v>
          </cell>
          <cell r="I2754" t="str">
            <v>206073</v>
          </cell>
          <cell r="L2754">
            <v>4</v>
          </cell>
          <cell r="M2754">
            <v>11.5</v>
          </cell>
        </row>
        <row r="2755">
          <cell r="C2755" t="str">
            <v>40712</v>
          </cell>
          <cell r="D2755" t="str">
            <v>BLACK FLY VODKA CRANBERRY RASPBERRY</v>
          </cell>
          <cell r="E2755" t="str">
            <v>BLACK FLY BEVERAGE COMPANY</v>
          </cell>
          <cell r="F2755" t="str">
            <v>3000</v>
          </cell>
          <cell r="G2755">
            <v>7</v>
          </cell>
          <cell r="H2755">
            <v>4</v>
          </cell>
          <cell r="I2755" t="str">
            <v>206073</v>
          </cell>
          <cell r="L2755">
            <v>1</v>
          </cell>
          <cell r="M2755">
            <v>17.11</v>
          </cell>
        </row>
        <row r="2756">
          <cell r="C2756" t="str">
            <v>48405</v>
          </cell>
          <cell r="D2756" t="str">
            <v>BLACK FLY VODKA CREAM SODA</v>
          </cell>
          <cell r="E2756" t="str">
            <v>BLACK FLY BEVERAGE COMPANY</v>
          </cell>
          <cell r="F2756" t="str">
            <v>473</v>
          </cell>
          <cell r="G2756">
            <v>7</v>
          </cell>
          <cell r="H2756">
            <v>24</v>
          </cell>
          <cell r="I2756" t="str">
            <v>206073</v>
          </cell>
          <cell r="L2756">
            <v>1</v>
          </cell>
          <cell r="M2756">
            <v>3.17</v>
          </cell>
        </row>
        <row r="2757">
          <cell r="C2757" t="str">
            <v>43097</v>
          </cell>
          <cell r="D2757" t="str">
            <v>BLACK FLY VODKA CRUSHED BLACK CHERRY</v>
          </cell>
          <cell r="E2757" t="str">
            <v>BLACK FLY BEVERAGE COMPANY</v>
          </cell>
          <cell r="F2757" t="str">
            <v>473</v>
          </cell>
          <cell r="G2757">
            <v>7</v>
          </cell>
          <cell r="H2757">
            <v>24</v>
          </cell>
          <cell r="I2757" t="str">
            <v>206073</v>
          </cell>
          <cell r="L2757">
            <v>1</v>
          </cell>
          <cell r="M2757">
            <v>3.17</v>
          </cell>
        </row>
        <row r="2758">
          <cell r="C2758" t="str">
            <v>38422</v>
          </cell>
          <cell r="D2758" t="str">
            <v>BLACK FLY VODKA CRUSHED MIXER PACK 2.0</v>
          </cell>
          <cell r="E2758" t="str">
            <v>BLACK FLY BEVERAGE COMPANY</v>
          </cell>
          <cell r="F2758" t="str">
            <v>4260</v>
          </cell>
          <cell r="G2758">
            <v>7</v>
          </cell>
          <cell r="H2758">
            <v>2</v>
          </cell>
          <cell r="I2758" t="str">
            <v>206073</v>
          </cell>
          <cell r="L2758">
            <v>12</v>
          </cell>
          <cell r="M2758">
            <v>27</v>
          </cell>
        </row>
        <row r="2759">
          <cell r="C2759" t="str">
            <v>45320</v>
          </cell>
          <cell r="D2759" t="str">
            <v>BLACK FLY VODKA CRUSHED MIXER PURPLE</v>
          </cell>
          <cell r="E2759" t="str">
            <v>BLACK FLY BEVERAGE COMPANY</v>
          </cell>
          <cell r="F2759" t="str">
            <v>4260</v>
          </cell>
          <cell r="G2759">
            <v>7</v>
          </cell>
          <cell r="H2759">
            <v>2</v>
          </cell>
          <cell r="I2759" t="str">
            <v>206073</v>
          </cell>
          <cell r="L2759">
            <v>12</v>
          </cell>
          <cell r="M2759">
            <v>27</v>
          </cell>
        </row>
        <row r="2760">
          <cell r="C2760" t="str">
            <v>28964</v>
          </cell>
          <cell r="D2760" t="str">
            <v>BLACK FLY VODKA CRUSHED ORANGE</v>
          </cell>
          <cell r="E2760" t="str">
            <v>BLACK FLY BEVERAGE COMPANY</v>
          </cell>
          <cell r="F2760" t="str">
            <v>473</v>
          </cell>
          <cell r="G2760">
            <v>7</v>
          </cell>
          <cell r="H2760">
            <v>24</v>
          </cell>
          <cell r="I2760" t="str">
            <v>206073</v>
          </cell>
          <cell r="L2760">
            <v>1</v>
          </cell>
          <cell r="M2760">
            <v>3.17</v>
          </cell>
        </row>
        <row r="2761">
          <cell r="C2761" t="str">
            <v>33701</v>
          </cell>
          <cell r="D2761" t="str">
            <v>BLACK FLY VODKA CRUSHED PUNCH</v>
          </cell>
          <cell r="E2761" t="str">
            <v>BLACK FLY BEVERAGE COMPANY</v>
          </cell>
          <cell r="F2761" t="str">
            <v>473</v>
          </cell>
          <cell r="G2761">
            <v>7</v>
          </cell>
          <cell r="H2761">
            <v>24</v>
          </cell>
          <cell r="I2761" t="str">
            <v>206073</v>
          </cell>
          <cell r="L2761">
            <v>1</v>
          </cell>
          <cell r="M2761">
            <v>3.17</v>
          </cell>
        </row>
        <row r="2762">
          <cell r="C2762" t="str">
            <v>24694</v>
          </cell>
          <cell r="D2762" t="str">
            <v>BLACK FLY VODKA GRAPEFRUIT</v>
          </cell>
          <cell r="E2762" t="str">
            <v>BLACK FLY BEVERAGE COMPANY</v>
          </cell>
          <cell r="F2762" t="str">
            <v>1600</v>
          </cell>
          <cell r="G2762">
            <v>7</v>
          </cell>
          <cell r="H2762">
            <v>8</v>
          </cell>
          <cell r="I2762" t="str">
            <v>206073</v>
          </cell>
          <cell r="L2762">
            <v>4</v>
          </cell>
          <cell r="M2762">
            <v>11.5</v>
          </cell>
        </row>
        <row r="2763">
          <cell r="C2763" t="str">
            <v>43099</v>
          </cell>
          <cell r="D2763" t="str">
            <v>BLACK FLY VODKA LEMONADE</v>
          </cell>
          <cell r="E2763" t="str">
            <v>BLACK FLY BEVERAGE COMPANY</v>
          </cell>
          <cell r="F2763" t="str">
            <v>473</v>
          </cell>
          <cell r="G2763">
            <v>7</v>
          </cell>
          <cell r="H2763">
            <v>24</v>
          </cell>
          <cell r="I2763" t="str">
            <v>206073</v>
          </cell>
          <cell r="L2763">
            <v>1</v>
          </cell>
          <cell r="M2763">
            <v>3.17</v>
          </cell>
        </row>
        <row r="2764">
          <cell r="C2764" t="str">
            <v>43098</v>
          </cell>
          <cell r="D2764" t="str">
            <v>BLACK FLY VODKA LEMONADE MIXER</v>
          </cell>
          <cell r="E2764" t="str">
            <v>BLACK FLY BEVERAGE COMPANY</v>
          </cell>
          <cell r="F2764" t="str">
            <v>4260</v>
          </cell>
          <cell r="G2764">
            <v>7</v>
          </cell>
          <cell r="H2764">
            <v>2</v>
          </cell>
          <cell r="I2764" t="str">
            <v>206073</v>
          </cell>
          <cell r="L2764">
            <v>12</v>
          </cell>
          <cell r="M2764">
            <v>27</v>
          </cell>
        </row>
        <row r="2765">
          <cell r="C2765" t="str">
            <v>24124</v>
          </cell>
          <cell r="D2765" t="str">
            <v>BLACK FLY VODKA SOUR GRAPE</v>
          </cell>
          <cell r="E2765" t="str">
            <v>BLACK FLY BEVERAGE COMPANY</v>
          </cell>
          <cell r="F2765" t="str">
            <v>473</v>
          </cell>
          <cell r="G2765">
            <v>7</v>
          </cell>
          <cell r="H2765">
            <v>24</v>
          </cell>
          <cell r="I2765" t="str">
            <v>206073</v>
          </cell>
          <cell r="L2765">
            <v>1</v>
          </cell>
          <cell r="M2765">
            <v>3.17</v>
          </cell>
        </row>
        <row r="2766">
          <cell r="C2766" t="str">
            <v>7196</v>
          </cell>
          <cell r="D2766" t="str">
            <v>BREEZER TROPICAL ORANGE SMOOTHIE</v>
          </cell>
          <cell r="E2766" t="str">
            <v>BACARDI CANADA  INC</v>
          </cell>
          <cell r="F2766" t="str">
            <v>1000</v>
          </cell>
          <cell r="G2766">
            <v>5</v>
          </cell>
          <cell r="H2766">
            <v>12</v>
          </cell>
          <cell r="I2766" t="str">
            <v>3233</v>
          </cell>
          <cell r="K2766" t="str">
            <v xml:space="preserve"> </v>
          </cell>
          <cell r="L2766">
            <v>1</v>
          </cell>
          <cell r="M2766">
            <v>10</v>
          </cell>
        </row>
        <row r="2767">
          <cell r="C2767" t="str">
            <v>25924</v>
          </cell>
          <cell r="D2767" t="str">
            <v>CABANA COAST MOSCOW MULE</v>
          </cell>
          <cell r="E2767" t="str">
            <v>SOLAR BOTTLING</v>
          </cell>
          <cell r="F2767" t="str">
            <v>473</v>
          </cell>
          <cell r="G2767">
            <v>7</v>
          </cell>
          <cell r="H2767">
            <v>24</v>
          </cell>
          <cell r="I2767" t="str">
            <v>3237</v>
          </cell>
          <cell r="L2767">
            <v>1</v>
          </cell>
          <cell r="M2767">
            <v>3.06</v>
          </cell>
        </row>
        <row r="2768">
          <cell r="C2768" t="str">
            <v>40729</v>
          </cell>
          <cell r="D2768" t="str">
            <v>CABRON FIESTA MIXER PACK</v>
          </cell>
          <cell r="E2768" t="str">
            <v>NORTHAM BREWERY (R)</v>
          </cell>
          <cell r="F2768" t="str">
            <v>4260</v>
          </cell>
          <cell r="G2768">
            <v>5</v>
          </cell>
          <cell r="H2768">
            <v>2</v>
          </cell>
          <cell r="I2768" t="str">
            <v>137744</v>
          </cell>
          <cell r="L2768">
            <v>12</v>
          </cell>
          <cell r="M2768">
            <v>26.22</v>
          </cell>
        </row>
        <row r="2769">
          <cell r="C2769" t="str">
            <v>31157</v>
          </cell>
          <cell r="D2769" t="str">
            <v>CANADIAN CLUB PREMIUM &amp; GINGER ALE</v>
          </cell>
          <cell r="E2769" t="str">
            <v>HIRAM WALKER &amp; SONS LTD</v>
          </cell>
          <cell r="F2769" t="str">
            <v>473</v>
          </cell>
          <cell r="G2769">
            <v>5</v>
          </cell>
          <cell r="H2769">
            <v>24</v>
          </cell>
          <cell r="I2769" t="str">
            <v>3242</v>
          </cell>
          <cell r="L2769">
            <v>1</v>
          </cell>
          <cell r="M2769">
            <v>2.54</v>
          </cell>
        </row>
        <row r="2770">
          <cell r="C2770" t="str">
            <v>45408</v>
          </cell>
          <cell r="D2770" t="str">
            <v>CANADIAN CLUB THE CLUB PACK</v>
          </cell>
          <cell r="E2770" t="str">
            <v>CENTRAL CITY BREWING COMPANY LTD</v>
          </cell>
          <cell r="F2770" t="str">
            <v>4260</v>
          </cell>
          <cell r="G2770">
            <v>5</v>
          </cell>
          <cell r="H2770">
            <v>2</v>
          </cell>
          <cell r="I2770" t="str">
            <v>3242</v>
          </cell>
          <cell r="L2770">
            <v>12</v>
          </cell>
          <cell r="M2770">
            <v>26.63</v>
          </cell>
        </row>
        <row r="2771">
          <cell r="C2771" t="str">
            <v>43104</v>
          </cell>
          <cell r="D2771" t="str">
            <v>CAPTAIN MORGAN COCKTAIL COLLECTION PACK</v>
          </cell>
          <cell r="E2771" t="str">
            <v>DIAGEO CANADA INC.</v>
          </cell>
          <cell r="F2771" t="str">
            <v>4260</v>
          </cell>
          <cell r="G2771">
            <v>6</v>
          </cell>
          <cell r="H2771">
            <v>2</v>
          </cell>
          <cell r="I2771" t="str">
            <v>3224</v>
          </cell>
          <cell r="L2771">
            <v>12</v>
          </cell>
          <cell r="M2771">
            <v>29</v>
          </cell>
        </row>
        <row r="2772">
          <cell r="C2772" t="str">
            <v>45327</v>
          </cell>
          <cell r="D2772" t="str">
            <v>CAPTAIN MORGAN GUAVA MOJITO</v>
          </cell>
          <cell r="E2772" t="str">
            <v>DIAGEO CANADA INC.</v>
          </cell>
          <cell r="F2772" t="str">
            <v>1420</v>
          </cell>
          <cell r="G2772">
            <v>6</v>
          </cell>
          <cell r="H2772">
            <v>6</v>
          </cell>
          <cell r="I2772" t="str">
            <v>3224</v>
          </cell>
          <cell r="L2772">
            <v>4</v>
          </cell>
          <cell r="M2772">
            <v>11.49</v>
          </cell>
        </row>
        <row r="2773">
          <cell r="C2773" t="str">
            <v>40732</v>
          </cell>
          <cell r="D2773" t="str">
            <v>CAPTAIN MORGAN MANGO MAI TAI</v>
          </cell>
          <cell r="E2773" t="str">
            <v>DIAGEO CANADA INC.</v>
          </cell>
          <cell r="F2773" t="str">
            <v>1420</v>
          </cell>
          <cell r="G2773">
            <v>6</v>
          </cell>
          <cell r="H2773">
            <v>6</v>
          </cell>
          <cell r="I2773" t="str">
            <v>3224</v>
          </cell>
          <cell r="L2773">
            <v>4</v>
          </cell>
          <cell r="M2773">
            <v>11.2</v>
          </cell>
        </row>
        <row r="2774">
          <cell r="C2774" t="str">
            <v>40733</v>
          </cell>
          <cell r="D2774" t="str">
            <v>CAPTAIN MORGAN PINEAPPLE DAQUIRI</v>
          </cell>
          <cell r="E2774" t="str">
            <v>DIAGEO CANADA INC.</v>
          </cell>
          <cell r="F2774" t="str">
            <v>1420</v>
          </cell>
          <cell r="G2774">
            <v>6</v>
          </cell>
          <cell r="H2774">
            <v>6</v>
          </cell>
          <cell r="I2774" t="str">
            <v>3224</v>
          </cell>
          <cell r="L2774">
            <v>4</v>
          </cell>
          <cell r="M2774">
            <v>11.19</v>
          </cell>
        </row>
        <row r="2775">
          <cell r="C2775" t="str">
            <v>45323</v>
          </cell>
          <cell r="D2775" t="str">
            <v>CASA DEL REY TEQUILA COCKTAIL MIXED PACK</v>
          </cell>
          <cell r="E2775" t="str">
            <v>ACE BEVERAGE GROUP</v>
          </cell>
          <cell r="F2775" t="str">
            <v>2130</v>
          </cell>
          <cell r="G2775">
            <v>5</v>
          </cell>
          <cell r="H2775">
            <v>4</v>
          </cell>
          <cell r="I2775" t="str">
            <v>3237</v>
          </cell>
          <cell r="L2775">
            <v>6</v>
          </cell>
          <cell r="M2775">
            <v>17.37</v>
          </cell>
        </row>
        <row r="2776">
          <cell r="C2776" t="str">
            <v>24675</v>
          </cell>
          <cell r="D2776" t="str">
            <v>CHUM CHURUM APPLE SOJU</v>
          </cell>
          <cell r="E2776" t="str">
            <v>LOTTE CHILSUNG BEVERAGE CO. LTD.</v>
          </cell>
          <cell r="F2776" t="str">
            <v>360</v>
          </cell>
          <cell r="G2776">
            <v>12</v>
          </cell>
          <cell r="H2776">
            <v>20</v>
          </cell>
          <cell r="I2776" t="str">
            <v>3308</v>
          </cell>
          <cell r="L2776">
            <v>1</v>
          </cell>
          <cell r="M2776">
            <v>6.98</v>
          </cell>
        </row>
        <row r="2777">
          <cell r="C2777" t="str">
            <v>29595</v>
          </cell>
          <cell r="D2777" t="str">
            <v>CHUM CHURUM BLUEBERRY SOJU</v>
          </cell>
          <cell r="E2777" t="str">
            <v>LOTTE CHILSUNG BEVERAGE CO. LTD.</v>
          </cell>
          <cell r="F2777" t="str">
            <v>360</v>
          </cell>
          <cell r="G2777">
            <v>12</v>
          </cell>
          <cell r="H2777">
            <v>20</v>
          </cell>
          <cell r="I2777" t="str">
            <v>158481</v>
          </cell>
          <cell r="L2777">
            <v>1</v>
          </cell>
          <cell r="M2777">
            <v>6.98</v>
          </cell>
        </row>
        <row r="2778">
          <cell r="C2778" t="str">
            <v>36071</v>
          </cell>
          <cell r="D2778" t="str">
            <v>CHUM CHURUM MANGO SOJU</v>
          </cell>
          <cell r="E2778" t="str">
            <v>LOTTE CHILSUNG BEVERAGE CO. LTD.</v>
          </cell>
          <cell r="F2778" t="str">
            <v>360</v>
          </cell>
          <cell r="G2778">
            <v>12</v>
          </cell>
          <cell r="H2778">
            <v>20</v>
          </cell>
          <cell r="I2778" t="str">
            <v>158481</v>
          </cell>
          <cell r="L2778">
            <v>1</v>
          </cell>
          <cell r="M2778">
            <v>6.98</v>
          </cell>
        </row>
        <row r="2779">
          <cell r="C2779" t="str">
            <v>27175</v>
          </cell>
          <cell r="D2779" t="str">
            <v>CHUM CHURUM PEACH SOJU</v>
          </cell>
          <cell r="E2779" t="str">
            <v>LOTTE CHILSUNG BEVERAGE CO. LTD.</v>
          </cell>
          <cell r="F2779" t="str">
            <v>360</v>
          </cell>
          <cell r="G2779">
            <v>12</v>
          </cell>
          <cell r="H2779">
            <v>20</v>
          </cell>
          <cell r="I2779" t="str">
            <v>158481</v>
          </cell>
          <cell r="L2779">
            <v>1</v>
          </cell>
          <cell r="M2779">
            <v>6.98</v>
          </cell>
        </row>
        <row r="2780">
          <cell r="C2780" t="str">
            <v>29603</v>
          </cell>
          <cell r="D2780" t="str">
            <v>CHUM CHURUM STRAWBERRY SOJU</v>
          </cell>
          <cell r="E2780" t="str">
            <v>LOTTE CHILSUNG BEVERAGE CO. LTD.</v>
          </cell>
          <cell r="F2780" t="str">
            <v>360</v>
          </cell>
          <cell r="G2780">
            <v>12</v>
          </cell>
          <cell r="H2780">
            <v>20</v>
          </cell>
          <cell r="I2780" t="str">
            <v>158481</v>
          </cell>
          <cell r="L2780">
            <v>1</v>
          </cell>
          <cell r="M2780">
            <v>6.98</v>
          </cell>
        </row>
        <row r="2781">
          <cell r="C2781" t="str">
            <v>30994</v>
          </cell>
          <cell r="D2781" t="str">
            <v>CHUM CHURUM YOGURT SOJU</v>
          </cell>
          <cell r="E2781" t="str">
            <v>LOTTE CHILSUNG BEVERAGE CO. LTD.</v>
          </cell>
          <cell r="F2781" t="str">
            <v>360</v>
          </cell>
          <cell r="G2781">
            <v>12</v>
          </cell>
          <cell r="H2781">
            <v>20</v>
          </cell>
          <cell r="I2781" t="str">
            <v>3308</v>
          </cell>
          <cell r="L2781">
            <v>1</v>
          </cell>
          <cell r="M2781">
            <v>7.01</v>
          </cell>
        </row>
        <row r="2782">
          <cell r="C2782" t="str">
            <v>46574</v>
          </cell>
          <cell r="D2782" t="str">
            <v>CLINK MIMOSA VODKA COCKTAIL</v>
          </cell>
          <cell r="E2782" t="str">
            <v>BEVMAX</v>
          </cell>
          <cell r="F2782" t="str">
            <v>1420</v>
          </cell>
          <cell r="G2782">
            <v>5</v>
          </cell>
          <cell r="H2782">
            <v>6</v>
          </cell>
          <cell r="I2782" t="str">
            <v>206284</v>
          </cell>
          <cell r="L2782">
            <v>4</v>
          </cell>
          <cell r="M2782">
            <v>13.99</v>
          </cell>
        </row>
        <row r="2783">
          <cell r="C2783" t="str">
            <v>46576</v>
          </cell>
          <cell r="D2783" t="str">
            <v>CLINK RASP LIMONCELLO VODKA COCKTAIL</v>
          </cell>
          <cell r="E2783" t="str">
            <v>BEVMAX</v>
          </cell>
          <cell r="F2783" t="str">
            <v>1420</v>
          </cell>
          <cell r="G2783">
            <v>5</v>
          </cell>
          <cell r="H2783">
            <v>6</v>
          </cell>
          <cell r="I2783" t="str">
            <v>206284</v>
          </cell>
          <cell r="L2783">
            <v>4</v>
          </cell>
          <cell r="M2783">
            <v>13.99</v>
          </cell>
        </row>
        <row r="2784">
          <cell r="C2784" t="str">
            <v>45627</v>
          </cell>
          <cell r="D2784" t="str">
            <v>COCO RUM</v>
          </cell>
          <cell r="E2784" t="str">
            <v>COCO RUM / COCO VODKA/BONDI DISTILLERY</v>
          </cell>
          <cell r="F2784" t="str">
            <v>1420</v>
          </cell>
          <cell r="G2784">
            <v>5</v>
          </cell>
          <cell r="H2784">
            <v>6</v>
          </cell>
          <cell r="I2784" t="str">
            <v>3246</v>
          </cell>
          <cell r="L2784">
            <v>4</v>
          </cell>
          <cell r="M2784">
            <v>12.32</v>
          </cell>
        </row>
        <row r="2785">
          <cell r="C2785" t="str">
            <v>45580</v>
          </cell>
          <cell r="D2785" t="str">
            <v>COCO RUM MOJITO</v>
          </cell>
          <cell r="E2785" t="str">
            <v>COCO RUM / COCO VODKA/BONDI DISTILLERY</v>
          </cell>
          <cell r="F2785" t="str">
            <v>1420</v>
          </cell>
          <cell r="G2785">
            <v>5</v>
          </cell>
          <cell r="H2785">
            <v>6</v>
          </cell>
          <cell r="I2785" t="str">
            <v>3246</v>
          </cell>
          <cell r="L2785">
            <v>4</v>
          </cell>
          <cell r="M2785">
            <v>12.32</v>
          </cell>
        </row>
        <row r="2786">
          <cell r="C2786" t="str">
            <v>30876</v>
          </cell>
          <cell r="D2786" t="str">
            <v>COCO VODKA</v>
          </cell>
          <cell r="E2786" t="str">
            <v>COCO RUM / COCO VODKA/BONDI DISTILLERY</v>
          </cell>
          <cell r="F2786" t="str">
            <v>1420</v>
          </cell>
          <cell r="G2786">
            <v>5</v>
          </cell>
          <cell r="H2786">
            <v>6</v>
          </cell>
          <cell r="I2786" t="str">
            <v>3246</v>
          </cell>
          <cell r="L2786">
            <v>4</v>
          </cell>
          <cell r="M2786">
            <v>12.32</v>
          </cell>
        </row>
        <row r="2787">
          <cell r="C2787" t="str">
            <v>45584</v>
          </cell>
          <cell r="D2787" t="str">
            <v>COCO VODKA LIME</v>
          </cell>
          <cell r="E2787" t="str">
            <v>COCO RUM / COCO VODKA/BONDI DISTILLERY</v>
          </cell>
          <cell r="F2787" t="str">
            <v>1420</v>
          </cell>
          <cell r="G2787">
            <v>5</v>
          </cell>
          <cell r="H2787">
            <v>6</v>
          </cell>
          <cell r="I2787" t="str">
            <v>3246</v>
          </cell>
          <cell r="L2787">
            <v>4</v>
          </cell>
          <cell r="M2787">
            <v>12.32</v>
          </cell>
        </row>
        <row r="2788">
          <cell r="C2788" t="str">
            <v>43462</v>
          </cell>
          <cell r="D2788" t="str">
            <v>COCO VODKA PINEAPPLE</v>
          </cell>
          <cell r="E2788" t="str">
            <v>COCO RUM / COCO VODKA/BONDI DISTILLERY</v>
          </cell>
          <cell r="F2788" t="str">
            <v>1420</v>
          </cell>
          <cell r="G2788">
            <v>5</v>
          </cell>
          <cell r="H2788">
            <v>6</v>
          </cell>
          <cell r="I2788" t="str">
            <v>3246</v>
          </cell>
          <cell r="L2788">
            <v>4</v>
          </cell>
          <cell r="M2788">
            <v>12.32</v>
          </cell>
        </row>
        <row r="2789">
          <cell r="C2789" t="str">
            <v>48411</v>
          </cell>
          <cell r="D2789" t="str">
            <v>COTTAGE SPRINGS CANDY KEYS</v>
          </cell>
          <cell r="E2789" t="str">
            <v>ACE BEVERAGE GROUP</v>
          </cell>
          <cell r="F2789" t="str">
            <v>4000</v>
          </cell>
          <cell r="G2789">
            <v>5</v>
          </cell>
          <cell r="H2789">
            <v>4</v>
          </cell>
          <cell r="I2789" t="str">
            <v>3237</v>
          </cell>
          <cell r="L2789">
            <v>1</v>
          </cell>
          <cell r="M2789">
            <v>21.5</v>
          </cell>
        </row>
        <row r="2790">
          <cell r="C2790" t="str">
            <v>45325</v>
          </cell>
          <cell r="D2790" t="str">
            <v>COTTAGE SPRINGS REAL JUICE VODKA MX PK</v>
          </cell>
          <cell r="E2790" t="str">
            <v>ACE BEVERAGE GROUP</v>
          </cell>
          <cell r="F2790" t="str">
            <v>4260</v>
          </cell>
          <cell r="G2790">
            <v>5</v>
          </cell>
          <cell r="H2790">
            <v>2</v>
          </cell>
          <cell r="I2790" t="str">
            <v>3237</v>
          </cell>
          <cell r="L2790">
            <v>12</v>
          </cell>
          <cell r="M2790">
            <v>27.27</v>
          </cell>
        </row>
        <row r="2791">
          <cell r="C2791" t="str">
            <v>45324</v>
          </cell>
          <cell r="D2791" t="str">
            <v>COTTAGE SPRINGS ROCKET BERRY BAG-IN-BOX</v>
          </cell>
          <cell r="E2791" t="str">
            <v>ACE BEVERAGE GROUP</v>
          </cell>
          <cell r="F2791" t="str">
            <v>4000</v>
          </cell>
          <cell r="G2791">
            <v>5</v>
          </cell>
          <cell r="H2791">
            <v>4</v>
          </cell>
          <cell r="I2791" t="str">
            <v>3237</v>
          </cell>
          <cell r="L2791">
            <v>1</v>
          </cell>
          <cell r="M2791">
            <v>21.5</v>
          </cell>
        </row>
        <row r="2792">
          <cell r="C2792" t="str">
            <v>43144</v>
          </cell>
          <cell r="D2792" t="str">
            <v>COTTAGE SPRINGS TEQUILA LEMONADE</v>
          </cell>
          <cell r="E2792" t="str">
            <v>ACE BEVERAGE GROUP</v>
          </cell>
          <cell r="F2792" t="str">
            <v>2000</v>
          </cell>
          <cell r="G2792">
            <v>5</v>
          </cell>
          <cell r="H2792">
            <v>5</v>
          </cell>
          <cell r="I2792" t="str">
            <v>3237</v>
          </cell>
          <cell r="L2792">
            <v>1</v>
          </cell>
          <cell r="M2792">
            <v>14.87</v>
          </cell>
        </row>
        <row r="2793">
          <cell r="C2793" t="str">
            <v>40977</v>
          </cell>
          <cell r="D2793" t="str">
            <v>COTTAGE SPRINGS TEQUILA SODA MIXER PACK</v>
          </cell>
          <cell r="E2793" t="str">
            <v>ACE BEVERAGE GROUP</v>
          </cell>
          <cell r="F2793" t="str">
            <v>4260</v>
          </cell>
          <cell r="G2793">
            <v>5</v>
          </cell>
          <cell r="H2793">
            <v>2</v>
          </cell>
          <cell r="I2793" t="str">
            <v>3237</v>
          </cell>
          <cell r="L2793">
            <v>12</v>
          </cell>
          <cell r="M2793">
            <v>27.79</v>
          </cell>
        </row>
        <row r="2794">
          <cell r="C2794" t="str">
            <v>38550</v>
          </cell>
          <cell r="D2794" t="str">
            <v>COTTAGE SPRINGS VODKA ICED TEA MIXER</v>
          </cell>
          <cell r="E2794" t="str">
            <v>ICONIC BRANDS INC</v>
          </cell>
          <cell r="F2794" t="str">
            <v>4260</v>
          </cell>
          <cell r="G2794">
            <v>5</v>
          </cell>
          <cell r="H2794">
            <v>2</v>
          </cell>
          <cell r="I2794" t="str">
            <v>3237</v>
          </cell>
          <cell r="L2794">
            <v>12</v>
          </cell>
          <cell r="M2794">
            <v>26.27</v>
          </cell>
        </row>
        <row r="2795">
          <cell r="C2795" t="str">
            <v>41812</v>
          </cell>
          <cell r="D2795" t="str">
            <v>COTTAGE SPRINGS VODKA SODA MIXER PACK</v>
          </cell>
          <cell r="E2795" t="str">
            <v>ACE BEVERAGE GROUP</v>
          </cell>
          <cell r="F2795" t="str">
            <v>4260</v>
          </cell>
          <cell r="G2795">
            <v>5</v>
          </cell>
          <cell r="H2795">
            <v>2</v>
          </cell>
          <cell r="I2795" t="str">
            <v>3237</v>
          </cell>
          <cell r="L2795">
            <v>12</v>
          </cell>
          <cell r="M2795">
            <v>26.27</v>
          </cell>
        </row>
        <row r="2796">
          <cell r="C2796" t="str">
            <v>43886</v>
          </cell>
          <cell r="D2796" t="str">
            <v>COTTAGE SPRINGS VODKA SODA PEACH</v>
          </cell>
          <cell r="E2796" t="str">
            <v>ACE BEVERAGE GROUP</v>
          </cell>
          <cell r="F2796" t="str">
            <v>473</v>
          </cell>
          <cell r="G2796">
            <v>5</v>
          </cell>
          <cell r="H2796">
            <v>24</v>
          </cell>
          <cell r="I2796" t="str">
            <v>3237</v>
          </cell>
          <cell r="L2796">
            <v>1</v>
          </cell>
          <cell r="M2796">
            <v>3.11</v>
          </cell>
        </row>
        <row r="2797">
          <cell r="C2797" t="str">
            <v>43145</v>
          </cell>
          <cell r="D2797" t="str">
            <v>COTTAGE SPRINGS VODKA SODA PUNCHED UP</v>
          </cell>
          <cell r="E2797" t="str">
            <v>ACE BEVERAGE GROUP</v>
          </cell>
          <cell r="F2797" t="str">
            <v>2840</v>
          </cell>
          <cell r="G2797">
            <v>7</v>
          </cell>
          <cell r="H2797">
            <v>3</v>
          </cell>
          <cell r="I2797" t="str">
            <v>3237</v>
          </cell>
          <cell r="L2797">
            <v>8</v>
          </cell>
          <cell r="M2797">
            <v>20.440000000000001</v>
          </cell>
        </row>
        <row r="2798">
          <cell r="C2798" t="str">
            <v>43164</v>
          </cell>
          <cell r="D2798" t="str">
            <v>COTTAGE SPRINGS VODKA SODA ROUGHRIDERS</v>
          </cell>
          <cell r="E2798" t="str">
            <v>ACE BEVERAGE GROUP</v>
          </cell>
          <cell r="F2798" t="str">
            <v>4260</v>
          </cell>
          <cell r="G2798">
            <v>5</v>
          </cell>
          <cell r="H2798">
            <v>1</v>
          </cell>
          <cell r="I2798" t="str">
            <v>3237</v>
          </cell>
          <cell r="L2798">
            <v>12</v>
          </cell>
          <cell r="M2798">
            <v>26.27</v>
          </cell>
        </row>
        <row r="2799">
          <cell r="C2799" t="str">
            <v>35665</v>
          </cell>
          <cell r="D2799" t="str">
            <v>COTTAGE SPRINGS VODKA WATER MIXER PACK</v>
          </cell>
          <cell r="E2799" t="str">
            <v>ICONIC BRANDS INC</v>
          </cell>
          <cell r="F2799" t="str">
            <v>4260</v>
          </cell>
          <cell r="G2799">
            <v>5</v>
          </cell>
          <cell r="H2799">
            <v>2</v>
          </cell>
          <cell r="I2799" t="str">
            <v>3237</v>
          </cell>
          <cell r="L2799">
            <v>12</v>
          </cell>
          <cell r="M2799">
            <v>26.27</v>
          </cell>
        </row>
        <row r="2800">
          <cell r="C2800" t="str">
            <v>37674</v>
          </cell>
          <cell r="D2800" t="str">
            <v>COTTAGE SPRINGS VODKA WATER RASPBERRY</v>
          </cell>
          <cell r="E2800" t="str">
            <v>ICONIC BRANDS INC</v>
          </cell>
          <cell r="F2800" t="str">
            <v>4000</v>
          </cell>
          <cell r="G2800">
            <v>5</v>
          </cell>
          <cell r="H2800">
            <v>4</v>
          </cell>
          <cell r="I2800" t="str">
            <v>3237</v>
          </cell>
          <cell r="L2800">
            <v>1</v>
          </cell>
          <cell r="M2800">
            <v>21.57</v>
          </cell>
        </row>
        <row r="2801">
          <cell r="C2801" t="str">
            <v>25514</v>
          </cell>
          <cell r="D2801" t="str">
            <v>CRAZY UNCLE HARD CREAM SODA</v>
          </cell>
          <cell r="E2801" t="str">
            <v>361 DEGREES</v>
          </cell>
          <cell r="F2801" t="str">
            <v>473</v>
          </cell>
          <cell r="G2801">
            <v>5</v>
          </cell>
          <cell r="H2801">
            <v>24</v>
          </cell>
          <cell r="I2801" t="str">
            <v>89189</v>
          </cell>
          <cell r="L2801">
            <v>1</v>
          </cell>
          <cell r="M2801">
            <v>3.55</v>
          </cell>
        </row>
        <row r="2802">
          <cell r="C2802" t="str">
            <v>24510</v>
          </cell>
          <cell r="D2802" t="str">
            <v>CRAZY UNCLE HARD ROOT BEER</v>
          </cell>
          <cell r="E2802" t="str">
            <v>361 DEGREES</v>
          </cell>
          <cell r="F2802" t="str">
            <v>473</v>
          </cell>
          <cell r="G2802">
            <v>5</v>
          </cell>
          <cell r="H2802">
            <v>24</v>
          </cell>
          <cell r="I2802" t="str">
            <v>89189</v>
          </cell>
          <cell r="L2802">
            <v>1</v>
          </cell>
          <cell r="M2802">
            <v>3.55</v>
          </cell>
        </row>
        <row r="2803">
          <cell r="C2803" t="str">
            <v>45321</v>
          </cell>
          <cell r="D2803" t="str">
            <v>CRAZY UNCLE ORANGE CREAM SODA</v>
          </cell>
          <cell r="E2803" t="str">
            <v>361 DEGREES</v>
          </cell>
          <cell r="F2803" t="str">
            <v>473</v>
          </cell>
          <cell r="G2803">
            <v>5</v>
          </cell>
          <cell r="H2803">
            <v>24</v>
          </cell>
          <cell r="I2803" t="str">
            <v>89189</v>
          </cell>
          <cell r="L2803">
            <v>1</v>
          </cell>
          <cell r="M2803">
            <v>3.55</v>
          </cell>
        </row>
        <row r="2804">
          <cell r="C2804" t="str">
            <v>43423</v>
          </cell>
          <cell r="D2804" t="str">
            <v>CRAZY UNCLE STRAWBERRY CREAM SODA</v>
          </cell>
          <cell r="E2804" t="str">
            <v>361 DEGREES</v>
          </cell>
          <cell r="F2804" t="str">
            <v>473</v>
          </cell>
          <cell r="G2804">
            <v>5</v>
          </cell>
          <cell r="H2804">
            <v>24</v>
          </cell>
          <cell r="I2804" t="str">
            <v>89189</v>
          </cell>
          <cell r="L2804">
            <v>1</v>
          </cell>
          <cell r="M2804">
            <v>3.55</v>
          </cell>
        </row>
        <row r="2805">
          <cell r="C2805" t="str">
            <v>45328</v>
          </cell>
          <cell r="D2805" t="str">
            <v>CROWN ROYAL BLACKBERRY WHISKY LEMONADE</v>
          </cell>
          <cell r="E2805" t="str">
            <v>DIAGEO CANADA INC.</v>
          </cell>
          <cell r="F2805" t="str">
            <v>1420</v>
          </cell>
          <cell r="G2805">
            <v>7</v>
          </cell>
          <cell r="H2805">
            <v>6</v>
          </cell>
          <cell r="I2805" t="str">
            <v>3224</v>
          </cell>
          <cell r="L2805">
            <v>4</v>
          </cell>
          <cell r="M2805">
            <v>11.49</v>
          </cell>
        </row>
        <row r="2806">
          <cell r="C2806" t="str">
            <v>35668</v>
          </cell>
          <cell r="D2806" t="str">
            <v>CROWN ROYAL WHISKY &amp; COLA</v>
          </cell>
          <cell r="E2806" t="str">
            <v>DIAGEO CANADA INC.</v>
          </cell>
          <cell r="F2806" t="str">
            <v>2130</v>
          </cell>
          <cell r="G2806">
            <v>7</v>
          </cell>
          <cell r="H2806">
            <v>4</v>
          </cell>
          <cell r="I2806" t="str">
            <v>3224</v>
          </cell>
          <cell r="L2806">
            <v>6</v>
          </cell>
          <cell r="M2806">
            <v>14.49</v>
          </cell>
        </row>
        <row r="2807">
          <cell r="C2807" t="str">
            <v>42620</v>
          </cell>
          <cell r="D2807" t="str">
            <v>CRUSH-IT HARD ICED TEA</v>
          </cell>
          <cell r="E2807" t="str">
            <v>RADOUGA DISTILLERIES</v>
          </cell>
          <cell r="F2807" t="str">
            <v>2130</v>
          </cell>
          <cell r="G2807">
            <v>5</v>
          </cell>
          <cell r="H2807">
            <v>4</v>
          </cell>
          <cell r="I2807" t="str">
            <v>205892</v>
          </cell>
          <cell r="L2807">
            <v>6</v>
          </cell>
          <cell r="M2807">
            <v>13.28</v>
          </cell>
        </row>
        <row r="2808">
          <cell r="C2808" t="str">
            <v>42621</v>
          </cell>
          <cell r="D2808" t="str">
            <v>CRUSH-IT HARD ICED TEA</v>
          </cell>
          <cell r="E2808" t="str">
            <v>RADOUGA DISTILLERIES</v>
          </cell>
          <cell r="F2808" t="str">
            <v>4260</v>
          </cell>
          <cell r="G2808">
            <v>5</v>
          </cell>
          <cell r="H2808">
            <v>1</v>
          </cell>
          <cell r="I2808" t="str">
            <v>205892</v>
          </cell>
          <cell r="L2808">
            <v>12</v>
          </cell>
          <cell r="M2808">
            <v>25.3</v>
          </cell>
        </row>
        <row r="2809">
          <cell r="C2809" t="str">
            <v>42622</v>
          </cell>
          <cell r="D2809" t="str">
            <v>CRUSH-IT HARD ICED TEA</v>
          </cell>
          <cell r="E2809" t="str">
            <v>RADOUGA DISTILLERIES</v>
          </cell>
          <cell r="F2809" t="str">
            <v>8520</v>
          </cell>
          <cell r="G2809">
            <v>5</v>
          </cell>
          <cell r="H2809">
            <v>1</v>
          </cell>
          <cell r="I2809" t="str">
            <v>205892</v>
          </cell>
          <cell r="L2809">
            <v>24</v>
          </cell>
          <cell r="M2809">
            <v>50.57</v>
          </cell>
        </row>
        <row r="2810">
          <cell r="C2810" t="str">
            <v>45342</v>
          </cell>
          <cell r="D2810" t="str">
            <v>DILLON'S ESPRESSO MARTINI</v>
          </cell>
          <cell r="E2810" t="str">
            <v>DILLON'S SMALL BATCH DISTILLERS</v>
          </cell>
          <cell r="F2810" t="str">
            <v>888</v>
          </cell>
          <cell r="G2810">
            <v>12.5</v>
          </cell>
          <cell r="H2810">
            <v>6</v>
          </cell>
          <cell r="I2810" t="str">
            <v>1009</v>
          </cell>
          <cell r="L2810">
            <v>4</v>
          </cell>
          <cell r="M2810">
            <v>13.99</v>
          </cell>
        </row>
        <row r="2811">
          <cell r="C2811" t="str">
            <v>44074</v>
          </cell>
          <cell r="D2811" t="str">
            <v>DILLON'S GIN &amp; VODKA VARIETY PACK</v>
          </cell>
          <cell r="E2811" t="str">
            <v>DILLON'S SMALL BATCH DISTILLERS</v>
          </cell>
          <cell r="F2811" t="str">
            <v>8520</v>
          </cell>
          <cell r="G2811">
            <v>5</v>
          </cell>
          <cell r="H2811">
            <v>1</v>
          </cell>
          <cell r="I2811" t="str">
            <v>1009</v>
          </cell>
          <cell r="L2811">
            <v>24</v>
          </cell>
          <cell r="M2811">
            <v>53.48</v>
          </cell>
        </row>
        <row r="2812">
          <cell r="C2812" t="str">
            <v>38613</v>
          </cell>
          <cell r="D2812" t="str">
            <v>DILLON'S GIN COCKTAILS VARIETY PACK</v>
          </cell>
          <cell r="E2812" t="str">
            <v>DILLON'S SMALL BATCH DISTILLERS</v>
          </cell>
          <cell r="F2812" t="str">
            <v>4260</v>
          </cell>
          <cell r="G2812">
            <v>5</v>
          </cell>
          <cell r="H2812">
            <v>2</v>
          </cell>
          <cell r="I2812" t="str">
            <v>1009</v>
          </cell>
          <cell r="L2812">
            <v>12</v>
          </cell>
          <cell r="M2812">
            <v>27.49</v>
          </cell>
        </row>
        <row r="2813">
          <cell r="C2813" t="str">
            <v>40742</v>
          </cell>
          <cell r="D2813" t="str">
            <v>DILLON'S STRAWBERRY RHUBARB &amp; LIME</v>
          </cell>
          <cell r="E2813" t="str">
            <v>DILLON'S SMALL BATCH DISTILLERS</v>
          </cell>
          <cell r="F2813" t="str">
            <v>473</v>
          </cell>
          <cell r="G2813">
            <v>5</v>
          </cell>
          <cell r="H2813">
            <v>24</v>
          </cell>
          <cell r="I2813" t="str">
            <v>1009</v>
          </cell>
          <cell r="L2813">
            <v>1</v>
          </cell>
          <cell r="M2813">
            <v>3.11</v>
          </cell>
        </row>
        <row r="2814">
          <cell r="C2814" t="str">
            <v>43113</v>
          </cell>
          <cell r="D2814" t="str">
            <v>DILLON'S VODKA BLUEBERRY, PEACH &amp; LEMON</v>
          </cell>
          <cell r="E2814" t="str">
            <v>DILLON'S SMALL BATCH DISTILLERS</v>
          </cell>
          <cell r="F2814" t="str">
            <v>473</v>
          </cell>
          <cell r="G2814">
            <v>5</v>
          </cell>
          <cell r="H2814">
            <v>24</v>
          </cell>
          <cell r="I2814" t="str">
            <v>1009</v>
          </cell>
          <cell r="L2814">
            <v>1</v>
          </cell>
          <cell r="M2814">
            <v>3.11</v>
          </cell>
        </row>
        <row r="2815">
          <cell r="C2815" t="str">
            <v>43114</v>
          </cell>
          <cell r="D2815" t="str">
            <v>DILLON'S VODKA COCKTAILS VARIETY PACK</v>
          </cell>
          <cell r="E2815" t="str">
            <v>DILLON'S SMALL BATCH DISTILLERS</v>
          </cell>
          <cell r="F2815" t="str">
            <v>4260</v>
          </cell>
          <cell r="G2815">
            <v>5</v>
          </cell>
          <cell r="H2815">
            <v>2</v>
          </cell>
          <cell r="I2815" t="str">
            <v>1009</v>
          </cell>
          <cell r="L2815">
            <v>12</v>
          </cell>
          <cell r="M2815">
            <v>27.49</v>
          </cell>
        </row>
        <row r="2816">
          <cell r="C2816" t="str">
            <v>45343</v>
          </cell>
          <cell r="D2816" t="str">
            <v>DILLON'S WHITE CRANBERRY COSMOPOLITAN</v>
          </cell>
          <cell r="E2816" t="str">
            <v>DILLON'S SMALL BATCH DISTILLERS</v>
          </cell>
          <cell r="F2816" t="str">
            <v>888</v>
          </cell>
          <cell r="G2816">
            <v>12.5</v>
          </cell>
          <cell r="H2816">
            <v>6</v>
          </cell>
          <cell r="I2816" t="str">
            <v>1009</v>
          </cell>
          <cell r="L2816">
            <v>4</v>
          </cell>
          <cell r="M2816">
            <v>13.99</v>
          </cell>
        </row>
        <row r="2817">
          <cell r="C2817" t="str">
            <v>35672</v>
          </cell>
          <cell r="D2817" t="str">
            <v>DOS LOCOS STRAW LIME SELTZER</v>
          </cell>
          <cell r="E2817" t="str">
            <v>INDEPENDENT DISTILLERS</v>
          </cell>
          <cell r="F2817" t="str">
            <v>1200</v>
          </cell>
          <cell r="G2817">
            <v>4.5</v>
          </cell>
          <cell r="H2817">
            <v>6</v>
          </cell>
          <cell r="I2817" t="str">
            <v>130768</v>
          </cell>
          <cell r="L2817">
            <v>4</v>
          </cell>
          <cell r="M2817">
            <v>11.04</v>
          </cell>
        </row>
        <row r="2818">
          <cell r="C2818" t="str">
            <v>30826</v>
          </cell>
          <cell r="D2818" t="str">
            <v>DOS LOCOS TEQUILA SUNRISE</v>
          </cell>
          <cell r="E2818" t="str">
            <v>INDEPENDENT LIQUOR LTD</v>
          </cell>
          <cell r="F2818" t="str">
            <v>440</v>
          </cell>
          <cell r="G2818">
            <v>7</v>
          </cell>
          <cell r="H2818">
            <v>12</v>
          </cell>
          <cell r="I2818" t="str">
            <v>130768</v>
          </cell>
          <cell r="L2818">
            <v>1</v>
          </cell>
          <cell r="M2818">
            <v>3.33</v>
          </cell>
        </row>
        <row r="2819">
          <cell r="C2819" t="str">
            <v>43328</v>
          </cell>
          <cell r="D2819" t="str">
            <v>EASY VODKA LEMONADE</v>
          </cell>
          <cell r="E2819" t="str">
            <v>SNAKE LAKE BREWING COMPANY INC (m)</v>
          </cell>
          <cell r="F2819" t="str">
            <v>4260</v>
          </cell>
          <cell r="G2819">
            <v>5</v>
          </cell>
          <cell r="H2819">
            <v>2</v>
          </cell>
          <cell r="I2819" t="str">
            <v>206082</v>
          </cell>
          <cell r="L2819">
            <v>12</v>
          </cell>
          <cell r="M2819">
            <v>31.77</v>
          </cell>
        </row>
        <row r="2820">
          <cell r="C2820" t="str">
            <v>15209</v>
          </cell>
          <cell r="D2820" t="str">
            <v>EL JIMADOR MARGARITA</v>
          </cell>
          <cell r="E2820" t="str">
            <v>CASA HERRADURA</v>
          </cell>
          <cell r="F2820" t="str">
            <v>1420</v>
          </cell>
          <cell r="G2820">
            <v>5</v>
          </cell>
          <cell r="H2820">
            <v>6</v>
          </cell>
          <cell r="I2820" t="str">
            <v>206252</v>
          </cell>
          <cell r="K2820" t="str">
            <v xml:space="preserve"> </v>
          </cell>
          <cell r="L2820">
            <v>4</v>
          </cell>
          <cell r="M2820">
            <v>9.59</v>
          </cell>
        </row>
        <row r="2821">
          <cell r="C2821" t="str">
            <v>43865</v>
          </cell>
          <cell r="D2821" t="str">
            <v>FINNISH LONG DRINK 0 SUGAR</v>
          </cell>
          <cell r="E2821" t="str">
            <v>MARK ANTHONY GROUP INC</v>
          </cell>
          <cell r="F2821" t="str">
            <v>2130</v>
          </cell>
          <cell r="G2821">
            <v>5</v>
          </cell>
          <cell r="H2821">
            <v>4</v>
          </cell>
          <cell r="I2821" t="str">
            <v>1009</v>
          </cell>
          <cell r="L2821">
            <v>6</v>
          </cell>
          <cell r="M2821">
            <v>14.19</v>
          </cell>
        </row>
        <row r="2822">
          <cell r="C2822" t="str">
            <v>43866</v>
          </cell>
          <cell r="D2822" t="str">
            <v>FINNISH LONG DRINK TRADITIONAL CITRUS</v>
          </cell>
          <cell r="E2822" t="str">
            <v>MARK ANTHONY GROUP INC</v>
          </cell>
          <cell r="F2822" t="str">
            <v>2130</v>
          </cell>
          <cell r="G2822">
            <v>5.5</v>
          </cell>
          <cell r="H2822">
            <v>4</v>
          </cell>
          <cell r="I2822" t="str">
            <v>1009</v>
          </cell>
          <cell r="L2822">
            <v>6</v>
          </cell>
          <cell r="M2822">
            <v>14.19</v>
          </cell>
        </row>
        <row r="2823">
          <cell r="C2823" t="str">
            <v>45326</v>
          </cell>
          <cell r="D2823" t="str">
            <v>FIREBALL APPLE CINNAMON WHISKY</v>
          </cell>
          <cell r="E2823" t="str">
            <v>SAZERAC OF CANADA INC.</v>
          </cell>
          <cell r="F2823" t="str">
            <v>473</v>
          </cell>
          <cell r="G2823">
            <v>6.6</v>
          </cell>
          <cell r="H2823">
            <v>24</v>
          </cell>
          <cell r="I2823" t="str">
            <v>1537</v>
          </cell>
          <cell r="L2823">
            <v>1</v>
          </cell>
          <cell r="M2823">
            <v>3.41</v>
          </cell>
        </row>
        <row r="2824">
          <cell r="C2824" t="str">
            <v>45495</v>
          </cell>
          <cell r="D2824" t="str">
            <v>FIREBALL APPLE CINNAMON WHISKY</v>
          </cell>
          <cell r="E2824" t="str">
            <v>SAZERAC OF CANADA INC.</v>
          </cell>
          <cell r="F2824" t="str">
            <v>2130</v>
          </cell>
          <cell r="G2824">
            <v>6.6</v>
          </cell>
          <cell r="H2824">
            <v>4</v>
          </cell>
          <cell r="I2824" t="str">
            <v>1537</v>
          </cell>
          <cell r="L2824">
            <v>6</v>
          </cell>
          <cell r="M2824">
            <v>14.42</v>
          </cell>
        </row>
        <row r="2825">
          <cell r="C2825" t="str">
            <v>45332</v>
          </cell>
          <cell r="D2825" t="str">
            <v>FOUNDER'S BLACK CHERRY WHISKY SOUR</v>
          </cell>
          <cell r="E2825" t="str">
            <v>FOUNDER'S ORIGINAL INC.</v>
          </cell>
          <cell r="F2825" t="str">
            <v>1420</v>
          </cell>
          <cell r="G2825">
            <v>12.5</v>
          </cell>
          <cell r="H2825">
            <v>6</v>
          </cell>
          <cell r="I2825" t="str">
            <v>206231</v>
          </cell>
          <cell r="L2825">
            <v>4</v>
          </cell>
          <cell r="M2825">
            <v>15.89</v>
          </cell>
        </row>
        <row r="2826">
          <cell r="C2826" t="str">
            <v>36064</v>
          </cell>
          <cell r="D2826" t="str">
            <v>FOUNDER'S GRAPEFRUIT TEQUILA PALOMA</v>
          </cell>
          <cell r="E2826" t="str">
            <v>FOUNDER'S ORIGINAL INC.</v>
          </cell>
          <cell r="F2826" t="str">
            <v>1420</v>
          </cell>
          <cell r="G2826">
            <v>7</v>
          </cell>
          <cell r="H2826">
            <v>6</v>
          </cell>
          <cell r="I2826" t="str">
            <v>206231</v>
          </cell>
          <cell r="L2826">
            <v>4</v>
          </cell>
          <cell r="M2826">
            <v>12.54</v>
          </cell>
        </row>
        <row r="2827">
          <cell r="C2827" t="str">
            <v>45331</v>
          </cell>
          <cell r="D2827" t="str">
            <v>FOUNDER'S LIME COCKTAIL PARTY BOX</v>
          </cell>
          <cell r="E2827" t="str">
            <v>FOUNDER'S ORIGINAL INC.</v>
          </cell>
          <cell r="F2827" t="str">
            <v>2000</v>
          </cell>
          <cell r="G2827">
            <v>7</v>
          </cell>
          <cell r="H2827">
            <v>5</v>
          </cell>
          <cell r="I2827" t="str">
            <v>206231</v>
          </cell>
          <cell r="L2827">
            <v>1</v>
          </cell>
          <cell r="M2827">
            <v>16.05</v>
          </cell>
        </row>
        <row r="2828">
          <cell r="C2828" t="str">
            <v>33907</v>
          </cell>
          <cell r="D2828" t="str">
            <v>FOUNDER'S ORIG BLACKBERRY GIN BRAMBLE</v>
          </cell>
          <cell r="E2828" t="str">
            <v>FOUNDER'S ORIGINAL INC.</v>
          </cell>
          <cell r="F2828" t="str">
            <v>473</v>
          </cell>
          <cell r="G2828">
            <v>7</v>
          </cell>
          <cell r="H2828">
            <v>24</v>
          </cell>
          <cell r="I2828" t="str">
            <v>206231</v>
          </cell>
          <cell r="L2828">
            <v>1</v>
          </cell>
          <cell r="M2828">
            <v>3.35</v>
          </cell>
        </row>
        <row r="2829">
          <cell r="C2829" t="str">
            <v>41261</v>
          </cell>
          <cell r="D2829" t="str">
            <v>FOUNDER'S ORIGINAL TEQUILA COCKTAIL BOX</v>
          </cell>
          <cell r="E2829" t="str">
            <v>FOUNDER'S ORIGINAL INC.</v>
          </cell>
          <cell r="F2829" t="str">
            <v>2840</v>
          </cell>
          <cell r="G2829">
            <v>7</v>
          </cell>
          <cell r="H2829">
            <v>3</v>
          </cell>
          <cell r="I2829" t="str">
            <v>206231</v>
          </cell>
          <cell r="L2829">
            <v>8</v>
          </cell>
          <cell r="M2829">
            <v>25.09</v>
          </cell>
        </row>
        <row r="2830">
          <cell r="C2830" t="str">
            <v>39147</v>
          </cell>
          <cell r="D2830" t="str">
            <v>FOUNDER'S ORIGINAL ULTIMATE COCKTAIL BOX</v>
          </cell>
          <cell r="E2830" t="str">
            <v>FOUNDER'S ORIGINAL INC.</v>
          </cell>
          <cell r="F2830" t="str">
            <v>2840</v>
          </cell>
          <cell r="G2830">
            <v>7</v>
          </cell>
          <cell r="H2830">
            <v>3</v>
          </cell>
          <cell r="I2830" t="str">
            <v>206231</v>
          </cell>
          <cell r="L2830">
            <v>8</v>
          </cell>
          <cell r="M2830">
            <v>25.09</v>
          </cell>
        </row>
        <row r="2831">
          <cell r="C2831" t="str">
            <v>36065</v>
          </cell>
          <cell r="D2831" t="str">
            <v>FOUNDER'S SEVILLE ORANGE BOUR SOUR</v>
          </cell>
          <cell r="E2831" t="str">
            <v>FOUNDER'S ORIGINAL INC.</v>
          </cell>
          <cell r="F2831" t="str">
            <v>1420</v>
          </cell>
          <cell r="G2831">
            <v>7</v>
          </cell>
          <cell r="H2831">
            <v>6</v>
          </cell>
          <cell r="I2831" t="str">
            <v>206231</v>
          </cell>
          <cell r="L2831">
            <v>4</v>
          </cell>
          <cell r="M2831">
            <v>12.54</v>
          </cell>
        </row>
        <row r="2832">
          <cell r="C2832" t="str">
            <v>45330</v>
          </cell>
          <cell r="D2832" t="str">
            <v>FOUNDER'S SPICY PINEAPPLE MARGARITA</v>
          </cell>
          <cell r="E2832" t="str">
            <v>FOUNDER'S ORIGINAL INC.</v>
          </cell>
          <cell r="F2832" t="str">
            <v>1420</v>
          </cell>
          <cell r="G2832">
            <v>12.5</v>
          </cell>
          <cell r="H2832">
            <v>6</v>
          </cell>
          <cell r="I2832" t="str">
            <v>206231</v>
          </cell>
          <cell r="L2832">
            <v>4</v>
          </cell>
          <cell r="M2832">
            <v>15.89</v>
          </cell>
        </row>
        <row r="2833">
          <cell r="C2833" t="str">
            <v>43691</v>
          </cell>
          <cell r="D2833" t="str">
            <v>FOUNDER'S WATERMELON LIME MARGARITA</v>
          </cell>
          <cell r="E2833" t="str">
            <v>FOUNDER'S ORIGINAL INC.</v>
          </cell>
          <cell r="F2833" t="str">
            <v>473</v>
          </cell>
          <cell r="G2833">
            <v>7</v>
          </cell>
          <cell r="H2833">
            <v>24</v>
          </cell>
          <cell r="I2833" t="str">
            <v>206231</v>
          </cell>
          <cell r="L2833">
            <v>1</v>
          </cell>
          <cell r="M2833">
            <v>3.35</v>
          </cell>
        </row>
        <row r="2834">
          <cell r="C2834" t="str">
            <v>43257</v>
          </cell>
          <cell r="D2834" t="str">
            <v>GARAGE HARD LEMONADE</v>
          </cell>
          <cell r="E2834" t="str">
            <v>CARLSBERG CANADA WATERLOO BREWING LTD</v>
          </cell>
          <cell r="F2834" t="str">
            <v>275</v>
          </cell>
          <cell r="G2834">
            <v>4.0999999999999996</v>
          </cell>
          <cell r="H2834">
            <v>24</v>
          </cell>
          <cell r="I2834" t="str">
            <v>3274</v>
          </cell>
          <cell r="L2834">
            <v>1</v>
          </cell>
          <cell r="M2834">
            <v>2.11</v>
          </cell>
        </row>
        <row r="2835">
          <cell r="C2835" t="str">
            <v>43117</v>
          </cell>
          <cell r="D2835" t="str">
            <v>GEORGIAN BAY COCKTAIL CLUB BEES KNEES</v>
          </cell>
          <cell r="E2835" t="str">
            <v>GEORGIAN BAY SPIRIT CO</v>
          </cell>
          <cell r="F2835" t="str">
            <v>1420</v>
          </cell>
          <cell r="G2835">
            <v>12.5</v>
          </cell>
          <cell r="H2835">
            <v>6</v>
          </cell>
          <cell r="I2835" t="str">
            <v>1537</v>
          </cell>
          <cell r="L2835">
            <v>4</v>
          </cell>
          <cell r="M2835">
            <v>11.12</v>
          </cell>
        </row>
        <row r="2836">
          <cell r="C2836" t="str">
            <v>33669</v>
          </cell>
          <cell r="D2836" t="str">
            <v>GEORGIAN BAY CRANBERRY GIN SMASH</v>
          </cell>
          <cell r="E2836" t="str">
            <v>GEORGIAN BAY SPIRIT CO</v>
          </cell>
          <cell r="F2836" t="str">
            <v>2130</v>
          </cell>
          <cell r="G2836">
            <v>5</v>
          </cell>
          <cell r="H2836">
            <v>4</v>
          </cell>
          <cell r="I2836" t="str">
            <v>1537</v>
          </cell>
          <cell r="L2836">
            <v>6</v>
          </cell>
          <cell r="M2836">
            <v>13.99</v>
          </cell>
        </row>
        <row r="2837">
          <cell r="C2837" t="str">
            <v>45353</v>
          </cell>
          <cell r="D2837" t="str">
            <v>GEORGIAN BAY GIN COCKTAIL PK</v>
          </cell>
          <cell r="E2837" t="str">
            <v>GEORGIAN BAY SPIRIT CO</v>
          </cell>
          <cell r="F2837" t="str">
            <v>4260</v>
          </cell>
          <cell r="G2837">
            <v>5</v>
          </cell>
          <cell r="H2837">
            <v>2</v>
          </cell>
          <cell r="I2837" t="str">
            <v>1537</v>
          </cell>
          <cell r="L2837">
            <v>12</v>
          </cell>
          <cell r="M2837">
            <v>27.81</v>
          </cell>
        </row>
        <row r="2838">
          <cell r="C2838" t="str">
            <v>33667</v>
          </cell>
          <cell r="D2838" t="str">
            <v>GEORGIAN BAY GIN SMASH</v>
          </cell>
          <cell r="E2838" t="str">
            <v>GEORGIAN BAY SPIRIT CO</v>
          </cell>
          <cell r="F2838" t="str">
            <v>2130</v>
          </cell>
          <cell r="G2838">
            <v>5</v>
          </cell>
          <cell r="H2838">
            <v>4</v>
          </cell>
          <cell r="I2838" t="str">
            <v>1537</v>
          </cell>
          <cell r="L2838">
            <v>6</v>
          </cell>
          <cell r="M2838">
            <v>13.99</v>
          </cell>
        </row>
        <row r="2839">
          <cell r="C2839" t="str">
            <v>40739</v>
          </cell>
          <cell r="D2839" t="str">
            <v>GEORGIAN BAY GIN SMASH MIX PACK</v>
          </cell>
          <cell r="E2839" t="str">
            <v>GEORGIAN BAY SPIRIT CO</v>
          </cell>
          <cell r="F2839" t="str">
            <v>4260</v>
          </cell>
          <cell r="G2839">
            <v>5</v>
          </cell>
          <cell r="H2839">
            <v>2</v>
          </cell>
          <cell r="I2839" t="str">
            <v>1537</v>
          </cell>
          <cell r="L2839">
            <v>12</v>
          </cell>
          <cell r="M2839">
            <v>26.32</v>
          </cell>
        </row>
        <row r="2840">
          <cell r="C2840" t="str">
            <v>35676</v>
          </cell>
          <cell r="D2840" t="str">
            <v>GEORGIAN BAY MANGO TEQUILA SMASH</v>
          </cell>
          <cell r="E2840" t="str">
            <v>GEORGIAN BAY SPIRIT CO</v>
          </cell>
          <cell r="F2840" t="str">
            <v>2130</v>
          </cell>
          <cell r="G2840">
            <v>6</v>
          </cell>
          <cell r="H2840">
            <v>4</v>
          </cell>
          <cell r="I2840" t="str">
            <v>1537</v>
          </cell>
          <cell r="L2840">
            <v>6</v>
          </cell>
          <cell r="M2840">
            <v>14.39</v>
          </cell>
        </row>
        <row r="2841">
          <cell r="C2841" t="str">
            <v>36066</v>
          </cell>
          <cell r="D2841" t="str">
            <v>GEORGIAN BAY RASPBERRY RHUBARB SMASH</v>
          </cell>
          <cell r="E2841" t="str">
            <v>GEORGIAN BAY SPIRIT CO</v>
          </cell>
          <cell r="F2841" t="str">
            <v>2130</v>
          </cell>
          <cell r="G2841">
            <v>5</v>
          </cell>
          <cell r="H2841">
            <v>4</v>
          </cell>
          <cell r="I2841" t="str">
            <v>1537</v>
          </cell>
          <cell r="L2841">
            <v>6</v>
          </cell>
          <cell r="M2841">
            <v>13.99</v>
          </cell>
        </row>
        <row r="2842">
          <cell r="C2842" t="str">
            <v>40746</v>
          </cell>
          <cell r="D2842" t="str">
            <v>GEORGIAN BAY TEQUILA SMASH MIX PACK</v>
          </cell>
          <cell r="E2842" t="str">
            <v>GEORGIAN BAY SPIRIT CO</v>
          </cell>
          <cell r="F2842" t="str">
            <v>4260</v>
          </cell>
          <cell r="G2842">
            <v>6</v>
          </cell>
          <cell r="H2842">
            <v>2</v>
          </cell>
          <cell r="I2842" t="str">
            <v>1537</v>
          </cell>
          <cell r="L2842">
            <v>12</v>
          </cell>
          <cell r="M2842">
            <v>27.11</v>
          </cell>
        </row>
        <row r="2843">
          <cell r="C2843" t="str">
            <v>38628</v>
          </cell>
          <cell r="D2843" t="str">
            <v>GEORGIAN BAY TEQUILA SMASH PRICKLY PEAR</v>
          </cell>
          <cell r="E2843" t="str">
            <v>GEORGIAN BAY SPIRIT CO</v>
          </cell>
          <cell r="F2843" t="str">
            <v>2130</v>
          </cell>
          <cell r="G2843">
            <v>5</v>
          </cell>
          <cell r="H2843">
            <v>4</v>
          </cell>
          <cell r="I2843" t="str">
            <v>206112</v>
          </cell>
          <cell r="L2843">
            <v>6</v>
          </cell>
          <cell r="M2843">
            <v>14.39</v>
          </cell>
        </row>
        <row r="2844">
          <cell r="C2844" t="str">
            <v>41582</v>
          </cell>
          <cell r="D2844" t="str">
            <v>GEORGIAN BAY TEQUILA SODA MIXED PK</v>
          </cell>
          <cell r="E2844" t="str">
            <v>GEORGIAN BAY SPIRIT CO</v>
          </cell>
          <cell r="F2844" t="str">
            <v>4260</v>
          </cell>
          <cell r="G2844">
            <v>5</v>
          </cell>
          <cell r="H2844">
            <v>2</v>
          </cell>
          <cell r="I2844" t="str">
            <v>1537</v>
          </cell>
          <cell r="L2844">
            <v>12</v>
          </cell>
          <cell r="M2844">
            <v>23.32</v>
          </cell>
        </row>
        <row r="2845">
          <cell r="C2845" t="str">
            <v>43118</v>
          </cell>
          <cell r="D2845" t="str">
            <v>GEORGIAN BAY VODKA ICED TEA MIXER PACK</v>
          </cell>
          <cell r="E2845" t="str">
            <v>GEORGIAN BAY SPIRIT CO</v>
          </cell>
          <cell r="F2845" t="str">
            <v>2840</v>
          </cell>
          <cell r="G2845">
            <v>7</v>
          </cell>
          <cell r="H2845">
            <v>3</v>
          </cell>
          <cell r="I2845" t="str">
            <v>1537</v>
          </cell>
          <cell r="L2845">
            <v>8</v>
          </cell>
          <cell r="M2845">
            <v>18.260000000000002</v>
          </cell>
        </row>
        <row r="2846">
          <cell r="C2846" t="str">
            <v>40085</v>
          </cell>
          <cell r="D2846" t="str">
            <v>GOOD DAY LYCHEE SOJU</v>
          </cell>
          <cell r="E2846" t="str">
            <v>MUHAK CO LTD</v>
          </cell>
          <cell r="F2846" t="str">
            <v>360</v>
          </cell>
          <cell r="G2846">
            <v>12.5</v>
          </cell>
          <cell r="H2846">
            <v>20</v>
          </cell>
          <cell r="I2846" t="str">
            <v>3278</v>
          </cell>
          <cell r="L2846">
            <v>1</v>
          </cell>
          <cell r="M2846">
            <v>6.91</v>
          </cell>
        </row>
        <row r="2847">
          <cell r="C2847" t="str">
            <v>41065</v>
          </cell>
          <cell r="D2847" t="str">
            <v>GOOD DAY PEACH SOJU</v>
          </cell>
          <cell r="E2847" t="str">
            <v>MUHAK CO LTD</v>
          </cell>
          <cell r="F2847" t="str">
            <v>360</v>
          </cell>
          <cell r="G2847">
            <v>13.5</v>
          </cell>
          <cell r="H2847">
            <v>20</v>
          </cell>
          <cell r="I2847" t="str">
            <v>3278</v>
          </cell>
          <cell r="L2847">
            <v>1</v>
          </cell>
          <cell r="M2847">
            <v>7.01</v>
          </cell>
        </row>
        <row r="2848">
          <cell r="C2848" t="str">
            <v>41735</v>
          </cell>
          <cell r="D2848" t="str">
            <v>HALLASAN SOJU LYCHEE</v>
          </cell>
          <cell r="E2848" t="str">
            <v>HALLASAN CO LTD</v>
          </cell>
          <cell r="F2848" t="str">
            <v>375</v>
          </cell>
          <cell r="G2848">
            <v>12</v>
          </cell>
          <cell r="H2848">
            <v>20</v>
          </cell>
          <cell r="I2848" t="str">
            <v>3308</v>
          </cell>
          <cell r="L2848">
            <v>1</v>
          </cell>
          <cell r="M2848">
            <v>7.08</v>
          </cell>
        </row>
        <row r="2849">
          <cell r="C2849" t="str">
            <v>45354</v>
          </cell>
          <cell r="D2849" t="str">
            <v>HAPPY DAD HARD ICED TEA VARIETY PACK</v>
          </cell>
          <cell r="E2849" t="str">
            <v>HAPPY DAD SALES CANADA INC</v>
          </cell>
          <cell r="F2849" t="str">
            <v>4260</v>
          </cell>
          <cell r="G2849">
            <v>5</v>
          </cell>
          <cell r="H2849">
            <v>2</v>
          </cell>
          <cell r="I2849" t="str">
            <v>130768</v>
          </cell>
          <cell r="L2849">
            <v>12</v>
          </cell>
          <cell r="M2849">
            <v>27.43</v>
          </cell>
        </row>
        <row r="2850">
          <cell r="C2850" t="str">
            <v>48421</v>
          </cell>
          <cell r="D2850" t="str">
            <v>HAPPY DAD HARD LEMONADE</v>
          </cell>
          <cell r="E2850" t="str">
            <v>HAPPY DAD SALES CANADA INC</v>
          </cell>
          <cell r="F2850" t="str">
            <v>4260</v>
          </cell>
          <cell r="G2850">
            <v>5</v>
          </cell>
          <cell r="H2850">
            <v>2</v>
          </cell>
          <cell r="I2850" t="str">
            <v>130768</v>
          </cell>
          <cell r="L2850">
            <v>12</v>
          </cell>
          <cell r="M2850">
            <v>27.5</v>
          </cell>
        </row>
        <row r="2851">
          <cell r="C2851" t="str">
            <v>44241</v>
          </cell>
          <cell r="D2851" t="str">
            <v>HAPPY DAD HARD SELTZER FRUIT PUNCH</v>
          </cell>
          <cell r="E2851" t="str">
            <v>HAPPY DAD SALES CANADA INC</v>
          </cell>
          <cell r="F2851" t="str">
            <v>4260</v>
          </cell>
          <cell r="G2851">
            <v>5</v>
          </cell>
          <cell r="H2851">
            <v>2</v>
          </cell>
          <cell r="I2851" t="str">
            <v>130768</v>
          </cell>
          <cell r="L2851">
            <v>12</v>
          </cell>
          <cell r="M2851">
            <v>27.5</v>
          </cell>
        </row>
        <row r="2852">
          <cell r="C2852" t="str">
            <v>44255</v>
          </cell>
          <cell r="D2852" t="str">
            <v>HAPPY DAD HARD SELTZER GRAPE 12 PACK</v>
          </cell>
          <cell r="E2852" t="str">
            <v>HAPPY DAD SALES CANADA INC</v>
          </cell>
          <cell r="F2852" t="str">
            <v>4260</v>
          </cell>
          <cell r="G2852">
            <v>5</v>
          </cell>
          <cell r="H2852">
            <v>2</v>
          </cell>
          <cell r="I2852" t="str">
            <v>130768</v>
          </cell>
          <cell r="L2852">
            <v>12</v>
          </cell>
          <cell r="M2852">
            <v>27.5</v>
          </cell>
        </row>
        <row r="2853">
          <cell r="C2853" t="str">
            <v>43659</v>
          </cell>
          <cell r="D2853" t="str">
            <v>HAPPY DAD HARD SELTZER RASPBERRY</v>
          </cell>
          <cell r="E2853" t="str">
            <v>HAPPY DAD SALES CANADA INC</v>
          </cell>
          <cell r="F2853" t="str">
            <v>4260</v>
          </cell>
          <cell r="G2853">
            <v>5</v>
          </cell>
          <cell r="H2853">
            <v>2</v>
          </cell>
          <cell r="I2853" t="str">
            <v>130768</v>
          </cell>
          <cell r="L2853">
            <v>12</v>
          </cell>
          <cell r="M2853">
            <v>27.5</v>
          </cell>
        </row>
        <row r="2854">
          <cell r="C2854" t="str">
            <v>43660</v>
          </cell>
          <cell r="D2854" t="str">
            <v>HAPPY DAD HARD SELTZER VARIETY PACK</v>
          </cell>
          <cell r="E2854" t="str">
            <v>HAPPY DAD SALES CANADA INC</v>
          </cell>
          <cell r="F2854" t="str">
            <v>4260</v>
          </cell>
          <cell r="G2854">
            <v>5</v>
          </cell>
          <cell r="H2854">
            <v>2</v>
          </cell>
          <cell r="I2854" t="str">
            <v>130768</v>
          </cell>
          <cell r="L2854">
            <v>12</v>
          </cell>
          <cell r="M2854">
            <v>27.5</v>
          </cell>
        </row>
        <row r="2855">
          <cell r="C2855" t="str">
            <v>33199</v>
          </cell>
          <cell r="D2855" t="str">
            <v>HARD ICE CROOKED CREAM SODA</v>
          </cell>
          <cell r="E2855" t="str">
            <v>WINTERLAND BEVERAGES LTD.</v>
          </cell>
          <cell r="F2855" t="str">
            <v>1200</v>
          </cell>
          <cell r="G2855">
            <v>6.8</v>
          </cell>
          <cell r="H2855">
            <v>12</v>
          </cell>
          <cell r="I2855" t="str">
            <v>171056</v>
          </cell>
          <cell r="L2855">
            <v>6</v>
          </cell>
          <cell r="M2855">
            <v>13.5</v>
          </cell>
        </row>
        <row r="2856">
          <cell r="C2856" t="str">
            <v>41057</v>
          </cell>
          <cell r="D2856" t="str">
            <v>HARD T VARIETY PACK</v>
          </cell>
          <cell r="E2856" t="str">
            <v>LOVELY DAY BEVERAGE CORP</v>
          </cell>
          <cell r="F2856" t="str">
            <v>4092</v>
          </cell>
          <cell r="G2856">
            <v>5</v>
          </cell>
          <cell r="H2856">
            <v>2</v>
          </cell>
          <cell r="I2856" t="str">
            <v>205949</v>
          </cell>
          <cell r="L2856">
            <v>12</v>
          </cell>
          <cell r="M2856">
            <v>28.8</v>
          </cell>
        </row>
        <row r="2857">
          <cell r="C2857" t="str">
            <v>40749</v>
          </cell>
          <cell r="D2857" t="str">
            <v>HECTOR'S HARD BIG BLUE RASPBERRY</v>
          </cell>
          <cell r="E2857" t="str">
            <v>FORT GARRY BREWING LTD (R)</v>
          </cell>
          <cell r="F2857" t="str">
            <v>2000</v>
          </cell>
          <cell r="G2857">
            <v>7</v>
          </cell>
          <cell r="H2857">
            <v>8</v>
          </cell>
          <cell r="I2857" t="str">
            <v>1033</v>
          </cell>
          <cell r="L2857">
            <v>1</v>
          </cell>
          <cell r="M2857">
            <v>10.029999999999999</v>
          </cell>
        </row>
        <row r="2858">
          <cell r="C2858" t="str">
            <v>40750</v>
          </cell>
          <cell r="D2858" t="str">
            <v>HECTOR'S HARD CHERRY BOMB</v>
          </cell>
          <cell r="E2858" t="str">
            <v>FORT GARRY BREWING LTD (R)</v>
          </cell>
          <cell r="F2858" t="str">
            <v>2000</v>
          </cell>
          <cell r="G2858">
            <v>7</v>
          </cell>
          <cell r="H2858">
            <v>8</v>
          </cell>
          <cell r="I2858" t="str">
            <v>1033</v>
          </cell>
          <cell r="L2858">
            <v>1</v>
          </cell>
          <cell r="M2858">
            <v>10.029999999999999</v>
          </cell>
        </row>
        <row r="2859">
          <cell r="C2859" t="str">
            <v>38481</v>
          </cell>
          <cell r="D2859" t="str">
            <v>HECTOR'S HARD ICED TEA</v>
          </cell>
          <cell r="E2859" t="str">
            <v>FORT GARRY BREWING LTD (R)</v>
          </cell>
          <cell r="F2859" t="str">
            <v>2000</v>
          </cell>
          <cell r="G2859">
            <v>7</v>
          </cell>
          <cell r="H2859">
            <v>8</v>
          </cell>
          <cell r="I2859" t="str">
            <v>1033</v>
          </cell>
          <cell r="L2859">
            <v>1</v>
          </cell>
          <cell r="M2859">
            <v>10.029999999999999</v>
          </cell>
        </row>
        <row r="2860">
          <cell r="C2860" t="str">
            <v>40984</v>
          </cell>
          <cell r="D2860" t="str">
            <v>HECTOR'S HARD PARTY PACK</v>
          </cell>
          <cell r="E2860" t="str">
            <v>FORT GARRY BREWING LTD (R)</v>
          </cell>
          <cell r="F2860" t="str">
            <v>4260</v>
          </cell>
          <cell r="G2860">
            <v>7</v>
          </cell>
          <cell r="H2860">
            <v>2</v>
          </cell>
          <cell r="I2860" t="str">
            <v>1033</v>
          </cell>
          <cell r="L2860">
            <v>12</v>
          </cell>
          <cell r="M2860">
            <v>26.16</v>
          </cell>
        </row>
        <row r="2861">
          <cell r="C2861" t="str">
            <v>40751</v>
          </cell>
          <cell r="D2861" t="str">
            <v>HECTOR'S HARD PEACH PUNCH</v>
          </cell>
          <cell r="E2861" t="str">
            <v>FORT GARRY BREWING LTD (R)</v>
          </cell>
          <cell r="F2861" t="str">
            <v>2000</v>
          </cell>
          <cell r="G2861">
            <v>7</v>
          </cell>
          <cell r="H2861">
            <v>8</v>
          </cell>
          <cell r="I2861" t="str">
            <v>1033</v>
          </cell>
          <cell r="L2861">
            <v>1</v>
          </cell>
          <cell r="M2861">
            <v>10.029999999999999</v>
          </cell>
        </row>
        <row r="2862">
          <cell r="C2862" t="str">
            <v>43120</v>
          </cell>
          <cell r="D2862" t="str">
            <v>HECTOR'S HARD PINK LEMONADE</v>
          </cell>
          <cell r="E2862" t="str">
            <v>FORT GARRY BREWING LTD (R)</v>
          </cell>
          <cell r="F2862" t="str">
            <v>2000</v>
          </cell>
          <cell r="G2862">
            <v>7</v>
          </cell>
          <cell r="H2862">
            <v>8</v>
          </cell>
          <cell r="I2862" t="str">
            <v>1033</v>
          </cell>
          <cell r="L2862">
            <v>1</v>
          </cell>
          <cell r="M2862">
            <v>10.029999999999999</v>
          </cell>
        </row>
        <row r="2863">
          <cell r="C2863" t="str">
            <v>45355</v>
          </cell>
          <cell r="D2863" t="str">
            <v>HECTOR'S HARD WHISKY COLA</v>
          </cell>
          <cell r="E2863" t="str">
            <v>FORT GARRY BREWING LTD (R)</v>
          </cell>
          <cell r="F2863" t="str">
            <v>2000</v>
          </cell>
          <cell r="G2863">
            <v>7</v>
          </cell>
          <cell r="H2863">
            <v>8</v>
          </cell>
          <cell r="I2863" t="str">
            <v>1033</v>
          </cell>
          <cell r="L2863">
            <v>1</v>
          </cell>
          <cell r="M2863">
            <v>10.029999999999999</v>
          </cell>
        </row>
        <row r="2864">
          <cell r="C2864" t="str">
            <v>23902</v>
          </cell>
          <cell r="D2864" t="str">
            <v>HEY Y'ALL GEORGIA PEACH HARD ICED TEA</v>
          </cell>
          <cell r="E2864" t="str">
            <v>NORTHAM BREWERY (R)</v>
          </cell>
          <cell r="F2864" t="str">
            <v>2046</v>
          </cell>
          <cell r="G2864">
            <v>5</v>
          </cell>
          <cell r="H2864">
            <v>4</v>
          </cell>
          <cell r="I2864" t="str">
            <v>137744</v>
          </cell>
          <cell r="L2864">
            <v>6</v>
          </cell>
          <cell r="M2864">
            <v>13.06</v>
          </cell>
        </row>
        <row r="2865">
          <cell r="C2865" t="str">
            <v>23038</v>
          </cell>
          <cell r="D2865" t="str">
            <v>HEY Y'ALL HARD ICED TEA &amp; LEMONADE</v>
          </cell>
          <cell r="E2865" t="str">
            <v>NORTHAM BREWERY (R)</v>
          </cell>
          <cell r="F2865" t="str">
            <v>2046</v>
          </cell>
          <cell r="G2865">
            <v>5</v>
          </cell>
          <cell r="H2865">
            <v>4</v>
          </cell>
          <cell r="I2865" t="str">
            <v>137744</v>
          </cell>
          <cell r="L2865">
            <v>6</v>
          </cell>
          <cell r="M2865">
            <v>13.06</v>
          </cell>
        </row>
        <row r="2866">
          <cell r="C2866" t="str">
            <v>45643</v>
          </cell>
          <cell r="D2866" t="str">
            <v>HEY Y'ALL HARD ICED TEA KING CAN</v>
          </cell>
          <cell r="E2866" t="str">
            <v>NORTHAM BREWERY (R)</v>
          </cell>
          <cell r="F2866" t="str">
            <v>710</v>
          </cell>
          <cell r="G2866">
            <v>5</v>
          </cell>
          <cell r="H2866">
            <v>12</v>
          </cell>
          <cell r="I2866" t="str">
            <v>137744</v>
          </cell>
          <cell r="L2866">
            <v>1</v>
          </cell>
          <cell r="M2866">
            <v>4.01</v>
          </cell>
        </row>
        <row r="2867">
          <cell r="C2867" t="str">
            <v>26356</v>
          </cell>
          <cell r="D2867" t="str">
            <v>HEY Y'ALL ICED TEA TAILGATE PACK</v>
          </cell>
          <cell r="E2867" t="str">
            <v>NORTHAM BREWERY (R)</v>
          </cell>
          <cell r="F2867" t="str">
            <v>4092</v>
          </cell>
          <cell r="G2867">
            <v>5</v>
          </cell>
          <cell r="H2867">
            <v>2</v>
          </cell>
          <cell r="I2867" t="str">
            <v>137744</v>
          </cell>
          <cell r="L2867">
            <v>12</v>
          </cell>
          <cell r="M2867">
            <v>25.29</v>
          </cell>
        </row>
        <row r="2868">
          <cell r="C2868" t="str">
            <v>40754</v>
          </cell>
          <cell r="D2868" t="str">
            <v>HEY Y'ALL LEMONADE MIXER</v>
          </cell>
          <cell r="E2868" t="str">
            <v>NORTHAM BREWERY (R)</v>
          </cell>
          <cell r="F2868" t="str">
            <v>4260</v>
          </cell>
          <cell r="G2868">
            <v>5</v>
          </cell>
          <cell r="H2868">
            <v>2</v>
          </cell>
          <cell r="I2868" t="str">
            <v>137744</v>
          </cell>
          <cell r="L2868">
            <v>12</v>
          </cell>
          <cell r="M2868">
            <v>26.18</v>
          </cell>
        </row>
        <row r="2869">
          <cell r="C2869" t="str">
            <v>40962</v>
          </cell>
          <cell r="D2869" t="str">
            <v>HEY Y'ALL ORIGINAL TALL CAN 7%</v>
          </cell>
          <cell r="E2869" t="str">
            <v>NORTHAM BREWERY (R)</v>
          </cell>
          <cell r="F2869" t="str">
            <v>458</v>
          </cell>
          <cell r="G2869">
            <v>7</v>
          </cell>
          <cell r="H2869">
            <v>24</v>
          </cell>
          <cell r="I2869" t="str">
            <v>137744</v>
          </cell>
          <cell r="L2869">
            <v>1</v>
          </cell>
          <cell r="M2869">
            <v>2.92</v>
          </cell>
        </row>
        <row r="2870">
          <cell r="C2870" t="str">
            <v>41020</v>
          </cell>
          <cell r="D2870" t="str">
            <v>HEY Y'ALL PINA COLADA HARD ICED TEA</v>
          </cell>
          <cell r="E2870" t="str">
            <v>NORTHAM BREWERY (R)</v>
          </cell>
          <cell r="F2870" t="str">
            <v>2046</v>
          </cell>
          <cell r="G2870">
            <v>5</v>
          </cell>
          <cell r="H2870">
            <v>4</v>
          </cell>
          <cell r="I2870" t="str">
            <v>137744</v>
          </cell>
          <cell r="L2870">
            <v>6</v>
          </cell>
          <cell r="M2870">
            <v>13.06</v>
          </cell>
        </row>
        <row r="2871">
          <cell r="C2871" t="str">
            <v>30970</v>
          </cell>
          <cell r="D2871" t="str">
            <v>HEY Y'ALL PORCH PACK</v>
          </cell>
          <cell r="E2871" t="str">
            <v>NORTHAM BREWERY (R)</v>
          </cell>
          <cell r="F2871" t="str">
            <v>4092</v>
          </cell>
          <cell r="G2871">
            <v>5</v>
          </cell>
          <cell r="H2871">
            <v>2</v>
          </cell>
          <cell r="I2871" t="str">
            <v>137744</v>
          </cell>
          <cell r="L2871">
            <v>12</v>
          </cell>
          <cell r="M2871">
            <v>25.7</v>
          </cell>
        </row>
        <row r="2872">
          <cell r="C2872" t="str">
            <v>23039</v>
          </cell>
          <cell r="D2872" t="str">
            <v>HEY Y'ALL SOUTHERN HARD ICED TEA</v>
          </cell>
          <cell r="E2872" t="str">
            <v>NORTHAM BREWERY (R)</v>
          </cell>
          <cell r="F2872" t="str">
            <v>2046</v>
          </cell>
          <cell r="G2872">
            <v>5</v>
          </cell>
          <cell r="H2872">
            <v>4</v>
          </cell>
          <cell r="I2872" t="str">
            <v>137744</v>
          </cell>
          <cell r="L2872">
            <v>6</v>
          </cell>
          <cell r="M2872">
            <v>13.06</v>
          </cell>
        </row>
        <row r="2873">
          <cell r="C2873" t="str">
            <v>38772</v>
          </cell>
          <cell r="D2873" t="str">
            <v>HEY Y'ALL SOUTHERN STYLE TEA PARTY POUCH</v>
          </cell>
          <cell r="E2873" t="str">
            <v>NORTHAM BREWERY (R)</v>
          </cell>
          <cell r="F2873" t="str">
            <v>3000</v>
          </cell>
          <cell r="G2873">
            <v>5</v>
          </cell>
          <cell r="H2873">
            <v>4</v>
          </cell>
          <cell r="I2873" t="str">
            <v>194112</v>
          </cell>
          <cell r="L2873">
            <v>1</v>
          </cell>
          <cell r="M2873">
            <v>22.67</v>
          </cell>
        </row>
        <row r="2874">
          <cell r="C2874" t="str">
            <v>48438</v>
          </cell>
          <cell r="D2874" t="str">
            <v>HIGH NOON PEACH</v>
          </cell>
          <cell r="E2874" t="str">
            <v>E &amp; J GALLO WINERY</v>
          </cell>
          <cell r="F2874" t="str">
            <v>473</v>
          </cell>
          <cell r="G2874">
            <v>4.5</v>
          </cell>
          <cell r="H2874">
            <v>24</v>
          </cell>
          <cell r="I2874" t="str">
            <v>206245</v>
          </cell>
          <cell r="L2874">
            <v>1</v>
          </cell>
          <cell r="M2874">
            <v>2.85</v>
          </cell>
        </row>
        <row r="2875">
          <cell r="C2875" t="str">
            <v>43219</v>
          </cell>
          <cell r="D2875" t="str">
            <v>HIGH NOON POOL PACK</v>
          </cell>
          <cell r="E2875" t="str">
            <v>E &amp; J GALLO WINERY</v>
          </cell>
          <cell r="F2875" t="str">
            <v>2840</v>
          </cell>
          <cell r="G2875">
            <v>4.5</v>
          </cell>
          <cell r="H2875">
            <v>3</v>
          </cell>
          <cell r="I2875" t="str">
            <v>206245</v>
          </cell>
          <cell r="L2875">
            <v>8</v>
          </cell>
          <cell r="M2875">
            <v>24</v>
          </cell>
        </row>
        <row r="2876">
          <cell r="C2876" t="str">
            <v>43112</v>
          </cell>
          <cell r="D2876" t="str">
            <v>HIGH NOON TEQUILA VARIETY PACK</v>
          </cell>
          <cell r="E2876" t="str">
            <v>E &amp; J GALLO WINERY</v>
          </cell>
          <cell r="F2876" t="str">
            <v>2840</v>
          </cell>
          <cell r="G2876">
            <v>4.5</v>
          </cell>
          <cell r="H2876">
            <v>3</v>
          </cell>
          <cell r="I2876" t="str">
            <v>206245</v>
          </cell>
          <cell r="L2876">
            <v>8</v>
          </cell>
          <cell r="M2876">
            <v>24.5</v>
          </cell>
        </row>
        <row r="2877">
          <cell r="C2877" t="str">
            <v>40758</v>
          </cell>
          <cell r="D2877" t="str">
            <v>HIGH NOON VARIETY PACK</v>
          </cell>
          <cell r="E2877" t="str">
            <v>E &amp; J GALLO WINERY</v>
          </cell>
          <cell r="F2877" t="str">
            <v>2840</v>
          </cell>
          <cell r="G2877">
            <v>4.5</v>
          </cell>
          <cell r="H2877">
            <v>3</v>
          </cell>
          <cell r="I2877" t="str">
            <v>206245</v>
          </cell>
          <cell r="L2877">
            <v>8</v>
          </cell>
          <cell r="M2877">
            <v>24</v>
          </cell>
        </row>
        <row r="2878">
          <cell r="C2878" t="str">
            <v>25946</v>
          </cell>
          <cell r="D2878" t="str">
            <v>HIRES ROOT BEER AND VODKA</v>
          </cell>
          <cell r="E2878" t="str">
            <v>Canada Dry Motts</v>
          </cell>
          <cell r="F2878" t="str">
            <v>473</v>
          </cell>
          <cell r="G2878">
            <v>5</v>
          </cell>
          <cell r="H2878">
            <v>24</v>
          </cell>
          <cell r="I2878" t="str">
            <v>1009</v>
          </cell>
          <cell r="L2878">
            <v>1</v>
          </cell>
          <cell r="M2878">
            <v>3</v>
          </cell>
        </row>
        <row r="2879">
          <cell r="C2879" t="str">
            <v>45357</v>
          </cell>
          <cell r="D2879" t="str">
            <v>ISLA TEQUILA ISLAND MIXER</v>
          </cell>
          <cell r="E2879" t="str">
            <v>GEORGIAN BAY SPIRIT CO</v>
          </cell>
          <cell r="F2879" t="str">
            <v>2840</v>
          </cell>
          <cell r="G2879">
            <v>7</v>
          </cell>
          <cell r="H2879">
            <v>3</v>
          </cell>
          <cell r="I2879" t="str">
            <v>1537</v>
          </cell>
          <cell r="L2879">
            <v>8</v>
          </cell>
          <cell r="M2879">
            <v>23</v>
          </cell>
        </row>
        <row r="2880">
          <cell r="C2880" t="str">
            <v>40760</v>
          </cell>
          <cell r="D2880" t="str">
            <v>JACK DANIEL'S &amp; GINGER</v>
          </cell>
          <cell r="E2880" t="str">
            <v>BROWN-FORMAN BEVERAGES</v>
          </cell>
          <cell r="F2880" t="str">
            <v>473</v>
          </cell>
          <cell r="G2880">
            <v>6</v>
          </cell>
          <cell r="H2880">
            <v>24</v>
          </cell>
          <cell r="I2880" t="str">
            <v>1230</v>
          </cell>
          <cell r="L2880">
            <v>1</v>
          </cell>
          <cell r="M2880">
            <v>2.8</v>
          </cell>
        </row>
        <row r="2881">
          <cell r="C2881" t="str">
            <v>43111</v>
          </cell>
          <cell r="D2881" t="str">
            <v>JACK DANIEL'S AND COCA-COLA</v>
          </cell>
          <cell r="E2881" t="str">
            <v>BROWN-FORMAN BEVERAGES</v>
          </cell>
          <cell r="F2881" t="str">
            <v>473</v>
          </cell>
          <cell r="G2881">
            <v>7</v>
          </cell>
          <cell r="H2881">
            <v>24</v>
          </cell>
          <cell r="I2881" t="str">
            <v>1230</v>
          </cell>
          <cell r="L2881">
            <v>1</v>
          </cell>
          <cell r="M2881">
            <v>3.52</v>
          </cell>
        </row>
        <row r="2882">
          <cell r="C2882" t="str">
            <v>43110</v>
          </cell>
          <cell r="D2882" t="str">
            <v>JACK DANIEL'S AND COCA-COLA ZERO SUGAR</v>
          </cell>
          <cell r="E2882" t="str">
            <v>BROWN-FORMAN BEVERAGES</v>
          </cell>
          <cell r="F2882" t="str">
            <v>473</v>
          </cell>
          <cell r="G2882">
            <v>7</v>
          </cell>
          <cell r="H2882">
            <v>24</v>
          </cell>
          <cell r="I2882" t="str">
            <v>1230</v>
          </cell>
          <cell r="L2882">
            <v>1</v>
          </cell>
          <cell r="M2882">
            <v>3.52</v>
          </cell>
        </row>
        <row r="2883">
          <cell r="C2883" t="str">
            <v>45195</v>
          </cell>
          <cell r="D2883" t="str">
            <v>JACK DANIEL'S WATERMELON PUNCH</v>
          </cell>
          <cell r="E2883" t="str">
            <v>BROWN-FORMAN BEVERAGES</v>
          </cell>
          <cell r="F2883" t="str">
            <v>2130</v>
          </cell>
          <cell r="G2883">
            <v>5</v>
          </cell>
          <cell r="H2883">
            <v>4</v>
          </cell>
          <cell r="I2883" t="str">
            <v>206252</v>
          </cell>
          <cell r="L2883">
            <v>6</v>
          </cell>
          <cell r="M2883">
            <v>14.16</v>
          </cell>
        </row>
        <row r="2884">
          <cell r="C2884" t="str">
            <v>37884</v>
          </cell>
          <cell r="D2884" t="str">
            <v>JAMESON GINGER AND LIME</v>
          </cell>
          <cell r="E2884" t="str">
            <v>HIRAM WALKER &amp; SONS LTD</v>
          </cell>
          <cell r="F2884" t="str">
            <v>473</v>
          </cell>
          <cell r="G2884">
            <v>6</v>
          </cell>
          <cell r="H2884">
            <v>24</v>
          </cell>
          <cell r="I2884" t="str">
            <v>3234</v>
          </cell>
          <cell r="L2884">
            <v>1</v>
          </cell>
          <cell r="M2884">
            <v>3.6</v>
          </cell>
        </row>
        <row r="2885">
          <cell r="C2885" t="str">
            <v>40702</v>
          </cell>
          <cell r="D2885" t="str">
            <v>JAMESON GINGER AND LIME</v>
          </cell>
          <cell r="E2885" t="str">
            <v>HIRAM WALKER &amp; SONS LTD</v>
          </cell>
          <cell r="F2885" t="str">
            <v>1420</v>
          </cell>
          <cell r="G2885">
            <v>6</v>
          </cell>
          <cell r="H2885">
            <v>6</v>
          </cell>
          <cell r="I2885" t="str">
            <v>3234</v>
          </cell>
          <cell r="L2885">
            <v>4</v>
          </cell>
          <cell r="M2885">
            <v>12.51</v>
          </cell>
        </row>
        <row r="2886">
          <cell r="C2886" t="str">
            <v>43103</v>
          </cell>
          <cell r="D2886" t="str">
            <v>JAMESON LEMONADE</v>
          </cell>
          <cell r="E2886" t="str">
            <v>HIRAM WALKER &amp; SONS LTD</v>
          </cell>
          <cell r="F2886" t="str">
            <v>473</v>
          </cell>
          <cell r="G2886">
            <v>5</v>
          </cell>
          <cell r="H2886">
            <v>24</v>
          </cell>
          <cell r="I2886" t="str">
            <v>3234</v>
          </cell>
          <cell r="L2886">
            <v>1</v>
          </cell>
          <cell r="M2886">
            <v>3.6</v>
          </cell>
        </row>
        <row r="2887">
          <cell r="C2887" t="str">
            <v>45341</v>
          </cell>
          <cell r="D2887" t="str">
            <v>JAMESON ORANGE SPRITZ</v>
          </cell>
          <cell r="E2887" t="str">
            <v>HIRAM WALKER &amp; SONS LTD</v>
          </cell>
          <cell r="F2887" t="str">
            <v>473</v>
          </cell>
          <cell r="G2887">
            <v>5</v>
          </cell>
          <cell r="H2887">
            <v>24</v>
          </cell>
          <cell r="I2887" t="str">
            <v>3234</v>
          </cell>
          <cell r="L2887">
            <v>1</v>
          </cell>
          <cell r="M2887">
            <v>3.6</v>
          </cell>
        </row>
        <row r="2888">
          <cell r="C2888" t="str">
            <v>40761</v>
          </cell>
          <cell r="D2888" t="str">
            <v>JAW DROP FAN FAVOURITES</v>
          </cell>
          <cell r="E2888" t="str">
            <v>AQUILINI BRANDS</v>
          </cell>
          <cell r="F2888" t="str">
            <v>4260</v>
          </cell>
          <cell r="G2888">
            <v>7</v>
          </cell>
          <cell r="H2888">
            <v>2</v>
          </cell>
          <cell r="I2888" t="str">
            <v>205871</v>
          </cell>
          <cell r="L2888">
            <v>12</v>
          </cell>
          <cell r="M2888">
            <v>29.31</v>
          </cell>
        </row>
        <row r="2889">
          <cell r="C2889" t="str">
            <v>33087</v>
          </cell>
          <cell r="D2889" t="str">
            <v>JAW DROP GUSHING GRAPES</v>
          </cell>
          <cell r="E2889" t="str">
            <v>AQUILINI BRANDS</v>
          </cell>
          <cell r="F2889" t="str">
            <v>2130</v>
          </cell>
          <cell r="G2889">
            <v>7</v>
          </cell>
          <cell r="H2889">
            <v>4</v>
          </cell>
          <cell r="I2889" t="str">
            <v>205871</v>
          </cell>
          <cell r="L2889">
            <v>6</v>
          </cell>
          <cell r="M2889">
            <v>17.239999999999998</v>
          </cell>
        </row>
        <row r="2890">
          <cell r="C2890" t="str">
            <v>29000</v>
          </cell>
          <cell r="D2890" t="str">
            <v>JOSE CUERVO AUTHENTIC LIME MARGARITA</v>
          </cell>
          <cell r="E2890" t="str">
            <v>PROXIMO SPIRITS Kentucky</v>
          </cell>
          <cell r="F2890" t="str">
            <v>1750</v>
          </cell>
          <cell r="G2890">
            <v>9.9499999999999993</v>
          </cell>
          <cell r="H2890">
            <v>6</v>
          </cell>
          <cell r="I2890" t="str">
            <v>128699</v>
          </cell>
          <cell r="L2890">
            <v>1</v>
          </cell>
          <cell r="M2890">
            <v>18.53</v>
          </cell>
        </row>
        <row r="2891">
          <cell r="C2891" t="str">
            <v>33632</v>
          </cell>
          <cell r="D2891" t="str">
            <v>JOSE CUERVO AUTHENTIC PINK LEMONADE</v>
          </cell>
          <cell r="E2891" t="str">
            <v>PROXIMO SPIRITS Kentucky</v>
          </cell>
          <cell r="F2891" t="str">
            <v>1750</v>
          </cell>
          <cell r="G2891">
            <v>9.9499999999999993</v>
          </cell>
          <cell r="H2891">
            <v>6</v>
          </cell>
          <cell r="I2891" t="str">
            <v>128699</v>
          </cell>
          <cell r="L2891">
            <v>1</v>
          </cell>
          <cell r="M2891">
            <v>18.53</v>
          </cell>
        </row>
        <row r="2892">
          <cell r="C2892" t="str">
            <v>35942</v>
          </cell>
          <cell r="D2892" t="str">
            <v>JOSE CUERVO AUTHENTIC STRAWBERRY LIME</v>
          </cell>
          <cell r="E2892" t="str">
            <v>PROXIMO SPIRITS Kentucky</v>
          </cell>
          <cell r="F2892" t="str">
            <v>1750</v>
          </cell>
          <cell r="G2892">
            <v>9.9499999999999993</v>
          </cell>
          <cell r="H2892">
            <v>6</v>
          </cell>
          <cell r="I2892" t="str">
            <v>128699</v>
          </cell>
          <cell r="L2892">
            <v>1</v>
          </cell>
          <cell r="M2892">
            <v>18.53</v>
          </cell>
        </row>
        <row r="2893">
          <cell r="C2893" t="str">
            <v>43122</v>
          </cell>
          <cell r="D2893" t="str">
            <v>JOSE CUERVO AUTHENTIC TROPICAL PARADISE</v>
          </cell>
          <cell r="E2893" t="str">
            <v>PROXIMO SPIRITS Kentucky</v>
          </cell>
          <cell r="F2893" t="str">
            <v>1750</v>
          </cell>
          <cell r="G2893">
            <v>9.9499999999999993</v>
          </cell>
          <cell r="H2893">
            <v>6</v>
          </cell>
          <cell r="I2893" t="str">
            <v>128699</v>
          </cell>
          <cell r="L2893">
            <v>1</v>
          </cell>
          <cell r="M2893">
            <v>18.53</v>
          </cell>
        </row>
        <row r="2894">
          <cell r="C2894" t="str">
            <v>40885</v>
          </cell>
          <cell r="D2894" t="str">
            <v>JOSE CUERVO AUTHENTIC WHITE PEACH</v>
          </cell>
          <cell r="E2894" t="str">
            <v>PROXIMO SPIRITS Kentucky</v>
          </cell>
          <cell r="F2894" t="str">
            <v>1750</v>
          </cell>
          <cell r="G2894">
            <v>9.9499999999999993</v>
          </cell>
          <cell r="H2894">
            <v>6</v>
          </cell>
          <cell r="I2894" t="str">
            <v>128699</v>
          </cell>
          <cell r="L2894">
            <v>1</v>
          </cell>
          <cell r="M2894">
            <v>18.53</v>
          </cell>
        </row>
        <row r="2895">
          <cell r="C2895" t="str">
            <v>24341</v>
          </cell>
          <cell r="D2895" t="str">
            <v>JOSE CUERVO SPARKLING MARGARITA</v>
          </cell>
          <cell r="E2895" t="str">
            <v>REFRESCO NORTH AMERICA</v>
          </cell>
          <cell r="F2895" t="str">
            <v>1420</v>
          </cell>
          <cell r="G2895">
            <v>5</v>
          </cell>
          <cell r="H2895">
            <v>6</v>
          </cell>
          <cell r="I2895" t="str">
            <v>128699</v>
          </cell>
          <cell r="L2895">
            <v>4</v>
          </cell>
          <cell r="M2895">
            <v>10.52</v>
          </cell>
        </row>
        <row r="2896">
          <cell r="C2896" t="str">
            <v>26008</v>
          </cell>
          <cell r="D2896" t="str">
            <v>JOSE CUERVO SPARKLING PALOMA</v>
          </cell>
          <cell r="E2896" t="str">
            <v>REFRESCO NORTH AMERICA</v>
          </cell>
          <cell r="F2896" t="str">
            <v>1420</v>
          </cell>
          <cell r="G2896">
            <v>5</v>
          </cell>
          <cell r="H2896">
            <v>6</v>
          </cell>
          <cell r="I2896" t="str">
            <v>128699</v>
          </cell>
          <cell r="L2896">
            <v>4</v>
          </cell>
          <cell r="M2896">
            <v>10.52</v>
          </cell>
        </row>
        <row r="2897">
          <cell r="C2897" t="str">
            <v>45347</v>
          </cell>
          <cell r="D2897" t="str">
            <v>JOSE CUERVO SPARKLING TEQUILA SUNRISE</v>
          </cell>
          <cell r="E2897" t="str">
            <v>REFRESCO NORTH AMERICA</v>
          </cell>
          <cell r="F2897" t="str">
            <v>1420</v>
          </cell>
          <cell r="G2897">
            <v>5</v>
          </cell>
          <cell r="H2897">
            <v>6</v>
          </cell>
          <cell r="I2897" t="str">
            <v>128699</v>
          </cell>
          <cell r="L2897">
            <v>4</v>
          </cell>
          <cell r="M2897">
            <v>10.52</v>
          </cell>
        </row>
        <row r="2898">
          <cell r="C2898" t="str">
            <v>43134</v>
          </cell>
          <cell r="D2898" t="str">
            <v>MALIBU COCKTAIL MIXER PACK</v>
          </cell>
          <cell r="E2898" t="str">
            <v>HIRAM WALKER &amp; SONS LTD</v>
          </cell>
          <cell r="F2898" t="str">
            <v>2840</v>
          </cell>
          <cell r="G2898">
            <v>7</v>
          </cell>
          <cell r="H2898">
            <v>3</v>
          </cell>
          <cell r="I2898" t="str">
            <v>3234</v>
          </cell>
          <cell r="L2898">
            <v>8</v>
          </cell>
          <cell r="M2898">
            <v>21.14</v>
          </cell>
        </row>
        <row r="2899">
          <cell r="C2899" t="str">
            <v>43135</v>
          </cell>
          <cell r="D2899" t="str">
            <v>MALIBU PINA COLADA</v>
          </cell>
          <cell r="E2899" t="str">
            <v>HIRAM WALKER &amp; SONS LTD</v>
          </cell>
          <cell r="F2899" t="str">
            <v>1420</v>
          </cell>
          <cell r="G2899">
            <v>7</v>
          </cell>
          <cell r="H2899">
            <v>6</v>
          </cell>
          <cell r="I2899" t="str">
            <v>3234</v>
          </cell>
          <cell r="L2899">
            <v>4</v>
          </cell>
          <cell r="M2899">
            <v>13.52</v>
          </cell>
        </row>
        <row r="2900">
          <cell r="C2900" t="str">
            <v>40778</v>
          </cell>
          <cell r="D2900" t="str">
            <v>MALIBU PINEAPPLE BAY BREEZE</v>
          </cell>
          <cell r="E2900" t="str">
            <v>HIRAM WALKER &amp; SONS LTD</v>
          </cell>
          <cell r="F2900" t="str">
            <v>1420</v>
          </cell>
          <cell r="G2900">
            <v>7</v>
          </cell>
          <cell r="H2900">
            <v>6</v>
          </cell>
          <cell r="I2900" t="str">
            <v>3234</v>
          </cell>
          <cell r="L2900">
            <v>4</v>
          </cell>
          <cell r="M2900">
            <v>13.52</v>
          </cell>
        </row>
        <row r="2901">
          <cell r="C2901" t="str">
            <v>43136</v>
          </cell>
          <cell r="D2901" t="str">
            <v>MALIBU STRAWBERRY DAQUIRI</v>
          </cell>
          <cell r="E2901" t="str">
            <v>HIRAM WALKER &amp; SONS LTD</v>
          </cell>
          <cell r="F2901" t="str">
            <v>1000</v>
          </cell>
          <cell r="G2901">
            <v>12.5</v>
          </cell>
          <cell r="H2901">
            <v>12</v>
          </cell>
          <cell r="I2901" t="str">
            <v>3234</v>
          </cell>
          <cell r="L2901">
            <v>1</v>
          </cell>
          <cell r="M2901">
            <v>19.91</v>
          </cell>
        </row>
        <row r="2902">
          <cell r="C2902" t="str">
            <v>38308</v>
          </cell>
          <cell r="D2902" t="str">
            <v>MALIBU STRAWBERRY DAQUIRI</v>
          </cell>
          <cell r="E2902" t="str">
            <v>HIRAM WALKER &amp; SONS LTD</v>
          </cell>
          <cell r="F2902" t="str">
            <v>1420</v>
          </cell>
          <cell r="G2902">
            <v>7</v>
          </cell>
          <cell r="H2902">
            <v>6</v>
          </cell>
          <cell r="I2902" t="str">
            <v>3234</v>
          </cell>
          <cell r="L2902">
            <v>4</v>
          </cell>
          <cell r="M2902">
            <v>13.52</v>
          </cell>
        </row>
        <row r="2903">
          <cell r="C2903" t="str">
            <v>34958</v>
          </cell>
          <cell r="D2903" t="str">
            <v>MATT &amp; STEVE'S CAESAR HOT &amp; SPICY</v>
          </cell>
          <cell r="E2903" t="str">
            <v>MATT &amp; STEVE'S</v>
          </cell>
          <cell r="F2903" t="str">
            <v>473</v>
          </cell>
          <cell r="G2903">
            <v>5.5</v>
          </cell>
          <cell r="H2903">
            <v>24</v>
          </cell>
          <cell r="I2903" t="str">
            <v>194112</v>
          </cell>
          <cell r="L2903">
            <v>1</v>
          </cell>
          <cell r="M2903">
            <v>3.72</v>
          </cell>
        </row>
        <row r="2904">
          <cell r="C2904" t="str">
            <v>34287</v>
          </cell>
          <cell r="D2904" t="str">
            <v>MATT &amp; STEVE'S CAESAR ORIGINAL</v>
          </cell>
          <cell r="E2904" t="str">
            <v>MATT &amp; STEVE'S</v>
          </cell>
          <cell r="F2904" t="str">
            <v>473</v>
          </cell>
          <cell r="G2904">
            <v>5.5</v>
          </cell>
          <cell r="H2904">
            <v>24</v>
          </cell>
          <cell r="I2904" t="str">
            <v>194112</v>
          </cell>
          <cell r="L2904">
            <v>1</v>
          </cell>
          <cell r="M2904">
            <v>3.72</v>
          </cell>
        </row>
        <row r="2905">
          <cell r="C2905" t="str">
            <v>28171</v>
          </cell>
          <cell r="D2905" t="str">
            <v>MG SPIRIT MOJITO</v>
          </cell>
          <cell r="E2905" t="str">
            <v>DESTILERIAS MG</v>
          </cell>
          <cell r="F2905" t="str">
            <v>1100</v>
          </cell>
          <cell r="G2905">
            <v>5.5</v>
          </cell>
          <cell r="H2905">
            <v>6</v>
          </cell>
          <cell r="I2905" t="str">
            <v>74883</v>
          </cell>
          <cell r="L2905">
            <v>4</v>
          </cell>
          <cell r="M2905">
            <v>14.11</v>
          </cell>
        </row>
        <row r="2906">
          <cell r="C2906" t="str">
            <v>43405</v>
          </cell>
          <cell r="D2906" t="str">
            <v>MONSOON VODKA TROPICAL 7% MIXER</v>
          </cell>
          <cell r="E2906" t="str">
            <v>NORTHAM BREWERY (R)</v>
          </cell>
          <cell r="F2906" t="str">
            <v>4260</v>
          </cell>
          <cell r="G2906">
            <v>7</v>
          </cell>
          <cell r="H2906">
            <v>2</v>
          </cell>
          <cell r="I2906" t="str">
            <v>137744</v>
          </cell>
          <cell r="L2906">
            <v>12</v>
          </cell>
          <cell r="M2906">
            <v>24.35</v>
          </cell>
        </row>
        <row r="2907">
          <cell r="C2907" t="str">
            <v>24989</v>
          </cell>
          <cell r="D2907" t="str">
            <v>MOTT'S CLAMATO CAESAR EXTRA SPICY</v>
          </cell>
          <cell r="E2907" t="str">
            <v>Canada Dry Motts</v>
          </cell>
          <cell r="F2907" t="str">
            <v>458</v>
          </cell>
          <cell r="G2907">
            <v>5.5</v>
          </cell>
          <cell r="H2907">
            <v>24</v>
          </cell>
          <cell r="I2907" t="str">
            <v>1009</v>
          </cell>
          <cell r="L2907">
            <v>1</v>
          </cell>
          <cell r="M2907">
            <v>3.51</v>
          </cell>
        </row>
        <row r="2908">
          <cell r="C2908" t="str">
            <v>7239</v>
          </cell>
          <cell r="D2908" t="str">
            <v>MOTT'S CLAMATO CAESAR EXTRA SPICY</v>
          </cell>
          <cell r="E2908" t="str">
            <v>DNU Canada Dry Motts</v>
          </cell>
          <cell r="F2908" t="str">
            <v>2046</v>
          </cell>
          <cell r="G2908">
            <v>5.5</v>
          </cell>
          <cell r="H2908">
            <v>4</v>
          </cell>
          <cell r="I2908" t="str">
            <v>1009</v>
          </cell>
          <cell r="L2908">
            <v>6</v>
          </cell>
          <cell r="M2908">
            <v>15.56</v>
          </cell>
        </row>
        <row r="2909">
          <cell r="C2909" t="str">
            <v>24020</v>
          </cell>
          <cell r="D2909" t="str">
            <v>MOTT'S CLAMATO CAESAR LIME</v>
          </cell>
          <cell r="E2909" t="str">
            <v>Canada Dry Motts</v>
          </cell>
          <cell r="F2909" t="str">
            <v>458</v>
          </cell>
          <cell r="G2909">
            <v>5.5</v>
          </cell>
          <cell r="H2909">
            <v>24</v>
          </cell>
          <cell r="I2909" t="str">
            <v>1009</v>
          </cell>
          <cell r="L2909">
            <v>1</v>
          </cell>
          <cell r="M2909">
            <v>3.51</v>
          </cell>
        </row>
        <row r="2910">
          <cell r="C2910" t="str">
            <v>19769</v>
          </cell>
          <cell r="D2910" t="str">
            <v>MOTT'S CLAMATO CAESAR ORIGINAL</v>
          </cell>
          <cell r="E2910" t="str">
            <v>Canada Dry Motts</v>
          </cell>
          <cell r="F2910" t="str">
            <v>458</v>
          </cell>
          <cell r="G2910">
            <v>5.5</v>
          </cell>
          <cell r="H2910">
            <v>24</v>
          </cell>
          <cell r="I2910" t="str">
            <v>1009</v>
          </cell>
          <cell r="L2910">
            <v>1</v>
          </cell>
          <cell r="M2910">
            <v>3.51</v>
          </cell>
        </row>
        <row r="2911">
          <cell r="C2911" t="str">
            <v>3345</v>
          </cell>
          <cell r="D2911" t="str">
            <v>MOTT'S CLAMATO CAESAR ORIGINAL</v>
          </cell>
          <cell r="E2911" t="str">
            <v>DNU Canada Dry Motts</v>
          </cell>
          <cell r="F2911" t="str">
            <v>1420</v>
          </cell>
          <cell r="G2911">
            <v>5.5</v>
          </cell>
          <cell r="H2911">
            <v>6</v>
          </cell>
          <cell r="I2911" t="str">
            <v>1009</v>
          </cell>
          <cell r="L2911">
            <v>4</v>
          </cell>
          <cell r="M2911">
            <v>9.57</v>
          </cell>
        </row>
        <row r="2912">
          <cell r="C2912" t="str">
            <v>7238</v>
          </cell>
          <cell r="D2912" t="str">
            <v>MOTT'S CLAMATO CAESAR ORIGINAL</v>
          </cell>
          <cell r="E2912" t="str">
            <v>DNU Canada Dry Motts</v>
          </cell>
          <cell r="F2912" t="str">
            <v>2046</v>
          </cell>
          <cell r="G2912">
            <v>5.5</v>
          </cell>
          <cell r="H2912">
            <v>4</v>
          </cell>
          <cell r="I2912" t="str">
            <v>1009</v>
          </cell>
          <cell r="L2912">
            <v>6</v>
          </cell>
          <cell r="M2912">
            <v>15.56</v>
          </cell>
        </row>
        <row r="2913">
          <cell r="C2913" t="str">
            <v>30871</v>
          </cell>
          <cell r="D2913" t="str">
            <v>MOTT'S CLAMATO GIN &amp; CUCUMBER CAESAR</v>
          </cell>
          <cell r="E2913" t="str">
            <v>Canada Dry Motts</v>
          </cell>
          <cell r="F2913" t="str">
            <v>458</v>
          </cell>
          <cell r="G2913">
            <v>5.5</v>
          </cell>
          <cell r="H2913">
            <v>24</v>
          </cell>
          <cell r="I2913" t="str">
            <v>1009</v>
          </cell>
          <cell r="L2913">
            <v>1</v>
          </cell>
          <cell r="M2913">
            <v>3.51</v>
          </cell>
        </row>
        <row r="2914">
          <cell r="C2914" t="str">
            <v>40780</v>
          </cell>
          <cell r="D2914" t="str">
            <v>MOTT'S CLAMATO ORIGINAL</v>
          </cell>
          <cell r="E2914" t="str">
            <v>Canada Dry Motts</v>
          </cell>
          <cell r="F2914" t="str">
            <v>4092</v>
          </cell>
          <cell r="G2914">
            <v>5.5</v>
          </cell>
          <cell r="H2914">
            <v>2</v>
          </cell>
          <cell r="I2914" t="str">
            <v>1009</v>
          </cell>
          <cell r="L2914">
            <v>12</v>
          </cell>
          <cell r="M2914">
            <v>27.14</v>
          </cell>
        </row>
        <row r="2915">
          <cell r="C2915" t="str">
            <v>48423</v>
          </cell>
          <cell r="D2915" t="str">
            <v>MOTT'S CLAMATO ORIGINAL 7%</v>
          </cell>
          <cell r="E2915" t="str">
            <v>Canada Dry Motts</v>
          </cell>
          <cell r="F2915" t="str">
            <v>458</v>
          </cell>
          <cell r="G2915">
            <v>7</v>
          </cell>
          <cell r="H2915">
            <v>24</v>
          </cell>
          <cell r="I2915" t="str">
            <v>1009</v>
          </cell>
          <cell r="L2915">
            <v>1</v>
          </cell>
          <cell r="M2915">
            <v>3.51</v>
          </cell>
        </row>
        <row r="2916">
          <cell r="C2916" t="str">
            <v>43143</v>
          </cell>
          <cell r="D2916" t="str">
            <v>MOTT'S CLAMATO ORIGINAL LIGHT</v>
          </cell>
          <cell r="E2916" t="str">
            <v>Canada Dry Motts</v>
          </cell>
          <cell r="F2916" t="str">
            <v>458</v>
          </cell>
          <cell r="G2916">
            <v>4</v>
          </cell>
          <cell r="H2916">
            <v>24</v>
          </cell>
          <cell r="I2916" t="str">
            <v>1009</v>
          </cell>
          <cell r="L2916">
            <v>1</v>
          </cell>
          <cell r="M2916">
            <v>3.52</v>
          </cell>
        </row>
        <row r="2917">
          <cell r="C2917" t="str">
            <v>28081</v>
          </cell>
          <cell r="D2917" t="str">
            <v>MOTT'S CLAMATO THE WORKS CAESAR</v>
          </cell>
          <cell r="E2917" t="str">
            <v>Canada Dry Motts</v>
          </cell>
          <cell r="F2917" t="str">
            <v>458</v>
          </cell>
          <cell r="G2917">
            <v>5.5</v>
          </cell>
          <cell r="H2917">
            <v>24</v>
          </cell>
          <cell r="I2917" t="str">
            <v>1009</v>
          </cell>
          <cell r="L2917">
            <v>1</v>
          </cell>
          <cell r="M2917">
            <v>3.51</v>
          </cell>
        </row>
        <row r="2918">
          <cell r="C2918" t="str">
            <v>40781</v>
          </cell>
          <cell r="D2918" t="str">
            <v>MOTT'S CLAMATO VARIETY PACK</v>
          </cell>
          <cell r="E2918" t="str">
            <v>Canada Dry Motts</v>
          </cell>
          <cell r="F2918" t="str">
            <v>4092</v>
          </cell>
          <cell r="G2918">
            <v>5.5</v>
          </cell>
          <cell r="H2918">
            <v>2</v>
          </cell>
          <cell r="I2918" t="str">
            <v>1009</v>
          </cell>
          <cell r="L2918">
            <v>12</v>
          </cell>
          <cell r="M2918">
            <v>27.14</v>
          </cell>
        </row>
        <row r="2919">
          <cell r="C2919" t="str">
            <v>25956</v>
          </cell>
          <cell r="D2919" t="str">
            <v>MOTT'S PICKLED BEAN</v>
          </cell>
          <cell r="E2919" t="str">
            <v>Canada Dry Motts</v>
          </cell>
          <cell r="F2919" t="str">
            <v>458</v>
          </cell>
          <cell r="G2919">
            <v>5.5</v>
          </cell>
          <cell r="H2919">
            <v>24</v>
          </cell>
          <cell r="I2919" t="str">
            <v>1009</v>
          </cell>
          <cell r="L2919">
            <v>1</v>
          </cell>
          <cell r="M2919">
            <v>3.51</v>
          </cell>
        </row>
        <row r="2920">
          <cell r="C2920" t="str">
            <v>30823</v>
          </cell>
          <cell r="D2920" t="str">
            <v>MOTT'S PICKLED BEAN</v>
          </cell>
          <cell r="E2920" t="str">
            <v>Canada Dry Motts</v>
          </cell>
          <cell r="F2920" t="str">
            <v>2046</v>
          </cell>
          <cell r="G2920">
            <v>5.5</v>
          </cell>
          <cell r="H2920">
            <v>4</v>
          </cell>
          <cell r="I2920" t="str">
            <v>1009</v>
          </cell>
          <cell r="L2920">
            <v>6</v>
          </cell>
          <cell r="M2920">
            <v>15.56</v>
          </cell>
        </row>
        <row r="2921">
          <cell r="C2921" t="str">
            <v>48424</v>
          </cell>
          <cell r="D2921" t="str">
            <v>MOTT'S TEQUILA TROPICS</v>
          </cell>
          <cell r="E2921" t="str">
            <v>Canada Dry Motts</v>
          </cell>
          <cell r="F2921" t="str">
            <v>458</v>
          </cell>
          <cell r="G2921">
            <v>5.5</v>
          </cell>
          <cell r="H2921">
            <v>24</v>
          </cell>
          <cell r="I2921" t="str">
            <v>1009</v>
          </cell>
          <cell r="L2921">
            <v>1</v>
          </cell>
          <cell r="M2921">
            <v>3.89</v>
          </cell>
        </row>
        <row r="2922">
          <cell r="C2922" t="str">
            <v>40392</v>
          </cell>
          <cell r="D2922" t="str">
            <v>MOUNTAIN JOE HARD COFFEE</v>
          </cell>
          <cell r="E2922" t="str">
            <v>PARK DISTILLERY (m)</v>
          </cell>
          <cell r="F2922" t="str">
            <v>1000</v>
          </cell>
          <cell r="G2922">
            <v>6.8</v>
          </cell>
          <cell r="H2922">
            <v>6</v>
          </cell>
          <cell r="I2922" t="str">
            <v>206139</v>
          </cell>
          <cell r="L2922">
            <v>4</v>
          </cell>
          <cell r="M2922">
            <v>12.62</v>
          </cell>
        </row>
        <row r="2923">
          <cell r="C2923" t="str">
            <v>30322</v>
          </cell>
          <cell r="D2923" t="str">
            <v>MUDDLER'S MOSCOW MULE</v>
          </cell>
          <cell r="E2923" t="str">
            <v>PARALLEL 49 BREWING CO (m)</v>
          </cell>
          <cell r="F2923" t="str">
            <v>2130</v>
          </cell>
          <cell r="G2923">
            <v>5</v>
          </cell>
          <cell r="H2923">
            <v>4</v>
          </cell>
          <cell r="I2923" t="str">
            <v>185255</v>
          </cell>
          <cell r="L2923">
            <v>6</v>
          </cell>
          <cell r="M2923">
            <v>13.26</v>
          </cell>
        </row>
        <row r="2924">
          <cell r="C2924" t="str">
            <v>33260</v>
          </cell>
          <cell r="D2924" t="str">
            <v>MUDDLER'S VODKA PINK LEMONADE</v>
          </cell>
          <cell r="E2924" t="str">
            <v>PARALLEL 49 BREWING CO (m)</v>
          </cell>
          <cell r="F2924" t="str">
            <v>2130</v>
          </cell>
          <cell r="G2924">
            <v>5</v>
          </cell>
          <cell r="H2924">
            <v>4</v>
          </cell>
          <cell r="I2924" t="str">
            <v>185255</v>
          </cell>
          <cell r="L2924">
            <v>6</v>
          </cell>
          <cell r="M2924">
            <v>12.45</v>
          </cell>
        </row>
        <row r="2925">
          <cell r="C2925" t="str">
            <v>43397</v>
          </cell>
          <cell r="D2925" t="str">
            <v>MUDDLERS COCKTAIL SESSIONS MIXER</v>
          </cell>
          <cell r="E2925" t="str">
            <v>PARALLEL 49 BREWING CO (m)</v>
          </cell>
          <cell r="F2925" t="str">
            <v>4260</v>
          </cell>
          <cell r="G2925">
            <v>5</v>
          </cell>
          <cell r="H2925">
            <v>2</v>
          </cell>
          <cell r="I2925" t="str">
            <v>185255</v>
          </cell>
          <cell r="L2925">
            <v>12</v>
          </cell>
          <cell r="M2925">
            <v>23.81</v>
          </cell>
        </row>
        <row r="2926">
          <cell r="C2926" t="str">
            <v>35896</v>
          </cell>
          <cell r="D2926" t="str">
            <v>MUDDLERS MIXOLOGY MIXER 12PK</v>
          </cell>
          <cell r="E2926" t="str">
            <v>PARALLEL 49 BREWING CO (m)</v>
          </cell>
          <cell r="F2926" t="str">
            <v>4260</v>
          </cell>
          <cell r="G2926">
            <v>5</v>
          </cell>
          <cell r="H2926">
            <v>2</v>
          </cell>
          <cell r="I2926" t="str">
            <v>185255</v>
          </cell>
          <cell r="L2926">
            <v>12</v>
          </cell>
          <cell r="M2926">
            <v>23.81</v>
          </cell>
        </row>
        <row r="2927">
          <cell r="C2927" t="str">
            <v>43146</v>
          </cell>
          <cell r="D2927" t="str">
            <v>NUDE ARTIC BERRY</v>
          </cell>
          <cell r="E2927" t="str">
            <v>NUDE VODKA BEVERAGES</v>
          </cell>
          <cell r="F2927" t="str">
            <v>2130</v>
          </cell>
          <cell r="G2927">
            <v>5</v>
          </cell>
          <cell r="H2927">
            <v>4</v>
          </cell>
          <cell r="I2927" t="str">
            <v>3237</v>
          </cell>
          <cell r="L2927">
            <v>6</v>
          </cell>
          <cell r="M2927">
            <v>13.79</v>
          </cell>
        </row>
        <row r="2928">
          <cell r="C2928" t="str">
            <v>33176</v>
          </cell>
          <cell r="D2928" t="str">
            <v>NUDE GIN SODA MIXER PACK</v>
          </cell>
          <cell r="E2928" t="str">
            <v>NUDE VODKA BEVERAGES</v>
          </cell>
          <cell r="F2928" t="str">
            <v>4260</v>
          </cell>
          <cell r="G2928">
            <v>5</v>
          </cell>
          <cell r="H2928">
            <v>2</v>
          </cell>
          <cell r="I2928" t="str">
            <v>3237</v>
          </cell>
          <cell r="L2928">
            <v>12</v>
          </cell>
          <cell r="M2928">
            <v>26.32</v>
          </cell>
        </row>
        <row r="2929">
          <cell r="C2929" t="str">
            <v>43147</v>
          </cell>
          <cell r="D2929" t="str">
            <v>NUDE GRAPE</v>
          </cell>
          <cell r="E2929" t="str">
            <v>NUDE VODKA BEVERAGES</v>
          </cell>
          <cell r="F2929" t="str">
            <v>2130</v>
          </cell>
          <cell r="G2929">
            <v>5</v>
          </cell>
          <cell r="H2929">
            <v>4</v>
          </cell>
          <cell r="I2929" t="str">
            <v>3237</v>
          </cell>
          <cell r="L2929">
            <v>6</v>
          </cell>
          <cell r="M2929">
            <v>13.79</v>
          </cell>
        </row>
        <row r="2930">
          <cell r="C2930" t="str">
            <v>45497</v>
          </cell>
          <cell r="D2930" t="str">
            <v>NUDE ICED TEA LEMONADE</v>
          </cell>
          <cell r="E2930" t="str">
            <v>NUDE VODKA BEVERAGES</v>
          </cell>
          <cell r="F2930" t="str">
            <v>2130</v>
          </cell>
          <cell r="G2930">
            <v>5</v>
          </cell>
          <cell r="H2930">
            <v>4</v>
          </cell>
          <cell r="I2930" t="str">
            <v>3237</v>
          </cell>
          <cell r="L2930">
            <v>6</v>
          </cell>
          <cell r="M2930">
            <v>13.79</v>
          </cell>
        </row>
        <row r="2931">
          <cell r="C2931" t="str">
            <v>40792</v>
          </cell>
          <cell r="D2931" t="str">
            <v>NUDE LEMONADE MIXER</v>
          </cell>
          <cell r="E2931" t="str">
            <v>NUDE VODKA BEVERAGES</v>
          </cell>
          <cell r="F2931" t="str">
            <v>4260</v>
          </cell>
          <cell r="G2931">
            <v>5</v>
          </cell>
          <cell r="H2931">
            <v>2</v>
          </cell>
          <cell r="I2931" t="str">
            <v>3237</v>
          </cell>
          <cell r="L2931">
            <v>12</v>
          </cell>
          <cell r="M2931">
            <v>26.32</v>
          </cell>
        </row>
        <row r="2932">
          <cell r="C2932" t="str">
            <v>38432</v>
          </cell>
          <cell r="D2932" t="str">
            <v>NUDE PINK LEMONADE</v>
          </cell>
          <cell r="E2932" t="str">
            <v>NUDE VODKA BEVERAGES</v>
          </cell>
          <cell r="F2932" t="str">
            <v>2130</v>
          </cell>
          <cell r="G2932">
            <v>5</v>
          </cell>
          <cell r="H2932">
            <v>4</v>
          </cell>
          <cell r="I2932" t="str">
            <v>3237</v>
          </cell>
          <cell r="L2932">
            <v>6</v>
          </cell>
          <cell r="M2932">
            <v>13.79</v>
          </cell>
        </row>
        <row r="2933">
          <cell r="C2933" t="str">
            <v>31034</v>
          </cell>
          <cell r="D2933" t="str">
            <v>NUDE VODKA SODA 12-PACK MIXER</v>
          </cell>
          <cell r="E2933" t="str">
            <v>NUDE VODKA BEVERAGES</v>
          </cell>
          <cell r="F2933" t="str">
            <v>4260</v>
          </cell>
          <cell r="G2933">
            <v>5</v>
          </cell>
          <cell r="H2933">
            <v>2</v>
          </cell>
          <cell r="I2933" t="str">
            <v>3237</v>
          </cell>
          <cell r="L2933">
            <v>12</v>
          </cell>
          <cell r="M2933">
            <v>26.32</v>
          </cell>
        </row>
        <row r="2934">
          <cell r="C2934" t="str">
            <v>31023</v>
          </cell>
          <cell r="D2934" t="str">
            <v>NUDE VODKA SODA 24 PACK MIXER</v>
          </cell>
          <cell r="E2934" t="str">
            <v>NUDE VODKA BEVERAGES</v>
          </cell>
          <cell r="F2934" t="str">
            <v>8520</v>
          </cell>
          <cell r="G2934">
            <v>5</v>
          </cell>
          <cell r="H2934">
            <v>1</v>
          </cell>
          <cell r="I2934" t="str">
            <v>3237</v>
          </cell>
          <cell r="L2934">
            <v>24</v>
          </cell>
          <cell r="M2934">
            <v>46.52</v>
          </cell>
        </row>
        <row r="2935">
          <cell r="C2935" t="str">
            <v>35701</v>
          </cell>
          <cell r="D2935" t="str">
            <v>NUDE VODKA SODA BLACK CHERRY</v>
          </cell>
          <cell r="E2935" t="str">
            <v>NUDE VODKA BEVERAGES</v>
          </cell>
          <cell r="F2935" t="str">
            <v>2130</v>
          </cell>
          <cell r="G2935">
            <v>5</v>
          </cell>
          <cell r="H2935">
            <v>4</v>
          </cell>
          <cell r="I2935" t="str">
            <v>3237</v>
          </cell>
          <cell r="L2935">
            <v>6</v>
          </cell>
          <cell r="M2935">
            <v>13.79</v>
          </cell>
        </row>
        <row r="2936">
          <cell r="C2936" t="str">
            <v>48448</v>
          </cell>
          <cell r="D2936" t="str">
            <v>NUDE VODKA SODA MIXER NO. 2</v>
          </cell>
          <cell r="E2936" t="str">
            <v>ACE BEVERAGE GROUP</v>
          </cell>
          <cell r="F2936" t="str">
            <v>2840</v>
          </cell>
          <cell r="G2936">
            <v>5</v>
          </cell>
          <cell r="H2936">
            <v>3</v>
          </cell>
          <cell r="I2936" t="str">
            <v>3237</v>
          </cell>
          <cell r="L2936">
            <v>8</v>
          </cell>
          <cell r="M2936">
            <v>18</v>
          </cell>
        </row>
        <row r="2937">
          <cell r="C2937" t="str">
            <v>30982</v>
          </cell>
          <cell r="D2937" t="str">
            <v>NUDE VODKA SODA RASPBERRY LEMON</v>
          </cell>
          <cell r="E2937" t="str">
            <v>NUDE VODKA BEVERAGES</v>
          </cell>
          <cell r="F2937" t="str">
            <v>2130</v>
          </cell>
          <cell r="G2937">
            <v>5</v>
          </cell>
          <cell r="H2937">
            <v>4</v>
          </cell>
          <cell r="I2937" t="str">
            <v>3237</v>
          </cell>
          <cell r="L2937">
            <v>6</v>
          </cell>
          <cell r="M2937">
            <v>13.79</v>
          </cell>
        </row>
        <row r="2938">
          <cell r="C2938" t="str">
            <v>45387</v>
          </cell>
          <cell r="D2938" t="str">
            <v>NUDE VODKA SODA STIFF MIXER</v>
          </cell>
          <cell r="E2938" t="str">
            <v>NUDE VODKA BEVERAGES</v>
          </cell>
          <cell r="F2938" t="str">
            <v>4260</v>
          </cell>
          <cell r="G2938">
            <v>7</v>
          </cell>
          <cell r="H2938">
            <v>2</v>
          </cell>
          <cell r="I2938" t="str">
            <v>3237</v>
          </cell>
          <cell r="L2938">
            <v>12</v>
          </cell>
          <cell r="M2938">
            <v>27.32</v>
          </cell>
        </row>
        <row r="2939">
          <cell r="C2939" t="str">
            <v>28626</v>
          </cell>
          <cell r="D2939" t="str">
            <v>NUDE VODKA SODA STRAWBERRY KIWI</v>
          </cell>
          <cell r="E2939" t="str">
            <v>NUDE VODKA BEVERAGES</v>
          </cell>
          <cell r="F2939" t="str">
            <v>2130</v>
          </cell>
          <cell r="G2939">
            <v>5</v>
          </cell>
          <cell r="H2939">
            <v>4</v>
          </cell>
          <cell r="I2939" t="str">
            <v>3237</v>
          </cell>
          <cell r="L2939">
            <v>6</v>
          </cell>
          <cell r="M2939">
            <v>13.79</v>
          </cell>
        </row>
        <row r="2940">
          <cell r="C2940" t="str">
            <v>35823</v>
          </cell>
          <cell r="D2940" t="str">
            <v>NUDE VODKA SODA V2 MIXER</v>
          </cell>
          <cell r="E2940" t="str">
            <v>NUDE VODKA BEVERAGES</v>
          </cell>
          <cell r="F2940" t="str">
            <v>4260</v>
          </cell>
          <cell r="G2940">
            <v>5</v>
          </cell>
          <cell r="H2940">
            <v>2</v>
          </cell>
          <cell r="I2940" t="str">
            <v>3237</v>
          </cell>
          <cell r="L2940">
            <v>12</v>
          </cell>
          <cell r="M2940">
            <v>26.32</v>
          </cell>
        </row>
        <row r="2941">
          <cell r="C2941" t="str">
            <v>48449</v>
          </cell>
          <cell r="D2941" t="str">
            <v>NUDE VODKA WATER MIXED</v>
          </cell>
          <cell r="E2941" t="str">
            <v>ACE BEVERAGE GROUP</v>
          </cell>
          <cell r="F2941" t="str">
            <v>4260</v>
          </cell>
          <cell r="G2941">
            <v>5</v>
          </cell>
          <cell r="H2941">
            <v>2</v>
          </cell>
          <cell r="I2941" t="str">
            <v>3237</v>
          </cell>
          <cell r="L2941">
            <v>12</v>
          </cell>
          <cell r="M2941">
            <v>26.32</v>
          </cell>
        </row>
        <row r="2942">
          <cell r="C2942" t="str">
            <v>39765</v>
          </cell>
          <cell r="D2942" t="str">
            <v>OLE COCKTAIL - OLE MARGARITA</v>
          </cell>
          <cell r="E2942" t="str">
            <v>OLE COCKTAILS CO</v>
          </cell>
          <cell r="F2942" t="str">
            <v>1420</v>
          </cell>
          <cell r="G2942">
            <v>5.2</v>
          </cell>
          <cell r="H2942">
            <v>6</v>
          </cell>
          <cell r="I2942" t="str">
            <v>1009</v>
          </cell>
          <cell r="L2942">
            <v>4</v>
          </cell>
          <cell r="M2942">
            <v>11.99</v>
          </cell>
        </row>
        <row r="2943">
          <cell r="C2943" t="str">
            <v>39766</v>
          </cell>
          <cell r="D2943" t="str">
            <v>OLE COCKTAIL - OLE PALOMA</v>
          </cell>
          <cell r="E2943" t="str">
            <v>OLE COCKTAILS CO</v>
          </cell>
          <cell r="F2943" t="str">
            <v>1420</v>
          </cell>
          <cell r="G2943">
            <v>5.2</v>
          </cell>
          <cell r="H2943">
            <v>6</v>
          </cell>
          <cell r="I2943" t="str">
            <v>1009</v>
          </cell>
          <cell r="L2943">
            <v>4</v>
          </cell>
          <cell r="M2943">
            <v>11.99</v>
          </cell>
        </row>
        <row r="2944">
          <cell r="C2944" t="str">
            <v>39767</v>
          </cell>
          <cell r="D2944" t="str">
            <v>OLE COCKTAIL - OLE TEQUILA VARIETY</v>
          </cell>
          <cell r="E2944" t="str">
            <v>OLE COCKTAILS CO</v>
          </cell>
          <cell r="F2944" t="str">
            <v>2840</v>
          </cell>
          <cell r="G2944">
            <v>5.2</v>
          </cell>
          <cell r="H2944">
            <v>3</v>
          </cell>
          <cell r="I2944" t="str">
            <v>1009</v>
          </cell>
          <cell r="L2944">
            <v>8</v>
          </cell>
          <cell r="M2944">
            <v>24.39</v>
          </cell>
        </row>
        <row r="2945">
          <cell r="C2945" t="str">
            <v>39764</v>
          </cell>
          <cell r="D2945" t="str">
            <v>OLE COCKTAIL CHILI MANGO</v>
          </cell>
          <cell r="E2945" t="str">
            <v>OLE COCKTAILS CO</v>
          </cell>
          <cell r="F2945" t="str">
            <v>1420</v>
          </cell>
          <cell r="G2945">
            <v>5.2</v>
          </cell>
          <cell r="H2945">
            <v>6</v>
          </cell>
          <cell r="I2945" t="str">
            <v>1009</v>
          </cell>
          <cell r="L2945">
            <v>4</v>
          </cell>
          <cell r="M2945">
            <v>11.99</v>
          </cell>
        </row>
        <row r="2946">
          <cell r="C2946" t="str">
            <v>43871</v>
          </cell>
          <cell r="D2946" t="str">
            <v>OLE COCKTAIL SPICY MARGARITA</v>
          </cell>
          <cell r="E2946" t="str">
            <v>OLE COCKTAILS CO</v>
          </cell>
          <cell r="F2946" t="str">
            <v>1420</v>
          </cell>
          <cell r="G2946">
            <v>5.2</v>
          </cell>
          <cell r="H2946">
            <v>6</v>
          </cell>
          <cell r="I2946" t="str">
            <v>1009</v>
          </cell>
          <cell r="L2946">
            <v>4</v>
          </cell>
          <cell r="M2946">
            <v>11.99</v>
          </cell>
        </row>
        <row r="2947">
          <cell r="C2947" t="str">
            <v>43152</v>
          </cell>
          <cell r="D2947" t="str">
            <v>OLE COCKTAIL TEQUILA MULE</v>
          </cell>
          <cell r="E2947" t="str">
            <v>OLE COCKTAILS CO</v>
          </cell>
          <cell r="F2947" t="str">
            <v>1420</v>
          </cell>
          <cell r="G2947">
            <v>5.2</v>
          </cell>
          <cell r="H2947">
            <v>6</v>
          </cell>
          <cell r="I2947" t="str">
            <v>1009</v>
          </cell>
          <cell r="L2947">
            <v>4</v>
          </cell>
          <cell r="M2947">
            <v>11.99</v>
          </cell>
        </row>
        <row r="2948">
          <cell r="C2948" t="str">
            <v>43872</v>
          </cell>
          <cell r="D2948" t="str">
            <v>OLE COCKTAIL TEQUILA SUNRISE</v>
          </cell>
          <cell r="E2948" t="str">
            <v>OLE COCKTAILS CO</v>
          </cell>
          <cell r="F2948" t="str">
            <v>1420</v>
          </cell>
          <cell r="G2948">
            <v>5.2</v>
          </cell>
          <cell r="H2948">
            <v>6</v>
          </cell>
          <cell r="I2948" t="str">
            <v>1009</v>
          </cell>
          <cell r="L2948">
            <v>4</v>
          </cell>
          <cell r="M2948">
            <v>11.99</v>
          </cell>
        </row>
        <row r="2949">
          <cell r="C2949" t="str">
            <v>40743</v>
          </cell>
          <cell r="D2949" t="str">
            <v>PINEAPPLE MANDARIN TROPICAL VODKA SMASH</v>
          </cell>
          <cell r="E2949" t="str">
            <v>GEORGIAN BAY SPIRIT CO</v>
          </cell>
          <cell r="F2949" t="str">
            <v>2130</v>
          </cell>
          <cell r="G2949">
            <v>7</v>
          </cell>
          <cell r="H2949">
            <v>4</v>
          </cell>
          <cell r="I2949" t="str">
            <v>1537</v>
          </cell>
          <cell r="L2949">
            <v>6</v>
          </cell>
          <cell r="M2949">
            <v>12.92</v>
          </cell>
        </row>
        <row r="2950">
          <cell r="C2950" t="str">
            <v>48425</v>
          </cell>
          <cell r="D2950" t="str">
            <v>PINK GIN FIZZ</v>
          </cell>
          <cell r="E2950" t="str">
            <v>CRAFT360</v>
          </cell>
          <cell r="F2950" t="str">
            <v>1420</v>
          </cell>
          <cell r="G2950">
            <v>5</v>
          </cell>
          <cell r="H2950">
            <v>6</v>
          </cell>
          <cell r="I2950" t="str">
            <v>3246</v>
          </cell>
          <cell r="L2950">
            <v>4</v>
          </cell>
          <cell r="M2950">
            <v>12.53</v>
          </cell>
        </row>
        <row r="2951">
          <cell r="C2951" t="str">
            <v>43155</v>
          </cell>
          <cell r="D2951" t="str">
            <v>POLAR ICE BERRY BLIZZARD</v>
          </cell>
          <cell r="E2951" t="str">
            <v>HIRAM WALKER &amp; SONS LTD</v>
          </cell>
          <cell r="F2951" t="str">
            <v>473</v>
          </cell>
          <cell r="G2951">
            <v>5</v>
          </cell>
          <cell r="H2951">
            <v>24</v>
          </cell>
          <cell r="I2951" t="str">
            <v>3237</v>
          </cell>
          <cell r="L2951">
            <v>1</v>
          </cell>
          <cell r="M2951">
            <v>3.8</v>
          </cell>
        </row>
        <row r="2952">
          <cell r="C2952" t="str">
            <v>45337</v>
          </cell>
          <cell r="D2952" t="str">
            <v>POLAR ICE BLUE HAWAIIAN</v>
          </cell>
          <cell r="E2952" t="str">
            <v>HIRAM WALKER &amp; SONS LTD</v>
          </cell>
          <cell r="F2952" t="str">
            <v>1000</v>
          </cell>
          <cell r="G2952">
            <v>12.5</v>
          </cell>
          <cell r="H2952">
            <v>12</v>
          </cell>
          <cell r="I2952" t="str">
            <v>3237</v>
          </cell>
          <cell r="L2952">
            <v>1</v>
          </cell>
          <cell r="M2952">
            <v>19.91</v>
          </cell>
        </row>
        <row r="2953">
          <cell r="C2953" t="str">
            <v>45338</v>
          </cell>
          <cell r="D2953" t="str">
            <v>POLAR ICE CHERRY BLIZZARD</v>
          </cell>
          <cell r="E2953" t="str">
            <v>HIRAM WALKER &amp; SONS LTD</v>
          </cell>
          <cell r="F2953" t="str">
            <v>473</v>
          </cell>
          <cell r="G2953">
            <v>5</v>
          </cell>
          <cell r="H2953">
            <v>24</v>
          </cell>
          <cell r="I2953" t="str">
            <v>3237</v>
          </cell>
          <cell r="L2953">
            <v>1</v>
          </cell>
          <cell r="M2953">
            <v>3.8</v>
          </cell>
        </row>
        <row r="2954">
          <cell r="C2954" t="str">
            <v>43190</v>
          </cell>
          <cell r="D2954" t="str">
            <v>POLAR ICE ORANGE BLIZZARD</v>
          </cell>
          <cell r="E2954" t="str">
            <v>HIRAM WALKER &amp; SONS LTD</v>
          </cell>
          <cell r="F2954" t="str">
            <v>473</v>
          </cell>
          <cell r="G2954">
            <v>5</v>
          </cell>
          <cell r="H2954">
            <v>24</v>
          </cell>
          <cell r="I2954" t="str">
            <v>3237</v>
          </cell>
          <cell r="L2954">
            <v>1</v>
          </cell>
          <cell r="M2954">
            <v>3.8</v>
          </cell>
        </row>
        <row r="2955">
          <cell r="C2955" t="str">
            <v>25916</v>
          </cell>
          <cell r="D2955" t="str">
            <v>POP SHOPPE HARD SODA CREAM SODA</v>
          </cell>
          <cell r="E2955" t="str">
            <v>BLUE SPIKE BEVERAGES INC</v>
          </cell>
          <cell r="F2955" t="str">
            <v>473</v>
          </cell>
          <cell r="G2955">
            <v>7</v>
          </cell>
          <cell r="H2955">
            <v>24</v>
          </cell>
          <cell r="I2955" t="str">
            <v>147521</v>
          </cell>
          <cell r="L2955">
            <v>1</v>
          </cell>
          <cell r="M2955">
            <v>2.97</v>
          </cell>
        </row>
        <row r="2956">
          <cell r="C2956" t="str">
            <v>31586</v>
          </cell>
          <cell r="D2956" t="str">
            <v>PYUR VODKA SODA COCONUT</v>
          </cell>
          <cell r="E2956" t="str">
            <v>NORTHAM BREWERY (R)</v>
          </cell>
          <cell r="F2956" t="str">
            <v>2130</v>
          </cell>
          <cell r="G2956">
            <v>4.5</v>
          </cell>
          <cell r="H2956">
            <v>4</v>
          </cell>
          <cell r="I2956" t="str">
            <v>137744</v>
          </cell>
          <cell r="L2956">
            <v>6</v>
          </cell>
          <cell r="M2956">
            <v>12.36</v>
          </cell>
        </row>
        <row r="2957">
          <cell r="C2957" t="str">
            <v>35160</v>
          </cell>
          <cell r="D2957" t="str">
            <v>REMIX VODKA SODA MIXER</v>
          </cell>
          <cell r="E2957" t="str">
            <v>RED TRUCK BEER COMPANY LTD (m)</v>
          </cell>
          <cell r="F2957" t="str">
            <v>4260</v>
          </cell>
          <cell r="G2957">
            <v>5</v>
          </cell>
          <cell r="H2957">
            <v>2</v>
          </cell>
          <cell r="I2957" t="str">
            <v>205997</v>
          </cell>
          <cell r="L2957">
            <v>12</v>
          </cell>
          <cell r="M2957">
            <v>25.93</v>
          </cell>
        </row>
        <row r="2958">
          <cell r="C2958" t="str">
            <v>16518</v>
          </cell>
          <cell r="D2958" t="str">
            <v>REV</v>
          </cell>
          <cell r="E2958" t="str">
            <v>BACARDI CANADA  INC</v>
          </cell>
          <cell r="F2958" t="str">
            <v>473</v>
          </cell>
          <cell r="G2958">
            <v>7</v>
          </cell>
          <cell r="H2958">
            <v>24</v>
          </cell>
          <cell r="I2958" t="str">
            <v>3233</v>
          </cell>
          <cell r="K2958" t="str">
            <v xml:space="preserve"> </v>
          </cell>
          <cell r="L2958">
            <v>1</v>
          </cell>
          <cell r="M2958">
            <v>3.5</v>
          </cell>
        </row>
        <row r="2959">
          <cell r="C2959" t="str">
            <v>3813</v>
          </cell>
          <cell r="D2959" t="str">
            <v>REV</v>
          </cell>
          <cell r="E2959" t="str">
            <v>BACARDI CANADA  INC</v>
          </cell>
          <cell r="F2959" t="str">
            <v>1320</v>
          </cell>
          <cell r="G2959">
            <v>7</v>
          </cell>
          <cell r="H2959">
            <v>6</v>
          </cell>
          <cell r="I2959" t="str">
            <v>3233</v>
          </cell>
          <cell r="K2959" t="str">
            <v xml:space="preserve"> </v>
          </cell>
          <cell r="L2959">
            <v>4</v>
          </cell>
          <cell r="M2959">
            <v>14.35</v>
          </cell>
        </row>
        <row r="2960">
          <cell r="C2960" t="str">
            <v>45393</v>
          </cell>
          <cell r="D2960" t="str">
            <v>SANDBAGGER 8 PACK VODKA MIXER</v>
          </cell>
          <cell r="E2960" t="str">
            <v>SANDBAGGER HOLDINGS</v>
          </cell>
          <cell r="F2960" t="str">
            <v>2840</v>
          </cell>
          <cell r="G2960">
            <v>5</v>
          </cell>
          <cell r="H2960">
            <v>3</v>
          </cell>
          <cell r="I2960" t="str">
            <v>206233</v>
          </cell>
          <cell r="L2960">
            <v>8</v>
          </cell>
          <cell r="M2960">
            <v>21.32</v>
          </cell>
        </row>
        <row r="2961">
          <cell r="C2961" t="str">
            <v>48426</v>
          </cell>
          <cell r="D2961" t="str">
            <v>SANDBAGGER CRANSFUSION</v>
          </cell>
          <cell r="E2961" t="str">
            <v>SANDBAGGER HOLDINGS</v>
          </cell>
          <cell r="F2961" t="str">
            <v>2130</v>
          </cell>
          <cell r="G2961">
            <v>5</v>
          </cell>
          <cell r="H2961">
            <v>4</v>
          </cell>
          <cell r="I2961" t="str">
            <v>206233</v>
          </cell>
          <cell r="L2961">
            <v>6</v>
          </cell>
          <cell r="M2961">
            <v>15.06</v>
          </cell>
        </row>
        <row r="2962">
          <cell r="C2962" t="str">
            <v>43167</v>
          </cell>
          <cell r="D2962" t="str">
            <v>SANDBAGGER HARD SELTZER LEMON LIME</v>
          </cell>
          <cell r="E2962" t="str">
            <v>SANDBAGGER HOLDINGS</v>
          </cell>
          <cell r="F2962" t="str">
            <v>2130</v>
          </cell>
          <cell r="G2962">
            <v>5</v>
          </cell>
          <cell r="H2962">
            <v>4</v>
          </cell>
          <cell r="I2962" t="str">
            <v>206233</v>
          </cell>
          <cell r="L2962">
            <v>6</v>
          </cell>
          <cell r="M2962">
            <v>15.06</v>
          </cell>
        </row>
        <row r="2963">
          <cell r="C2963" t="str">
            <v>43168</v>
          </cell>
          <cell r="D2963" t="str">
            <v>SANDBAGGER HARD SELTZER MIXER PACK</v>
          </cell>
          <cell r="E2963" t="str">
            <v>SANDBAGGER HOLDINGS</v>
          </cell>
          <cell r="F2963" t="str">
            <v>4260</v>
          </cell>
          <cell r="G2963">
            <v>5</v>
          </cell>
          <cell r="H2963">
            <v>2</v>
          </cell>
          <cell r="I2963" t="str">
            <v>206233</v>
          </cell>
          <cell r="L2963">
            <v>12</v>
          </cell>
          <cell r="M2963">
            <v>27.75</v>
          </cell>
        </row>
        <row r="2964">
          <cell r="C2964" t="str">
            <v>48427</v>
          </cell>
          <cell r="D2964" t="str">
            <v>SANDBAGGER SANDBOX MIXER</v>
          </cell>
          <cell r="E2964" t="str">
            <v>SANDBAGGER HOLDINGS</v>
          </cell>
          <cell r="F2964" t="str">
            <v>4260</v>
          </cell>
          <cell r="G2964">
            <v>5</v>
          </cell>
          <cell r="H2964">
            <v>2</v>
          </cell>
          <cell r="I2964" t="str">
            <v>206233</v>
          </cell>
          <cell r="L2964">
            <v>12</v>
          </cell>
          <cell r="M2964">
            <v>27.75</v>
          </cell>
        </row>
        <row r="2965">
          <cell r="C2965" t="str">
            <v>45394</v>
          </cell>
          <cell r="D2965" t="str">
            <v>SANDBAGGER TRANSFUSION</v>
          </cell>
          <cell r="E2965" t="str">
            <v>SANDBAGGER HOLDINGS</v>
          </cell>
          <cell r="F2965" t="str">
            <v>2130</v>
          </cell>
          <cell r="G2965">
            <v>5</v>
          </cell>
          <cell r="H2965">
            <v>4</v>
          </cell>
          <cell r="I2965" t="str">
            <v>206233</v>
          </cell>
          <cell r="L2965">
            <v>6</v>
          </cell>
          <cell r="M2965">
            <v>15.06</v>
          </cell>
        </row>
        <row r="2966">
          <cell r="C2966" t="str">
            <v>45395</v>
          </cell>
          <cell r="D2966" t="str">
            <v>SCENIC ROUTE PINEAPPLE GINGER AND HONEY</v>
          </cell>
          <cell r="E2966" t="str">
            <v>THE STRAIT AND NARROW PACIFIC COCKTAILS</v>
          </cell>
          <cell r="F2966" t="str">
            <v>1420</v>
          </cell>
          <cell r="G2966">
            <v>5</v>
          </cell>
          <cell r="H2966">
            <v>6</v>
          </cell>
          <cell r="I2966" t="str">
            <v>206034</v>
          </cell>
          <cell r="L2966">
            <v>4</v>
          </cell>
          <cell r="M2966">
            <v>11.04</v>
          </cell>
        </row>
        <row r="2967">
          <cell r="C2967" t="str">
            <v>7586</v>
          </cell>
          <cell r="D2967" t="str">
            <v>SMIRNOFF ICE</v>
          </cell>
          <cell r="E2967" t="str">
            <v>UDV CANADA</v>
          </cell>
          <cell r="F2967" t="str">
            <v>1000</v>
          </cell>
          <cell r="G2967">
            <v>5</v>
          </cell>
          <cell r="H2967">
            <v>12</v>
          </cell>
          <cell r="I2967" t="str">
            <v>3224</v>
          </cell>
          <cell r="K2967" t="str">
            <v xml:space="preserve"> </v>
          </cell>
          <cell r="L2967">
            <v>1</v>
          </cell>
          <cell r="M2967">
            <v>9.81</v>
          </cell>
        </row>
        <row r="2968">
          <cell r="C2968" t="str">
            <v>6735</v>
          </cell>
          <cell r="D2968" t="str">
            <v>SMIRNOFF ICE</v>
          </cell>
          <cell r="E2968" t="str">
            <v>UDV CANADA</v>
          </cell>
          <cell r="F2968" t="str">
            <v>1320</v>
          </cell>
          <cell r="G2968">
            <v>5</v>
          </cell>
          <cell r="H2968">
            <v>6</v>
          </cell>
          <cell r="I2968" t="str">
            <v>3224</v>
          </cell>
          <cell r="K2968" t="str">
            <v xml:space="preserve"> </v>
          </cell>
          <cell r="L2968">
            <v>4</v>
          </cell>
          <cell r="M2968">
            <v>10.52</v>
          </cell>
        </row>
        <row r="2969">
          <cell r="C2969" t="str">
            <v>23791</v>
          </cell>
          <cell r="D2969" t="str">
            <v>SMIRNOFF ICE</v>
          </cell>
          <cell r="E2969" t="str">
            <v>DIAGEO CANADA INC.</v>
          </cell>
          <cell r="F2969" t="str">
            <v>2130</v>
          </cell>
          <cell r="G2969">
            <v>5</v>
          </cell>
          <cell r="H2969">
            <v>4</v>
          </cell>
          <cell r="I2969" t="str">
            <v>3224</v>
          </cell>
          <cell r="L2969">
            <v>6</v>
          </cell>
          <cell r="M2969">
            <v>14.49</v>
          </cell>
        </row>
        <row r="2970">
          <cell r="C2970" t="str">
            <v>38517</v>
          </cell>
          <cell r="D2970" t="str">
            <v>SMIRNOFF ICE 12 PACK</v>
          </cell>
          <cell r="E2970" t="str">
            <v>DIAGEO CANADA INC.</v>
          </cell>
          <cell r="F2970" t="str">
            <v>4260</v>
          </cell>
          <cell r="G2970">
            <v>5</v>
          </cell>
          <cell r="H2970">
            <v>2</v>
          </cell>
          <cell r="I2970" t="str">
            <v>3224</v>
          </cell>
          <cell r="L2970">
            <v>12</v>
          </cell>
          <cell r="M2970">
            <v>26.08</v>
          </cell>
        </row>
        <row r="2971">
          <cell r="C2971" t="str">
            <v>28143</v>
          </cell>
          <cell r="D2971" t="str">
            <v>SMIRNOFF ICE BERRY BLAST</v>
          </cell>
          <cell r="E2971" t="str">
            <v>DIAGEO CANADA INC.</v>
          </cell>
          <cell r="F2971" t="str">
            <v>473</v>
          </cell>
          <cell r="G2971">
            <v>5</v>
          </cell>
          <cell r="H2971">
            <v>24</v>
          </cell>
          <cell r="I2971" t="str">
            <v>3224</v>
          </cell>
          <cell r="L2971">
            <v>1</v>
          </cell>
          <cell r="M2971">
            <v>3.79</v>
          </cell>
        </row>
        <row r="2972">
          <cell r="C2972" t="str">
            <v>30865</v>
          </cell>
          <cell r="D2972" t="str">
            <v>SMIRNOFF ICE BERRY BLAST</v>
          </cell>
          <cell r="E2972" t="str">
            <v>DIAGEO CANADA INC.</v>
          </cell>
          <cell r="F2972" t="str">
            <v>2130</v>
          </cell>
          <cell r="G2972">
            <v>5</v>
          </cell>
          <cell r="H2972">
            <v>4</v>
          </cell>
          <cell r="I2972" t="str">
            <v>3224</v>
          </cell>
          <cell r="L2972">
            <v>6</v>
          </cell>
          <cell r="M2972">
            <v>14.5</v>
          </cell>
        </row>
        <row r="2973">
          <cell r="C2973" t="str">
            <v>35712</v>
          </cell>
          <cell r="D2973" t="str">
            <v>SMIRNOFF ICE BLUE RASPBERRY &amp; BLACKBERRY</v>
          </cell>
          <cell r="E2973" t="str">
            <v>DIAGEO CANADA INC</v>
          </cell>
          <cell r="F2973" t="str">
            <v>2130</v>
          </cell>
          <cell r="G2973">
            <v>5</v>
          </cell>
          <cell r="H2973">
            <v>4</v>
          </cell>
          <cell r="I2973" t="str">
            <v>3224</v>
          </cell>
          <cell r="L2973">
            <v>6</v>
          </cell>
          <cell r="M2973">
            <v>14.49</v>
          </cell>
        </row>
        <row r="2974">
          <cell r="C2974" t="str">
            <v>26447</v>
          </cell>
          <cell r="D2974" t="str">
            <v>SMIRNOFF ICE FLAVOURS PARTY PACK</v>
          </cell>
          <cell r="E2974" t="str">
            <v>DIAGEO CANADA INC.</v>
          </cell>
          <cell r="F2974" t="str">
            <v>4260</v>
          </cell>
          <cell r="G2974">
            <v>5</v>
          </cell>
          <cell r="H2974">
            <v>2</v>
          </cell>
          <cell r="I2974" t="str">
            <v>3224</v>
          </cell>
          <cell r="L2974">
            <v>12</v>
          </cell>
          <cell r="M2974">
            <v>25.99</v>
          </cell>
        </row>
        <row r="2975">
          <cell r="C2975" t="str">
            <v>43157</v>
          </cell>
          <cell r="D2975" t="str">
            <v>SMIRNOFF ICE LEMON TEA</v>
          </cell>
          <cell r="E2975" t="str">
            <v>DIAGEO CANADA INC.</v>
          </cell>
          <cell r="F2975" t="str">
            <v>2130</v>
          </cell>
          <cell r="G2975">
            <v>5</v>
          </cell>
          <cell r="H2975">
            <v>4</v>
          </cell>
          <cell r="I2975" t="str">
            <v>3224</v>
          </cell>
          <cell r="L2975">
            <v>6</v>
          </cell>
          <cell r="M2975">
            <v>14.22</v>
          </cell>
        </row>
        <row r="2976">
          <cell r="C2976" t="str">
            <v>23787</v>
          </cell>
          <cell r="D2976" t="str">
            <v>SMIRNOFF ICE LIGHT BLACK CHERRY &amp; SODA</v>
          </cell>
          <cell r="E2976" t="str">
            <v>DIAGEO CANADA INC.</v>
          </cell>
          <cell r="F2976" t="str">
            <v>1420</v>
          </cell>
          <cell r="G2976">
            <v>4</v>
          </cell>
          <cell r="H2976">
            <v>6</v>
          </cell>
          <cell r="I2976" t="str">
            <v>3224</v>
          </cell>
          <cell r="L2976">
            <v>4</v>
          </cell>
          <cell r="M2976">
            <v>11.2</v>
          </cell>
        </row>
        <row r="2977">
          <cell r="C2977" t="str">
            <v>23788</v>
          </cell>
          <cell r="D2977" t="str">
            <v>SMIRNOFF ICE LIGHT RASPBERRY &amp; SODA</v>
          </cell>
          <cell r="E2977" t="str">
            <v>DIAGEO CANADA INC.</v>
          </cell>
          <cell r="F2977" t="str">
            <v>1420</v>
          </cell>
          <cell r="G2977">
            <v>4</v>
          </cell>
          <cell r="H2977">
            <v>6</v>
          </cell>
          <cell r="I2977" t="str">
            <v>3224</v>
          </cell>
          <cell r="L2977">
            <v>4</v>
          </cell>
          <cell r="M2977">
            <v>11.2</v>
          </cell>
        </row>
        <row r="2978">
          <cell r="C2978" t="str">
            <v>45391</v>
          </cell>
          <cell r="D2978" t="str">
            <v>SMIRNOFF ICE LIGHT VARIETY PACK</v>
          </cell>
          <cell r="E2978" t="str">
            <v>DIAGEO CANADA INC.</v>
          </cell>
          <cell r="F2978" t="str">
            <v>4260</v>
          </cell>
          <cell r="G2978">
            <v>4</v>
          </cell>
          <cell r="H2978">
            <v>2</v>
          </cell>
          <cell r="I2978" t="str">
            <v>3224</v>
          </cell>
          <cell r="L2978">
            <v>12</v>
          </cell>
          <cell r="M2978">
            <v>24.21</v>
          </cell>
        </row>
        <row r="2979">
          <cell r="C2979" t="str">
            <v>23789</v>
          </cell>
          <cell r="D2979" t="str">
            <v>SMIRNOFF ICE LIGHT WHITE PEACH &amp; SODA</v>
          </cell>
          <cell r="E2979" t="str">
            <v>DIAGEO CANADA INC.</v>
          </cell>
          <cell r="F2979" t="str">
            <v>1420</v>
          </cell>
          <cell r="G2979">
            <v>4</v>
          </cell>
          <cell r="H2979">
            <v>6</v>
          </cell>
          <cell r="I2979" t="str">
            <v>3224</v>
          </cell>
          <cell r="L2979">
            <v>4</v>
          </cell>
          <cell r="M2979">
            <v>11.19</v>
          </cell>
        </row>
        <row r="2980">
          <cell r="C2980" t="str">
            <v>40793</v>
          </cell>
          <cell r="D2980" t="str">
            <v>SMIRNOFF ICE ORANGE CREAMSICLE BLAST</v>
          </cell>
          <cell r="E2980" t="str">
            <v>DIAGEO CANADA INC.</v>
          </cell>
          <cell r="F2980" t="str">
            <v>473</v>
          </cell>
          <cell r="G2980">
            <v>5</v>
          </cell>
          <cell r="H2980">
            <v>24</v>
          </cell>
          <cell r="I2980" t="str">
            <v>3224</v>
          </cell>
          <cell r="L2980">
            <v>1</v>
          </cell>
          <cell r="M2980">
            <v>3.79</v>
          </cell>
        </row>
        <row r="2981">
          <cell r="C2981" t="str">
            <v>40794</v>
          </cell>
          <cell r="D2981" t="str">
            <v>SMIRNOFF ICE ORANGE CREAMSICLE BLAST</v>
          </cell>
          <cell r="E2981" t="str">
            <v>DIAGEO CANADA INC.</v>
          </cell>
          <cell r="F2981" t="str">
            <v>2130</v>
          </cell>
          <cell r="G2981">
            <v>5</v>
          </cell>
          <cell r="H2981">
            <v>4</v>
          </cell>
          <cell r="I2981" t="str">
            <v>3224</v>
          </cell>
          <cell r="L2981">
            <v>6</v>
          </cell>
          <cell r="M2981">
            <v>14.49</v>
          </cell>
        </row>
        <row r="2982">
          <cell r="C2982" t="str">
            <v>38513</v>
          </cell>
          <cell r="D2982" t="str">
            <v>SMIRNOFF ICE PEACH LEMONADE</v>
          </cell>
          <cell r="E2982" t="str">
            <v>DIAGEO CANADA INC.</v>
          </cell>
          <cell r="F2982" t="str">
            <v>2130</v>
          </cell>
          <cell r="G2982">
            <v>5</v>
          </cell>
          <cell r="H2982">
            <v>4</v>
          </cell>
          <cell r="I2982" t="str">
            <v>3224</v>
          </cell>
          <cell r="L2982">
            <v>6</v>
          </cell>
          <cell r="M2982">
            <v>14.49</v>
          </cell>
        </row>
        <row r="2983">
          <cell r="C2983" t="str">
            <v>43158</v>
          </cell>
          <cell r="D2983" t="str">
            <v>SMIRNOFF ICE PEACH TEA</v>
          </cell>
          <cell r="E2983" t="str">
            <v>DIAGEO CANADA INC.</v>
          </cell>
          <cell r="F2983" t="str">
            <v>2130</v>
          </cell>
          <cell r="G2983">
            <v>5</v>
          </cell>
          <cell r="H2983">
            <v>4</v>
          </cell>
          <cell r="I2983" t="str">
            <v>3224</v>
          </cell>
          <cell r="L2983">
            <v>6</v>
          </cell>
          <cell r="M2983">
            <v>14.22</v>
          </cell>
        </row>
        <row r="2984">
          <cell r="C2984" t="str">
            <v>36542</v>
          </cell>
          <cell r="D2984" t="str">
            <v>SMIRNOFF ICE PINK LEMONADE</v>
          </cell>
          <cell r="E2984" t="str">
            <v>DIAGEO CANADA INC.</v>
          </cell>
          <cell r="F2984" t="str">
            <v>473</v>
          </cell>
          <cell r="G2984">
            <v>5</v>
          </cell>
          <cell r="H2984">
            <v>24</v>
          </cell>
          <cell r="I2984" t="str">
            <v>3224</v>
          </cell>
          <cell r="L2984">
            <v>1</v>
          </cell>
          <cell r="M2984">
            <v>3.8</v>
          </cell>
        </row>
        <row r="2985">
          <cell r="C2985" t="str">
            <v>36543</v>
          </cell>
          <cell r="D2985" t="str">
            <v>SMIRNOFF ICE PINK LEMONADE</v>
          </cell>
          <cell r="E2985" t="str">
            <v>DIAGEO CANADA INC.</v>
          </cell>
          <cell r="F2985" t="str">
            <v>2130</v>
          </cell>
          <cell r="G2985">
            <v>5</v>
          </cell>
          <cell r="H2985">
            <v>4</v>
          </cell>
          <cell r="I2985" t="str">
            <v>3224</v>
          </cell>
          <cell r="L2985">
            <v>6</v>
          </cell>
          <cell r="M2985">
            <v>14.49</v>
          </cell>
        </row>
        <row r="2986">
          <cell r="C2986" t="str">
            <v>26054</v>
          </cell>
          <cell r="D2986" t="str">
            <v>SMIRNOFF ICE RASPBERRY</v>
          </cell>
          <cell r="E2986" t="str">
            <v>DIAGEO CANADA INC.</v>
          </cell>
          <cell r="F2986" t="str">
            <v>2130</v>
          </cell>
          <cell r="G2986">
            <v>5</v>
          </cell>
          <cell r="H2986">
            <v>4</v>
          </cell>
          <cell r="I2986" t="str">
            <v>3224</v>
          </cell>
          <cell r="L2986">
            <v>6</v>
          </cell>
          <cell r="M2986">
            <v>14.49</v>
          </cell>
        </row>
        <row r="2987">
          <cell r="C2987" t="str">
            <v>23792</v>
          </cell>
          <cell r="D2987" t="str">
            <v>SMIRNOFF ICE VII ORIGINAL</v>
          </cell>
          <cell r="E2987" t="str">
            <v>DIAGEO CANADA INC.</v>
          </cell>
          <cell r="F2987" t="str">
            <v>473</v>
          </cell>
          <cell r="G2987">
            <v>7</v>
          </cell>
          <cell r="H2987">
            <v>24</v>
          </cell>
          <cell r="I2987" t="str">
            <v>3224</v>
          </cell>
          <cell r="L2987">
            <v>1</v>
          </cell>
          <cell r="M2987">
            <v>3.79</v>
          </cell>
        </row>
        <row r="2988">
          <cell r="C2988" t="str">
            <v>23790</v>
          </cell>
          <cell r="D2988" t="str">
            <v>SMIRNOFF ICE VII WATERMELON</v>
          </cell>
          <cell r="E2988" t="str">
            <v>DIAGEO CANADA INC.</v>
          </cell>
          <cell r="F2988" t="str">
            <v>473</v>
          </cell>
          <cell r="G2988">
            <v>7</v>
          </cell>
          <cell r="H2988">
            <v>24</v>
          </cell>
          <cell r="I2988" t="str">
            <v>3224</v>
          </cell>
          <cell r="L2988">
            <v>1</v>
          </cell>
          <cell r="M2988">
            <v>3.79</v>
          </cell>
        </row>
        <row r="2989">
          <cell r="C2989" t="str">
            <v>45392</v>
          </cell>
          <cell r="D2989" t="str">
            <v>SMIRNOFF READY TO DRINK COCKTAILS</v>
          </cell>
          <cell r="E2989" t="str">
            <v>DIAGEO CANADA INC.</v>
          </cell>
          <cell r="F2989" t="str">
            <v>4260</v>
          </cell>
          <cell r="G2989">
            <v>7</v>
          </cell>
          <cell r="H2989">
            <v>2</v>
          </cell>
          <cell r="I2989" t="str">
            <v>3224</v>
          </cell>
          <cell r="L2989">
            <v>12</v>
          </cell>
          <cell r="M2989">
            <v>25.99</v>
          </cell>
        </row>
        <row r="2990">
          <cell r="C2990" t="str">
            <v>38514</v>
          </cell>
          <cell r="D2990" t="str">
            <v>SMIRNOFF SELTZER LEMONADE VARIETY PACK</v>
          </cell>
          <cell r="E2990" t="str">
            <v>DIAGEO CANADA INC.</v>
          </cell>
          <cell r="F2990" t="str">
            <v>4260</v>
          </cell>
          <cell r="G2990">
            <v>4.5</v>
          </cell>
          <cell r="H2990">
            <v>2</v>
          </cell>
          <cell r="I2990" t="str">
            <v>3224</v>
          </cell>
          <cell r="L2990">
            <v>12</v>
          </cell>
          <cell r="M2990">
            <v>25.99</v>
          </cell>
        </row>
        <row r="2991">
          <cell r="C2991" t="str">
            <v>38515</v>
          </cell>
          <cell r="D2991" t="str">
            <v>SMIRNOFF VODKA &amp; SODA BERRY BLAST</v>
          </cell>
          <cell r="E2991" t="str">
            <v>DIAGEO CANADA INC.</v>
          </cell>
          <cell r="F2991" t="str">
            <v>2130</v>
          </cell>
          <cell r="G2991">
            <v>4.5</v>
          </cell>
          <cell r="H2991">
            <v>4</v>
          </cell>
          <cell r="I2991" t="str">
            <v>3224</v>
          </cell>
          <cell r="L2991">
            <v>6</v>
          </cell>
          <cell r="M2991">
            <v>14.49</v>
          </cell>
        </row>
        <row r="2992">
          <cell r="C2992" t="str">
            <v>33476</v>
          </cell>
          <cell r="D2992" t="str">
            <v>SMIRNOFF VODKA &amp; SODA RASPBERRY ROSE</v>
          </cell>
          <cell r="E2992" t="str">
            <v>DIAGEO CANADA INC.</v>
          </cell>
          <cell r="F2992" t="str">
            <v>1420</v>
          </cell>
          <cell r="G2992">
            <v>4.5</v>
          </cell>
          <cell r="H2992">
            <v>6</v>
          </cell>
          <cell r="I2992" t="str">
            <v>3224</v>
          </cell>
          <cell r="L2992">
            <v>4</v>
          </cell>
          <cell r="M2992">
            <v>11.2</v>
          </cell>
        </row>
        <row r="2993">
          <cell r="C2993" t="str">
            <v>33477</v>
          </cell>
          <cell r="D2993" t="str">
            <v>SMIRNOFF VODKA &amp; SODA WHITE PEACH ROSE</v>
          </cell>
          <cell r="E2993" t="str">
            <v>DIAGEO CANADA INC.</v>
          </cell>
          <cell r="F2993" t="str">
            <v>1420</v>
          </cell>
          <cell r="G2993">
            <v>4.5</v>
          </cell>
          <cell r="H2993">
            <v>6</v>
          </cell>
          <cell r="I2993" t="str">
            <v>3224</v>
          </cell>
          <cell r="L2993">
            <v>4</v>
          </cell>
          <cell r="M2993">
            <v>11.2</v>
          </cell>
        </row>
        <row r="2994">
          <cell r="C2994" t="str">
            <v>35714</v>
          </cell>
          <cell r="D2994" t="str">
            <v>SMIRNOFF VODKA &amp;SODA ROSE VARIETY PACK</v>
          </cell>
          <cell r="E2994" t="str">
            <v>DIAGEO CANADA INC</v>
          </cell>
          <cell r="F2994" t="str">
            <v>4260</v>
          </cell>
          <cell r="G2994">
            <v>4.5</v>
          </cell>
          <cell r="H2994">
            <v>2</v>
          </cell>
          <cell r="I2994" t="str">
            <v>3224</v>
          </cell>
          <cell r="L2994">
            <v>12</v>
          </cell>
          <cell r="M2994">
            <v>25.99</v>
          </cell>
        </row>
        <row r="2995">
          <cell r="C2995" t="str">
            <v>43058</v>
          </cell>
          <cell r="D2995" t="str">
            <v>SMIRNOFF VODKA SODA VARIETY PACK</v>
          </cell>
          <cell r="E2995" t="str">
            <v>DIAGEO CANADA INC.</v>
          </cell>
          <cell r="F2995" t="str">
            <v>4260</v>
          </cell>
          <cell r="G2995">
            <v>4.5</v>
          </cell>
          <cell r="H2995">
            <v>2</v>
          </cell>
          <cell r="I2995" t="str">
            <v>3224</v>
          </cell>
          <cell r="L2995">
            <v>12</v>
          </cell>
          <cell r="M2995">
            <v>25.99</v>
          </cell>
        </row>
        <row r="2996">
          <cell r="C2996" t="str">
            <v>45430</v>
          </cell>
          <cell r="D2996" t="str">
            <v>SNAPPLE SPIKE 7% VARIETY PACK</v>
          </cell>
          <cell r="E2996" t="str">
            <v>Canada Dry Motts</v>
          </cell>
          <cell r="F2996" t="str">
            <v>4092</v>
          </cell>
          <cell r="G2996">
            <v>7</v>
          </cell>
          <cell r="H2996">
            <v>2</v>
          </cell>
          <cell r="I2996" t="str">
            <v>1009</v>
          </cell>
          <cell r="L2996">
            <v>12</v>
          </cell>
          <cell r="M2996">
            <v>28.34</v>
          </cell>
        </row>
        <row r="2997">
          <cell r="C2997" t="str">
            <v>33231</v>
          </cell>
          <cell r="D2997" t="str">
            <v>SNAPPLE SPIKED LONG ISLAND ICED TEA</v>
          </cell>
          <cell r="E2997" t="str">
            <v>Canada Dry Motts</v>
          </cell>
          <cell r="F2997" t="str">
            <v>458</v>
          </cell>
          <cell r="G2997">
            <v>5.5</v>
          </cell>
          <cell r="H2997">
            <v>24</v>
          </cell>
          <cell r="I2997" t="str">
            <v>1009</v>
          </cell>
          <cell r="L2997">
            <v>1</v>
          </cell>
          <cell r="M2997">
            <v>3</v>
          </cell>
        </row>
        <row r="2998">
          <cell r="C2998" t="str">
            <v>35715</v>
          </cell>
          <cell r="D2998" t="str">
            <v>SNAPPLE SPIKED MANGO RASPBERRY TEA</v>
          </cell>
          <cell r="E2998" t="str">
            <v>Canada Dry Motts</v>
          </cell>
          <cell r="F2998" t="str">
            <v>458</v>
          </cell>
          <cell r="G2998">
            <v>5.5</v>
          </cell>
          <cell r="H2998">
            <v>24</v>
          </cell>
          <cell r="I2998" t="str">
            <v>1009</v>
          </cell>
          <cell r="L2998">
            <v>1</v>
          </cell>
          <cell r="M2998">
            <v>3</v>
          </cell>
        </row>
        <row r="2999">
          <cell r="C2999" t="str">
            <v>26021</v>
          </cell>
          <cell r="D2999" t="str">
            <v>SNAPPLE SPIKED PEACH TEA VODKA</v>
          </cell>
          <cell r="E2999" t="str">
            <v>Canada Dry Motts</v>
          </cell>
          <cell r="F2999" t="str">
            <v>2046</v>
          </cell>
          <cell r="G2999">
            <v>5.5</v>
          </cell>
          <cell r="H2999">
            <v>4</v>
          </cell>
          <cell r="I2999" t="str">
            <v>1009</v>
          </cell>
          <cell r="L2999">
            <v>6</v>
          </cell>
          <cell r="M2999">
            <v>14.66</v>
          </cell>
        </row>
        <row r="3000">
          <cell r="C3000" t="str">
            <v>24067</v>
          </cell>
          <cell r="D3000" t="str">
            <v>SNAPPLE SPIKED RASPCHERRY TEA VODKA</v>
          </cell>
          <cell r="E3000" t="str">
            <v>Canada Dry Motts</v>
          </cell>
          <cell r="F3000" t="str">
            <v>458</v>
          </cell>
          <cell r="G3000">
            <v>5.5</v>
          </cell>
          <cell r="H3000">
            <v>24</v>
          </cell>
          <cell r="I3000" t="str">
            <v>1009</v>
          </cell>
          <cell r="L3000">
            <v>1</v>
          </cell>
          <cell r="M3000">
            <v>3</v>
          </cell>
        </row>
        <row r="3001">
          <cell r="C3001" t="str">
            <v>26000</v>
          </cell>
          <cell r="D3001" t="str">
            <v>SNAPPLE SPIKED STRAWBERRY KIWI VODKA</v>
          </cell>
          <cell r="E3001" t="str">
            <v>Canada Dry Motts</v>
          </cell>
          <cell r="F3001" t="str">
            <v>458</v>
          </cell>
          <cell r="G3001">
            <v>5.5</v>
          </cell>
          <cell r="H3001">
            <v>24</v>
          </cell>
          <cell r="I3001" t="str">
            <v>1009</v>
          </cell>
          <cell r="L3001">
            <v>1</v>
          </cell>
          <cell r="M3001">
            <v>3</v>
          </cell>
        </row>
        <row r="3002">
          <cell r="C3002" t="str">
            <v>43160</v>
          </cell>
          <cell r="D3002" t="str">
            <v>SNAPPLE SPIKED VARIETY PACK</v>
          </cell>
          <cell r="E3002" t="str">
            <v>Canada Dry Motts</v>
          </cell>
          <cell r="F3002" t="str">
            <v>4092</v>
          </cell>
          <cell r="G3002">
            <v>5.5</v>
          </cell>
          <cell r="H3002">
            <v>2</v>
          </cell>
          <cell r="I3002" t="str">
            <v>1009</v>
          </cell>
          <cell r="L3002">
            <v>12</v>
          </cell>
          <cell r="M3002">
            <v>27.29</v>
          </cell>
        </row>
        <row r="3003">
          <cell r="C3003" t="str">
            <v>43479</v>
          </cell>
          <cell r="D3003" t="str">
            <v>SOJU SPRITZ VARIETY PACK</v>
          </cell>
          <cell r="E3003" t="str">
            <v>COBEES ENTERPRISE LTD</v>
          </cell>
          <cell r="F3003" t="str">
            <v>1420</v>
          </cell>
          <cell r="G3003">
            <v>5</v>
          </cell>
          <cell r="H3003">
            <v>6</v>
          </cell>
          <cell r="I3003" t="str">
            <v>3308</v>
          </cell>
          <cell r="L3003">
            <v>4</v>
          </cell>
          <cell r="M3003">
            <v>12.22</v>
          </cell>
        </row>
        <row r="3004">
          <cell r="C3004" t="str">
            <v>48432</v>
          </cell>
          <cell r="D3004" t="str">
            <v>SOUTHERN COMFORT LEMONADE</v>
          </cell>
          <cell r="E3004" t="str">
            <v>SAZERAC OF CANADA INC.</v>
          </cell>
          <cell r="F3004" t="str">
            <v>473</v>
          </cell>
          <cell r="G3004">
            <v>5</v>
          </cell>
          <cell r="H3004">
            <v>24</v>
          </cell>
          <cell r="I3004" t="str">
            <v>1537</v>
          </cell>
          <cell r="L3004">
            <v>1</v>
          </cell>
          <cell r="M3004">
            <v>3.5</v>
          </cell>
        </row>
        <row r="3005">
          <cell r="C3005" t="str">
            <v>46310</v>
          </cell>
          <cell r="D3005" t="str">
            <v>SUN CRUISER CLASSIC ICED TEA</v>
          </cell>
          <cell r="E3005" t="str">
            <v>MOOSEHEAD BREWERIES LIMITED</v>
          </cell>
          <cell r="F3005" t="str">
            <v>2130</v>
          </cell>
          <cell r="G3005">
            <v>4.5</v>
          </cell>
          <cell r="H3005">
            <v>4</v>
          </cell>
          <cell r="I3005" t="str">
            <v>3278</v>
          </cell>
          <cell r="L3005">
            <v>6</v>
          </cell>
          <cell r="M3005">
            <v>14.46</v>
          </cell>
        </row>
        <row r="3006">
          <cell r="C3006" t="str">
            <v>46309</v>
          </cell>
          <cell r="D3006" t="str">
            <v>SUN CRUISER LEMONADE ICED TEA</v>
          </cell>
          <cell r="E3006" t="str">
            <v>MOOSEHEAD BREWERIES LIMITED</v>
          </cell>
          <cell r="F3006" t="str">
            <v>2130</v>
          </cell>
          <cell r="G3006">
            <v>4.5</v>
          </cell>
          <cell r="H3006">
            <v>4</v>
          </cell>
          <cell r="I3006" t="str">
            <v>3278</v>
          </cell>
          <cell r="L3006">
            <v>6</v>
          </cell>
          <cell r="M3006">
            <v>14.46</v>
          </cell>
        </row>
        <row r="3007">
          <cell r="C3007" t="str">
            <v>41289</v>
          </cell>
          <cell r="D3007" t="str">
            <v>SUNDAY SESSION GRAPE TRANSFUSION</v>
          </cell>
          <cell r="E3007" t="str">
            <v>GRADIENT BEVERAGES CORP (m)</v>
          </cell>
          <cell r="F3007" t="str">
            <v>1420</v>
          </cell>
          <cell r="G3007">
            <v>5</v>
          </cell>
          <cell r="H3007">
            <v>6</v>
          </cell>
          <cell r="I3007" t="str">
            <v>206139</v>
          </cell>
          <cell r="L3007">
            <v>4</v>
          </cell>
          <cell r="M3007">
            <v>12.12</v>
          </cell>
        </row>
        <row r="3008">
          <cell r="C3008" t="str">
            <v>38937</v>
          </cell>
          <cell r="D3008" t="str">
            <v>TAHITI TREAT AND VODKA</v>
          </cell>
          <cell r="E3008" t="str">
            <v>Canada Dry Motts</v>
          </cell>
          <cell r="F3008" t="str">
            <v>473</v>
          </cell>
          <cell r="G3008">
            <v>5</v>
          </cell>
          <cell r="H3008">
            <v>24</v>
          </cell>
          <cell r="I3008" t="str">
            <v>1009</v>
          </cell>
          <cell r="L3008">
            <v>1</v>
          </cell>
          <cell r="M3008">
            <v>3</v>
          </cell>
        </row>
        <row r="3009">
          <cell r="C3009" t="str">
            <v>45402</v>
          </cell>
          <cell r="D3009" t="str">
            <v>TAHITI TREAT PARADISE PACK</v>
          </cell>
          <cell r="E3009" t="str">
            <v>Canada Dry Motts</v>
          </cell>
          <cell r="F3009" t="str">
            <v>2840</v>
          </cell>
          <cell r="G3009">
            <v>5</v>
          </cell>
          <cell r="H3009">
            <v>3</v>
          </cell>
          <cell r="I3009" t="str">
            <v>1009</v>
          </cell>
          <cell r="L3009">
            <v>8</v>
          </cell>
          <cell r="M3009">
            <v>19.059999999999999</v>
          </cell>
        </row>
        <row r="3010">
          <cell r="C3010" t="str">
            <v>36881</v>
          </cell>
          <cell r="D3010" t="str">
            <v>THE STRAIT &amp; NARROW ADVENTURE PACK</v>
          </cell>
          <cell r="E3010" t="str">
            <v>THE STRAIT AND NARROW PACIFIC COCKTAILS</v>
          </cell>
          <cell r="F3010" t="str">
            <v>4260</v>
          </cell>
          <cell r="G3010">
            <v>5</v>
          </cell>
          <cell r="H3010">
            <v>2</v>
          </cell>
          <cell r="I3010" t="str">
            <v>206034</v>
          </cell>
          <cell r="L3010">
            <v>12</v>
          </cell>
          <cell r="M3010">
            <v>28.12</v>
          </cell>
        </row>
        <row r="3011">
          <cell r="C3011" t="str">
            <v>45398</v>
          </cell>
          <cell r="D3011" t="str">
            <v>THE STRAIT &amp; NARROW PEAR AND RHUBARB</v>
          </cell>
          <cell r="E3011" t="str">
            <v>THE STRAIT AND NARROW PACIFIC COCKTAILS</v>
          </cell>
          <cell r="F3011" t="str">
            <v>1420</v>
          </cell>
          <cell r="G3011">
            <v>5</v>
          </cell>
          <cell r="H3011">
            <v>6</v>
          </cell>
          <cell r="I3011" t="str">
            <v>206034</v>
          </cell>
          <cell r="L3011">
            <v>4</v>
          </cell>
          <cell r="M3011">
            <v>11.04</v>
          </cell>
        </row>
        <row r="3012">
          <cell r="C3012" t="str">
            <v>46558</v>
          </cell>
          <cell r="D3012" t="str">
            <v>TIDE COCKTAILS VODKA COCKTAIL VARIETY</v>
          </cell>
          <cell r="E3012" t="str">
            <v>TIDE COCKTAILS CO</v>
          </cell>
          <cell r="F3012" t="str">
            <v>4260</v>
          </cell>
          <cell r="G3012">
            <v>5</v>
          </cell>
          <cell r="H3012">
            <v>2</v>
          </cell>
          <cell r="I3012" t="str">
            <v>206139</v>
          </cell>
          <cell r="L3012">
            <v>12</v>
          </cell>
          <cell r="M3012">
            <v>36.08</v>
          </cell>
        </row>
        <row r="3013">
          <cell r="C3013" t="str">
            <v>48433</v>
          </cell>
          <cell r="D3013" t="str">
            <v>TQLA VIDA VIDA PACK</v>
          </cell>
          <cell r="E3013" t="str">
            <v>TQLA VIDA (m)</v>
          </cell>
          <cell r="F3013" t="str">
            <v>2130</v>
          </cell>
          <cell r="G3013">
            <v>5</v>
          </cell>
          <cell r="H3013">
            <v>4</v>
          </cell>
          <cell r="I3013" t="str">
            <v>206273</v>
          </cell>
          <cell r="L3013">
            <v>6</v>
          </cell>
          <cell r="M3013">
            <v>17.93</v>
          </cell>
        </row>
        <row r="3014">
          <cell r="C3014" t="str">
            <v>43163</v>
          </cell>
          <cell r="D3014" t="str">
            <v>TRADER VIC'S MAI TAI</v>
          </cell>
          <cell r="E3014" t="str">
            <v>PHILLIPS DISTILLING COMPANY</v>
          </cell>
          <cell r="F3014" t="str">
            <v>1750</v>
          </cell>
          <cell r="G3014">
            <v>9.9499999999999993</v>
          </cell>
          <cell r="H3014">
            <v>6</v>
          </cell>
          <cell r="I3014" t="str">
            <v>194112</v>
          </cell>
          <cell r="L3014">
            <v>1</v>
          </cell>
          <cell r="M3014">
            <v>23.33</v>
          </cell>
        </row>
        <row r="3015">
          <cell r="C3015" t="str">
            <v>34717</v>
          </cell>
          <cell r="D3015" t="str">
            <v>TRULY HARD LEMONADE MIX PACK</v>
          </cell>
          <cell r="E3015" t="str">
            <v>THE BOSTON BEER COMPANY</v>
          </cell>
          <cell r="F3015" t="str">
            <v>4260</v>
          </cell>
          <cell r="G3015">
            <v>5</v>
          </cell>
          <cell r="H3015">
            <v>2</v>
          </cell>
          <cell r="I3015" t="str">
            <v>3278</v>
          </cell>
          <cell r="L3015">
            <v>12</v>
          </cell>
          <cell r="M3015">
            <v>27.25</v>
          </cell>
        </row>
        <row r="3016">
          <cell r="C3016" t="str">
            <v>34718</v>
          </cell>
          <cell r="D3016" t="str">
            <v>TRULY HARD SELTZER BERRY MIX PACK</v>
          </cell>
          <cell r="E3016" t="str">
            <v>THE BOSTON BEER COMPANY</v>
          </cell>
          <cell r="F3016" t="str">
            <v>4260</v>
          </cell>
          <cell r="G3016">
            <v>5</v>
          </cell>
          <cell r="H3016">
            <v>2</v>
          </cell>
          <cell r="I3016" t="str">
            <v>3278</v>
          </cell>
          <cell r="L3016">
            <v>12</v>
          </cell>
          <cell r="M3016">
            <v>27.25</v>
          </cell>
        </row>
        <row r="3017">
          <cell r="C3017" t="str">
            <v>32810</v>
          </cell>
          <cell r="D3017" t="str">
            <v>TRULY HARD SELTZER TROPICAL MIX PACK</v>
          </cell>
          <cell r="E3017" t="str">
            <v>THE BOSTON BEER COMPANY</v>
          </cell>
          <cell r="F3017" t="str">
            <v>4260</v>
          </cell>
          <cell r="G3017">
            <v>5</v>
          </cell>
          <cell r="H3017">
            <v>2</v>
          </cell>
          <cell r="I3017" t="str">
            <v>3278</v>
          </cell>
          <cell r="L3017">
            <v>12</v>
          </cell>
          <cell r="M3017">
            <v>27.25</v>
          </cell>
        </row>
        <row r="3018">
          <cell r="C3018" t="str">
            <v>38583</v>
          </cell>
          <cell r="D3018" t="str">
            <v>TRULY PUNCH MIX PACK</v>
          </cell>
          <cell r="E3018" t="str">
            <v>THE BOSTON BEER COMPANY</v>
          </cell>
          <cell r="F3018" t="str">
            <v>4260</v>
          </cell>
          <cell r="G3018">
            <v>5</v>
          </cell>
          <cell r="H3018">
            <v>2</v>
          </cell>
          <cell r="I3018" t="str">
            <v>3278</v>
          </cell>
          <cell r="L3018">
            <v>12</v>
          </cell>
          <cell r="M3018">
            <v>27.25</v>
          </cell>
        </row>
        <row r="3019">
          <cell r="C3019" t="str">
            <v>43166</v>
          </cell>
          <cell r="D3019" t="str">
            <v>TRULY TEQUILA SODA MIX PACK</v>
          </cell>
          <cell r="E3019" t="str">
            <v>THE BOSTON BEER COMPANY</v>
          </cell>
          <cell r="F3019" t="str">
            <v>2840</v>
          </cell>
          <cell r="G3019">
            <v>5</v>
          </cell>
          <cell r="H3019">
            <v>3</v>
          </cell>
          <cell r="I3019" t="str">
            <v>3278</v>
          </cell>
          <cell r="L3019">
            <v>8</v>
          </cell>
          <cell r="M3019">
            <v>19.100000000000001</v>
          </cell>
        </row>
        <row r="3020">
          <cell r="C3020" t="str">
            <v>45333</v>
          </cell>
          <cell r="D3020" t="str">
            <v>TWISTED TEA EXTREME BLUE RAZZ</v>
          </cell>
          <cell r="E3020" t="str">
            <v>THE BOSTON BEER COMPANY</v>
          </cell>
          <cell r="F3020" t="str">
            <v>473</v>
          </cell>
          <cell r="G3020">
            <v>7</v>
          </cell>
          <cell r="H3020">
            <v>24</v>
          </cell>
          <cell r="I3020" t="str">
            <v>3278</v>
          </cell>
          <cell r="L3020">
            <v>1</v>
          </cell>
          <cell r="M3020">
            <v>3.09</v>
          </cell>
        </row>
        <row r="3021">
          <cell r="C3021" t="str">
            <v>31108</v>
          </cell>
          <cell r="D3021" t="str">
            <v>TWISTED TEA HALF &amp; HALF</v>
          </cell>
          <cell r="E3021" t="str">
            <v>THE BOSTON BEER COMPANY</v>
          </cell>
          <cell r="F3021" t="str">
            <v>473</v>
          </cell>
          <cell r="G3021">
            <v>5</v>
          </cell>
          <cell r="H3021">
            <v>24</v>
          </cell>
          <cell r="I3021" t="str">
            <v>3278</v>
          </cell>
          <cell r="L3021">
            <v>1</v>
          </cell>
          <cell r="M3021">
            <v>3.1</v>
          </cell>
        </row>
        <row r="3022">
          <cell r="C3022" t="str">
            <v>28942</v>
          </cell>
          <cell r="D3022" t="str">
            <v>TWISTED TEA HALF &amp; HALF</v>
          </cell>
          <cell r="E3022" t="str">
            <v>THE BOSTON BEER COMPANY</v>
          </cell>
          <cell r="F3022" t="str">
            <v>2130</v>
          </cell>
          <cell r="G3022">
            <v>5</v>
          </cell>
          <cell r="H3022">
            <v>4</v>
          </cell>
          <cell r="I3022" t="str">
            <v>3278</v>
          </cell>
          <cell r="L3022">
            <v>6</v>
          </cell>
          <cell r="M3022">
            <v>13.96</v>
          </cell>
        </row>
        <row r="3023">
          <cell r="C3023" t="str">
            <v>28763</v>
          </cell>
          <cell r="D3023" t="str">
            <v>TWISTED TEA HALF &amp; HALF</v>
          </cell>
          <cell r="E3023" t="str">
            <v>THE BOSTON BEER COMPANY</v>
          </cell>
          <cell r="F3023" t="str">
            <v>4260</v>
          </cell>
          <cell r="G3023">
            <v>5</v>
          </cell>
          <cell r="H3023">
            <v>2</v>
          </cell>
          <cell r="I3023" t="str">
            <v>3278</v>
          </cell>
          <cell r="L3023">
            <v>12</v>
          </cell>
          <cell r="M3023">
            <v>27.43</v>
          </cell>
        </row>
        <row r="3024">
          <cell r="C3024" t="str">
            <v>40808</v>
          </cell>
          <cell r="D3024" t="str">
            <v>TWISTED TEA MANGO</v>
          </cell>
          <cell r="E3024" t="str">
            <v>THE BOSTON BEER COMPANY</v>
          </cell>
          <cell r="F3024" t="str">
            <v>473</v>
          </cell>
          <cell r="G3024">
            <v>5</v>
          </cell>
          <cell r="H3024">
            <v>24</v>
          </cell>
          <cell r="I3024" t="str">
            <v>3278</v>
          </cell>
          <cell r="L3024">
            <v>1</v>
          </cell>
          <cell r="M3024">
            <v>3.1</v>
          </cell>
        </row>
        <row r="3025">
          <cell r="C3025" t="str">
            <v>28712</v>
          </cell>
          <cell r="D3025" t="str">
            <v>TWISTED TEA ORIGINAL</v>
          </cell>
          <cell r="E3025" t="str">
            <v>THE BOSTON BEER COMPANY</v>
          </cell>
          <cell r="F3025" t="str">
            <v>473</v>
          </cell>
          <cell r="G3025">
            <v>5</v>
          </cell>
          <cell r="H3025">
            <v>24</v>
          </cell>
          <cell r="I3025" t="str">
            <v>3278</v>
          </cell>
          <cell r="L3025">
            <v>1</v>
          </cell>
          <cell r="M3025">
            <v>3.1</v>
          </cell>
        </row>
        <row r="3026">
          <cell r="C3026" t="str">
            <v>28764</v>
          </cell>
          <cell r="D3026" t="str">
            <v>TWISTED TEA ORIGINAL</v>
          </cell>
          <cell r="E3026" t="str">
            <v>THE BOSTON BEER COMPANY</v>
          </cell>
          <cell r="F3026" t="str">
            <v>2130</v>
          </cell>
          <cell r="G3026">
            <v>5</v>
          </cell>
          <cell r="H3026">
            <v>4</v>
          </cell>
          <cell r="I3026" t="str">
            <v>3278</v>
          </cell>
          <cell r="L3026">
            <v>6</v>
          </cell>
          <cell r="M3026">
            <v>13.96</v>
          </cell>
        </row>
        <row r="3027">
          <cell r="C3027" t="str">
            <v>28765</v>
          </cell>
          <cell r="D3027" t="str">
            <v>TWISTED TEA ORIGINAL</v>
          </cell>
          <cell r="E3027" t="str">
            <v>THE BOSTON BEER COMPANY</v>
          </cell>
          <cell r="F3027" t="str">
            <v>4260</v>
          </cell>
          <cell r="G3027">
            <v>5</v>
          </cell>
          <cell r="H3027">
            <v>2</v>
          </cell>
          <cell r="I3027" t="str">
            <v>3278</v>
          </cell>
          <cell r="L3027">
            <v>12</v>
          </cell>
          <cell r="M3027">
            <v>27.43</v>
          </cell>
        </row>
        <row r="3028">
          <cell r="C3028" t="str">
            <v>32479</v>
          </cell>
          <cell r="D3028" t="str">
            <v>TWISTED TEA ORIGINAL HARD ICED TEA</v>
          </cell>
          <cell r="E3028" t="str">
            <v>THE BOSTON BEER COMPANY</v>
          </cell>
          <cell r="F3028" t="str">
            <v>8520</v>
          </cell>
          <cell r="G3028">
            <v>5</v>
          </cell>
          <cell r="H3028">
            <v>1</v>
          </cell>
          <cell r="I3028" t="str">
            <v>3278</v>
          </cell>
          <cell r="L3028">
            <v>24</v>
          </cell>
          <cell r="M3028">
            <v>51.77</v>
          </cell>
        </row>
        <row r="3029">
          <cell r="C3029" t="str">
            <v>34077</v>
          </cell>
          <cell r="D3029" t="str">
            <v>TWISTED TEA ORIGINAL HARD ICED TEA</v>
          </cell>
          <cell r="E3029" t="str">
            <v>THE BOSTON BEER COMPANY</v>
          </cell>
          <cell r="F3029" t="str">
            <v>20000</v>
          </cell>
          <cell r="G3029">
            <v>5</v>
          </cell>
          <cell r="H3029">
            <v>1</v>
          </cell>
          <cell r="I3029" t="str">
            <v>3278</v>
          </cell>
          <cell r="L3029">
            <v>1</v>
          </cell>
          <cell r="M3029">
            <v>115.86</v>
          </cell>
        </row>
        <row r="3030">
          <cell r="C3030" t="str">
            <v>28766</v>
          </cell>
          <cell r="D3030" t="str">
            <v>TWISTED TEA PARTY PACK</v>
          </cell>
          <cell r="E3030" t="str">
            <v>THE BOSTON BEER COMPANY</v>
          </cell>
          <cell r="F3030" t="str">
            <v>4260</v>
          </cell>
          <cell r="G3030">
            <v>5</v>
          </cell>
          <cell r="H3030">
            <v>2</v>
          </cell>
          <cell r="I3030" t="str">
            <v>3278</v>
          </cell>
          <cell r="L3030">
            <v>12</v>
          </cell>
          <cell r="M3030">
            <v>27.43</v>
          </cell>
        </row>
        <row r="3031">
          <cell r="C3031" t="str">
            <v>35735</v>
          </cell>
          <cell r="D3031" t="str">
            <v>TWISTED TEA PARTY PACK</v>
          </cell>
          <cell r="E3031" t="str">
            <v>THE BOSTON BEER COMPANY</v>
          </cell>
          <cell r="F3031" t="str">
            <v>8520</v>
          </cell>
          <cell r="G3031">
            <v>5</v>
          </cell>
          <cell r="H3031">
            <v>1</v>
          </cell>
          <cell r="I3031" t="str">
            <v>3278</v>
          </cell>
          <cell r="L3031">
            <v>24</v>
          </cell>
          <cell r="M3031">
            <v>51.77</v>
          </cell>
        </row>
        <row r="3032">
          <cell r="C3032" t="str">
            <v>40809</v>
          </cell>
          <cell r="D3032" t="str">
            <v>TWISTED TEA PEACH</v>
          </cell>
          <cell r="E3032" t="str">
            <v>THE BOSTON BEER COMPANY</v>
          </cell>
          <cell r="F3032" t="str">
            <v>473</v>
          </cell>
          <cell r="G3032">
            <v>5</v>
          </cell>
          <cell r="H3032">
            <v>24</v>
          </cell>
          <cell r="I3032" t="str">
            <v>3278</v>
          </cell>
          <cell r="L3032">
            <v>1</v>
          </cell>
          <cell r="M3032">
            <v>3.1</v>
          </cell>
        </row>
        <row r="3033">
          <cell r="C3033" t="str">
            <v>28711</v>
          </cell>
          <cell r="D3033" t="str">
            <v>TWISTED TEA PEACH</v>
          </cell>
          <cell r="E3033" t="str">
            <v>THE BOSTON BEER COMPANY</v>
          </cell>
          <cell r="F3033" t="str">
            <v>2130</v>
          </cell>
          <cell r="G3033">
            <v>5</v>
          </cell>
          <cell r="H3033">
            <v>4</v>
          </cell>
          <cell r="I3033" t="str">
            <v>3278</v>
          </cell>
          <cell r="L3033">
            <v>6</v>
          </cell>
          <cell r="M3033">
            <v>13.96</v>
          </cell>
        </row>
        <row r="3034">
          <cell r="C3034" t="str">
            <v>45339</v>
          </cell>
          <cell r="D3034" t="str">
            <v>TWISTED TEA PINEAPPLE</v>
          </cell>
          <cell r="E3034" t="str">
            <v>THE BOSTON BEER COMPANY</v>
          </cell>
          <cell r="F3034" t="str">
            <v>473</v>
          </cell>
          <cell r="G3034">
            <v>5</v>
          </cell>
          <cell r="H3034">
            <v>24</v>
          </cell>
          <cell r="I3034" t="str">
            <v>3278</v>
          </cell>
          <cell r="L3034">
            <v>1</v>
          </cell>
          <cell r="M3034">
            <v>3.1</v>
          </cell>
        </row>
        <row r="3035">
          <cell r="C3035" t="str">
            <v>38371</v>
          </cell>
          <cell r="D3035" t="str">
            <v>TWISTED TEA SLIGHTLY SWEET</v>
          </cell>
          <cell r="E3035" t="str">
            <v>THE BOSTON BEER COMPANY</v>
          </cell>
          <cell r="F3035" t="str">
            <v>473</v>
          </cell>
          <cell r="G3035">
            <v>5</v>
          </cell>
          <cell r="H3035">
            <v>24</v>
          </cell>
          <cell r="I3035" t="str">
            <v>3278</v>
          </cell>
          <cell r="L3035">
            <v>1</v>
          </cell>
          <cell r="M3035">
            <v>3.1</v>
          </cell>
        </row>
        <row r="3036">
          <cell r="C3036" t="str">
            <v>43173</v>
          </cell>
          <cell r="D3036" t="str">
            <v>TWISTED TEA SLIGHTLY SWEET</v>
          </cell>
          <cell r="E3036" t="str">
            <v>THE BOSTON BEER COMPANY</v>
          </cell>
          <cell r="F3036" t="str">
            <v>4260</v>
          </cell>
          <cell r="G3036">
            <v>5</v>
          </cell>
          <cell r="H3036">
            <v>2</v>
          </cell>
          <cell r="I3036" t="str">
            <v>3278</v>
          </cell>
          <cell r="L3036">
            <v>12</v>
          </cell>
          <cell r="M3036">
            <v>28.08</v>
          </cell>
        </row>
        <row r="3037">
          <cell r="C3037" t="str">
            <v>45180</v>
          </cell>
          <cell r="D3037" t="str">
            <v>TWISTED TEA TROPICAL PARTY PACK</v>
          </cell>
          <cell r="E3037" t="str">
            <v>THE BOSTON BEER COMPANY</v>
          </cell>
          <cell r="F3037" t="str">
            <v>4260</v>
          </cell>
          <cell r="G3037">
            <v>5</v>
          </cell>
          <cell r="H3037">
            <v>2</v>
          </cell>
          <cell r="I3037" t="str">
            <v>3278</v>
          </cell>
          <cell r="L3037">
            <v>12</v>
          </cell>
          <cell r="M3037">
            <v>27.43</v>
          </cell>
        </row>
        <row r="3038">
          <cell r="C3038" t="str">
            <v>15475</v>
          </cell>
          <cell r="D3038" t="str">
            <v>VODKA MUDSHAKE CHOCOLATE</v>
          </cell>
          <cell r="E3038" t="str">
            <v>INDEPENDENT LIQUOR LTD</v>
          </cell>
          <cell r="F3038" t="str">
            <v>1080</v>
          </cell>
          <cell r="G3038">
            <v>5</v>
          </cell>
          <cell r="H3038">
            <v>6</v>
          </cell>
          <cell r="I3038" t="str">
            <v>130768</v>
          </cell>
          <cell r="L3038">
            <v>4</v>
          </cell>
          <cell r="M3038">
            <v>13.49</v>
          </cell>
        </row>
        <row r="3039">
          <cell r="C3039" t="str">
            <v>15474</v>
          </cell>
          <cell r="D3039" t="str">
            <v>VODKA MUDSHAKE CREAMY VANILLA</v>
          </cell>
          <cell r="E3039" t="str">
            <v>INDEPENDENT LIQUOR LTD</v>
          </cell>
          <cell r="F3039" t="str">
            <v>1080</v>
          </cell>
          <cell r="G3039">
            <v>5</v>
          </cell>
          <cell r="H3039">
            <v>6</v>
          </cell>
          <cell r="I3039" t="str">
            <v>130768</v>
          </cell>
          <cell r="L3039">
            <v>4</v>
          </cell>
          <cell r="M3039">
            <v>13.49</v>
          </cell>
        </row>
        <row r="3040">
          <cell r="C3040" t="str">
            <v>12208</v>
          </cell>
          <cell r="D3040" t="str">
            <v>VODKA MUDSHAKE STRAWBERRY</v>
          </cell>
          <cell r="E3040" t="str">
            <v>INDEPENDENT LIQUOR LTD</v>
          </cell>
          <cell r="F3040" t="str">
            <v>1080</v>
          </cell>
          <cell r="G3040">
            <v>5</v>
          </cell>
          <cell r="H3040">
            <v>6</v>
          </cell>
          <cell r="I3040" t="str">
            <v>130768</v>
          </cell>
          <cell r="L3040">
            <v>4</v>
          </cell>
          <cell r="M3040">
            <v>13.49</v>
          </cell>
        </row>
        <row r="3041">
          <cell r="C3041" t="str">
            <v>6074</v>
          </cell>
          <cell r="D3041" t="str">
            <v>VODKA MUDSHAKE TROPICAL BANANA</v>
          </cell>
          <cell r="E3041" t="str">
            <v>INDEPENDENT LIQUOR LTD</v>
          </cell>
          <cell r="F3041" t="str">
            <v>1080</v>
          </cell>
          <cell r="G3041">
            <v>5</v>
          </cell>
          <cell r="H3041">
            <v>6</v>
          </cell>
          <cell r="I3041" t="str">
            <v>130768</v>
          </cell>
          <cell r="L3041">
            <v>4</v>
          </cell>
          <cell r="M3041">
            <v>13.49</v>
          </cell>
        </row>
        <row r="3042">
          <cell r="C3042" t="str">
            <v>47038</v>
          </cell>
          <cell r="D3042" t="str">
            <v>WHAT? NOOO WAAAY! HARD LEMON ICED TEA</v>
          </cell>
          <cell r="E3042" t="str">
            <v>RIVAL TRADE BREWING COMPANY (m)</v>
          </cell>
          <cell r="F3042" t="str">
            <v>4260</v>
          </cell>
          <cell r="G3042">
            <v>5</v>
          </cell>
          <cell r="H3042">
            <v>2</v>
          </cell>
          <cell r="I3042" t="str">
            <v>206280</v>
          </cell>
          <cell r="L3042">
            <v>12</v>
          </cell>
          <cell r="M3042">
            <v>27.49</v>
          </cell>
        </row>
        <row r="3043">
          <cell r="C3043" t="str">
            <v>40803</v>
          </cell>
          <cell r="D3043" t="str">
            <v>WHITE CLAW BIG SURF VARIETY PACK</v>
          </cell>
          <cell r="E3043" t="str">
            <v>MARK ANTHONY BRANDS LTD.</v>
          </cell>
          <cell r="F3043" t="str">
            <v>4260</v>
          </cell>
          <cell r="G3043">
            <v>5</v>
          </cell>
          <cell r="H3043">
            <v>2</v>
          </cell>
          <cell r="I3043" t="str">
            <v>1009</v>
          </cell>
          <cell r="L3043">
            <v>12</v>
          </cell>
          <cell r="M3043">
            <v>27.33</v>
          </cell>
        </row>
        <row r="3044">
          <cell r="C3044" t="str">
            <v>33137</v>
          </cell>
          <cell r="D3044" t="str">
            <v>WHITE CLAW BLACK CHERRY</v>
          </cell>
          <cell r="E3044" t="str">
            <v>MARK ANTHONY GROUP INC</v>
          </cell>
          <cell r="F3044" t="str">
            <v>473</v>
          </cell>
          <cell r="G3044">
            <v>5</v>
          </cell>
          <cell r="H3044">
            <v>24</v>
          </cell>
          <cell r="I3044" t="str">
            <v>1009</v>
          </cell>
          <cell r="L3044">
            <v>1</v>
          </cell>
          <cell r="M3044">
            <v>3.11</v>
          </cell>
        </row>
        <row r="3045">
          <cell r="C3045" t="str">
            <v>33078</v>
          </cell>
          <cell r="D3045" t="str">
            <v>WHITE CLAW BLACK CHERRY</v>
          </cell>
          <cell r="E3045" t="str">
            <v>MARK ANTHONY GROUP INC</v>
          </cell>
          <cell r="F3045" t="str">
            <v>2130</v>
          </cell>
          <cell r="G3045">
            <v>5</v>
          </cell>
          <cell r="H3045">
            <v>4</v>
          </cell>
          <cell r="I3045" t="str">
            <v>1009</v>
          </cell>
          <cell r="L3045">
            <v>6</v>
          </cell>
          <cell r="M3045">
            <v>14.27</v>
          </cell>
        </row>
        <row r="3046">
          <cell r="C3046" t="str">
            <v>40800</v>
          </cell>
          <cell r="D3046" t="str">
            <v>WHITE CLAW BLACKBERRY</v>
          </cell>
          <cell r="E3046" t="str">
            <v>MARK ANTHONY BRANDS LTD.</v>
          </cell>
          <cell r="F3046" t="str">
            <v>2130</v>
          </cell>
          <cell r="G3046">
            <v>5</v>
          </cell>
          <cell r="H3046">
            <v>4</v>
          </cell>
          <cell r="I3046" t="str">
            <v>1009</v>
          </cell>
          <cell r="L3046">
            <v>6</v>
          </cell>
          <cell r="M3046">
            <v>14.27</v>
          </cell>
        </row>
        <row r="3047">
          <cell r="C3047" t="str">
            <v>45403</v>
          </cell>
          <cell r="D3047" t="str">
            <v>WHITE CLAW GIN SMASH</v>
          </cell>
          <cell r="E3047" t="str">
            <v>MARK ANTHONY GROUP INC</v>
          </cell>
          <cell r="F3047" t="str">
            <v>2840</v>
          </cell>
          <cell r="G3047">
            <v>5</v>
          </cell>
          <cell r="H3047">
            <v>3</v>
          </cell>
          <cell r="I3047" t="str">
            <v>1009</v>
          </cell>
          <cell r="L3047">
            <v>8</v>
          </cell>
          <cell r="M3047">
            <v>23.2</v>
          </cell>
        </row>
        <row r="3048">
          <cell r="C3048" t="str">
            <v>34795</v>
          </cell>
          <cell r="D3048" t="str">
            <v>WHITE CLAW LIME</v>
          </cell>
          <cell r="E3048" t="str">
            <v>MARK ANTHONY GROUP INC</v>
          </cell>
          <cell r="F3048" t="str">
            <v>473</v>
          </cell>
          <cell r="G3048">
            <v>5</v>
          </cell>
          <cell r="H3048">
            <v>24</v>
          </cell>
          <cell r="I3048" t="str">
            <v>1009</v>
          </cell>
          <cell r="L3048">
            <v>1</v>
          </cell>
          <cell r="M3048">
            <v>3.11</v>
          </cell>
        </row>
        <row r="3049">
          <cell r="C3049" t="str">
            <v>33136</v>
          </cell>
          <cell r="D3049" t="str">
            <v>WHITE CLAW MANGO</v>
          </cell>
          <cell r="E3049" t="str">
            <v>MARK ANTHONY GROUP INC</v>
          </cell>
          <cell r="F3049" t="str">
            <v>473</v>
          </cell>
          <cell r="G3049">
            <v>5</v>
          </cell>
          <cell r="H3049">
            <v>24</v>
          </cell>
          <cell r="I3049" t="str">
            <v>1009</v>
          </cell>
          <cell r="L3049">
            <v>1</v>
          </cell>
          <cell r="M3049">
            <v>3.11</v>
          </cell>
        </row>
        <row r="3050">
          <cell r="C3050" t="str">
            <v>33081</v>
          </cell>
          <cell r="D3050" t="str">
            <v>WHITE CLAW MANGO</v>
          </cell>
          <cell r="E3050" t="str">
            <v>MARK ANTHONY GROUP INC</v>
          </cell>
          <cell r="F3050" t="str">
            <v>2130</v>
          </cell>
          <cell r="G3050">
            <v>5</v>
          </cell>
          <cell r="H3050">
            <v>4</v>
          </cell>
          <cell r="I3050" t="str">
            <v>1009</v>
          </cell>
          <cell r="L3050">
            <v>6</v>
          </cell>
          <cell r="M3050">
            <v>14.27</v>
          </cell>
        </row>
        <row r="3051">
          <cell r="C3051" t="str">
            <v>33080</v>
          </cell>
          <cell r="D3051" t="str">
            <v>WHITE CLAW NATURAL LIME</v>
          </cell>
          <cell r="E3051" t="str">
            <v>MARK ANTHONY GROUP INC</v>
          </cell>
          <cell r="F3051" t="str">
            <v>2130</v>
          </cell>
          <cell r="G3051">
            <v>5</v>
          </cell>
          <cell r="H3051">
            <v>4</v>
          </cell>
          <cell r="I3051" t="str">
            <v>1009</v>
          </cell>
          <cell r="L3051">
            <v>6</v>
          </cell>
          <cell r="M3051">
            <v>14.27</v>
          </cell>
        </row>
        <row r="3052">
          <cell r="C3052" t="str">
            <v>45404</v>
          </cell>
          <cell r="D3052" t="str">
            <v>WHITE CLAW PEACH</v>
          </cell>
          <cell r="E3052" t="str">
            <v>MARK ANTHONY GROUP INC</v>
          </cell>
          <cell r="F3052" t="str">
            <v>2130</v>
          </cell>
          <cell r="G3052">
            <v>5</v>
          </cell>
          <cell r="H3052">
            <v>4</v>
          </cell>
          <cell r="I3052" t="str">
            <v>1009</v>
          </cell>
          <cell r="L3052">
            <v>6</v>
          </cell>
          <cell r="M3052">
            <v>14.27</v>
          </cell>
        </row>
        <row r="3053">
          <cell r="C3053" t="str">
            <v>35702</v>
          </cell>
          <cell r="D3053" t="str">
            <v>WHITE CLAW RASPBERRY</v>
          </cell>
          <cell r="E3053" t="str">
            <v>MARK ANTHONY BRANDS LTD.</v>
          </cell>
          <cell r="F3053" t="str">
            <v>2130</v>
          </cell>
          <cell r="G3053">
            <v>5</v>
          </cell>
          <cell r="H3053">
            <v>4</v>
          </cell>
          <cell r="I3053" t="str">
            <v>1009</v>
          </cell>
          <cell r="L3053">
            <v>6</v>
          </cell>
          <cell r="M3053">
            <v>14.27</v>
          </cell>
        </row>
        <row r="3054">
          <cell r="C3054" t="str">
            <v>40804</v>
          </cell>
          <cell r="D3054" t="str">
            <v>WHITE CLAW SURGE BLOOD ORANGE</v>
          </cell>
          <cell r="E3054" t="str">
            <v>MARK ANTHONY BRANDS LTD.</v>
          </cell>
          <cell r="F3054" t="str">
            <v>473</v>
          </cell>
          <cell r="G3054">
            <v>7</v>
          </cell>
          <cell r="H3054">
            <v>24</v>
          </cell>
          <cell r="I3054" t="str">
            <v>1009</v>
          </cell>
          <cell r="L3054">
            <v>1</v>
          </cell>
          <cell r="M3054">
            <v>3.41</v>
          </cell>
        </row>
        <row r="3055">
          <cell r="C3055" t="str">
            <v>39609</v>
          </cell>
          <cell r="D3055" t="str">
            <v>WHITE CLAW SURGE VARIETY PACK</v>
          </cell>
          <cell r="E3055" t="str">
            <v>MARK ANTHONY BRANDS LTD.</v>
          </cell>
          <cell r="F3055" t="str">
            <v>4260</v>
          </cell>
          <cell r="G3055">
            <v>7</v>
          </cell>
          <cell r="H3055">
            <v>2</v>
          </cell>
          <cell r="I3055" t="str">
            <v>1009</v>
          </cell>
          <cell r="L3055">
            <v>12</v>
          </cell>
          <cell r="M3055">
            <v>27.33</v>
          </cell>
        </row>
        <row r="3056">
          <cell r="C3056" t="str">
            <v>43171</v>
          </cell>
          <cell r="D3056" t="str">
            <v>WHITE CLAW TEQUILA SMASH</v>
          </cell>
          <cell r="E3056" t="str">
            <v>MARK ANTHONY GROUP INC</v>
          </cell>
          <cell r="F3056" t="str">
            <v>2840</v>
          </cell>
          <cell r="G3056">
            <v>5</v>
          </cell>
          <cell r="H3056">
            <v>3</v>
          </cell>
          <cell r="I3056" t="str">
            <v>1009</v>
          </cell>
          <cell r="L3056">
            <v>8</v>
          </cell>
          <cell r="M3056">
            <v>23.2</v>
          </cell>
        </row>
        <row r="3057">
          <cell r="C3057" t="str">
            <v>33082</v>
          </cell>
          <cell r="D3057" t="str">
            <v>WHITE CLAW VARIETY PACK</v>
          </cell>
          <cell r="E3057" t="str">
            <v>MARK ANTHONY GROUP INC</v>
          </cell>
          <cell r="F3057" t="str">
            <v>4260</v>
          </cell>
          <cell r="G3057">
            <v>5</v>
          </cell>
          <cell r="H3057">
            <v>2</v>
          </cell>
          <cell r="I3057" t="str">
            <v>1009</v>
          </cell>
          <cell r="L3057">
            <v>12</v>
          </cell>
          <cell r="M3057">
            <v>27.33</v>
          </cell>
        </row>
        <row r="3058">
          <cell r="C3058" t="str">
            <v>39610</v>
          </cell>
          <cell r="D3058" t="str">
            <v>WHITE CLAW VARIETY PACK</v>
          </cell>
          <cell r="E3058" t="str">
            <v>MARK ANTHONY BRANDS LTD.</v>
          </cell>
          <cell r="F3058" t="str">
            <v>10650</v>
          </cell>
          <cell r="G3058">
            <v>5</v>
          </cell>
          <cell r="H3058">
            <v>1</v>
          </cell>
          <cell r="I3058" t="str">
            <v>1009</v>
          </cell>
          <cell r="L3058">
            <v>30</v>
          </cell>
          <cell r="M3058">
            <v>59.99</v>
          </cell>
        </row>
        <row r="3059">
          <cell r="C3059" t="str">
            <v>36927</v>
          </cell>
          <cell r="D3059" t="str">
            <v>WHITE CLAW VARIETY PACK #2</v>
          </cell>
          <cell r="E3059" t="str">
            <v>MARK ANTHONY GROUP INC</v>
          </cell>
          <cell r="F3059" t="str">
            <v>4260</v>
          </cell>
          <cell r="G3059">
            <v>5</v>
          </cell>
          <cell r="H3059">
            <v>2</v>
          </cell>
          <cell r="I3059" t="str">
            <v>1009</v>
          </cell>
          <cell r="L3059">
            <v>12</v>
          </cell>
          <cell r="M3059">
            <v>27.33</v>
          </cell>
        </row>
        <row r="3060">
          <cell r="C3060" t="str">
            <v>43750</v>
          </cell>
          <cell r="D3060" t="str">
            <v>WHITE CLAW VODKA SMASH</v>
          </cell>
          <cell r="E3060" t="str">
            <v>MARK ANTHONY GROUP INC</v>
          </cell>
          <cell r="F3060" t="str">
            <v>2840</v>
          </cell>
          <cell r="G3060">
            <v>5</v>
          </cell>
          <cell r="H3060">
            <v>3</v>
          </cell>
          <cell r="I3060" t="str">
            <v>1009</v>
          </cell>
          <cell r="L3060">
            <v>8</v>
          </cell>
          <cell r="M3060">
            <v>23.2</v>
          </cell>
        </row>
        <row r="3061">
          <cell r="C3061" t="str">
            <v>37353</v>
          </cell>
          <cell r="D3061" t="str">
            <v>WIZE NOSTALGIA MIXED PACK</v>
          </cell>
          <cell r="E3061" t="str">
            <v>WIZE SPIRITS</v>
          </cell>
          <cell r="F3061" t="str">
            <v>4260</v>
          </cell>
          <cell r="G3061">
            <v>5</v>
          </cell>
          <cell r="H3061">
            <v>2</v>
          </cell>
          <cell r="I3061" t="str">
            <v>3295</v>
          </cell>
          <cell r="L3061">
            <v>12</v>
          </cell>
          <cell r="M3061">
            <v>26.76</v>
          </cell>
        </row>
        <row r="3062">
          <cell r="C3062" t="str">
            <v>40805</v>
          </cell>
          <cell r="D3062" t="str">
            <v>WYATT ROSE MEXICAN LIME TEQUILA</v>
          </cell>
          <cell r="E3062" t="str">
            <v>GEORGIAN BAY SPIRIT CO</v>
          </cell>
          <cell r="F3062" t="str">
            <v>2130</v>
          </cell>
          <cell r="G3062">
            <v>5</v>
          </cell>
          <cell r="H3062">
            <v>4</v>
          </cell>
          <cell r="I3062" t="str">
            <v>1537</v>
          </cell>
          <cell r="L3062">
            <v>6</v>
          </cell>
          <cell r="M3062">
            <v>14.39</v>
          </cell>
        </row>
        <row r="3063">
          <cell r="C3063" t="str">
            <v>40806</v>
          </cell>
          <cell r="D3063" t="str">
            <v>WYATT ROSE PINEAPPLE COCONUT TEQUILA</v>
          </cell>
          <cell r="E3063" t="str">
            <v>GEORGIAN BAY SPIRIT CO</v>
          </cell>
          <cell r="F3063" t="str">
            <v>2130</v>
          </cell>
          <cell r="G3063">
            <v>5</v>
          </cell>
          <cell r="H3063">
            <v>4</v>
          </cell>
          <cell r="I3063" t="str">
            <v>1537</v>
          </cell>
          <cell r="L3063">
            <v>6</v>
          </cell>
          <cell r="M3063">
            <v>14.39</v>
          </cell>
        </row>
        <row r="3064">
          <cell r="C3064" t="str">
            <v>45405</v>
          </cell>
          <cell r="D3064" t="str">
            <v>WYATT ROSE RANCH WATER JALAPENO LEMONADE</v>
          </cell>
          <cell r="E3064" t="str">
            <v>GEORGIAN BAY SPIRIT CO</v>
          </cell>
          <cell r="F3064" t="str">
            <v>473</v>
          </cell>
          <cell r="G3064">
            <v>5</v>
          </cell>
          <cell r="H3064">
            <v>24</v>
          </cell>
          <cell r="I3064" t="str">
            <v>1537</v>
          </cell>
          <cell r="L3064">
            <v>1</v>
          </cell>
          <cell r="M3064">
            <v>3.09</v>
          </cell>
        </row>
        <row r="3065">
          <cell r="C3065" t="str">
            <v>43172</v>
          </cell>
          <cell r="D3065" t="str">
            <v>WYATT ROSE RANCH WATER MIXED PACK</v>
          </cell>
          <cell r="E3065" t="str">
            <v>GEORGIAN BAY SPIRIT CO</v>
          </cell>
          <cell r="F3065" t="str">
            <v>4260</v>
          </cell>
          <cell r="G3065">
            <v>5</v>
          </cell>
          <cell r="H3065">
            <v>2</v>
          </cell>
          <cell r="I3065" t="str">
            <v>1537</v>
          </cell>
          <cell r="L3065">
            <v>12</v>
          </cell>
          <cell r="M3065">
            <v>27.81</v>
          </cell>
        </row>
        <row r="3066">
          <cell r="C3066" t="str">
            <v>43400</v>
          </cell>
          <cell r="D3066" t="str">
            <v>X BY KINKY BLACK RASPBERRY</v>
          </cell>
          <cell r="E3066" t="str">
            <v>CITY BREWING COMPANY, LLC</v>
          </cell>
          <cell r="F3066" t="str">
            <v>473</v>
          </cell>
          <cell r="G3066">
            <v>7</v>
          </cell>
          <cell r="H3066">
            <v>24</v>
          </cell>
          <cell r="I3066" t="str">
            <v>206239</v>
          </cell>
          <cell r="L3066">
            <v>1</v>
          </cell>
          <cell r="M3066">
            <v>3.36</v>
          </cell>
        </row>
        <row r="3067">
          <cell r="C3067" t="str">
            <v>1696</v>
          </cell>
          <cell r="D3067" t="str">
            <v>CANADA COOLER FROSTY PEACH</v>
          </cell>
          <cell r="E3067" t="str">
            <v>ARTERRA WINES CANADA INC</v>
          </cell>
          <cell r="F3067" t="str">
            <v>2000</v>
          </cell>
          <cell r="G3067">
            <v>7</v>
          </cell>
          <cell r="H3067">
            <v>8</v>
          </cell>
          <cell r="I3067" t="str">
            <v>1008</v>
          </cell>
          <cell r="K3067" t="str">
            <v xml:space="preserve"> </v>
          </cell>
          <cell r="L3067">
            <v>1</v>
          </cell>
          <cell r="M3067">
            <v>9.67</v>
          </cell>
        </row>
        <row r="3068">
          <cell r="C3068" t="str">
            <v>1700</v>
          </cell>
          <cell r="D3068" t="str">
            <v>CANADA COOLER ROCKABERRY</v>
          </cell>
          <cell r="E3068" t="str">
            <v>ARTERRA WINES CANADA INC</v>
          </cell>
          <cell r="F3068" t="str">
            <v>2000</v>
          </cell>
          <cell r="G3068">
            <v>7</v>
          </cell>
          <cell r="H3068">
            <v>8</v>
          </cell>
          <cell r="I3068" t="str">
            <v>1008</v>
          </cell>
          <cell r="K3068" t="str">
            <v xml:space="preserve"> </v>
          </cell>
          <cell r="L3068">
            <v>1</v>
          </cell>
          <cell r="M3068">
            <v>9.67</v>
          </cell>
        </row>
        <row r="3069">
          <cell r="C3069" t="str">
            <v>1702</v>
          </cell>
          <cell r="D3069" t="str">
            <v>CANADA COOLER TROPIKIWI</v>
          </cell>
          <cell r="E3069" t="str">
            <v>ARTERRA WINES CANADA INC</v>
          </cell>
          <cell r="F3069" t="str">
            <v>2000</v>
          </cell>
          <cell r="G3069">
            <v>7</v>
          </cell>
          <cell r="H3069">
            <v>8</v>
          </cell>
          <cell r="I3069" t="str">
            <v>1008</v>
          </cell>
          <cell r="K3069" t="str">
            <v xml:space="preserve"> </v>
          </cell>
          <cell r="L3069">
            <v>1</v>
          </cell>
          <cell r="M3069">
            <v>9.67</v>
          </cell>
        </row>
        <row r="3070">
          <cell r="C3070" t="str">
            <v>43124</v>
          </cell>
          <cell r="D3070" t="str">
            <v>LIVELY PEACH CHERRY ROSE</v>
          </cell>
          <cell r="E3070" t="str">
            <v>ANDREW PELLER LIMITED</v>
          </cell>
          <cell r="F3070" t="str">
            <v>341</v>
          </cell>
          <cell r="G3070">
            <v>7</v>
          </cell>
          <cell r="H3070">
            <v>20</v>
          </cell>
          <cell r="I3070" t="str">
            <v>4095</v>
          </cell>
          <cell r="L3070">
            <v>1</v>
          </cell>
          <cell r="M3070">
            <v>4</v>
          </cell>
        </row>
        <row r="3071">
          <cell r="C3071" t="str">
            <v>45359</v>
          </cell>
          <cell r="D3071" t="str">
            <v>LIVELY PINEAPPLE MANGO</v>
          </cell>
          <cell r="E3071" t="str">
            <v>ANDREW PELLER LIMITED</v>
          </cell>
          <cell r="F3071" t="str">
            <v>341</v>
          </cell>
          <cell r="G3071">
            <v>7</v>
          </cell>
          <cell r="H3071">
            <v>20</v>
          </cell>
          <cell r="I3071" t="str">
            <v>4095</v>
          </cell>
          <cell r="L3071">
            <v>1</v>
          </cell>
          <cell r="M3071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112"/>
  <sheetViews>
    <sheetView tabSelected="1" topLeftCell="C1" workbookViewId="0">
      <selection activeCell="D3115" sqref="D3115"/>
    </sheetView>
  </sheetViews>
  <sheetFormatPr defaultRowHeight="12.75" x14ac:dyDescent="0.2"/>
  <cols>
    <col min="1" max="1" width="36.140625" customWidth="1"/>
    <col min="2" max="2" width="14.85546875" customWidth="1"/>
    <col min="4" max="4" width="44.85546875" bestFit="1" customWidth="1"/>
    <col min="5" max="5" width="38.140625" customWidth="1"/>
    <col min="7" max="7" width="18.28515625" customWidth="1"/>
    <col min="8" max="8" width="11.7109375" customWidth="1"/>
    <col min="11" max="11" width="10.140625" customWidth="1"/>
    <col min="13" max="13" width="20.7109375" style="3" customWidth="1"/>
    <col min="14" max="14" width="8" style="3" bestFit="1" customWidth="1"/>
    <col min="15" max="15" width="7" style="3" bestFit="1" customWidth="1"/>
    <col min="16" max="16" width="11.85546875" style="3" bestFit="1" customWidth="1"/>
    <col min="17" max="17" width="20.42578125" style="3" bestFit="1" customWidth="1"/>
    <col min="18" max="18" width="9" style="3" bestFit="1" customWidth="1"/>
    <col min="19" max="19" width="12.28515625" customWidth="1"/>
  </cols>
  <sheetData>
    <row r="1" spans="1:20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10085</v>
      </c>
      <c r="S1" s="5" t="s">
        <v>10086</v>
      </c>
      <c r="T1" s="5" t="s">
        <v>10087</v>
      </c>
    </row>
    <row r="2" spans="1:20" x14ac:dyDescent="0.2">
      <c r="A2" t="s">
        <v>17</v>
      </c>
      <c r="B2" t="s">
        <v>18</v>
      </c>
      <c r="C2" t="s">
        <v>19</v>
      </c>
      <c r="D2" t="s">
        <v>21</v>
      </c>
      <c r="E2" t="s">
        <v>22</v>
      </c>
      <c r="F2" t="s">
        <v>23</v>
      </c>
      <c r="G2" s="1">
        <v>40</v>
      </c>
      <c r="H2" s="1">
        <v>12</v>
      </c>
      <c r="I2" t="s">
        <v>24</v>
      </c>
      <c r="L2" s="1">
        <v>1</v>
      </c>
      <c r="M2" s="3">
        <v>44.08</v>
      </c>
      <c r="N2" s="3">
        <v>2.2000000000000002</v>
      </c>
      <c r="O2" s="3">
        <v>0</v>
      </c>
      <c r="P2" s="3">
        <v>0.2</v>
      </c>
      <c r="Q2" s="3">
        <v>46.48</v>
      </c>
      <c r="R2" s="3">
        <v>24.25</v>
      </c>
      <c r="S2" s="3">
        <f>VLOOKUP(C2,[1]page!$C$2:$M$3071,11,0)</f>
        <v>47</v>
      </c>
      <c r="T2" s="6">
        <f>SUM(M2-S2)</f>
        <v>-2.9200000000000017</v>
      </c>
    </row>
    <row r="3" spans="1:20" x14ac:dyDescent="0.2">
      <c r="A3" t="s">
        <v>17</v>
      </c>
      <c r="B3" t="s">
        <v>25</v>
      </c>
      <c r="C3" t="s">
        <v>26</v>
      </c>
      <c r="D3" t="s">
        <v>27</v>
      </c>
      <c r="E3" t="s">
        <v>28</v>
      </c>
      <c r="F3" t="s">
        <v>23</v>
      </c>
      <c r="G3" s="1">
        <v>40</v>
      </c>
      <c r="H3" s="1">
        <v>12</v>
      </c>
      <c r="I3" t="s">
        <v>29</v>
      </c>
      <c r="L3" s="1">
        <v>1</v>
      </c>
      <c r="M3" s="3">
        <v>34.69</v>
      </c>
      <c r="N3" s="3">
        <v>1.73</v>
      </c>
      <c r="O3" s="3">
        <v>0</v>
      </c>
      <c r="P3" s="3">
        <v>0.2</v>
      </c>
      <c r="Q3" s="3">
        <v>36.619999999999997</v>
      </c>
      <c r="R3" s="3">
        <v>24.25</v>
      </c>
      <c r="S3" s="3">
        <f>VLOOKUP(C3,[1]page!$C$2:$M$3071,11,0)</f>
        <v>34.5</v>
      </c>
      <c r="T3" s="6">
        <f t="shared" ref="T3:T65" si="0">SUM(M3-S3)</f>
        <v>0.18999999999999773</v>
      </c>
    </row>
    <row r="4" spans="1:20" x14ac:dyDescent="0.2">
      <c r="A4" t="s">
        <v>17</v>
      </c>
      <c r="B4" t="s">
        <v>30</v>
      </c>
      <c r="C4" t="s">
        <v>31</v>
      </c>
      <c r="D4" t="s">
        <v>32</v>
      </c>
      <c r="E4" t="s">
        <v>33</v>
      </c>
      <c r="F4" t="s">
        <v>23</v>
      </c>
      <c r="G4" s="1">
        <v>40</v>
      </c>
      <c r="H4" s="1">
        <v>12</v>
      </c>
      <c r="I4" t="s">
        <v>34</v>
      </c>
      <c r="L4" s="1">
        <v>1</v>
      </c>
      <c r="M4" s="3">
        <v>56.13</v>
      </c>
      <c r="N4" s="3">
        <v>2.81</v>
      </c>
      <c r="O4" s="3">
        <v>0</v>
      </c>
      <c r="P4" s="3">
        <v>0.2</v>
      </c>
      <c r="Q4" s="3">
        <v>59.14</v>
      </c>
      <c r="R4" s="3">
        <v>24.25</v>
      </c>
      <c r="S4" s="3">
        <f>VLOOKUP(C4,[1]page!$C$2:$M$3071,11,0)</f>
        <v>56</v>
      </c>
      <c r="T4" s="6">
        <f t="shared" si="0"/>
        <v>0.13000000000000256</v>
      </c>
    </row>
    <row r="5" spans="1:20" x14ac:dyDescent="0.2">
      <c r="A5" t="s">
        <v>17</v>
      </c>
      <c r="B5" t="s">
        <v>35</v>
      </c>
      <c r="C5" t="s">
        <v>36</v>
      </c>
      <c r="D5" t="s">
        <v>37</v>
      </c>
      <c r="E5" t="s">
        <v>38</v>
      </c>
      <c r="F5" t="s">
        <v>23</v>
      </c>
      <c r="G5" s="1">
        <v>40</v>
      </c>
      <c r="H5" s="1">
        <v>6</v>
      </c>
      <c r="I5" t="s">
        <v>39</v>
      </c>
      <c r="L5" s="1">
        <v>1</v>
      </c>
      <c r="M5" s="3">
        <v>75.010000000000005</v>
      </c>
      <c r="N5" s="3">
        <v>3.75</v>
      </c>
      <c r="O5" s="3">
        <v>0</v>
      </c>
      <c r="P5" s="3">
        <v>0.2</v>
      </c>
      <c r="Q5" s="3">
        <v>78.959999999999994</v>
      </c>
      <c r="R5" s="3">
        <v>24.25</v>
      </c>
      <c r="S5" s="3">
        <f>VLOOKUP(C5,[1]page!$C$2:$M$3071,11,0)</f>
        <v>75.010000000000005</v>
      </c>
      <c r="T5" s="6">
        <f t="shared" si="0"/>
        <v>0</v>
      </c>
    </row>
    <row r="6" spans="1:20" x14ac:dyDescent="0.2">
      <c r="A6" t="s">
        <v>17</v>
      </c>
      <c r="B6" t="s">
        <v>40</v>
      </c>
      <c r="C6" t="s">
        <v>41</v>
      </c>
      <c r="D6" t="s">
        <v>42</v>
      </c>
      <c r="E6" t="s">
        <v>43</v>
      </c>
      <c r="F6" t="s">
        <v>23</v>
      </c>
      <c r="G6" s="1">
        <v>40</v>
      </c>
      <c r="H6" s="1">
        <v>6</v>
      </c>
      <c r="I6" t="s">
        <v>39</v>
      </c>
      <c r="L6" s="1">
        <v>1</v>
      </c>
      <c r="M6" s="3">
        <v>52.02</v>
      </c>
      <c r="N6" s="3">
        <v>2.6</v>
      </c>
      <c r="O6" s="3">
        <v>0</v>
      </c>
      <c r="P6" s="3">
        <v>0.2</v>
      </c>
      <c r="Q6" s="3">
        <v>54.82</v>
      </c>
      <c r="R6" s="3">
        <v>24.25</v>
      </c>
      <c r="S6" s="3">
        <f>VLOOKUP(C6,[1]page!$C$2:$M$3071,11,0)</f>
        <v>52.02</v>
      </c>
      <c r="T6" s="6">
        <f t="shared" si="0"/>
        <v>0</v>
      </c>
    </row>
    <row r="7" spans="1:20" x14ac:dyDescent="0.2">
      <c r="A7" t="s">
        <v>17</v>
      </c>
      <c r="B7" t="s">
        <v>44</v>
      </c>
      <c r="C7" t="s">
        <v>45</v>
      </c>
      <c r="D7" t="s">
        <v>46</v>
      </c>
      <c r="E7" t="s">
        <v>43</v>
      </c>
      <c r="F7" t="s">
        <v>23</v>
      </c>
      <c r="G7" s="1">
        <v>43</v>
      </c>
      <c r="H7" s="1">
        <v>6</v>
      </c>
      <c r="I7" t="s">
        <v>39</v>
      </c>
      <c r="L7" s="1">
        <v>1</v>
      </c>
      <c r="M7" s="3">
        <v>36.71</v>
      </c>
      <c r="N7" s="3">
        <v>1.84</v>
      </c>
      <c r="O7" s="3">
        <v>0</v>
      </c>
      <c r="P7" s="3">
        <v>0.2</v>
      </c>
      <c r="Q7" s="3">
        <v>38.75</v>
      </c>
      <c r="R7" s="3">
        <v>24.25</v>
      </c>
      <c r="S7" s="3">
        <f>VLOOKUP(C7,[1]page!$C$2:$M$3071,11,0)</f>
        <v>36.5</v>
      </c>
      <c r="T7" s="6">
        <f t="shared" si="0"/>
        <v>0.21000000000000085</v>
      </c>
    </row>
    <row r="8" spans="1:20" x14ac:dyDescent="0.2">
      <c r="A8" t="s">
        <v>17</v>
      </c>
      <c r="B8" t="s">
        <v>47</v>
      </c>
      <c r="C8" t="s">
        <v>48</v>
      </c>
      <c r="D8" t="s">
        <v>49</v>
      </c>
      <c r="E8" t="s">
        <v>50</v>
      </c>
      <c r="F8" t="s">
        <v>23</v>
      </c>
      <c r="G8" s="1">
        <v>40</v>
      </c>
      <c r="H8" s="1">
        <v>6</v>
      </c>
      <c r="I8" t="s">
        <v>51</v>
      </c>
      <c r="L8" s="1">
        <v>1</v>
      </c>
      <c r="M8" s="3">
        <v>28.99</v>
      </c>
      <c r="N8" s="3">
        <v>1.45</v>
      </c>
      <c r="O8" s="3">
        <v>0</v>
      </c>
      <c r="P8" s="3">
        <v>0.2</v>
      </c>
      <c r="Q8" s="3">
        <v>30.64</v>
      </c>
      <c r="R8" s="3">
        <v>24.25</v>
      </c>
      <c r="S8" s="3">
        <f>VLOOKUP(C8,[1]page!$C$2:$M$3071,11,0)</f>
        <v>28.66</v>
      </c>
      <c r="T8" s="6">
        <f t="shared" si="0"/>
        <v>0.32999999999999829</v>
      </c>
    </row>
    <row r="9" spans="1:20" x14ac:dyDescent="0.2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23</v>
      </c>
      <c r="G9" s="2">
        <v>42.5</v>
      </c>
      <c r="H9" s="1">
        <v>12</v>
      </c>
      <c r="I9" t="s">
        <v>57</v>
      </c>
      <c r="L9" s="1">
        <v>1</v>
      </c>
      <c r="M9" s="3">
        <v>32.69</v>
      </c>
      <c r="N9" s="3">
        <v>1.63</v>
      </c>
      <c r="O9" s="3">
        <v>0</v>
      </c>
      <c r="P9" s="3">
        <v>0.2</v>
      </c>
      <c r="Q9" s="3">
        <v>34.520000000000003</v>
      </c>
      <c r="R9" s="3">
        <v>24.25</v>
      </c>
      <c r="S9" s="3">
        <f>VLOOKUP(C9,[1]page!$C$2:$M$3071,11,0)</f>
        <v>32.49</v>
      </c>
      <c r="T9" s="6">
        <f t="shared" si="0"/>
        <v>0.19999999999999574</v>
      </c>
    </row>
    <row r="10" spans="1:20" x14ac:dyDescent="0.2">
      <c r="A10" t="s">
        <v>52</v>
      </c>
      <c r="B10" t="s">
        <v>58</v>
      </c>
      <c r="C10" t="s">
        <v>59</v>
      </c>
      <c r="D10" t="s">
        <v>60</v>
      </c>
      <c r="E10" t="s">
        <v>61</v>
      </c>
      <c r="F10" t="s">
        <v>23</v>
      </c>
      <c r="G10" s="1">
        <v>40</v>
      </c>
      <c r="H10" s="1">
        <v>12</v>
      </c>
      <c r="I10" t="s">
        <v>62</v>
      </c>
      <c r="L10" s="1">
        <v>1</v>
      </c>
      <c r="M10" s="3">
        <v>25.89</v>
      </c>
      <c r="N10" s="3">
        <v>1.29</v>
      </c>
      <c r="O10" s="3">
        <v>0</v>
      </c>
      <c r="P10" s="3">
        <v>0.2</v>
      </c>
      <c r="Q10" s="3">
        <v>27.38</v>
      </c>
      <c r="R10" s="3">
        <v>24.25</v>
      </c>
      <c r="S10" s="3">
        <f>VLOOKUP(C10,[1]page!$C$2:$M$3071,11,0)</f>
        <v>25.7</v>
      </c>
      <c r="T10" s="6">
        <f t="shared" si="0"/>
        <v>0.19000000000000128</v>
      </c>
    </row>
    <row r="11" spans="1:20" x14ac:dyDescent="0.2">
      <c r="A11" t="s">
        <v>52</v>
      </c>
      <c r="B11" t="s">
        <v>63</v>
      </c>
      <c r="C11" t="s">
        <v>64</v>
      </c>
      <c r="D11" t="s">
        <v>60</v>
      </c>
      <c r="E11" t="s">
        <v>61</v>
      </c>
      <c r="F11" t="s">
        <v>65</v>
      </c>
      <c r="G11" s="1">
        <v>40</v>
      </c>
      <c r="H11" s="1">
        <v>8</v>
      </c>
      <c r="I11" t="s">
        <v>62</v>
      </c>
      <c r="L11" s="1">
        <v>1</v>
      </c>
      <c r="M11" s="3">
        <v>37.61</v>
      </c>
      <c r="N11" s="3">
        <v>1.88</v>
      </c>
      <c r="O11" s="3">
        <v>0</v>
      </c>
      <c r="P11" s="3">
        <v>0.4</v>
      </c>
      <c r="Q11" s="3">
        <v>39.89</v>
      </c>
      <c r="R11" s="3">
        <v>35.75</v>
      </c>
      <c r="S11" s="3">
        <f>VLOOKUP(C11,[1]page!$C$2:$M$3071,11,0)</f>
        <v>37.32</v>
      </c>
      <c r="T11" s="6">
        <f t="shared" si="0"/>
        <v>0.28999999999999915</v>
      </c>
    </row>
    <row r="12" spans="1:20" x14ac:dyDescent="0.2">
      <c r="A12" t="s">
        <v>52</v>
      </c>
      <c r="B12" t="s">
        <v>66</v>
      </c>
      <c r="C12" t="s">
        <v>67</v>
      </c>
      <c r="D12" t="s">
        <v>68</v>
      </c>
      <c r="E12" t="s">
        <v>69</v>
      </c>
      <c r="F12" t="s">
        <v>23</v>
      </c>
      <c r="G12" s="1">
        <v>40</v>
      </c>
      <c r="H12" s="1">
        <v>6</v>
      </c>
      <c r="I12" t="s">
        <v>70</v>
      </c>
      <c r="L12" s="1">
        <v>1</v>
      </c>
      <c r="M12" s="3">
        <v>76.819999999999993</v>
      </c>
      <c r="N12" s="3">
        <v>3.84</v>
      </c>
      <c r="O12" s="3">
        <v>0</v>
      </c>
      <c r="P12" s="3">
        <v>0.2</v>
      </c>
      <c r="Q12" s="3">
        <v>80.86</v>
      </c>
      <c r="R12" s="3">
        <v>24.25</v>
      </c>
      <c r="S12" s="3">
        <f>VLOOKUP(C12,[1]page!$C$2:$M$3071,11,0)</f>
        <v>76.72</v>
      </c>
      <c r="T12" s="6">
        <f t="shared" si="0"/>
        <v>9.9999999999994316E-2</v>
      </c>
    </row>
    <row r="13" spans="1:20" x14ac:dyDescent="0.2">
      <c r="A13" t="s">
        <v>52</v>
      </c>
      <c r="B13" t="s">
        <v>71</v>
      </c>
      <c r="C13" t="s">
        <v>72</v>
      </c>
      <c r="D13" t="s">
        <v>73</v>
      </c>
      <c r="E13" t="s">
        <v>22</v>
      </c>
      <c r="F13" t="s">
        <v>74</v>
      </c>
      <c r="G13" s="1">
        <v>40</v>
      </c>
      <c r="H13" s="1">
        <v>120</v>
      </c>
      <c r="I13" t="s">
        <v>24</v>
      </c>
      <c r="L13" s="1">
        <v>1</v>
      </c>
      <c r="M13" s="3">
        <v>3.09</v>
      </c>
      <c r="N13" s="3">
        <v>0.15</v>
      </c>
      <c r="O13" s="3">
        <v>0</v>
      </c>
      <c r="P13" s="3">
        <v>0.1</v>
      </c>
      <c r="Q13" s="3">
        <v>3.34</v>
      </c>
      <c r="R13" s="3">
        <v>2.6</v>
      </c>
      <c r="S13" s="3">
        <f>VLOOKUP(C13,[1]page!$C$2:$M$3071,11,0)</f>
        <v>2.99</v>
      </c>
      <c r="T13" s="6">
        <f t="shared" si="0"/>
        <v>9.9999999999999645E-2</v>
      </c>
    </row>
    <row r="14" spans="1:20" x14ac:dyDescent="0.2">
      <c r="A14" t="s">
        <v>52</v>
      </c>
      <c r="B14" t="s">
        <v>75</v>
      </c>
      <c r="C14" t="s">
        <v>76</v>
      </c>
      <c r="D14" t="s">
        <v>73</v>
      </c>
      <c r="E14" t="s">
        <v>22</v>
      </c>
      <c r="F14" t="s">
        <v>77</v>
      </c>
      <c r="G14" s="1">
        <v>40</v>
      </c>
      <c r="H14" s="1">
        <v>24</v>
      </c>
      <c r="I14" t="s">
        <v>24</v>
      </c>
      <c r="L14" s="1">
        <v>1</v>
      </c>
      <c r="M14" s="3">
        <v>14.69</v>
      </c>
      <c r="N14" s="3">
        <v>0.73</v>
      </c>
      <c r="O14" s="3">
        <v>0</v>
      </c>
      <c r="P14" s="3">
        <v>0.2</v>
      </c>
      <c r="Q14" s="3">
        <v>15.62</v>
      </c>
      <c r="R14" s="3">
        <v>13.7</v>
      </c>
      <c r="S14" s="3">
        <f>VLOOKUP(C14,[1]page!$C$2:$M$3071,11,0)</f>
        <v>14.5</v>
      </c>
      <c r="T14" s="6">
        <f t="shared" si="0"/>
        <v>0.1899999999999995</v>
      </c>
    </row>
    <row r="15" spans="1:20" x14ac:dyDescent="0.2">
      <c r="A15" t="s">
        <v>52</v>
      </c>
      <c r="B15" t="s">
        <v>78</v>
      </c>
      <c r="C15" t="s">
        <v>79</v>
      </c>
      <c r="D15" t="s">
        <v>73</v>
      </c>
      <c r="E15" t="s">
        <v>22</v>
      </c>
      <c r="F15" t="s">
        <v>23</v>
      </c>
      <c r="G15" s="1">
        <v>40</v>
      </c>
      <c r="H15" s="1">
        <v>12</v>
      </c>
      <c r="I15" t="s">
        <v>24</v>
      </c>
      <c r="L15" s="1">
        <v>1</v>
      </c>
      <c r="M15" s="3">
        <v>25.49</v>
      </c>
      <c r="N15" s="3">
        <v>1.27</v>
      </c>
      <c r="O15" s="3">
        <v>0</v>
      </c>
      <c r="P15" s="3">
        <v>0.2</v>
      </c>
      <c r="Q15" s="3">
        <v>26.96</v>
      </c>
      <c r="R15" s="3">
        <v>24.25</v>
      </c>
      <c r="S15" s="3">
        <f>VLOOKUP(C15,[1]page!$C$2:$M$3071,11,0)</f>
        <v>25.01</v>
      </c>
      <c r="T15" s="6">
        <f t="shared" si="0"/>
        <v>0.47999999999999687</v>
      </c>
    </row>
    <row r="16" spans="1:20" x14ac:dyDescent="0.2">
      <c r="A16" t="s">
        <v>52</v>
      </c>
      <c r="B16" t="s">
        <v>80</v>
      </c>
      <c r="C16" t="s">
        <v>81</v>
      </c>
      <c r="D16" t="s">
        <v>73</v>
      </c>
      <c r="E16" t="s">
        <v>22</v>
      </c>
      <c r="F16" t="s">
        <v>65</v>
      </c>
      <c r="G16" s="1">
        <v>40</v>
      </c>
      <c r="H16" s="1">
        <v>9</v>
      </c>
      <c r="I16" t="s">
        <v>24</v>
      </c>
      <c r="L16" s="1">
        <v>1</v>
      </c>
      <c r="M16" s="3">
        <v>35.49</v>
      </c>
      <c r="N16" s="3">
        <v>1.77</v>
      </c>
      <c r="O16" s="3">
        <v>0</v>
      </c>
      <c r="P16" s="3">
        <v>0.4</v>
      </c>
      <c r="Q16" s="3">
        <v>37.659999999999997</v>
      </c>
      <c r="R16" s="3">
        <v>35.75</v>
      </c>
      <c r="S16" s="3">
        <f>VLOOKUP(C16,[1]page!$C$2:$M$3071,11,0)</f>
        <v>35.020000000000003</v>
      </c>
      <c r="T16" s="6">
        <f t="shared" si="0"/>
        <v>0.46999999999999886</v>
      </c>
    </row>
    <row r="17" spans="1:20" x14ac:dyDescent="0.2">
      <c r="A17" t="s">
        <v>52</v>
      </c>
      <c r="B17" t="s">
        <v>82</v>
      </c>
      <c r="C17" t="s">
        <v>83</v>
      </c>
      <c r="D17" t="s">
        <v>73</v>
      </c>
      <c r="E17" t="s">
        <v>22</v>
      </c>
      <c r="F17" t="s">
        <v>84</v>
      </c>
      <c r="G17" s="1">
        <v>40</v>
      </c>
      <c r="H17" s="1">
        <v>6</v>
      </c>
      <c r="I17" t="s">
        <v>24</v>
      </c>
      <c r="L17" s="1">
        <v>1</v>
      </c>
      <c r="M17" s="3">
        <v>50.49</v>
      </c>
      <c r="N17" s="3">
        <v>2.52</v>
      </c>
      <c r="O17" s="3">
        <v>0</v>
      </c>
      <c r="P17" s="3">
        <v>0.4</v>
      </c>
      <c r="Q17" s="3">
        <v>53.41</v>
      </c>
      <c r="R17" s="3">
        <v>53.75</v>
      </c>
      <c r="S17" s="3">
        <f>VLOOKUP(C17,[1]page!$C$2:$M$3071,11,0)</f>
        <v>50.01</v>
      </c>
      <c r="T17" s="6">
        <f t="shared" si="0"/>
        <v>0.48000000000000398</v>
      </c>
    </row>
    <row r="18" spans="1:20" x14ac:dyDescent="0.2">
      <c r="A18" t="s">
        <v>52</v>
      </c>
      <c r="B18" t="s">
        <v>85</v>
      </c>
      <c r="C18" t="s">
        <v>86</v>
      </c>
      <c r="D18" t="s">
        <v>73</v>
      </c>
      <c r="E18" t="s">
        <v>22</v>
      </c>
      <c r="F18" t="s">
        <v>87</v>
      </c>
      <c r="G18" s="1">
        <v>40</v>
      </c>
      <c r="H18" s="1">
        <v>3</v>
      </c>
      <c r="I18" t="s">
        <v>24</v>
      </c>
      <c r="L18" s="1">
        <v>1</v>
      </c>
      <c r="M18" s="3">
        <v>104.99</v>
      </c>
      <c r="N18" s="3">
        <v>5.25</v>
      </c>
      <c r="O18" s="3">
        <v>0</v>
      </c>
      <c r="P18" s="3">
        <v>0.4</v>
      </c>
      <c r="Q18" s="3">
        <v>110.64</v>
      </c>
      <c r="R18" s="3">
        <v>90.2</v>
      </c>
      <c r="S18" s="3">
        <f>VLOOKUP(C18,[1]page!$C$2:$M$3071,11,0)</f>
        <v>104.32</v>
      </c>
      <c r="T18" s="6">
        <f t="shared" si="0"/>
        <v>0.67000000000000171</v>
      </c>
    </row>
    <row r="19" spans="1:20" x14ac:dyDescent="0.2">
      <c r="A19" t="s">
        <v>52</v>
      </c>
      <c r="B19" t="s">
        <v>88</v>
      </c>
      <c r="C19" t="s">
        <v>89</v>
      </c>
      <c r="D19" t="s">
        <v>90</v>
      </c>
      <c r="E19" t="s">
        <v>22</v>
      </c>
      <c r="F19" t="s">
        <v>23</v>
      </c>
      <c r="G19" s="1">
        <v>45</v>
      </c>
      <c r="H19" s="1">
        <v>12</v>
      </c>
      <c r="I19" t="s">
        <v>24</v>
      </c>
      <c r="L19" s="1">
        <v>1</v>
      </c>
      <c r="M19" s="3">
        <v>25.99</v>
      </c>
      <c r="N19" s="3">
        <v>1.3</v>
      </c>
      <c r="O19" s="3">
        <v>0</v>
      </c>
      <c r="P19" s="3">
        <v>0.2</v>
      </c>
      <c r="Q19" s="3">
        <v>27.49</v>
      </c>
      <c r="R19" s="3">
        <v>30.35</v>
      </c>
      <c r="S19" s="3">
        <f>VLOOKUP(C19,[1]page!$C$2:$M$3071,11,0)</f>
        <v>25.99</v>
      </c>
      <c r="T19" s="6">
        <f t="shared" si="0"/>
        <v>0</v>
      </c>
    </row>
    <row r="20" spans="1:20" x14ac:dyDescent="0.2">
      <c r="A20" t="s">
        <v>52</v>
      </c>
      <c r="B20" t="s">
        <v>91</v>
      </c>
      <c r="C20" t="s">
        <v>92</v>
      </c>
      <c r="D20" t="s">
        <v>90</v>
      </c>
      <c r="E20" t="s">
        <v>22</v>
      </c>
      <c r="F20" t="s">
        <v>65</v>
      </c>
      <c r="G20" s="1">
        <v>45</v>
      </c>
      <c r="H20" s="1">
        <v>9</v>
      </c>
      <c r="I20" t="s">
        <v>24</v>
      </c>
      <c r="L20" s="1">
        <v>1</v>
      </c>
      <c r="M20" s="3">
        <v>38.340000000000003</v>
      </c>
      <c r="N20" s="3">
        <v>1.92</v>
      </c>
      <c r="O20" s="3">
        <v>0</v>
      </c>
      <c r="P20" s="3">
        <v>0.4</v>
      </c>
      <c r="Q20" s="3">
        <v>40.659999999999997</v>
      </c>
      <c r="R20" s="3">
        <v>44.75</v>
      </c>
      <c r="S20" s="3">
        <f>VLOOKUP(C20,[1]page!$C$2:$M$3071,11,0)</f>
        <v>38.01</v>
      </c>
      <c r="T20" s="6">
        <f t="shared" si="0"/>
        <v>0.3300000000000054</v>
      </c>
    </row>
    <row r="21" spans="1:20" x14ac:dyDescent="0.2">
      <c r="A21" t="s">
        <v>52</v>
      </c>
      <c r="B21" t="s">
        <v>93</v>
      </c>
      <c r="C21" t="s">
        <v>94</v>
      </c>
      <c r="D21" t="s">
        <v>95</v>
      </c>
      <c r="E21" t="s">
        <v>96</v>
      </c>
      <c r="F21" t="s">
        <v>23</v>
      </c>
      <c r="G21" s="1">
        <v>35</v>
      </c>
      <c r="H21" s="1">
        <v>12</v>
      </c>
      <c r="I21" t="s">
        <v>24</v>
      </c>
      <c r="L21" s="1">
        <v>1</v>
      </c>
      <c r="M21" s="3">
        <v>24.77</v>
      </c>
      <c r="N21" s="3">
        <v>1.24</v>
      </c>
      <c r="O21" s="3">
        <v>0</v>
      </c>
      <c r="P21" s="3">
        <v>0.2</v>
      </c>
      <c r="Q21" s="3">
        <v>26.21</v>
      </c>
      <c r="R21" s="3">
        <v>24.25</v>
      </c>
      <c r="S21" s="3">
        <f>VLOOKUP(C21,[1]page!$C$2:$M$3071,11,0)</f>
        <v>26.16</v>
      </c>
      <c r="T21" s="6">
        <f t="shared" si="0"/>
        <v>-1.3900000000000006</v>
      </c>
    </row>
    <row r="22" spans="1:20" x14ac:dyDescent="0.2">
      <c r="A22" t="s">
        <v>52</v>
      </c>
      <c r="B22" t="s">
        <v>97</v>
      </c>
      <c r="C22" t="s">
        <v>98</v>
      </c>
      <c r="D22" t="s">
        <v>99</v>
      </c>
      <c r="E22" t="s">
        <v>22</v>
      </c>
      <c r="F22" t="s">
        <v>23</v>
      </c>
      <c r="G22" s="1">
        <v>45</v>
      </c>
      <c r="H22" s="1">
        <v>12</v>
      </c>
      <c r="I22" t="s">
        <v>24</v>
      </c>
      <c r="L22" s="1">
        <v>1</v>
      </c>
      <c r="M22" s="3">
        <v>26.99</v>
      </c>
      <c r="N22" s="3">
        <v>1.35</v>
      </c>
      <c r="O22" s="3">
        <v>0</v>
      </c>
      <c r="P22" s="3">
        <v>0.2</v>
      </c>
      <c r="Q22" s="3">
        <v>28.54</v>
      </c>
      <c r="R22" s="3">
        <v>30.35</v>
      </c>
      <c r="S22" s="3">
        <f>VLOOKUP(C22,[1]page!$C$2:$M$3071,11,0)</f>
        <v>27</v>
      </c>
      <c r="T22" s="6">
        <f t="shared" si="0"/>
        <v>-1.0000000000001563E-2</v>
      </c>
    </row>
    <row r="23" spans="1:20" x14ac:dyDescent="0.2">
      <c r="A23" t="s">
        <v>52</v>
      </c>
      <c r="B23" t="s">
        <v>100</v>
      </c>
      <c r="C23" t="s">
        <v>101</v>
      </c>
      <c r="D23" t="s">
        <v>102</v>
      </c>
      <c r="E23" t="s">
        <v>96</v>
      </c>
      <c r="F23" t="s">
        <v>23</v>
      </c>
      <c r="G23" s="1">
        <v>45</v>
      </c>
      <c r="H23" s="1">
        <v>12</v>
      </c>
      <c r="I23" t="s">
        <v>24</v>
      </c>
      <c r="L23" s="1">
        <v>1</v>
      </c>
      <c r="M23" s="3">
        <v>67.11</v>
      </c>
      <c r="N23" s="3">
        <v>3.36</v>
      </c>
      <c r="O23" s="3">
        <v>0</v>
      </c>
      <c r="P23" s="3">
        <v>0.2</v>
      </c>
      <c r="Q23" s="3">
        <v>70.67</v>
      </c>
      <c r="R23" s="3">
        <v>30.35</v>
      </c>
      <c r="S23" s="3">
        <f>VLOOKUP(C23,[1]page!$C$2:$M$3071,11,0)</f>
        <v>66.989999999999995</v>
      </c>
      <c r="T23" s="6">
        <f t="shared" si="0"/>
        <v>0.12000000000000455</v>
      </c>
    </row>
    <row r="24" spans="1:20" x14ac:dyDescent="0.2">
      <c r="A24" t="s">
        <v>52</v>
      </c>
      <c r="B24" t="s">
        <v>104</v>
      </c>
      <c r="C24" t="s">
        <v>105</v>
      </c>
      <c r="D24" t="s">
        <v>106</v>
      </c>
      <c r="E24" t="s">
        <v>28</v>
      </c>
      <c r="F24" t="s">
        <v>23</v>
      </c>
      <c r="G24" s="1">
        <v>45</v>
      </c>
      <c r="H24" s="1">
        <v>6</v>
      </c>
      <c r="I24" t="s">
        <v>29</v>
      </c>
      <c r="L24" s="1">
        <v>1</v>
      </c>
      <c r="M24" s="3">
        <v>230.14</v>
      </c>
      <c r="N24" s="3">
        <v>11.51</v>
      </c>
      <c r="O24" s="3">
        <v>0</v>
      </c>
      <c r="P24" s="3">
        <v>0.2</v>
      </c>
      <c r="Q24" s="3">
        <v>241.85</v>
      </c>
      <c r="R24" s="3">
        <v>30.35</v>
      </c>
      <c r="S24" s="3">
        <f>VLOOKUP(C24,[1]page!$C$2:$M$3071,11,0)</f>
        <v>230.02</v>
      </c>
      <c r="T24" s="6">
        <f t="shared" si="0"/>
        <v>0.11999999999997613</v>
      </c>
    </row>
    <row r="25" spans="1:20" x14ac:dyDescent="0.2">
      <c r="A25" t="s">
        <v>52</v>
      </c>
      <c r="B25" t="s">
        <v>107</v>
      </c>
      <c r="C25" t="s">
        <v>108</v>
      </c>
      <c r="D25" t="s">
        <v>109</v>
      </c>
      <c r="E25" t="s">
        <v>28</v>
      </c>
      <c r="F25" t="s">
        <v>23</v>
      </c>
      <c r="G25" s="1">
        <v>43</v>
      </c>
      <c r="H25" s="1">
        <v>12</v>
      </c>
      <c r="I25" t="s">
        <v>29</v>
      </c>
      <c r="L25" s="1">
        <v>1</v>
      </c>
      <c r="M25" s="3">
        <v>28.21</v>
      </c>
      <c r="N25" s="3">
        <v>1.41</v>
      </c>
      <c r="O25" s="3">
        <v>0</v>
      </c>
      <c r="P25" s="3">
        <v>0.2</v>
      </c>
      <c r="Q25" s="3">
        <v>29.82</v>
      </c>
      <c r="R25" s="3">
        <v>24.25</v>
      </c>
      <c r="S25" s="3">
        <f>VLOOKUP(C25,[1]page!$C$2:$M$3071,11,0)</f>
        <v>28.01</v>
      </c>
      <c r="T25" s="6">
        <f t="shared" si="0"/>
        <v>0.19999999999999929</v>
      </c>
    </row>
    <row r="26" spans="1:20" x14ac:dyDescent="0.2">
      <c r="A26" t="s">
        <v>52</v>
      </c>
      <c r="B26" t="s">
        <v>110</v>
      </c>
      <c r="C26" t="s">
        <v>111</v>
      </c>
      <c r="D26" t="s">
        <v>112</v>
      </c>
      <c r="E26" t="s">
        <v>28</v>
      </c>
      <c r="F26" t="s">
        <v>23</v>
      </c>
      <c r="G26" s="1">
        <v>51</v>
      </c>
      <c r="H26" s="1">
        <v>6</v>
      </c>
      <c r="I26" t="s">
        <v>29</v>
      </c>
      <c r="L26" s="1">
        <v>1</v>
      </c>
      <c r="M26" s="3">
        <v>73.92</v>
      </c>
      <c r="N26" s="3">
        <v>3.7</v>
      </c>
      <c r="O26" s="3">
        <v>0</v>
      </c>
      <c r="P26" s="3">
        <v>0.2</v>
      </c>
      <c r="Q26" s="3">
        <v>77.819999999999993</v>
      </c>
      <c r="R26" s="3">
        <v>30.35</v>
      </c>
      <c r="S26" s="3">
        <f>VLOOKUP(C26,[1]page!$C$2:$M$3071,11,0)</f>
        <v>73.78</v>
      </c>
      <c r="T26" s="6">
        <f t="shared" si="0"/>
        <v>0.14000000000000057</v>
      </c>
    </row>
    <row r="27" spans="1:20" x14ac:dyDescent="0.2">
      <c r="A27" t="s">
        <v>52</v>
      </c>
      <c r="B27" t="s">
        <v>113</v>
      </c>
      <c r="C27" t="s">
        <v>114</v>
      </c>
      <c r="D27" t="s">
        <v>115</v>
      </c>
      <c r="E27" t="s">
        <v>43</v>
      </c>
      <c r="F27" t="s">
        <v>23</v>
      </c>
      <c r="G27" s="1">
        <v>46</v>
      </c>
      <c r="H27" s="1">
        <v>12</v>
      </c>
      <c r="I27" t="s">
        <v>34</v>
      </c>
      <c r="L27" s="1">
        <v>1</v>
      </c>
      <c r="M27" s="3">
        <v>24.72</v>
      </c>
      <c r="N27" s="3">
        <v>1.24</v>
      </c>
      <c r="O27" s="3">
        <v>0</v>
      </c>
      <c r="P27" s="3">
        <v>0.2</v>
      </c>
      <c r="Q27" s="3">
        <v>26.16</v>
      </c>
      <c r="R27" s="3">
        <v>30.35</v>
      </c>
      <c r="S27" s="3">
        <f>VLOOKUP(C27,[1]page!$C$2:$M$3071,11,0)</f>
        <v>24.5</v>
      </c>
      <c r="T27" s="6">
        <f t="shared" si="0"/>
        <v>0.21999999999999886</v>
      </c>
    </row>
    <row r="28" spans="1:20" x14ac:dyDescent="0.2">
      <c r="A28" t="s">
        <v>52</v>
      </c>
      <c r="B28" t="s">
        <v>116</v>
      </c>
      <c r="C28" t="s">
        <v>117</v>
      </c>
      <c r="D28" t="s">
        <v>118</v>
      </c>
      <c r="E28" t="s">
        <v>33</v>
      </c>
      <c r="F28" t="s">
        <v>77</v>
      </c>
      <c r="G28" s="1">
        <v>40</v>
      </c>
      <c r="H28" s="1">
        <v>12</v>
      </c>
      <c r="I28" t="s">
        <v>34</v>
      </c>
      <c r="L28" s="1">
        <v>1</v>
      </c>
      <c r="M28" s="3">
        <v>14.1</v>
      </c>
      <c r="N28" s="3">
        <v>0.71</v>
      </c>
      <c r="O28" s="3">
        <v>0</v>
      </c>
      <c r="P28" s="3">
        <v>0.2</v>
      </c>
      <c r="Q28" s="3">
        <v>15.01</v>
      </c>
      <c r="R28" s="3">
        <v>13.7</v>
      </c>
      <c r="S28" s="3">
        <f>VLOOKUP(C28,[1]page!$C$2:$M$3071,11,0)</f>
        <v>14</v>
      </c>
      <c r="T28" s="6">
        <f t="shared" si="0"/>
        <v>9.9999999999999645E-2</v>
      </c>
    </row>
    <row r="29" spans="1:20" x14ac:dyDescent="0.2">
      <c r="A29" t="s">
        <v>52</v>
      </c>
      <c r="B29" t="s">
        <v>119</v>
      </c>
      <c r="C29" t="s">
        <v>120</v>
      </c>
      <c r="D29" t="s">
        <v>118</v>
      </c>
      <c r="E29" t="s">
        <v>33</v>
      </c>
      <c r="F29" t="s">
        <v>23</v>
      </c>
      <c r="G29" s="1">
        <v>40</v>
      </c>
      <c r="H29" s="1">
        <v>12</v>
      </c>
      <c r="I29" t="s">
        <v>34</v>
      </c>
      <c r="L29" s="1">
        <v>1</v>
      </c>
      <c r="M29" s="3">
        <v>25.2</v>
      </c>
      <c r="N29" s="3">
        <v>1.26</v>
      </c>
      <c r="O29" s="3">
        <v>0</v>
      </c>
      <c r="P29" s="3">
        <v>0.2</v>
      </c>
      <c r="Q29" s="3">
        <v>26.66</v>
      </c>
      <c r="R29" s="3">
        <v>24.25</v>
      </c>
      <c r="S29" s="3">
        <f>VLOOKUP(C29,[1]page!$C$2:$M$3071,11,0)</f>
        <v>25.01</v>
      </c>
      <c r="T29" s="6">
        <f t="shared" si="0"/>
        <v>0.18999999999999773</v>
      </c>
    </row>
    <row r="30" spans="1:20" x14ac:dyDescent="0.2">
      <c r="A30" t="s">
        <v>52</v>
      </c>
      <c r="B30" t="s">
        <v>121</v>
      </c>
      <c r="C30" t="s">
        <v>122</v>
      </c>
      <c r="D30" t="s">
        <v>118</v>
      </c>
      <c r="E30" t="s">
        <v>33</v>
      </c>
      <c r="F30" t="s">
        <v>65</v>
      </c>
      <c r="G30" s="1">
        <v>40</v>
      </c>
      <c r="H30" s="1">
        <v>8</v>
      </c>
      <c r="I30" t="s">
        <v>34</v>
      </c>
      <c r="L30" s="1">
        <v>1</v>
      </c>
      <c r="M30" s="3">
        <v>35.799999999999997</v>
      </c>
      <c r="N30" s="3">
        <v>1.79</v>
      </c>
      <c r="O30" s="3">
        <v>0</v>
      </c>
      <c r="P30" s="3">
        <v>0.4</v>
      </c>
      <c r="Q30" s="3">
        <v>37.99</v>
      </c>
      <c r="R30" s="3">
        <v>35.75</v>
      </c>
      <c r="S30" s="3">
        <f>VLOOKUP(C30,[1]page!$C$2:$M$3071,11,0)</f>
        <v>35.51</v>
      </c>
      <c r="T30" s="6">
        <f t="shared" si="0"/>
        <v>0.28999999999999915</v>
      </c>
    </row>
    <row r="31" spans="1:20" x14ac:dyDescent="0.2">
      <c r="A31" t="s">
        <v>52</v>
      </c>
      <c r="B31" t="s">
        <v>123</v>
      </c>
      <c r="C31" t="s">
        <v>124</v>
      </c>
      <c r="D31" t="s">
        <v>118</v>
      </c>
      <c r="E31" t="s">
        <v>33</v>
      </c>
      <c r="F31" t="s">
        <v>84</v>
      </c>
      <c r="G31" s="1">
        <v>40</v>
      </c>
      <c r="H31" s="1">
        <v>6</v>
      </c>
      <c r="I31" t="s">
        <v>34</v>
      </c>
      <c r="L31" s="1">
        <v>1</v>
      </c>
      <c r="M31" s="3">
        <v>52.47</v>
      </c>
      <c r="N31" s="3">
        <v>2.62</v>
      </c>
      <c r="O31" s="3">
        <v>0</v>
      </c>
      <c r="P31" s="3">
        <v>0.4</v>
      </c>
      <c r="Q31" s="3">
        <v>55.49</v>
      </c>
      <c r="R31" s="3">
        <v>53.75</v>
      </c>
      <c r="S31" s="3">
        <f>VLOOKUP(C31,[1]page!$C$2:$M$3071,11,0)</f>
        <v>52.02</v>
      </c>
      <c r="T31" s="6">
        <f t="shared" si="0"/>
        <v>0.44999999999999574</v>
      </c>
    </row>
    <row r="32" spans="1:20" x14ac:dyDescent="0.2">
      <c r="A32" t="s">
        <v>52</v>
      </c>
      <c r="B32" t="s">
        <v>125</v>
      </c>
      <c r="C32" t="s">
        <v>126</v>
      </c>
      <c r="D32" t="s">
        <v>127</v>
      </c>
      <c r="E32" t="s">
        <v>33</v>
      </c>
      <c r="F32" t="s">
        <v>23</v>
      </c>
      <c r="G32" s="1">
        <v>40</v>
      </c>
      <c r="H32" s="1">
        <v>12</v>
      </c>
      <c r="I32" t="s">
        <v>34</v>
      </c>
      <c r="L32" s="1">
        <v>1</v>
      </c>
      <c r="M32" s="3">
        <v>22.19</v>
      </c>
      <c r="N32" s="3">
        <v>1.1100000000000001</v>
      </c>
      <c r="O32" s="3">
        <v>0</v>
      </c>
      <c r="P32" s="3">
        <v>0.2</v>
      </c>
      <c r="Q32" s="3">
        <v>23.5</v>
      </c>
      <c r="R32" s="3">
        <v>24.25</v>
      </c>
      <c r="S32" s="3">
        <f>VLOOKUP(C32,[1]page!$C$2:$M$3071,11,0)</f>
        <v>22</v>
      </c>
      <c r="T32" s="6">
        <f t="shared" si="0"/>
        <v>0.19000000000000128</v>
      </c>
    </row>
    <row r="33" spans="1:20" x14ac:dyDescent="0.2">
      <c r="A33" t="s">
        <v>52</v>
      </c>
      <c r="B33" t="s">
        <v>128</v>
      </c>
      <c r="C33" t="s">
        <v>129</v>
      </c>
      <c r="D33" t="s">
        <v>127</v>
      </c>
      <c r="E33" t="s">
        <v>33</v>
      </c>
      <c r="F33" t="s">
        <v>65</v>
      </c>
      <c r="G33" s="1">
        <v>40</v>
      </c>
      <c r="H33" s="1">
        <v>8</v>
      </c>
      <c r="I33" t="s">
        <v>34</v>
      </c>
      <c r="L33" s="1">
        <v>1</v>
      </c>
      <c r="M33" s="3">
        <v>32.31</v>
      </c>
      <c r="N33" s="3">
        <v>1.62</v>
      </c>
      <c r="O33" s="3">
        <v>0</v>
      </c>
      <c r="P33" s="3">
        <v>0.4</v>
      </c>
      <c r="Q33" s="3">
        <v>34.33</v>
      </c>
      <c r="R33" s="3">
        <v>35.75</v>
      </c>
      <c r="S33" s="3">
        <f>VLOOKUP(C33,[1]page!$C$2:$M$3071,11,0)</f>
        <v>32.020000000000003</v>
      </c>
      <c r="T33" s="6">
        <f t="shared" si="0"/>
        <v>0.28999999999999915</v>
      </c>
    </row>
    <row r="34" spans="1:20" x14ac:dyDescent="0.2">
      <c r="A34" t="s">
        <v>52</v>
      </c>
      <c r="B34" t="s">
        <v>130</v>
      </c>
      <c r="C34" t="s">
        <v>131</v>
      </c>
      <c r="D34" t="s">
        <v>127</v>
      </c>
      <c r="E34" t="s">
        <v>33</v>
      </c>
      <c r="F34" t="s">
        <v>84</v>
      </c>
      <c r="G34" s="1">
        <v>40</v>
      </c>
      <c r="H34" s="1">
        <v>6</v>
      </c>
      <c r="I34" t="s">
        <v>34</v>
      </c>
      <c r="L34" s="1">
        <v>1</v>
      </c>
      <c r="M34" s="3">
        <v>47.97</v>
      </c>
      <c r="N34" s="3">
        <v>2.4</v>
      </c>
      <c r="O34" s="3">
        <v>0</v>
      </c>
      <c r="P34" s="3">
        <v>0.4</v>
      </c>
      <c r="Q34" s="3">
        <v>50.77</v>
      </c>
      <c r="R34" s="3">
        <v>53.75</v>
      </c>
      <c r="S34" s="3">
        <f>VLOOKUP(C34,[1]page!$C$2:$M$3071,11,0)</f>
        <v>47.53</v>
      </c>
      <c r="T34" s="6">
        <f t="shared" si="0"/>
        <v>0.43999999999999773</v>
      </c>
    </row>
    <row r="35" spans="1:20" x14ac:dyDescent="0.2">
      <c r="A35" t="s">
        <v>52</v>
      </c>
      <c r="B35" t="s">
        <v>132</v>
      </c>
      <c r="C35" t="s">
        <v>133</v>
      </c>
      <c r="D35" t="s">
        <v>134</v>
      </c>
      <c r="E35" t="s">
        <v>103</v>
      </c>
      <c r="F35" t="s">
        <v>65</v>
      </c>
      <c r="G35" s="1">
        <v>40</v>
      </c>
      <c r="H35" s="1">
        <v>12</v>
      </c>
      <c r="I35" t="s">
        <v>51</v>
      </c>
      <c r="L35" s="1">
        <v>1</v>
      </c>
      <c r="M35" s="3">
        <v>27.99</v>
      </c>
      <c r="N35" s="3">
        <v>1.4</v>
      </c>
      <c r="O35" s="3">
        <v>0</v>
      </c>
      <c r="P35" s="3">
        <v>0.25</v>
      </c>
      <c r="Q35" s="3">
        <v>29.64</v>
      </c>
      <c r="R35" s="3">
        <v>35.75</v>
      </c>
      <c r="S35" s="3">
        <f>VLOOKUP(C35,[1]page!$C$2:$M$3071,11,0)</f>
        <v>27.91</v>
      </c>
      <c r="T35" s="6">
        <f t="shared" si="0"/>
        <v>7.9999999999998295E-2</v>
      </c>
    </row>
    <row r="36" spans="1:20" x14ac:dyDescent="0.2">
      <c r="A36" t="s">
        <v>52</v>
      </c>
      <c r="B36" t="s">
        <v>135</v>
      </c>
      <c r="C36" t="s">
        <v>136</v>
      </c>
      <c r="D36" t="s">
        <v>137</v>
      </c>
      <c r="E36" t="s">
        <v>43</v>
      </c>
      <c r="F36" t="s">
        <v>23</v>
      </c>
      <c r="G36" s="1">
        <v>40</v>
      </c>
      <c r="H36" s="1">
        <v>12</v>
      </c>
      <c r="I36" t="s">
        <v>39</v>
      </c>
      <c r="L36" s="1">
        <v>1</v>
      </c>
      <c r="M36" s="3">
        <v>26.12</v>
      </c>
      <c r="N36" s="3">
        <v>1.31</v>
      </c>
      <c r="O36" s="3">
        <v>0</v>
      </c>
      <c r="P36" s="3">
        <v>0.2</v>
      </c>
      <c r="Q36" s="3">
        <v>27.63</v>
      </c>
      <c r="R36" s="3">
        <v>24.25</v>
      </c>
      <c r="S36" s="3">
        <f>VLOOKUP(C36,[1]page!$C$2:$M$3071,11,0)</f>
        <v>26.12</v>
      </c>
      <c r="T36" s="6">
        <f t="shared" si="0"/>
        <v>0</v>
      </c>
    </row>
    <row r="37" spans="1:20" x14ac:dyDescent="0.2">
      <c r="A37" t="s">
        <v>52</v>
      </c>
      <c r="B37" t="s">
        <v>138</v>
      </c>
      <c r="C37" t="s">
        <v>139</v>
      </c>
      <c r="D37" t="s">
        <v>140</v>
      </c>
      <c r="E37" t="s">
        <v>38</v>
      </c>
      <c r="F37" t="s">
        <v>77</v>
      </c>
      <c r="G37" s="1">
        <v>40</v>
      </c>
      <c r="H37" s="1">
        <v>24</v>
      </c>
      <c r="I37" t="s">
        <v>39</v>
      </c>
      <c r="L37" s="1">
        <v>1</v>
      </c>
      <c r="M37" s="3">
        <v>13.81</v>
      </c>
      <c r="N37" s="3">
        <v>0.69</v>
      </c>
      <c r="O37" s="3">
        <v>0</v>
      </c>
      <c r="P37" s="3">
        <v>0.1</v>
      </c>
      <c r="Q37" s="3">
        <v>14.6</v>
      </c>
      <c r="R37" s="3">
        <v>13.7</v>
      </c>
      <c r="S37" s="3">
        <f>VLOOKUP(C37,[1]page!$C$2:$M$3071,11,0)</f>
        <v>13.81</v>
      </c>
      <c r="T37" s="6">
        <f t="shared" si="0"/>
        <v>0</v>
      </c>
    </row>
    <row r="38" spans="1:20" x14ac:dyDescent="0.2">
      <c r="A38" t="s">
        <v>52</v>
      </c>
      <c r="B38" t="s">
        <v>141</v>
      </c>
      <c r="C38" t="s">
        <v>142</v>
      </c>
      <c r="D38" t="s">
        <v>140</v>
      </c>
      <c r="E38" t="s">
        <v>38</v>
      </c>
      <c r="F38" t="s">
        <v>23</v>
      </c>
      <c r="G38" s="1">
        <v>40</v>
      </c>
      <c r="H38" s="1">
        <v>12</v>
      </c>
      <c r="I38" t="s">
        <v>39</v>
      </c>
      <c r="L38" s="1">
        <v>1</v>
      </c>
      <c r="M38" s="3">
        <v>23.82</v>
      </c>
      <c r="N38" s="3">
        <v>1.19</v>
      </c>
      <c r="O38" s="3">
        <v>0</v>
      </c>
      <c r="P38" s="3">
        <v>0.2</v>
      </c>
      <c r="Q38" s="3">
        <v>25.21</v>
      </c>
      <c r="R38" s="3">
        <v>24.25</v>
      </c>
      <c r="S38" s="3">
        <f>VLOOKUP(C38,[1]page!$C$2:$M$3071,11,0)</f>
        <v>23.82</v>
      </c>
      <c r="T38" s="6">
        <f t="shared" si="0"/>
        <v>0</v>
      </c>
    </row>
    <row r="39" spans="1:20" x14ac:dyDescent="0.2">
      <c r="A39" t="s">
        <v>52</v>
      </c>
      <c r="B39" t="s">
        <v>143</v>
      </c>
      <c r="C39" t="s">
        <v>144</v>
      </c>
      <c r="D39" t="s">
        <v>140</v>
      </c>
      <c r="E39" t="s">
        <v>38</v>
      </c>
      <c r="F39" t="s">
        <v>65</v>
      </c>
      <c r="G39" s="1">
        <v>40</v>
      </c>
      <c r="H39" s="1">
        <v>8</v>
      </c>
      <c r="I39" t="s">
        <v>39</v>
      </c>
      <c r="L39" s="1">
        <v>1</v>
      </c>
      <c r="M39" s="3">
        <v>33.840000000000003</v>
      </c>
      <c r="N39" s="3">
        <v>1.69</v>
      </c>
      <c r="O39" s="3">
        <v>0</v>
      </c>
      <c r="P39" s="3">
        <v>0.4</v>
      </c>
      <c r="Q39" s="3">
        <v>35.93</v>
      </c>
      <c r="R39" s="3">
        <v>35.75</v>
      </c>
      <c r="S39" s="3">
        <f>VLOOKUP(C39,[1]page!$C$2:$M$3071,11,0)</f>
        <v>33.840000000000003</v>
      </c>
      <c r="T39" s="6">
        <f t="shared" si="0"/>
        <v>0</v>
      </c>
    </row>
    <row r="40" spans="1:20" x14ac:dyDescent="0.2">
      <c r="A40" t="s">
        <v>52</v>
      </c>
      <c r="B40" t="s">
        <v>145</v>
      </c>
      <c r="C40" t="s">
        <v>146</v>
      </c>
      <c r="D40" t="s">
        <v>140</v>
      </c>
      <c r="E40" t="s">
        <v>38</v>
      </c>
      <c r="F40" t="s">
        <v>84</v>
      </c>
      <c r="G40" s="1">
        <v>40</v>
      </c>
      <c r="H40" s="1">
        <v>6</v>
      </c>
      <c r="I40" t="s">
        <v>39</v>
      </c>
      <c r="L40" s="1">
        <v>1</v>
      </c>
      <c r="M40" s="3">
        <v>50.46</v>
      </c>
      <c r="N40" s="3">
        <v>2.52</v>
      </c>
      <c r="O40" s="3">
        <v>0</v>
      </c>
      <c r="P40" s="3">
        <v>0.4</v>
      </c>
      <c r="Q40" s="3">
        <v>53.38</v>
      </c>
      <c r="R40" s="3">
        <v>53.75</v>
      </c>
      <c r="S40" s="3">
        <f>VLOOKUP(C40,[1]page!$C$2:$M$3071,11,0)</f>
        <v>50.46</v>
      </c>
      <c r="T40" s="6">
        <f t="shared" si="0"/>
        <v>0</v>
      </c>
    </row>
    <row r="41" spans="1:20" x14ac:dyDescent="0.2">
      <c r="A41" t="s">
        <v>52</v>
      </c>
      <c r="B41" t="s">
        <v>147</v>
      </c>
      <c r="C41" t="s">
        <v>148</v>
      </c>
      <c r="D41" t="s">
        <v>140</v>
      </c>
      <c r="E41" t="s">
        <v>38</v>
      </c>
      <c r="F41" t="s">
        <v>87</v>
      </c>
      <c r="G41" s="1">
        <v>40</v>
      </c>
      <c r="H41" s="1">
        <v>1</v>
      </c>
      <c r="I41" t="s">
        <v>39</v>
      </c>
      <c r="L41" s="1">
        <v>1</v>
      </c>
      <c r="M41" s="3">
        <v>105.1</v>
      </c>
      <c r="N41" s="3">
        <v>5.26</v>
      </c>
      <c r="O41" s="3">
        <v>0</v>
      </c>
      <c r="P41" s="3">
        <v>0.4</v>
      </c>
      <c r="Q41" s="3">
        <v>110.76</v>
      </c>
      <c r="R41" s="3">
        <v>90.2</v>
      </c>
      <c r="S41" s="3">
        <f>VLOOKUP(C41,[1]page!$C$2:$M$3071,11,0)</f>
        <v>105.09</v>
      </c>
      <c r="T41" s="6">
        <f t="shared" si="0"/>
        <v>9.9999999999909051E-3</v>
      </c>
    </row>
    <row r="42" spans="1:20" x14ac:dyDescent="0.2">
      <c r="A42" t="s">
        <v>52</v>
      </c>
      <c r="B42" t="s">
        <v>149</v>
      </c>
      <c r="C42" t="s">
        <v>150</v>
      </c>
      <c r="D42" t="s">
        <v>151</v>
      </c>
      <c r="E42" t="s">
        <v>43</v>
      </c>
      <c r="F42" t="s">
        <v>23</v>
      </c>
      <c r="G42" s="1">
        <v>35</v>
      </c>
      <c r="H42" s="1">
        <v>12</v>
      </c>
      <c r="I42" t="s">
        <v>39</v>
      </c>
      <c r="L42" s="1">
        <v>1</v>
      </c>
      <c r="M42" s="3">
        <v>24.6</v>
      </c>
      <c r="N42" s="3">
        <v>1.23</v>
      </c>
      <c r="O42" s="3">
        <v>0</v>
      </c>
      <c r="P42" s="3">
        <v>0.2</v>
      </c>
      <c r="Q42" s="3">
        <v>26.03</v>
      </c>
      <c r="R42" s="3">
        <v>24.25</v>
      </c>
      <c r="S42" s="3">
        <f>VLOOKUP(C42,[1]page!$C$2:$M$3071,11,0)</f>
        <v>24.6</v>
      </c>
      <c r="T42" s="6">
        <f t="shared" si="0"/>
        <v>0</v>
      </c>
    </row>
    <row r="43" spans="1:20" x14ac:dyDescent="0.2">
      <c r="A43" t="s">
        <v>52</v>
      </c>
      <c r="B43" t="s">
        <v>152</v>
      </c>
      <c r="C43" t="s">
        <v>153</v>
      </c>
      <c r="D43" t="s">
        <v>154</v>
      </c>
      <c r="E43" t="s">
        <v>155</v>
      </c>
      <c r="F43" t="s">
        <v>23</v>
      </c>
      <c r="G43" s="1">
        <v>40</v>
      </c>
      <c r="H43" s="1">
        <v>6</v>
      </c>
      <c r="I43" t="s">
        <v>156</v>
      </c>
      <c r="L43" s="1">
        <v>1</v>
      </c>
      <c r="M43" s="3">
        <v>43.19</v>
      </c>
      <c r="N43" s="3">
        <v>2.16</v>
      </c>
      <c r="O43" s="3">
        <v>0</v>
      </c>
      <c r="P43" s="3">
        <v>0.2</v>
      </c>
      <c r="Q43" s="3">
        <v>45.55</v>
      </c>
      <c r="R43" s="3">
        <v>24.25</v>
      </c>
      <c r="S43" s="3">
        <f>VLOOKUP(C43,[1]page!$C$2:$M$3071,11,0)</f>
        <v>43.01</v>
      </c>
      <c r="T43" s="6">
        <f t="shared" si="0"/>
        <v>0.17999999999999972</v>
      </c>
    </row>
    <row r="44" spans="1:20" x14ac:dyDescent="0.2">
      <c r="A44" t="s">
        <v>52</v>
      </c>
      <c r="B44" t="s">
        <v>157</v>
      </c>
      <c r="C44" t="s">
        <v>158</v>
      </c>
      <c r="D44" t="s">
        <v>159</v>
      </c>
      <c r="E44" t="s">
        <v>155</v>
      </c>
      <c r="F44" t="s">
        <v>23</v>
      </c>
      <c r="G44" s="1">
        <v>40</v>
      </c>
      <c r="H44" s="1">
        <v>6</v>
      </c>
      <c r="I44" t="s">
        <v>156</v>
      </c>
      <c r="L44" s="1">
        <v>1</v>
      </c>
      <c r="M44" s="3">
        <v>27.49</v>
      </c>
      <c r="N44" s="3">
        <v>1.37</v>
      </c>
      <c r="O44" s="3">
        <v>0</v>
      </c>
      <c r="P44" s="3">
        <v>0.2</v>
      </c>
      <c r="Q44" s="3">
        <v>29.06</v>
      </c>
      <c r="R44" s="3">
        <v>24.25</v>
      </c>
      <c r="S44" s="3">
        <f>VLOOKUP(C44,[1]page!$C$2:$M$3071,11,0)</f>
        <v>27.3</v>
      </c>
      <c r="T44" s="6">
        <f t="shared" si="0"/>
        <v>0.18999999999999773</v>
      </c>
    </row>
    <row r="45" spans="1:20" x14ac:dyDescent="0.2">
      <c r="A45" t="s">
        <v>52</v>
      </c>
      <c r="B45" t="s">
        <v>160</v>
      </c>
      <c r="C45" t="s">
        <v>161</v>
      </c>
      <c r="D45" t="s">
        <v>159</v>
      </c>
      <c r="E45" t="s">
        <v>155</v>
      </c>
      <c r="F45" t="s">
        <v>84</v>
      </c>
      <c r="G45" s="1">
        <v>40</v>
      </c>
      <c r="H45" s="1">
        <v>6</v>
      </c>
      <c r="I45" t="s">
        <v>156</v>
      </c>
      <c r="L45" s="1">
        <v>1</v>
      </c>
      <c r="M45" s="3">
        <v>56.79</v>
      </c>
      <c r="N45" s="3">
        <v>2.84</v>
      </c>
      <c r="O45" s="3">
        <v>0</v>
      </c>
      <c r="P45" s="3">
        <v>0.4</v>
      </c>
      <c r="Q45" s="3">
        <v>60.03</v>
      </c>
      <c r="R45" s="3">
        <v>53.75</v>
      </c>
      <c r="S45" s="3">
        <f>VLOOKUP(C45,[1]page!$C$2:$M$3071,11,0)</f>
        <v>56.33</v>
      </c>
      <c r="T45" s="6">
        <f t="shared" si="0"/>
        <v>0.46000000000000085</v>
      </c>
    </row>
    <row r="46" spans="1:20" x14ac:dyDescent="0.2">
      <c r="A46" t="s">
        <v>52</v>
      </c>
      <c r="B46" t="s">
        <v>162</v>
      </c>
      <c r="C46" t="s">
        <v>163</v>
      </c>
      <c r="D46" t="s">
        <v>164</v>
      </c>
      <c r="E46" t="s">
        <v>43</v>
      </c>
      <c r="F46" t="s">
        <v>23</v>
      </c>
      <c r="G46" s="1">
        <v>42</v>
      </c>
      <c r="H46" s="1">
        <v>6</v>
      </c>
      <c r="I46" t="s">
        <v>39</v>
      </c>
      <c r="L46" s="1">
        <v>1</v>
      </c>
      <c r="M46" s="3">
        <v>30.91</v>
      </c>
      <c r="N46" s="3">
        <v>1.55</v>
      </c>
      <c r="O46" s="3">
        <v>0</v>
      </c>
      <c r="P46" s="3">
        <v>0.2</v>
      </c>
      <c r="Q46" s="3">
        <v>32.659999999999997</v>
      </c>
      <c r="R46" s="3">
        <v>24.25</v>
      </c>
      <c r="S46" s="3">
        <f>VLOOKUP(C46,[1]page!$C$2:$M$3071,11,0)</f>
        <v>30.71</v>
      </c>
      <c r="T46" s="6">
        <f t="shared" si="0"/>
        <v>0.19999999999999929</v>
      </c>
    </row>
    <row r="47" spans="1:20" x14ac:dyDescent="0.2">
      <c r="A47" t="s">
        <v>52</v>
      </c>
      <c r="B47" t="s">
        <v>165</v>
      </c>
      <c r="C47" t="s">
        <v>166</v>
      </c>
      <c r="D47" t="s">
        <v>167</v>
      </c>
      <c r="E47" t="s">
        <v>168</v>
      </c>
      <c r="F47" t="s">
        <v>23</v>
      </c>
      <c r="G47" s="1">
        <v>40</v>
      </c>
      <c r="H47" s="1">
        <v>6</v>
      </c>
      <c r="I47" t="s">
        <v>169</v>
      </c>
      <c r="L47" s="1">
        <v>1</v>
      </c>
      <c r="M47" s="3">
        <v>38.69</v>
      </c>
      <c r="N47" s="3">
        <v>1.93</v>
      </c>
      <c r="O47" s="3">
        <v>0</v>
      </c>
      <c r="P47" s="3">
        <v>0.2</v>
      </c>
      <c r="Q47" s="3">
        <v>40.82</v>
      </c>
      <c r="R47" s="3">
        <v>24.25</v>
      </c>
      <c r="S47" s="3">
        <f>VLOOKUP(C47,[1]page!$C$2:$M$3071,11,0)</f>
        <v>38.5</v>
      </c>
      <c r="T47" s="6">
        <f t="shared" si="0"/>
        <v>0.18999999999999773</v>
      </c>
    </row>
    <row r="48" spans="1:20" x14ac:dyDescent="0.2">
      <c r="A48" t="s">
        <v>52</v>
      </c>
      <c r="B48" t="s">
        <v>170</v>
      </c>
      <c r="C48" t="s">
        <v>171</v>
      </c>
      <c r="D48" t="s">
        <v>172</v>
      </c>
      <c r="E48" t="s">
        <v>173</v>
      </c>
      <c r="F48" t="s">
        <v>23</v>
      </c>
      <c r="G48" s="1">
        <v>42</v>
      </c>
      <c r="H48" s="1">
        <v>6</v>
      </c>
      <c r="I48" t="s">
        <v>62</v>
      </c>
      <c r="L48" s="1">
        <v>1</v>
      </c>
      <c r="M48" s="3">
        <v>33.42</v>
      </c>
      <c r="N48" s="3">
        <v>1.67</v>
      </c>
      <c r="O48" s="3">
        <v>0</v>
      </c>
      <c r="P48" s="3">
        <v>0.2</v>
      </c>
      <c r="Q48" s="3">
        <v>35.29</v>
      </c>
      <c r="R48" s="3">
        <v>24.25</v>
      </c>
      <c r="S48" s="3">
        <f>VLOOKUP(C48,[1]page!$C$2:$M$3071,11,0)</f>
        <v>33.22</v>
      </c>
      <c r="T48" s="6">
        <f t="shared" si="0"/>
        <v>0.20000000000000284</v>
      </c>
    </row>
    <row r="49" spans="1:20" x14ac:dyDescent="0.2">
      <c r="A49" t="s">
        <v>52</v>
      </c>
      <c r="B49" t="s">
        <v>174</v>
      </c>
      <c r="C49" t="s">
        <v>175</v>
      </c>
      <c r="D49" t="s">
        <v>176</v>
      </c>
      <c r="E49" t="s">
        <v>177</v>
      </c>
      <c r="F49" t="s">
        <v>23</v>
      </c>
      <c r="G49" s="1">
        <v>40</v>
      </c>
      <c r="H49" s="1">
        <v>6</v>
      </c>
      <c r="I49" t="s">
        <v>178</v>
      </c>
      <c r="L49" s="1">
        <v>1</v>
      </c>
      <c r="M49" s="3">
        <v>32.64</v>
      </c>
      <c r="N49" s="3">
        <v>1.63</v>
      </c>
      <c r="O49" s="3">
        <v>0</v>
      </c>
      <c r="P49" s="3">
        <v>0.2</v>
      </c>
      <c r="Q49" s="3">
        <v>34.47</v>
      </c>
      <c r="R49" s="3">
        <v>24.25</v>
      </c>
      <c r="S49" s="3">
        <f>VLOOKUP(C49,[1]page!$C$2:$M$3071,11,0)</f>
        <v>32.450000000000003</v>
      </c>
      <c r="T49" s="6">
        <f t="shared" si="0"/>
        <v>0.18999999999999773</v>
      </c>
    </row>
    <row r="50" spans="1:20" x14ac:dyDescent="0.2">
      <c r="A50" t="s">
        <v>52</v>
      </c>
      <c r="B50" t="s">
        <v>179</v>
      </c>
      <c r="C50" t="s">
        <v>180</v>
      </c>
      <c r="D50" t="s">
        <v>181</v>
      </c>
      <c r="E50" t="s">
        <v>182</v>
      </c>
      <c r="F50" t="s">
        <v>23</v>
      </c>
      <c r="G50" s="1">
        <v>40</v>
      </c>
      <c r="H50" s="1">
        <v>6</v>
      </c>
      <c r="I50" t="s">
        <v>183</v>
      </c>
      <c r="L50" s="1">
        <v>1</v>
      </c>
      <c r="M50" s="3">
        <v>25.18</v>
      </c>
      <c r="N50" s="3">
        <v>1.26</v>
      </c>
      <c r="O50" s="3">
        <v>0</v>
      </c>
      <c r="P50" s="3">
        <v>0.2</v>
      </c>
      <c r="Q50" s="3">
        <v>26.64</v>
      </c>
      <c r="R50" s="3">
        <v>24.25</v>
      </c>
      <c r="S50" s="3">
        <f>VLOOKUP(C50,[1]page!$C$2:$M$3071,11,0)</f>
        <v>24.99</v>
      </c>
      <c r="T50" s="6">
        <f t="shared" si="0"/>
        <v>0.19000000000000128</v>
      </c>
    </row>
    <row r="51" spans="1:20" x14ac:dyDescent="0.2">
      <c r="A51" t="s">
        <v>52</v>
      </c>
      <c r="B51" t="s">
        <v>184</v>
      </c>
      <c r="C51" t="s">
        <v>185</v>
      </c>
      <c r="D51" t="s">
        <v>186</v>
      </c>
      <c r="E51" t="s">
        <v>187</v>
      </c>
      <c r="F51" t="s">
        <v>23</v>
      </c>
      <c r="G51" s="1">
        <v>40</v>
      </c>
      <c r="H51" s="1">
        <v>6</v>
      </c>
      <c r="I51" t="s">
        <v>188</v>
      </c>
      <c r="L51" s="1">
        <v>1</v>
      </c>
      <c r="M51" s="3">
        <v>33.19</v>
      </c>
      <c r="N51" s="3">
        <v>1.66</v>
      </c>
      <c r="O51" s="3">
        <v>0</v>
      </c>
      <c r="P51" s="3">
        <v>0.2</v>
      </c>
      <c r="Q51" s="3">
        <v>35.049999999999997</v>
      </c>
      <c r="R51" s="3">
        <v>24.25</v>
      </c>
      <c r="S51" s="3">
        <f>VLOOKUP(C51,[1]page!$C$2:$M$3071,11,0)</f>
        <v>33</v>
      </c>
      <c r="T51" s="6">
        <f t="shared" si="0"/>
        <v>0.18999999999999773</v>
      </c>
    </row>
    <row r="52" spans="1:20" x14ac:dyDescent="0.2">
      <c r="A52" t="s">
        <v>52</v>
      </c>
      <c r="B52" t="s">
        <v>189</v>
      </c>
      <c r="C52" t="s">
        <v>190</v>
      </c>
      <c r="D52" t="s">
        <v>191</v>
      </c>
      <c r="E52" t="s">
        <v>192</v>
      </c>
      <c r="F52" t="s">
        <v>23</v>
      </c>
      <c r="G52" s="1">
        <v>40</v>
      </c>
      <c r="H52" s="1">
        <v>12</v>
      </c>
      <c r="I52" t="s">
        <v>193</v>
      </c>
      <c r="L52" s="1">
        <v>1</v>
      </c>
      <c r="M52" s="3">
        <v>32.01</v>
      </c>
      <c r="N52" s="3">
        <v>1.6</v>
      </c>
      <c r="O52" s="3">
        <v>0</v>
      </c>
      <c r="P52" s="3">
        <v>0.2</v>
      </c>
      <c r="Q52" s="3">
        <v>33.81</v>
      </c>
      <c r="R52" s="3">
        <v>24.25</v>
      </c>
      <c r="S52" s="3">
        <f>VLOOKUP(C52,[1]page!$C$2:$M$3071,11,0)</f>
        <v>31.82</v>
      </c>
      <c r="T52" s="6">
        <f t="shared" si="0"/>
        <v>0.18999999999999773</v>
      </c>
    </row>
    <row r="53" spans="1:20" x14ac:dyDescent="0.2">
      <c r="A53" t="s">
        <v>52</v>
      </c>
      <c r="B53" t="s">
        <v>194</v>
      </c>
      <c r="C53" t="s">
        <v>195</v>
      </c>
      <c r="D53" t="s">
        <v>196</v>
      </c>
      <c r="E53" t="s">
        <v>103</v>
      </c>
      <c r="F53" t="s">
        <v>84</v>
      </c>
      <c r="G53" s="1">
        <v>40</v>
      </c>
      <c r="H53" s="1">
        <v>6</v>
      </c>
      <c r="I53" t="s">
        <v>51</v>
      </c>
      <c r="L53" s="1">
        <v>1</v>
      </c>
      <c r="M53" s="3">
        <v>41.22</v>
      </c>
      <c r="N53" s="3">
        <v>2.06</v>
      </c>
      <c r="O53" s="3">
        <v>0</v>
      </c>
      <c r="P53" s="3">
        <v>0.25</v>
      </c>
      <c r="Q53" s="3">
        <v>43.53</v>
      </c>
      <c r="R53" s="3">
        <v>53.75</v>
      </c>
      <c r="S53" s="3">
        <f>VLOOKUP(C53,[1]page!$C$2:$M$3071,11,0)</f>
        <v>40.770000000000003</v>
      </c>
      <c r="T53" s="6">
        <f t="shared" si="0"/>
        <v>0.44999999999999574</v>
      </c>
    </row>
    <row r="54" spans="1:20" x14ac:dyDescent="0.2">
      <c r="A54" t="s">
        <v>52</v>
      </c>
      <c r="B54" t="s">
        <v>197</v>
      </c>
      <c r="C54" t="s">
        <v>198</v>
      </c>
      <c r="D54" t="s">
        <v>199</v>
      </c>
      <c r="E54" t="s">
        <v>200</v>
      </c>
      <c r="F54" t="s">
        <v>23</v>
      </c>
      <c r="G54" s="1">
        <v>40</v>
      </c>
      <c r="H54" s="1">
        <v>6</v>
      </c>
      <c r="I54" t="s">
        <v>201</v>
      </c>
      <c r="L54" s="1">
        <v>1</v>
      </c>
      <c r="M54" s="3">
        <v>34.200000000000003</v>
      </c>
      <c r="N54" s="3">
        <v>1.71</v>
      </c>
      <c r="O54" s="3">
        <v>0</v>
      </c>
      <c r="P54" s="3">
        <v>0.2</v>
      </c>
      <c r="Q54" s="3">
        <v>36.11</v>
      </c>
      <c r="R54" s="3">
        <v>24.25</v>
      </c>
      <c r="S54" s="3">
        <f>VLOOKUP(C54,[1]page!$C$2:$M$3071,11,0)</f>
        <v>34.01</v>
      </c>
      <c r="T54" s="6">
        <f t="shared" si="0"/>
        <v>0.19000000000000483</v>
      </c>
    </row>
    <row r="55" spans="1:20" x14ac:dyDescent="0.2">
      <c r="A55" t="s">
        <v>52</v>
      </c>
      <c r="B55" t="s">
        <v>202</v>
      </c>
      <c r="C55" t="s">
        <v>203</v>
      </c>
      <c r="D55" t="s">
        <v>204</v>
      </c>
      <c r="E55" t="s">
        <v>200</v>
      </c>
      <c r="F55" t="s">
        <v>23</v>
      </c>
      <c r="G55" s="1">
        <v>40</v>
      </c>
      <c r="H55" s="1">
        <v>6</v>
      </c>
      <c r="I55" t="s">
        <v>201</v>
      </c>
      <c r="L55" s="1">
        <v>1</v>
      </c>
      <c r="M55" s="3">
        <v>32.200000000000003</v>
      </c>
      <c r="N55" s="3">
        <v>1.61</v>
      </c>
      <c r="O55" s="3">
        <v>0</v>
      </c>
      <c r="P55" s="3">
        <v>0.2</v>
      </c>
      <c r="Q55" s="3">
        <v>34.01</v>
      </c>
      <c r="R55" s="3">
        <v>24.25</v>
      </c>
      <c r="S55" s="3">
        <f>VLOOKUP(C55,[1]page!$C$2:$M$3071,11,0)</f>
        <v>32.01</v>
      </c>
      <c r="T55" s="6">
        <f t="shared" si="0"/>
        <v>0.19000000000000483</v>
      </c>
    </row>
    <row r="56" spans="1:20" x14ac:dyDescent="0.2">
      <c r="A56" t="s">
        <v>205</v>
      </c>
      <c r="B56" t="s">
        <v>206</v>
      </c>
      <c r="C56" t="s">
        <v>207</v>
      </c>
      <c r="D56" t="s">
        <v>208</v>
      </c>
      <c r="E56" t="s">
        <v>173</v>
      </c>
      <c r="F56" t="s">
        <v>209</v>
      </c>
      <c r="G56" s="1">
        <v>40</v>
      </c>
      <c r="H56" s="1">
        <v>48</v>
      </c>
      <c r="I56" t="s">
        <v>62</v>
      </c>
      <c r="L56" s="1">
        <v>1</v>
      </c>
      <c r="M56" s="3">
        <v>7.45</v>
      </c>
      <c r="N56" s="3">
        <v>0.37</v>
      </c>
      <c r="O56" s="3">
        <v>0</v>
      </c>
      <c r="P56" s="3">
        <v>0.1</v>
      </c>
      <c r="Q56" s="3">
        <v>7.92</v>
      </c>
      <c r="R56" s="3">
        <v>13.7</v>
      </c>
      <c r="S56" s="3">
        <f>VLOOKUP(C56,[1]page!$C$2:$M$3071,11,0)</f>
        <v>7.39</v>
      </c>
      <c r="T56" s="6">
        <f t="shared" si="0"/>
        <v>6.0000000000000497E-2</v>
      </c>
    </row>
    <row r="57" spans="1:20" x14ac:dyDescent="0.2">
      <c r="A57" t="s">
        <v>205</v>
      </c>
      <c r="B57" t="s">
        <v>210</v>
      </c>
      <c r="C57" t="s">
        <v>211</v>
      </c>
      <c r="D57" t="s">
        <v>208</v>
      </c>
      <c r="E57" t="s">
        <v>173</v>
      </c>
      <c r="F57" t="s">
        <v>77</v>
      </c>
      <c r="G57" s="1">
        <v>40</v>
      </c>
      <c r="H57" s="1">
        <v>24</v>
      </c>
      <c r="I57" t="s">
        <v>62</v>
      </c>
      <c r="L57" s="1">
        <v>1</v>
      </c>
      <c r="M57" s="3">
        <v>11.18</v>
      </c>
      <c r="N57" s="3">
        <v>0.56000000000000005</v>
      </c>
      <c r="O57" s="3">
        <v>0</v>
      </c>
      <c r="P57" s="3">
        <v>0.1</v>
      </c>
      <c r="Q57" s="3">
        <v>11.84</v>
      </c>
      <c r="R57" s="3">
        <v>13.7</v>
      </c>
      <c r="S57" s="3">
        <f>VLOOKUP(C57,[1]page!$C$2:$M$3071,11,0)</f>
        <v>11.08</v>
      </c>
      <c r="T57" s="6">
        <f t="shared" si="0"/>
        <v>9.9999999999999645E-2</v>
      </c>
    </row>
    <row r="58" spans="1:20" x14ac:dyDescent="0.2">
      <c r="A58" t="s">
        <v>205</v>
      </c>
      <c r="B58" t="s">
        <v>212</v>
      </c>
      <c r="C58" t="s">
        <v>213</v>
      </c>
      <c r="D58" t="s">
        <v>208</v>
      </c>
      <c r="E58" t="s">
        <v>173</v>
      </c>
      <c r="F58" t="s">
        <v>23</v>
      </c>
      <c r="G58" s="1">
        <v>40</v>
      </c>
      <c r="H58" s="1">
        <v>12</v>
      </c>
      <c r="I58" t="s">
        <v>62</v>
      </c>
      <c r="L58" s="1">
        <v>1</v>
      </c>
      <c r="M58" s="3">
        <v>20.5</v>
      </c>
      <c r="N58" s="3">
        <v>1.03</v>
      </c>
      <c r="O58" s="3">
        <v>0</v>
      </c>
      <c r="P58" s="3">
        <v>0.2</v>
      </c>
      <c r="Q58" s="3">
        <v>21.73</v>
      </c>
      <c r="R58" s="3">
        <v>24.25</v>
      </c>
      <c r="S58" s="3">
        <f>VLOOKUP(C58,[1]page!$C$2:$M$3071,11,0)</f>
        <v>20.309999999999999</v>
      </c>
      <c r="T58" s="6">
        <f t="shared" si="0"/>
        <v>0.19000000000000128</v>
      </c>
    </row>
    <row r="59" spans="1:20" x14ac:dyDescent="0.2">
      <c r="A59" t="s">
        <v>205</v>
      </c>
      <c r="B59" t="s">
        <v>214</v>
      </c>
      <c r="C59" t="s">
        <v>215</v>
      </c>
      <c r="D59" t="s">
        <v>208</v>
      </c>
      <c r="E59" t="s">
        <v>173</v>
      </c>
      <c r="F59" t="s">
        <v>65</v>
      </c>
      <c r="G59" s="1">
        <v>40</v>
      </c>
      <c r="H59" s="1">
        <v>8</v>
      </c>
      <c r="I59" t="s">
        <v>62</v>
      </c>
      <c r="L59" s="1">
        <v>1</v>
      </c>
      <c r="M59" s="3">
        <v>29.3</v>
      </c>
      <c r="N59" s="3">
        <v>1.47</v>
      </c>
      <c r="O59" s="3">
        <v>0</v>
      </c>
      <c r="P59" s="3">
        <v>0.4</v>
      </c>
      <c r="Q59" s="3">
        <v>31.17</v>
      </c>
      <c r="R59" s="3">
        <v>35.75</v>
      </c>
      <c r="S59" s="3">
        <f>VLOOKUP(C59,[1]page!$C$2:$M$3071,11,0)</f>
        <v>29.01</v>
      </c>
      <c r="T59" s="6">
        <f t="shared" si="0"/>
        <v>0.28999999999999915</v>
      </c>
    </row>
    <row r="60" spans="1:20" x14ac:dyDescent="0.2">
      <c r="A60" t="s">
        <v>205</v>
      </c>
      <c r="B60" t="s">
        <v>216</v>
      </c>
      <c r="C60" t="s">
        <v>217</v>
      </c>
      <c r="D60" t="s">
        <v>208</v>
      </c>
      <c r="E60" t="s">
        <v>173</v>
      </c>
      <c r="F60" t="s">
        <v>84</v>
      </c>
      <c r="G60" s="1">
        <v>40</v>
      </c>
      <c r="H60" s="1">
        <v>6</v>
      </c>
      <c r="I60" t="s">
        <v>62</v>
      </c>
      <c r="L60" s="1">
        <v>1</v>
      </c>
      <c r="M60" s="3">
        <v>42.97</v>
      </c>
      <c r="N60" s="3">
        <v>2.15</v>
      </c>
      <c r="O60" s="3">
        <v>0</v>
      </c>
      <c r="P60" s="3">
        <v>0.25</v>
      </c>
      <c r="Q60" s="3">
        <v>45.37</v>
      </c>
      <c r="R60" s="3">
        <v>53.75</v>
      </c>
      <c r="S60" s="3">
        <f>VLOOKUP(C60,[1]page!$C$2:$M$3071,11,0)</f>
        <v>42.52</v>
      </c>
      <c r="T60" s="6">
        <f t="shared" si="0"/>
        <v>0.44999999999999574</v>
      </c>
    </row>
    <row r="61" spans="1:20" x14ac:dyDescent="0.2">
      <c r="A61" t="s">
        <v>205</v>
      </c>
      <c r="B61" t="s">
        <v>218</v>
      </c>
      <c r="C61" t="s">
        <v>219</v>
      </c>
      <c r="D61" t="s">
        <v>220</v>
      </c>
      <c r="E61" t="s">
        <v>173</v>
      </c>
      <c r="F61" t="s">
        <v>23</v>
      </c>
      <c r="G61" s="1">
        <v>40</v>
      </c>
      <c r="H61" s="1">
        <v>12</v>
      </c>
      <c r="I61" t="s">
        <v>62</v>
      </c>
      <c r="L61" s="1">
        <v>1</v>
      </c>
      <c r="M61" s="3">
        <v>20.5</v>
      </c>
      <c r="N61" s="3">
        <v>1.03</v>
      </c>
      <c r="O61" s="3">
        <v>0</v>
      </c>
      <c r="P61" s="3">
        <v>0.1</v>
      </c>
      <c r="Q61" s="3">
        <v>21.63</v>
      </c>
      <c r="R61" s="3">
        <v>24.25</v>
      </c>
      <c r="S61" s="3">
        <f>VLOOKUP(C61,[1]page!$C$2:$M$3071,11,0)</f>
        <v>20.309999999999999</v>
      </c>
      <c r="T61" s="6">
        <f t="shared" si="0"/>
        <v>0.19000000000000128</v>
      </c>
    </row>
    <row r="62" spans="1:20" x14ac:dyDescent="0.2">
      <c r="A62" t="s">
        <v>205</v>
      </c>
      <c r="B62" t="s">
        <v>221</v>
      </c>
      <c r="C62" t="s">
        <v>222</v>
      </c>
      <c r="D62" t="s">
        <v>223</v>
      </c>
      <c r="E62" t="s">
        <v>173</v>
      </c>
      <c r="F62" t="s">
        <v>65</v>
      </c>
      <c r="G62" s="1">
        <v>40</v>
      </c>
      <c r="H62" s="1">
        <v>8</v>
      </c>
      <c r="I62" t="s">
        <v>62</v>
      </c>
      <c r="L62" s="1">
        <v>1</v>
      </c>
      <c r="M62" s="3">
        <v>30.48</v>
      </c>
      <c r="N62" s="3">
        <v>1.52</v>
      </c>
      <c r="O62" s="3">
        <v>0</v>
      </c>
      <c r="P62" s="3">
        <v>0.4</v>
      </c>
      <c r="Q62" s="3">
        <v>32.4</v>
      </c>
      <c r="R62" s="3">
        <v>35.75</v>
      </c>
      <c r="S62" s="3">
        <f>VLOOKUP(C62,[1]page!$C$2:$M$3071,11,0)</f>
        <v>30.19</v>
      </c>
      <c r="T62" s="6">
        <f t="shared" si="0"/>
        <v>0.28999999999999915</v>
      </c>
    </row>
    <row r="63" spans="1:20" x14ac:dyDescent="0.2">
      <c r="A63" t="s">
        <v>205</v>
      </c>
      <c r="B63" t="s">
        <v>224</v>
      </c>
      <c r="C63" t="s">
        <v>225</v>
      </c>
      <c r="D63" t="s">
        <v>226</v>
      </c>
      <c r="E63" t="s">
        <v>227</v>
      </c>
      <c r="F63" t="s">
        <v>23</v>
      </c>
      <c r="G63" s="1">
        <v>40</v>
      </c>
      <c r="H63" s="1">
        <v>12</v>
      </c>
      <c r="I63" t="s">
        <v>183</v>
      </c>
      <c r="L63" s="1">
        <v>1</v>
      </c>
      <c r="M63" s="3">
        <v>19.22</v>
      </c>
      <c r="N63" s="3">
        <v>0.96</v>
      </c>
      <c r="O63" s="3">
        <v>0</v>
      </c>
      <c r="P63" s="3">
        <v>0.1</v>
      </c>
      <c r="Q63" s="3">
        <v>20.28</v>
      </c>
      <c r="R63" s="3">
        <v>24.25</v>
      </c>
      <c r="S63" s="3">
        <f>VLOOKUP(C63,[1]page!$C$2:$M$3071,11,0)</f>
        <v>19.03</v>
      </c>
      <c r="T63" s="6">
        <f t="shared" si="0"/>
        <v>0.18999999999999773</v>
      </c>
    </row>
    <row r="64" spans="1:20" x14ac:dyDescent="0.2">
      <c r="A64" t="s">
        <v>205</v>
      </c>
      <c r="B64" t="s">
        <v>228</v>
      </c>
      <c r="C64" t="s">
        <v>229</v>
      </c>
      <c r="D64" t="s">
        <v>226</v>
      </c>
      <c r="E64" t="s">
        <v>227</v>
      </c>
      <c r="F64" t="s">
        <v>84</v>
      </c>
      <c r="G64" s="1">
        <v>40</v>
      </c>
      <c r="H64" s="1">
        <v>6</v>
      </c>
      <c r="I64" t="s">
        <v>183</v>
      </c>
      <c r="L64" s="1">
        <v>1</v>
      </c>
      <c r="M64" s="3">
        <v>42.64</v>
      </c>
      <c r="N64" s="3">
        <v>2.13</v>
      </c>
      <c r="O64" s="3">
        <v>0</v>
      </c>
      <c r="P64" s="3">
        <v>0.25</v>
      </c>
      <c r="Q64" s="3">
        <v>45.02</v>
      </c>
      <c r="R64" s="3">
        <v>53.75</v>
      </c>
      <c r="S64" s="3">
        <f>VLOOKUP(C64,[1]page!$C$2:$M$3071,11,0)</f>
        <v>42.19</v>
      </c>
      <c r="T64" s="6">
        <f t="shared" si="0"/>
        <v>0.45000000000000284</v>
      </c>
    </row>
    <row r="65" spans="1:20" x14ac:dyDescent="0.2">
      <c r="A65" t="s">
        <v>205</v>
      </c>
      <c r="B65" t="s">
        <v>230</v>
      </c>
      <c r="C65" t="s">
        <v>231</v>
      </c>
      <c r="D65" t="s">
        <v>232</v>
      </c>
      <c r="E65" t="s">
        <v>61</v>
      </c>
      <c r="F65" t="s">
        <v>23</v>
      </c>
      <c r="G65" s="1">
        <v>40</v>
      </c>
      <c r="H65" s="1">
        <v>12</v>
      </c>
      <c r="I65" t="s">
        <v>62</v>
      </c>
      <c r="L65" s="1">
        <v>1</v>
      </c>
      <c r="M65" s="3">
        <v>21.4</v>
      </c>
      <c r="N65" s="3">
        <v>1.07</v>
      </c>
      <c r="O65" s="3">
        <v>0</v>
      </c>
      <c r="P65" s="3">
        <v>0.2</v>
      </c>
      <c r="Q65" s="3">
        <v>22.67</v>
      </c>
      <c r="R65" s="3">
        <v>24.25</v>
      </c>
      <c r="S65" s="3">
        <f>VLOOKUP(C65,[1]page!$C$2:$M$3071,11,0)</f>
        <v>21.21</v>
      </c>
      <c r="T65" s="6">
        <f t="shared" si="0"/>
        <v>0.18999999999999773</v>
      </c>
    </row>
    <row r="66" spans="1:20" x14ac:dyDescent="0.2">
      <c r="A66" t="s">
        <v>205</v>
      </c>
      <c r="B66" t="s">
        <v>233</v>
      </c>
      <c r="C66" t="s">
        <v>234</v>
      </c>
      <c r="D66" t="s">
        <v>232</v>
      </c>
      <c r="E66" t="s">
        <v>61</v>
      </c>
      <c r="F66" t="s">
        <v>65</v>
      </c>
      <c r="G66" s="1">
        <v>40</v>
      </c>
      <c r="H66" s="1">
        <v>8</v>
      </c>
      <c r="I66" t="s">
        <v>62</v>
      </c>
      <c r="L66" s="1">
        <v>1</v>
      </c>
      <c r="M66" s="3">
        <v>31.11</v>
      </c>
      <c r="N66" s="3">
        <v>1.56</v>
      </c>
      <c r="O66" s="3">
        <v>0</v>
      </c>
      <c r="P66" s="3">
        <v>0.4</v>
      </c>
      <c r="Q66" s="3">
        <v>33.07</v>
      </c>
      <c r="R66" s="3">
        <v>35.75</v>
      </c>
      <c r="S66" s="3">
        <f>VLOOKUP(C66,[1]page!$C$2:$M$3071,11,0)</f>
        <v>30.82</v>
      </c>
      <c r="T66" s="6">
        <f t="shared" ref="T66:T128" si="1">SUM(M66-S66)</f>
        <v>0.28999999999999915</v>
      </c>
    </row>
    <row r="67" spans="1:20" x14ac:dyDescent="0.2">
      <c r="A67" t="s">
        <v>205</v>
      </c>
      <c r="B67" t="s">
        <v>235</v>
      </c>
      <c r="C67" t="s">
        <v>236</v>
      </c>
      <c r="D67" t="s">
        <v>232</v>
      </c>
      <c r="E67" t="s">
        <v>61</v>
      </c>
      <c r="F67" t="s">
        <v>84</v>
      </c>
      <c r="G67" s="1">
        <v>40</v>
      </c>
      <c r="H67" s="1">
        <v>6</v>
      </c>
      <c r="I67" t="s">
        <v>62</v>
      </c>
      <c r="L67" s="1">
        <v>1</v>
      </c>
      <c r="M67" s="3">
        <v>45.43</v>
      </c>
      <c r="N67" s="3">
        <v>2.27</v>
      </c>
      <c r="O67" s="3">
        <v>0</v>
      </c>
      <c r="P67" s="3">
        <v>0.25</v>
      </c>
      <c r="Q67" s="3">
        <v>47.95</v>
      </c>
      <c r="R67" s="3">
        <v>53.75</v>
      </c>
      <c r="S67" s="3">
        <f>VLOOKUP(C67,[1]page!$C$2:$M$3071,11,0)</f>
        <v>44.98</v>
      </c>
      <c r="T67" s="6">
        <f t="shared" si="1"/>
        <v>0.45000000000000284</v>
      </c>
    </row>
    <row r="68" spans="1:20" x14ac:dyDescent="0.2">
      <c r="A68" t="s">
        <v>205</v>
      </c>
      <c r="B68" t="s">
        <v>237</v>
      </c>
      <c r="C68" t="s">
        <v>238</v>
      </c>
      <c r="D68" t="s">
        <v>239</v>
      </c>
      <c r="E68" t="s">
        <v>61</v>
      </c>
      <c r="F68" t="s">
        <v>23</v>
      </c>
      <c r="G68" s="1">
        <v>40</v>
      </c>
      <c r="H68" s="1">
        <v>12</v>
      </c>
      <c r="I68" t="s">
        <v>62</v>
      </c>
      <c r="L68" s="1">
        <v>1</v>
      </c>
      <c r="M68" s="3">
        <v>24.21</v>
      </c>
      <c r="N68" s="3">
        <v>1.21</v>
      </c>
      <c r="O68" s="3">
        <v>0</v>
      </c>
      <c r="P68" s="3">
        <v>0.2</v>
      </c>
      <c r="Q68" s="3">
        <v>25.62</v>
      </c>
      <c r="R68" s="3">
        <v>24.25</v>
      </c>
      <c r="S68" s="3">
        <f>VLOOKUP(C68,[1]page!$C$2:$M$3071,11,0)</f>
        <v>24.02</v>
      </c>
      <c r="T68" s="6">
        <f t="shared" si="1"/>
        <v>0.19000000000000128</v>
      </c>
    </row>
    <row r="69" spans="1:20" x14ac:dyDescent="0.2">
      <c r="A69" t="s">
        <v>205</v>
      </c>
      <c r="B69" t="s">
        <v>240</v>
      </c>
      <c r="C69" t="s">
        <v>241</v>
      </c>
      <c r="D69" t="s">
        <v>242</v>
      </c>
      <c r="E69" t="s">
        <v>227</v>
      </c>
      <c r="F69" t="s">
        <v>77</v>
      </c>
      <c r="G69" s="1">
        <v>40</v>
      </c>
      <c r="H69" s="1">
        <v>24</v>
      </c>
      <c r="I69" t="s">
        <v>183</v>
      </c>
      <c r="L69" s="1">
        <v>1</v>
      </c>
      <c r="M69" s="3">
        <v>11.47</v>
      </c>
      <c r="N69" s="3">
        <v>0.56999999999999995</v>
      </c>
      <c r="O69" s="3">
        <v>0</v>
      </c>
      <c r="P69" s="3">
        <v>0.1</v>
      </c>
      <c r="Q69" s="3">
        <v>12.14</v>
      </c>
      <c r="R69" s="3">
        <v>13.7</v>
      </c>
      <c r="S69" s="3">
        <f>VLOOKUP(C69,[1]page!$C$2:$M$3071,11,0)</f>
        <v>11.38</v>
      </c>
      <c r="T69" s="6">
        <f t="shared" si="1"/>
        <v>8.9999999999999858E-2</v>
      </c>
    </row>
    <row r="70" spans="1:20" x14ac:dyDescent="0.2">
      <c r="A70" t="s">
        <v>205</v>
      </c>
      <c r="B70" t="s">
        <v>243</v>
      </c>
      <c r="C70" t="s">
        <v>244</v>
      </c>
      <c r="D70" t="s">
        <v>242</v>
      </c>
      <c r="E70" t="s">
        <v>227</v>
      </c>
      <c r="F70" t="s">
        <v>65</v>
      </c>
      <c r="G70" s="1">
        <v>40</v>
      </c>
      <c r="H70" s="1">
        <v>12</v>
      </c>
      <c r="I70" t="s">
        <v>183</v>
      </c>
      <c r="L70" s="1">
        <v>1</v>
      </c>
      <c r="M70" s="3">
        <v>28.57</v>
      </c>
      <c r="N70" s="3">
        <v>1.43</v>
      </c>
      <c r="O70" s="3">
        <v>0</v>
      </c>
      <c r="P70" s="3">
        <v>0.25</v>
      </c>
      <c r="Q70" s="3">
        <v>30.25</v>
      </c>
      <c r="R70" s="3">
        <v>35.75</v>
      </c>
      <c r="S70" s="3">
        <f>VLOOKUP(C70,[1]page!$C$2:$M$3071,11,0)</f>
        <v>28.28</v>
      </c>
      <c r="T70" s="6">
        <f t="shared" si="1"/>
        <v>0.28999999999999915</v>
      </c>
    </row>
    <row r="71" spans="1:20" x14ac:dyDescent="0.2">
      <c r="A71" t="s">
        <v>205</v>
      </c>
      <c r="B71" t="s">
        <v>245</v>
      </c>
      <c r="C71" t="s">
        <v>246</v>
      </c>
      <c r="D71" t="s">
        <v>247</v>
      </c>
      <c r="E71" t="s">
        <v>103</v>
      </c>
      <c r="F71" t="s">
        <v>23</v>
      </c>
      <c r="G71" s="1">
        <v>40</v>
      </c>
      <c r="H71" s="1">
        <v>12</v>
      </c>
      <c r="I71" t="s">
        <v>51</v>
      </c>
      <c r="L71" s="1">
        <v>1</v>
      </c>
      <c r="M71" s="3">
        <v>21.15</v>
      </c>
      <c r="N71" s="3">
        <v>1.06</v>
      </c>
      <c r="O71" s="3">
        <v>0</v>
      </c>
      <c r="P71" s="3">
        <v>0.2</v>
      </c>
      <c r="Q71" s="3">
        <v>22.41</v>
      </c>
      <c r="R71" s="3">
        <v>24.25</v>
      </c>
      <c r="S71" s="3">
        <f>VLOOKUP(C71,[1]page!$C$2:$M$3071,11,0)</f>
        <v>20.96</v>
      </c>
      <c r="T71" s="6">
        <f t="shared" si="1"/>
        <v>0.18999999999999773</v>
      </c>
    </row>
    <row r="72" spans="1:20" x14ac:dyDescent="0.2">
      <c r="A72" t="s">
        <v>205</v>
      </c>
      <c r="B72" t="s">
        <v>248</v>
      </c>
      <c r="C72" t="s">
        <v>249</v>
      </c>
      <c r="D72" t="s">
        <v>250</v>
      </c>
      <c r="E72" t="s">
        <v>38</v>
      </c>
      <c r="F72" t="s">
        <v>77</v>
      </c>
      <c r="G72" s="1">
        <v>40</v>
      </c>
      <c r="H72" s="1">
        <v>24</v>
      </c>
      <c r="I72" t="s">
        <v>39</v>
      </c>
      <c r="L72" s="1">
        <v>1</v>
      </c>
      <c r="M72" s="3">
        <v>13.49</v>
      </c>
      <c r="N72" s="3">
        <v>0.67</v>
      </c>
      <c r="O72" s="3">
        <v>0</v>
      </c>
      <c r="P72" s="3">
        <v>0.1</v>
      </c>
      <c r="Q72" s="3">
        <v>14.26</v>
      </c>
      <c r="R72" s="3">
        <v>13.7</v>
      </c>
      <c r="S72" s="3">
        <f>VLOOKUP(C72,[1]page!$C$2:$M$3071,11,0)</f>
        <v>13.4</v>
      </c>
      <c r="T72" s="6">
        <f t="shared" si="1"/>
        <v>8.9999999999999858E-2</v>
      </c>
    </row>
    <row r="73" spans="1:20" x14ac:dyDescent="0.2">
      <c r="A73" t="s">
        <v>205</v>
      </c>
      <c r="B73" t="s">
        <v>251</v>
      </c>
      <c r="C73" t="s">
        <v>252</v>
      </c>
      <c r="D73" t="s">
        <v>250</v>
      </c>
      <c r="E73" t="s">
        <v>38</v>
      </c>
      <c r="F73" t="s">
        <v>23</v>
      </c>
      <c r="G73" s="1">
        <v>40</v>
      </c>
      <c r="H73" s="1">
        <v>12</v>
      </c>
      <c r="I73" t="s">
        <v>39</v>
      </c>
      <c r="L73" s="1">
        <v>1</v>
      </c>
      <c r="M73" s="3">
        <v>23.19</v>
      </c>
      <c r="N73" s="3">
        <v>1.1599999999999999</v>
      </c>
      <c r="O73" s="3">
        <v>0</v>
      </c>
      <c r="P73" s="3">
        <v>0.2</v>
      </c>
      <c r="Q73" s="3">
        <v>24.55</v>
      </c>
      <c r="R73" s="3">
        <v>24.25</v>
      </c>
      <c r="S73" s="3">
        <f>VLOOKUP(C73,[1]page!$C$2:$M$3071,11,0)</f>
        <v>23</v>
      </c>
      <c r="T73" s="6">
        <f t="shared" si="1"/>
        <v>0.19000000000000128</v>
      </c>
    </row>
    <row r="74" spans="1:20" x14ac:dyDescent="0.2">
      <c r="A74" t="s">
        <v>205</v>
      </c>
      <c r="B74" t="s">
        <v>253</v>
      </c>
      <c r="C74" t="s">
        <v>254</v>
      </c>
      <c r="D74" t="s">
        <v>250</v>
      </c>
      <c r="E74" t="s">
        <v>38</v>
      </c>
      <c r="F74" t="s">
        <v>65</v>
      </c>
      <c r="G74" s="1">
        <v>40</v>
      </c>
      <c r="H74" s="1">
        <v>12</v>
      </c>
      <c r="I74" t="s">
        <v>39</v>
      </c>
      <c r="L74" s="1">
        <v>1</v>
      </c>
      <c r="M74" s="3">
        <v>33.11</v>
      </c>
      <c r="N74" s="3">
        <v>1.66</v>
      </c>
      <c r="O74" s="3">
        <v>0</v>
      </c>
      <c r="P74" s="3">
        <v>0.25</v>
      </c>
      <c r="Q74" s="3">
        <v>35.020000000000003</v>
      </c>
      <c r="R74" s="3">
        <v>35.75</v>
      </c>
      <c r="S74" s="3">
        <f>VLOOKUP(C74,[1]page!$C$2:$M$3071,11,0)</f>
        <v>32.82</v>
      </c>
      <c r="T74" s="6">
        <f t="shared" si="1"/>
        <v>0.28999999999999915</v>
      </c>
    </row>
    <row r="75" spans="1:20" x14ac:dyDescent="0.2">
      <c r="A75" t="s">
        <v>205</v>
      </c>
      <c r="B75" t="s">
        <v>255</v>
      </c>
      <c r="C75" t="s">
        <v>256</v>
      </c>
      <c r="D75" t="s">
        <v>250</v>
      </c>
      <c r="E75" t="s">
        <v>38</v>
      </c>
      <c r="F75" t="s">
        <v>84</v>
      </c>
      <c r="G75" s="1">
        <v>40</v>
      </c>
      <c r="H75" s="1">
        <v>6</v>
      </c>
      <c r="I75" t="s">
        <v>39</v>
      </c>
      <c r="L75" s="1">
        <v>1</v>
      </c>
      <c r="M75" s="3">
        <v>49.74</v>
      </c>
      <c r="N75" s="3">
        <v>2.4900000000000002</v>
      </c>
      <c r="O75" s="3">
        <v>0</v>
      </c>
      <c r="P75" s="3">
        <v>0.25</v>
      </c>
      <c r="Q75" s="3">
        <v>52.48</v>
      </c>
      <c r="R75" s="3">
        <v>53.75</v>
      </c>
      <c r="S75" s="3">
        <f>VLOOKUP(C75,[1]page!$C$2:$M$3071,11,0)</f>
        <v>49.29</v>
      </c>
      <c r="T75" s="6">
        <f t="shared" si="1"/>
        <v>0.45000000000000284</v>
      </c>
    </row>
    <row r="76" spans="1:20" x14ac:dyDescent="0.2">
      <c r="A76" t="s">
        <v>205</v>
      </c>
      <c r="B76" t="s">
        <v>258</v>
      </c>
      <c r="C76" t="s">
        <v>259</v>
      </c>
      <c r="D76" t="s">
        <v>260</v>
      </c>
      <c r="E76" t="s">
        <v>28</v>
      </c>
      <c r="F76" t="s">
        <v>77</v>
      </c>
      <c r="G76" s="1">
        <v>40</v>
      </c>
      <c r="H76" s="1">
        <v>24</v>
      </c>
      <c r="I76" t="s">
        <v>29</v>
      </c>
      <c r="L76" s="1">
        <v>1</v>
      </c>
      <c r="M76" s="3">
        <v>14.08</v>
      </c>
      <c r="N76" s="3">
        <v>0.7</v>
      </c>
      <c r="O76" s="3">
        <v>0</v>
      </c>
      <c r="P76" s="3">
        <v>0.1</v>
      </c>
      <c r="Q76" s="3">
        <v>14.88</v>
      </c>
      <c r="R76" s="3">
        <v>13.7</v>
      </c>
      <c r="S76" s="3">
        <f>VLOOKUP(C76,[1]page!$C$2:$M$3071,11,0)</f>
        <v>13.98</v>
      </c>
      <c r="T76" s="6">
        <f t="shared" si="1"/>
        <v>9.9999999999999645E-2</v>
      </c>
    </row>
    <row r="77" spans="1:20" x14ac:dyDescent="0.2">
      <c r="A77" t="s">
        <v>205</v>
      </c>
      <c r="B77" t="s">
        <v>261</v>
      </c>
      <c r="C77" t="s">
        <v>262</v>
      </c>
      <c r="D77" t="s">
        <v>260</v>
      </c>
      <c r="E77" t="s">
        <v>28</v>
      </c>
      <c r="F77" t="s">
        <v>23</v>
      </c>
      <c r="G77" s="1">
        <v>40</v>
      </c>
      <c r="H77" s="1">
        <v>12</v>
      </c>
      <c r="I77" t="s">
        <v>29</v>
      </c>
      <c r="L77" s="1">
        <v>1</v>
      </c>
      <c r="M77" s="3">
        <v>24.2</v>
      </c>
      <c r="N77" s="3">
        <v>1.21</v>
      </c>
      <c r="O77" s="3">
        <v>0</v>
      </c>
      <c r="P77" s="3">
        <v>0.2</v>
      </c>
      <c r="Q77" s="3">
        <v>25.61</v>
      </c>
      <c r="R77" s="3">
        <v>24.25</v>
      </c>
      <c r="S77" s="3">
        <f>VLOOKUP(C77,[1]page!$C$2:$M$3071,11,0)</f>
        <v>24</v>
      </c>
      <c r="T77" s="6">
        <f t="shared" si="1"/>
        <v>0.19999999999999929</v>
      </c>
    </row>
    <row r="78" spans="1:20" x14ac:dyDescent="0.2">
      <c r="A78" t="s">
        <v>205</v>
      </c>
      <c r="B78" t="s">
        <v>263</v>
      </c>
      <c r="C78" t="s">
        <v>264</v>
      </c>
      <c r="D78" t="s">
        <v>260</v>
      </c>
      <c r="E78" t="s">
        <v>28</v>
      </c>
      <c r="F78" t="s">
        <v>65</v>
      </c>
      <c r="G78" s="1">
        <v>40</v>
      </c>
      <c r="H78" s="1">
        <v>8</v>
      </c>
      <c r="I78" t="s">
        <v>29</v>
      </c>
      <c r="L78" s="1">
        <v>1</v>
      </c>
      <c r="M78" s="3">
        <v>34.61</v>
      </c>
      <c r="N78" s="3">
        <v>1.73</v>
      </c>
      <c r="O78" s="3">
        <v>0</v>
      </c>
      <c r="P78" s="3">
        <v>0.4</v>
      </c>
      <c r="Q78" s="3">
        <v>36.74</v>
      </c>
      <c r="R78" s="3">
        <v>35.75</v>
      </c>
      <c r="S78" s="3">
        <f>VLOOKUP(C78,[1]page!$C$2:$M$3071,11,0)</f>
        <v>34.32</v>
      </c>
      <c r="T78" s="6">
        <f t="shared" si="1"/>
        <v>0.28999999999999915</v>
      </c>
    </row>
    <row r="79" spans="1:20" x14ac:dyDescent="0.2">
      <c r="A79" t="s">
        <v>205</v>
      </c>
      <c r="B79" t="s">
        <v>265</v>
      </c>
      <c r="C79" t="s">
        <v>266</v>
      </c>
      <c r="D79" t="s">
        <v>260</v>
      </c>
      <c r="E79" t="s">
        <v>28</v>
      </c>
      <c r="F79" t="s">
        <v>84</v>
      </c>
      <c r="G79" s="1">
        <v>40</v>
      </c>
      <c r="H79" s="1">
        <v>6</v>
      </c>
      <c r="I79" t="s">
        <v>29</v>
      </c>
      <c r="L79" s="1">
        <v>1</v>
      </c>
      <c r="M79" s="3">
        <v>48.96</v>
      </c>
      <c r="N79" s="3">
        <v>2.4500000000000002</v>
      </c>
      <c r="O79" s="3">
        <v>0</v>
      </c>
      <c r="P79" s="3">
        <v>0.25</v>
      </c>
      <c r="Q79" s="3">
        <v>51.66</v>
      </c>
      <c r="R79" s="3">
        <v>53.75</v>
      </c>
      <c r="S79" s="3">
        <f>VLOOKUP(C79,[1]page!$C$2:$M$3071,11,0)</f>
        <v>48.51</v>
      </c>
      <c r="T79" s="6">
        <f t="shared" si="1"/>
        <v>0.45000000000000284</v>
      </c>
    </row>
    <row r="80" spans="1:20" x14ac:dyDescent="0.2">
      <c r="A80" t="s">
        <v>205</v>
      </c>
      <c r="B80" t="s">
        <v>267</v>
      </c>
      <c r="C80" t="s">
        <v>268</v>
      </c>
      <c r="D80" t="s">
        <v>269</v>
      </c>
      <c r="E80" t="s">
        <v>270</v>
      </c>
      <c r="F80" t="s">
        <v>77</v>
      </c>
      <c r="G80" s="1">
        <v>40</v>
      </c>
      <c r="H80" s="1">
        <v>24</v>
      </c>
      <c r="I80" t="s">
        <v>178</v>
      </c>
      <c r="L80" s="1">
        <v>1</v>
      </c>
      <c r="M80" s="3">
        <v>11.69</v>
      </c>
      <c r="N80" s="3">
        <v>0.57999999999999996</v>
      </c>
      <c r="O80" s="3">
        <v>0</v>
      </c>
      <c r="P80" s="3">
        <v>0.1</v>
      </c>
      <c r="Q80" s="3">
        <v>12.37</v>
      </c>
      <c r="R80" s="3">
        <v>13.7</v>
      </c>
      <c r="S80" s="3">
        <f>VLOOKUP(C80,[1]page!$C$2:$M$3071,11,0)</f>
        <v>11.6</v>
      </c>
      <c r="T80" s="6">
        <f t="shared" si="1"/>
        <v>8.9999999999999858E-2</v>
      </c>
    </row>
    <row r="81" spans="1:20" x14ac:dyDescent="0.2">
      <c r="A81" t="s">
        <v>205</v>
      </c>
      <c r="B81" t="s">
        <v>271</v>
      </c>
      <c r="C81" t="s">
        <v>272</v>
      </c>
      <c r="D81" t="s">
        <v>269</v>
      </c>
      <c r="E81" t="s">
        <v>270</v>
      </c>
      <c r="F81" t="s">
        <v>23</v>
      </c>
      <c r="G81" s="1">
        <v>40</v>
      </c>
      <c r="H81" s="1">
        <v>12</v>
      </c>
      <c r="I81" t="s">
        <v>178</v>
      </c>
      <c r="L81" s="1">
        <v>1</v>
      </c>
      <c r="M81" s="3">
        <v>19.39</v>
      </c>
      <c r="N81" s="3">
        <v>0.97</v>
      </c>
      <c r="O81" s="3">
        <v>0</v>
      </c>
      <c r="P81" s="3">
        <v>0.2</v>
      </c>
      <c r="Q81" s="3">
        <v>20.56</v>
      </c>
      <c r="R81" s="3">
        <v>24.25</v>
      </c>
      <c r="S81" s="3">
        <f>VLOOKUP(C81,[1]page!$C$2:$M$3071,11,0)</f>
        <v>19.2</v>
      </c>
      <c r="T81" s="6">
        <f t="shared" si="1"/>
        <v>0.19000000000000128</v>
      </c>
    </row>
    <row r="82" spans="1:20" x14ac:dyDescent="0.2">
      <c r="A82" t="s">
        <v>205</v>
      </c>
      <c r="B82" t="s">
        <v>273</v>
      </c>
      <c r="C82" t="s">
        <v>274</v>
      </c>
      <c r="D82" t="s">
        <v>269</v>
      </c>
      <c r="E82" t="s">
        <v>270</v>
      </c>
      <c r="F82" t="s">
        <v>84</v>
      </c>
      <c r="G82" s="1">
        <v>40</v>
      </c>
      <c r="H82" s="1">
        <v>6</v>
      </c>
      <c r="I82" t="s">
        <v>178</v>
      </c>
      <c r="L82" s="1">
        <v>1</v>
      </c>
      <c r="M82" s="3">
        <v>42.91</v>
      </c>
      <c r="N82" s="3">
        <v>2.15</v>
      </c>
      <c r="O82" s="3">
        <v>0</v>
      </c>
      <c r="P82" s="3">
        <v>0.25</v>
      </c>
      <c r="Q82" s="3">
        <v>45.31</v>
      </c>
      <c r="R82" s="3">
        <v>53.75</v>
      </c>
      <c r="S82" s="3">
        <f>VLOOKUP(C82,[1]page!$C$2:$M$3071,11,0)</f>
        <v>42.47</v>
      </c>
      <c r="T82" s="6">
        <f t="shared" si="1"/>
        <v>0.43999999999999773</v>
      </c>
    </row>
    <row r="83" spans="1:20" x14ac:dyDescent="0.2">
      <c r="A83" t="s">
        <v>205</v>
      </c>
      <c r="B83" t="s">
        <v>275</v>
      </c>
      <c r="C83" t="s">
        <v>276</v>
      </c>
      <c r="D83" t="s">
        <v>134</v>
      </c>
      <c r="E83" t="s">
        <v>103</v>
      </c>
      <c r="F83" t="s">
        <v>23</v>
      </c>
      <c r="G83" s="1">
        <v>40</v>
      </c>
      <c r="H83" s="1">
        <v>12</v>
      </c>
      <c r="I83" t="s">
        <v>51</v>
      </c>
      <c r="L83" s="1">
        <v>1</v>
      </c>
      <c r="M83" s="3">
        <v>19.04</v>
      </c>
      <c r="N83" s="3">
        <v>0.95</v>
      </c>
      <c r="O83" s="3">
        <v>0</v>
      </c>
      <c r="P83" s="3">
        <v>0.2</v>
      </c>
      <c r="Q83" s="3">
        <v>20.190000000000001</v>
      </c>
      <c r="R83" s="3">
        <v>24.25</v>
      </c>
      <c r="S83" s="3">
        <f>VLOOKUP(C83,[1]page!$C$2:$M$3071,11,0)</f>
        <v>18.850000000000001</v>
      </c>
      <c r="T83" s="6">
        <f t="shared" si="1"/>
        <v>0.18999999999999773</v>
      </c>
    </row>
    <row r="84" spans="1:20" x14ac:dyDescent="0.2">
      <c r="A84" t="s">
        <v>205</v>
      </c>
      <c r="B84" t="s">
        <v>277</v>
      </c>
      <c r="C84" t="s">
        <v>278</v>
      </c>
      <c r="D84" t="s">
        <v>279</v>
      </c>
      <c r="E84" t="s">
        <v>43</v>
      </c>
      <c r="F84" t="s">
        <v>65</v>
      </c>
      <c r="G84" s="1">
        <v>40</v>
      </c>
      <c r="H84" s="1">
        <v>12</v>
      </c>
      <c r="I84" t="s">
        <v>39</v>
      </c>
      <c r="L84" s="1">
        <v>1</v>
      </c>
      <c r="M84" s="3">
        <v>34.299999999999997</v>
      </c>
      <c r="N84" s="3">
        <v>1.72</v>
      </c>
      <c r="O84" s="3">
        <v>0</v>
      </c>
      <c r="P84" s="3">
        <v>0.25</v>
      </c>
      <c r="Q84" s="3">
        <v>36.270000000000003</v>
      </c>
      <c r="R84" s="3">
        <v>35.75</v>
      </c>
      <c r="S84" s="3">
        <f>VLOOKUP(C84,[1]page!$C$2:$M$3071,11,0)</f>
        <v>34.01</v>
      </c>
      <c r="T84" s="6">
        <f t="shared" si="1"/>
        <v>0.28999999999999915</v>
      </c>
    </row>
    <row r="85" spans="1:20" x14ac:dyDescent="0.2">
      <c r="A85" t="s">
        <v>205</v>
      </c>
      <c r="B85" t="s">
        <v>280</v>
      </c>
      <c r="C85" t="s">
        <v>281</v>
      </c>
      <c r="D85" t="s">
        <v>279</v>
      </c>
      <c r="E85" t="s">
        <v>43</v>
      </c>
      <c r="F85" t="s">
        <v>84</v>
      </c>
      <c r="G85" s="1">
        <v>40</v>
      </c>
      <c r="H85" s="1">
        <v>6</v>
      </c>
      <c r="I85" t="s">
        <v>39</v>
      </c>
      <c r="L85" s="1">
        <v>1</v>
      </c>
      <c r="M85" s="3">
        <v>50.07</v>
      </c>
      <c r="N85" s="3">
        <v>2.5</v>
      </c>
      <c r="O85" s="3">
        <v>0</v>
      </c>
      <c r="P85" s="3">
        <v>0.25</v>
      </c>
      <c r="Q85" s="3">
        <v>52.82</v>
      </c>
      <c r="R85" s="3">
        <v>53.75</v>
      </c>
      <c r="S85" s="3">
        <f>VLOOKUP(C85,[1]page!$C$2:$M$3071,11,0)</f>
        <v>49.62</v>
      </c>
      <c r="T85" s="6">
        <f t="shared" si="1"/>
        <v>0.45000000000000284</v>
      </c>
    </row>
    <row r="86" spans="1:20" x14ac:dyDescent="0.2">
      <c r="A86" t="s">
        <v>205</v>
      </c>
      <c r="B86" t="s">
        <v>282</v>
      </c>
      <c r="C86" t="s">
        <v>283</v>
      </c>
      <c r="D86" t="s">
        <v>284</v>
      </c>
      <c r="E86" t="s">
        <v>43</v>
      </c>
      <c r="F86" t="s">
        <v>23</v>
      </c>
      <c r="G86" s="1">
        <v>40</v>
      </c>
      <c r="H86" s="1">
        <v>12</v>
      </c>
      <c r="I86" t="s">
        <v>183</v>
      </c>
      <c r="L86" s="1">
        <v>1</v>
      </c>
      <c r="M86" s="3">
        <v>19.21</v>
      </c>
      <c r="N86" s="3">
        <v>0.96</v>
      </c>
      <c r="O86" s="3">
        <v>0</v>
      </c>
      <c r="P86" s="3">
        <v>0.1</v>
      </c>
      <c r="Q86" s="3">
        <v>20.27</v>
      </c>
      <c r="R86" s="3">
        <v>24.25</v>
      </c>
      <c r="S86" s="3">
        <f>VLOOKUP(C86,[1]page!$C$2:$M$3071,11,0)</f>
        <v>19.02</v>
      </c>
      <c r="T86" s="6">
        <f t="shared" si="1"/>
        <v>0.19000000000000128</v>
      </c>
    </row>
    <row r="87" spans="1:20" x14ac:dyDescent="0.2">
      <c r="A87" t="s">
        <v>205</v>
      </c>
      <c r="B87" t="s">
        <v>285</v>
      </c>
      <c r="C87" t="s">
        <v>286</v>
      </c>
      <c r="D87" t="s">
        <v>284</v>
      </c>
      <c r="E87" t="s">
        <v>43</v>
      </c>
      <c r="F87" t="s">
        <v>65</v>
      </c>
      <c r="G87" s="1">
        <v>40</v>
      </c>
      <c r="H87" s="1">
        <v>12</v>
      </c>
      <c r="I87" t="s">
        <v>183</v>
      </c>
      <c r="L87" s="1">
        <v>1</v>
      </c>
      <c r="M87" s="3">
        <v>28.49</v>
      </c>
      <c r="N87" s="3">
        <v>1.42</v>
      </c>
      <c r="O87" s="3">
        <v>0</v>
      </c>
      <c r="P87" s="3">
        <v>0.25</v>
      </c>
      <c r="Q87" s="3">
        <v>30.16</v>
      </c>
      <c r="R87" s="3">
        <v>35.75</v>
      </c>
      <c r="S87" s="3">
        <f>VLOOKUP(C87,[1]page!$C$2:$M$3071,11,0)</f>
        <v>28.2</v>
      </c>
      <c r="T87" s="6">
        <f t="shared" si="1"/>
        <v>0.28999999999999915</v>
      </c>
    </row>
    <row r="88" spans="1:20" x14ac:dyDescent="0.2">
      <c r="A88" t="s">
        <v>205</v>
      </c>
      <c r="B88" t="s">
        <v>287</v>
      </c>
      <c r="C88" t="s">
        <v>288</v>
      </c>
      <c r="D88" t="s">
        <v>284</v>
      </c>
      <c r="E88" t="s">
        <v>43</v>
      </c>
      <c r="F88" t="s">
        <v>84</v>
      </c>
      <c r="G88" s="1">
        <v>40</v>
      </c>
      <c r="H88" s="1">
        <v>6</v>
      </c>
      <c r="I88" t="s">
        <v>183</v>
      </c>
      <c r="L88" s="1">
        <v>1</v>
      </c>
      <c r="M88" s="3">
        <v>42.65</v>
      </c>
      <c r="N88" s="3">
        <v>2.13</v>
      </c>
      <c r="O88" s="3">
        <v>0</v>
      </c>
      <c r="P88" s="3">
        <v>0.25</v>
      </c>
      <c r="Q88" s="3">
        <v>45.03</v>
      </c>
      <c r="R88" s="3">
        <v>53.75</v>
      </c>
      <c r="S88" s="3">
        <f>VLOOKUP(C88,[1]page!$C$2:$M$3071,11,0)</f>
        <v>42.2</v>
      </c>
      <c r="T88" s="6">
        <f t="shared" si="1"/>
        <v>0.44999999999999574</v>
      </c>
    </row>
    <row r="89" spans="1:20" x14ac:dyDescent="0.2">
      <c r="A89" t="s">
        <v>205</v>
      </c>
      <c r="B89" t="s">
        <v>289</v>
      </c>
      <c r="C89" t="s">
        <v>290</v>
      </c>
      <c r="D89" t="s">
        <v>291</v>
      </c>
      <c r="E89" t="s">
        <v>182</v>
      </c>
      <c r="F89" t="s">
        <v>23</v>
      </c>
      <c r="G89" s="1">
        <v>40</v>
      </c>
      <c r="H89" s="1">
        <v>12</v>
      </c>
      <c r="I89" t="s">
        <v>183</v>
      </c>
      <c r="L89" s="1">
        <v>1</v>
      </c>
      <c r="M89" s="3">
        <v>19.22</v>
      </c>
      <c r="N89" s="3">
        <v>0.96</v>
      </c>
      <c r="O89" s="3">
        <v>0</v>
      </c>
      <c r="P89" s="3">
        <v>0.1</v>
      </c>
      <c r="Q89" s="3">
        <v>20.28</v>
      </c>
      <c r="R89" s="3">
        <v>24.25</v>
      </c>
      <c r="S89" s="3">
        <f>VLOOKUP(C89,[1]page!$C$2:$M$3071,11,0)</f>
        <v>19.03</v>
      </c>
      <c r="T89" s="6">
        <f t="shared" si="1"/>
        <v>0.18999999999999773</v>
      </c>
    </row>
    <row r="90" spans="1:20" x14ac:dyDescent="0.2">
      <c r="A90" t="s">
        <v>205</v>
      </c>
      <c r="B90" t="s">
        <v>292</v>
      </c>
      <c r="C90" t="s">
        <v>293</v>
      </c>
      <c r="D90" t="s">
        <v>291</v>
      </c>
      <c r="E90" t="s">
        <v>182</v>
      </c>
      <c r="F90" t="s">
        <v>65</v>
      </c>
      <c r="G90" s="1">
        <v>40</v>
      </c>
      <c r="H90" s="1">
        <v>12</v>
      </c>
      <c r="I90" t="s">
        <v>183</v>
      </c>
      <c r="L90" s="1">
        <v>1</v>
      </c>
      <c r="M90" s="3">
        <v>28.49</v>
      </c>
      <c r="N90" s="3">
        <v>1.42</v>
      </c>
      <c r="O90" s="3">
        <v>0</v>
      </c>
      <c r="P90" s="3">
        <v>0.25</v>
      </c>
      <c r="Q90" s="3">
        <v>30.16</v>
      </c>
      <c r="R90" s="3">
        <v>35.75</v>
      </c>
      <c r="S90" s="3">
        <f>VLOOKUP(C90,[1]page!$C$2:$M$3071,11,0)</f>
        <v>28.2</v>
      </c>
      <c r="T90" s="6">
        <f t="shared" si="1"/>
        <v>0.28999999999999915</v>
      </c>
    </row>
    <row r="91" spans="1:20" x14ac:dyDescent="0.2">
      <c r="A91" t="s">
        <v>205</v>
      </c>
      <c r="B91" t="s">
        <v>294</v>
      </c>
      <c r="C91" t="s">
        <v>295</v>
      </c>
      <c r="D91" t="s">
        <v>291</v>
      </c>
      <c r="E91" t="s">
        <v>182</v>
      </c>
      <c r="F91" t="s">
        <v>84</v>
      </c>
      <c r="G91" s="1">
        <v>40</v>
      </c>
      <c r="H91" s="1">
        <v>6</v>
      </c>
      <c r="I91" t="s">
        <v>183</v>
      </c>
      <c r="L91" s="1">
        <v>1</v>
      </c>
      <c r="M91" s="3">
        <v>42.64</v>
      </c>
      <c r="N91" s="3">
        <v>2.13</v>
      </c>
      <c r="O91" s="3">
        <v>0</v>
      </c>
      <c r="P91" s="3">
        <v>0.25</v>
      </c>
      <c r="Q91" s="3">
        <v>45.02</v>
      </c>
      <c r="R91" s="3">
        <v>53.75</v>
      </c>
      <c r="S91" s="3">
        <f>VLOOKUP(C91,[1]page!$C$2:$M$3071,11,0)</f>
        <v>42.2</v>
      </c>
      <c r="T91" s="6">
        <f t="shared" si="1"/>
        <v>0.43999999999999773</v>
      </c>
    </row>
    <row r="92" spans="1:20" x14ac:dyDescent="0.2">
      <c r="A92" t="s">
        <v>205</v>
      </c>
      <c r="B92" t="s">
        <v>296</v>
      </c>
      <c r="C92" t="s">
        <v>297</v>
      </c>
      <c r="D92" t="s">
        <v>298</v>
      </c>
      <c r="E92" t="s">
        <v>103</v>
      </c>
      <c r="F92" t="s">
        <v>84</v>
      </c>
      <c r="G92" s="1">
        <v>40</v>
      </c>
      <c r="H92" s="1">
        <v>6</v>
      </c>
      <c r="I92" t="s">
        <v>51</v>
      </c>
      <c r="L92" s="1">
        <v>1</v>
      </c>
      <c r="M92" s="3">
        <v>41.99</v>
      </c>
      <c r="N92" s="3">
        <v>2.1</v>
      </c>
      <c r="O92" s="3">
        <v>0</v>
      </c>
      <c r="P92" s="3">
        <v>0.25</v>
      </c>
      <c r="Q92" s="3">
        <v>44.34</v>
      </c>
      <c r="R92" s="3">
        <v>53.75</v>
      </c>
      <c r="S92" s="3">
        <f>VLOOKUP(C92,[1]page!$C$2:$M$3071,11,0)</f>
        <v>41.11</v>
      </c>
      <c r="T92" s="6">
        <f t="shared" si="1"/>
        <v>0.88000000000000256</v>
      </c>
    </row>
    <row r="93" spans="1:20" x14ac:dyDescent="0.2">
      <c r="A93" t="s">
        <v>205</v>
      </c>
      <c r="B93" t="s">
        <v>299</v>
      </c>
      <c r="C93" t="s">
        <v>300</v>
      </c>
      <c r="D93" t="s">
        <v>301</v>
      </c>
      <c r="E93" t="s">
        <v>182</v>
      </c>
      <c r="F93" t="s">
        <v>23</v>
      </c>
      <c r="G93" s="1">
        <v>40</v>
      </c>
      <c r="H93" s="1">
        <v>9</v>
      </c>
      <c r="I93" t="s">
        <v>183</v>
      </c>
      <c r="L93" s="1">
        <v>1</v>
      </c>
      <c r="M93" s="3">
        <v>20.22</v>
      </c>
      <c r="N93" s="3">
        <v>1.01</v>
      </c>
      <c r="O93" s="3">
        <v>0</v>
      </c>
      <c r="P93" s="3">
        <v>0.2</v>
      </c>
      <c r="Q93" s="3">
        <v>21.43</v>
      </c>
      <c r="R93" s="3">
        <v>24.25</v>
      </c>
      <c r="S93" s="3">
        <f>VLOOKUP(C93,[1]page!$C$2:$M$3071,11,0)</f>
        <v>20.03</v>
      </c>
      <c r="T93" s="6">
        <f t="shared" si="1"/>
        <v>0.18999999999999773</v>
      </c>
    </row>
    <row r="94" spans="1:20" x14ac:dyDescent="0.2">
      <c r="A94" t="s">
        <v>205</v>
      </c>
      <c r="B94" t="s">
        <v>302</v>
      </c>
      <c r="C94" t="s">
        <v>303</v>
      </c>
      <c r="D94" t="s">
        <v>304</v>
      </c>
      <c r="E94" t="s">
        <v>305</v>
      </c>
      <c r="F94" t="s">
        <v>23</v>
      </c>
      <c r="G94" s="1">
        <v>40</v>
      </c>
      <c r="H94" s="1">
        <v>12</v>
      </c>
      <c r="I94" t="s">
        <v>183</v>
      </c>
      <c r="L94" s="1">
        <v>1</v>
      </c>
      <c r="M94" s="3">
        <v>20.59</v>
      </c>
      <c r="N94" s="3">
        <v>1.03</v>
      </c>
      <c r="O94" s="3">
        <v>0</v>
      </c>
      <c r="P94" s="3">
        <v>0.2</v>
      </c>
      <c r="Q94" s="3">
        <v>21.82</v>
      </c>
      <c r="R94" s="3">
        <v>24.25</v>
      </c>
      <c r="S94" s="3">
        <f>VLOOKUP(C94,[1]page!$C$2:$M$3071,11,0)</f>
        <v>20.399999999999999</v>
      </c>
      <c r="T94" s="6">
        <f t="shared" si="1"/>
        <v>0.19000000000000128</v>
      </c>
    </row>
    <row r="95" spans="1:20" x14ac:dyDescent="0.2">
      <c r="A95" t="s">
        <v>205</v>
      </c>
      <c r="B95" t="s">
        <v>306</v>
      </c>
      <c r="C95" t="s">
        <v>307</v>
      </c>
      <c r="D95" t="s">
        <v>304</v>
      </c>
      <c r="E95" t="s">
        <v>305</v>
      </c>
      <c r="F95" t="s">
        <v>65</v>
      </c>
      <c r="G95" s="1">
        <v>40</v>
      </c>
      <c r="H95" s="1">
        <v>8</v>
      </c>
      <c r="I95" t="s">
        <v>183</v>
      </c>
      <c r="L95" s="1">
        <v>1</v>
      </c>
      <c r="M95" s="3">
        <v>30.27</v>
      </c>
      <c r="N95" s="3">
        <v>1.51</v>
      </c>
      <c r="O95" s="3">
        <v>0</v>
      </c>
      <c r="P95" s="3">
        <v>0.4</v>
      </c>
      <c r="Q95" s="3">
        <v>32.18</v>
      </c>
      <c r="R95" s="3">
        <v>35.75</v>
      </c>
      <c r="S95" s="3">
        <f>VLOOKUP(C95,[1]page!$C$2:$M$3071,11,0)</f>
        <v>29.98</v>
      </c>
      <c r="T95" s="6">
        <f t="shared" si="1"/>
        <v>0.28999999999999915</v>
      </c>
    </row>
    <row r="96" spans="1:20" x14ac:dyDescent="0.2">
      <c r="A96" t="s">
        <v>205</v>
      </c>
      <c r="B96" t="s">
        <v>308</v>
      </c>
      <c r="C96" t="s">
        <v>309</v>
      </c>
      <c r="D96" t="s">
        <v>304</v>
      </c>
      <c r="E96" t="s">
        <v>305</v>
      </c>
      <c r="F96" t="s">
        <v>84</v>
      </c>
      <c r="G96" s="1">
        <v>40</v>
      </c>
      <c r="H96" s="1">
        <v>6</v>
      </c>
      <c r="I96" t="s">
        <v>183</v>
      </c>
      <c r="L96" s="1">
        <v>1</v>
      </c>
      <c r="M96" s="3">
        <v>44.64</v>
      </c>
      <c r="N96" s="3">
        <v>2.23</v>
      </c>
      <c r="O96" s="3">
        <v>0</v>
      </c>
      <c r="P96" s="3">
        <v>0.25</v>
      </c>
      <c r="Q96" s="3">
        <v>47.12</v>
      </c>
      <c r="R96" s="3">
        <v>53.75</v>
      </c>
      <c r="S96" s="3">
        <f>VLOOKUP(C96,[1]page!$C$2:$M$3071,11,0)</f>
        <v>44.19</v>
      </c>
      <c r="T96" s="6">
        <f t="shared" si="1"/>
        <v>0.45000000000000284</v>
      </c>
    </row>
    <row r="97" spans="1:20" x14ac:dyDescent="0.2">
      <c r="A97" t="s">
        <v>205</v>
      </c>
      <c r="B97" t="s">
        <v>310</v>
      </c>
      <c r="C97" t="s">
        <v>311</v>
      </c>
      <c r="D97" t="s">
        <v>312</v>
      </c>
      <c r="E97" t="s">
        <v>187</v>
      </c>
      <c r="F97" t="s">
        <v>23</v>
      </c>
      <c r="G97" s="2">
        <v>56.3</v>
      </c>
      <c r="H97" s="1">
        <v>6</v>
      </c>
      <c r="I97" t="s">
        <v>188</v>
      </c>
      <c r="L97" s="1">
        <v>1</v>
      </c>
      <c r="M97" s="3">
        <v>46.54</v>
      </c>
      <c r="N97" s="3">
        <v>2.33</v>
      </c>
      <c r="O97" s="3">
        <v>0</v>
      </c>
      <c r="P97" s="3">
        <v>0.2</v>
      </c>
      <c r="Q97" s="3">
        <v>49.07</v>
      </c>
      <c r="R97" s="3">
        <v>36.4</v>
      </c>
      <c r="S97" s="3">
        <f>VLOOKUP(C97,[1]page!$C$2:$M$3071,11,0)</f>
        <v>46.35</v>
      </c>
      <c r="T97" s="6">
        <f t="shared" si="1"/>
        <v>0.18999999999999773</v>
      </c>
    </row>
    <row r="98" spans="1:20" x14ac:dyDescent="0.2">
      <c r="A98" t="s">
        <v>205</v>
      </c>
      <c r="B98" t="s">
        <v>313</v>
      </c>
      <c r="C98" t="s">
        <v>314</v>
      </c>
      <c r="D98" t="s">
        <v>204</v>
      </c>
      <c r="E98" t="s">
        <v>200</v>
      </c>
      <c r="F98" t="s">
        <v>74</v>
      </c>
      <c r="G98" s="1">
        <v>40</v>
      </c>
      <c r="H98" s="1">
        <v>48</v>
      </c>
      <c r="I98" t="s">
        <v>201</v>
      </c>
      <c r="L98" s="1">
        <v>1</v>
      </c>
      <c r="M98" s="3">
        <v>3.05</v>
      </c>
      <c r="N98" s="3">
        <v>0.15</v>
      </c>
      <c r="O98" s="3">
        <v>0</v>
      </c>
      <c r="P98" s="3">
        <v>0.1</v>
      </c>
      <c r="Q98" s="3">
        <v>3.3</v>
      </c>
      <c r="R98" s="3">
        <v>2.6</v>
      </c>
      <c r="S98" s="3">
        <f>VLOOKUP(C98,[1]page!$C$2:$M$3071,11,0)</f>
        <v>3.04</v>
      </c>
      <c r="T98" s="6">
        <f t="shared" si="1"/>
        <v>9.9999999999997868E-3</v>
      </c>
    </row>
    <row r="99" spans="1:20" x14ac:dyDescent="0.2">
      <c r="A99" t="s">
        <v>205</v>
      </c>
      <c r="B99" t="s">
        <v>315</v>
      </c>
      <c r="C99" t="s">
        <v>316</v>
      </c>
      <c r="D99" t="s">
        <v>317</v>
      </c>
      <c r="E99" t="s">
        <v>173</v>
      </c>
      <c r="F99" t="s">
        <v>77</v>
      </c>
      <c r="G99" s="1">
        <v>40</v>
      </c>
      <c r="H99" s="1">
        <v>24</v>
      </c>
      <c r="I99" t="s">
        <v>318</v>
      </c>
      <c r="L99" s="1">
        <v>1</v>
      </c>
      <c r="M99" s="3">
        <v>11.09</v>
      </c>
      <c r="N99" s="3">
        <v>0.55000000000000004</v>
      </c>
      <c r="O99" s="3">
        <v>0</v>
      </c>
      <c r="P99" s="3">
        <v>0.1</v>
      </c>
      <c r="Q99" s="3">
        <v>11.74</v>
      </c>
      <c r="R99" s="3">
        <v>13.7</v>
      </c>
      <c r="S99" s="3">
        <f>VLOOKUP(C99,[1]page!$C$2:$M$3071,11,0)</f>
        <v>10.99</v>
      </c>
      <c r="T99" s="6">
        <f t="shared" si="1"/>
        <v>9.9999999999999645E-2</v>
      </c>
    </row>
    <row r="100" spans="1:20" x14ac:dyDescent="0.2">
      <c r="A100" t="s">
        <v>205</v>
      </c>
      <c r="B100" t="s">
        <v>319</v>
      </c>
      <c r="C100" t="s">
        <v>320</v>
      </c>
      <c r="D100" t="s">
        <v>317</v>
      </c>
      <c r="E100" t="s">
        <v>173</v>
      </c>
      <c r="F100" t="s">
        <v>23</v>
      </c>
      <c r="G100" s="1">
        <v>40</v>
      </c>
      <c r="H100" s="1">
        <v>12</v>
      </c>
      <c r="I100" t="s">
        <v>318</v>
      </c>
      <c r="L100" s="1">
        <v>1</v>
      </c>
      <c r="M100" s="3">
        <v>18.64</v>
      </c>
      <c r="N100" s="3">
        <v>0.93</v>
      </c>
      <c r="O100" s="3">
        <v>0</v>
      </c>
      <c r="P100" s="3">
        <v>0.1</v>
      </c>
      <c r="Q100" s="3">
        <v>19.670000000000002</v>
      </c>
      <c r="R100" s="3">
        <v>24.25</v>
      </c>
      <c r="S100" s="3">
        <f>VLOOKUP(C100,[1]page!$C$2:$M$3071,11,0)</f>
        <v>18.45</v>
      </c>
      <c r="T100" s="6">
        <f t="shared" si="1"/>
        <v>0.19000000000000128</v>
      </c>
    </row>
    <row r="101" spans="1:20" x14ac:dyDescent="0.2">
      <c r="A101" t="s">
        <v>205</v>
      </c>
      <c r="B101" t="s">
        <v>321</v>
      </c>
      <c r="C101" t="s">
        <v>322</v>
      </c>
      <c r="D101" t="s">
        <v>317</v>
      </c>
      <c r="E101" t="s">
        <v>173</v>
      </c>
      <c r="F101" t="s">
        <v>84</v>
      </c>
      <c r="G101" s="1">
        <v>40</v>
      </c>
      <c r="H101" s="1">
        <v>6</v>
      </c>
      <c r="I101" t="s">
        <v>318</v>
      </c>
      <c r="L101" s="1">
        <v>1</v>
      </c>
      <c r="M101" s="3">
        <v>40.44</v>
      </c>
      <c r="N101" s="3">
        <v>2.02</v>
      </c>
      <c r="O101" s="3">
        <v>0</v>
      </c>
      <c r="P101" s="3">
        <v>0.25</v>
      </c>
      <c r="Q101" s="3">
        <v>42.71</v>
      </c>
      <c r="R101" s="3">
        <v>53.75</v>
      </c>
      <c r="S101" s="3">
        <f>VLOOKUP(C101,[1]page!$C$2:$M$3071,11,0)</f>
        <v>39.99</v>
      </c>
      <c r="T101" s="6">
        <f t="shared" si="1"/>
        <v>0.44999999999999574</v>
      </c>
    </row>
    <row r="102" spans="1:20" x14ac:dyDescent="0.2">
      <c r="A102" t="s">
        <v>205</v>
      </c>
      <c r="B102" t="s">
        <v>323</v>
      </c>
      <c r="C102" t="s">
        <v>324</v>
      </c>
      <c r="D102" t="s">
        <v>325</v>
      </c>
      <c r="E102" t="s">
        <v>38</v>
      </c>
      <c r="F102" t="s">
        <v>77</v>
      </c>
      <c r="G102" s="1">
        <v>40</v>
      </c>
      <c r="H102" s="1">
        <v>24</v>
      </c>
      <c r="I102" t="s">
        <v>39</v>
      </c>
      <c r="L102" s="1">
        <v>1</v>
      </c>
      <c r="M102" s="3">
        <v>11.61</v>
      </c>
      <c r="N102" s="3">
        <v>0.57999999999999996</v>
      </c>
      <c r="O102" s="3">
        <v>0</v>
      </c>
      <c r="P102" s="3">
        <v>0.1</v>
      </c>
      <c r="Q102" s="3">
        <v>12.29</v>
      </c>
      <c r="R102" s="3">
        <v>13.7</v>
      </c>
      <c r="S102" s="3">
        <f>VLOOKUP(C102,[1]page!$C$2:$M$3071,11,0)</f>
        <v>11.61</v>
      </c>
      <c r="T102" s="6">
        <f t="shared" si="1"/>
        <v>0</v>
      </c>
    </row>
    <row r="103" spans="1:20" x14ac:dyDescent="0.2">
      <c r="A103" t="s">
        <v>205</v>
      </c>
      <c r="B103" t="s">
        <v>326</v>
      </c>
      <c r="C103" t="s">
        <v>327</v>
      </c>
      <c r="D103" t="s">
        <v>325</v>
      </c>
      <c r="E103" t="s">
        <v>38</v>
      </c>
      <c r="F103" t="s">
        <v>23</v>
      </c>
      <c r="G103" s="1">
        <v>40</v>
      </c>
      <c r="H103" s="1">
        <v>12</v>
      </c>
      <c r="I103" t="s">
        <v>39</v>
      </c>
      <c r="L103" s="1">
        <v>1</v>
      </c>
      <c r="M103" s="3">
        <v>20</v>
      </c>
      <c r="N103" s="3">
        <v>1</v>
      </c>
      <c r="O103" s="3">
        <v>0</v>
      </c>
      <c r="P103" s="3">
        <v>0.2</v>
      </c>
      <c r="Q103" s="3">
        <v>21.2</v>
      </c>
      <c r="R103" s="3">
        <v>24.25</v>
      </c>
      <c r="S103" s="3">
        <f>VLOOKUP(C103,[1]page!$C$2:$M$3071,11,0)</f>
        <v>20</v>
      </c>
      <c r="T103" s="6">
        <f t="shared" si="1"/>
        <v>0</v>
      </c>
    </row>
    <row r="104" spans="1:20" x14ac:dyDescent="0.2">
      <c r="A104" t="s">
        <v>205</v>
      </c>
      <c r="B104" t="s">
        <v>328</v>
      </c>
      <c r="C104" t="s">
        <v>329</v>
      </c>
      <c r="D104" t="s">
        <v>325</v>
      </c>
      <c r="E104" t="s">
        <v>38</v>
      </c>
      <c r="F104" t="s">
        <v>65</v>
      </c>
      <c r="G104" s="1">
        <v>40</v>
      </c>
      <c r="H104" s="1">
        <v>8</v>
      </c>
      <c r="I104" t="s">
        <v>39</v>
      </c>
      <c r="L104" s="1">
        <v>1</v>
      </c>
      <c r="M104" s="3">
        <v>29.01</v>
      </c>
      <c r="N104" s="3">
        <v>1.45</v>
      </c>
      <c r="O104" s="3">
        <v>0</v>
      </c>
      <c r="P104" s="3">
        <v>0.4</v>
      </c>
      <c r="Q104" s="3">
        <v>30.86</v>
      </c>
      <c r="R104" s="3">
        <v>35.75</v>
      </c>
      <c r="S104" s="3">
        <f>VLOOKUP(C104,[1]page!$C$2:$M$3071,11,0)</f>
        <v>29.01</v>
      </c>
      <c r="T104" s="6">
        <f t="shared" si="1"/>
        <v>0</v>
      </c>
    </row>
    <row r="105" spans="1:20" x14ac:dyDescent="0.2">
      <c r="A105" t="s">
        <v>205</v>
      </c>
      <c r="B105" t="s">
        <v>330</v>
      </c>
      <c r="C105" t="s">
        <v>331</v>
      </c>
      <c r="D105" t="s">
        <v>325</v>
      </c>
      <c r="E105" t="s">
        <v>38</v>
      </c>
      <c r="F105" t="s">
        <v>84</v>
      </c>
      <c r="G105" s="1">
        <v>40</v>
      </c>
      <c r="H105" s="1">
        <v>6</v>
      </c>
      <c r="I105" t="s">
        <v>39</v>
      </c>
      <c r="L105" s="1">
        <v>1</v>
      </c>
      <c r="M105" s="3">
        <v>42.52</v>
      </c>
      <c r="N105" s="3">
        <v>2.13</v>
      </c>
      <c r="O105" s="3">
        <v>0</v>
      </c>
      <c r="P105" s="3">
        <v>0.25</v>
      </c>
      <c r="Q105" s="3">
        <v>44.9</v>
      </c>
      <c r="R105" s="3">
        <v>53.75</v>
      </c>
      <c r="S105" s="3">
        <f>VLOOKUP(C105,[1]page!$C$2:$M$3071,11,0)</f>
        <v>42.52</v>
      </c>
      <c r="T105" s="6">
        <f t="shared" si="1"/>
        <v>0</v>
      </c>
    </row>
    <row r="106" spans="1:20" x14ac:dyDescent="0.2">
      <c r="A106" t="s">
        <v>205</v>
      </c>
      <c r="B106" t="s">
        <v>332</v>
      </c>
      <c r="C106" t="s">
        <v>333</v>
      </c>
      <c r="D106" t="s">
        <v>334</v>
      </c>
      <c r="E106" t="s">
        <v>38</v>
      </c>
      <c r="F106" t="s">
        <v>23</v>
      </c>
      <c r="G106" s="1">
        <v>40</v>
      </c>
      <c r="H106" s="1">
        <v>12</v>
      </c>
      <c r="I106" t="s">
        <v>39</v>
      </c>
      <c r="L106" s="1">
        <v>1</v>
      </c>
      <c r="M106" s="3">
        <v>20</v>
      </c>
      <c r="N106" s="3">
        <v>1</v>
      </c>
      <c r="O106" s="3">
        <v>0</v>
      </c>
      <c r="P106" s="3">
        <v>0.1</v>
      </c>
      <c r="Q106" s="3">
        <v>21.1</v>
      </c>
      <c r="R106" s="3">
        <v>24.25</v>
      </c>
      <c r="S106" s="3">
        <f>VLOOKUP(C106,[1]page!$C$2:$M$3071,11,0)</f>
        <v>20</v>
      </c>
      <c r="T106" s="6">
        <f t="shared" si="1"/>
        <v>0</v>
      </c>
    </row>
    <row r="107" spans="1:20" x14ac:dyDescent="0.2">
      <c r="A107" t="s">
        <v>335</v>
      </c>
      <c r="B107" t="s">
        <v>336</v>
      </c>
      <c r="C107" t="s">
        <v>337</v>
      </c>
      <c r="D107" t="s">
        <v>338</v>
      </c>
      <c r="E107" t="s">
        <v>155</v>
      </c>
      <c r="F107" t="s">
        <v>23</v>
      </c>
      <c r="G107" s="1">
        <v>45</v>
      </c>
      <c r="H107" s="1">
        <v>6</v>
      </c>
      <c r="I107" t="s">
        <v>156</v>
      </c>
      <c r="L107" s="1">
        <v>1</v>
      </c>
      <c r="M107" s="3">
        <v>33.39</v>
      </c>
      <c r="N107" s="3">
        <v>1.67</v>
      </c>
      <c r="O107" s="3">
        <v>0</v>
      </c>
      <c r="P107" s="3">
        <v>0.2</v>
      </c>
      <c r="Q107" s="3">
        <v>35.26</v>
      </c>
      <c r="R107" s="3">
        <v>30.35</v>
      </c>
      <c r="S107" s="3">
        <f>VLOOKUP(C107,[1]page!$C$2:$M$3071,11,0)</f>
        <v>33.11</v>
      </c>
      <c r="T107" s="6">
        <f t="shared" si="1"/>
        <v>0.28000000000000114</v>
      </c>
    </row>
    <row r="108" spans="1:20" x14ac:dyDescent="0.2">
      <c r="A108" t="s">
        <v>339</v>
      </c>
      <c r="B108" t="s">
        <v>340</v>
      </c>
      <c r="C108" t="s">
        <v>341</v>
      </c>
      <c r="D108" t="s">
        <v>342</v>
      </c>
      <c r="E108" t="s">
        <v>343</v>
      </c>
      <c r="F108" t="s">
        <v>23</v>
      </c>
      <c r="G108" s="1">
        <v>46</v>
      </c>
      <c r="H108" s="1">
        <v>6</v>
      </c>
      <c r="I108" t="s">
        <v>39</v>
      </c>
      <c r="L108" s="1">
        <v>1</v>
      </c>
      <c r="M108" s="3">
        <v>80.010000000000005</v>
      </c>
      <c r="N108" s="3">
        <v>4</v>
      </c>
      <c r="O108" s="3">
        <v>0</v>
      </c>
      <c r="P108" s="3">
        <v>0.2</v>
      </c>
      <c r="Q108" s="3">
        <v>84.21</v>
      </c>
      <c r="R108" s="3">
        <v>30.35</v>
      </c>
      <c r="S108" s="3">
        <f>VLOOKUP(C108,[1]page!$C$2:$M$3071,11,0)</f>
        <v>80.010000000000005</v>
      </c>
      <c r="T108" s="6">
        <f t="shared" si="1"/>
        <v>0</v>
      </c>
    </row>
    <row r="109" spans="1:20" x14ac:dyDescent="0.2">
      <c r="A109" t="s">
        <v>344</v>
      </c>
      <c r="B109" t="s">
        <v>345</v>
      </c>
      <c r="C109" t="s">
        <v>346</v>
      </c>
      <c r="D109" t="s">
        <v>347</v>
      </c>
      <c r="E109" t="s">
        <v>348</v>
      </c>
      <c r="F109" t="s">
        <v>23</v>
      </c>
      <c r="G109" s="2">
        <v>42.8</v>
      </c>
      <c r="H109" s="1">
        <v>12</v>
      </c>
      <c r="I109" t="s">
        <v>169</v>
      </c>
      <c r="L109" s="1">
        <v>1</v>
      </c>
      <c r="M109" s="3">
        <v>26.22</v>
      </c>
      <c r="N109" s="3">
        <v>1.31</v>
      </c>
      <c r="O109" s="3">
        <v>0</v>
      </c>
      <c r="P109" s="3">
        <v>0.2</v>
      </c>
      <c r="Q109" s="3">
        <v>27.73</v>
      </c>
      <c r="R109" s="3">
        <v>24.25</v>
      </c>
      <c r="S109" s="3">
        <f>VLOOKUP(C109,[1]page!$C$2:$M$3071,11,0)</f>
        <v>26.22</v>
      </c>
      <c r="T109" s="6">
        <f t="shared" si="1"/>
        <v>0</v>
      </c>
    </row>
    <row r="110" spans="1:20" x14ac:dyDescent="0.2">
      <c r="A110" t="s">
        <v>349</v>
      </c>
      <c r="B110" t="s">
        <v>350</v>
      </c>
      <c r="C110" t="s">
        <v>351</v>
      </c>
      <c r="D110" t="s">
        <v>352</v>
      </c>
      <c r="E110" t="s">
        <v>353</v>
      </c>
      <c r="F110" t="s">
        <v>23</v>
      </c>
      <c r="G110" s="1">
        <v>40</v>
      </c>
      <c r="H110" s="1">
        <v>6</v>
      </c>
      <c r="I110" t="s">
        <v>156</v>
      </c>
      <c r="L110" s="1">
        <v>1</v>
      </c>
      <c r="M110" s="3">
        <v>41.29</v>
      </c>
      <c r="N110" s="3">
        <v>2.06</v>
      </c>
      <c r="O110" s="3">
        <v>0</v>
      </c>
      <c r="P110" s="3">
        <v>0.2</v>
      </c>
      <c r="Q110" s="3">
        <v>43.55</v>
      </c>
      <c r="R110" s="3">
        <v>24.25</v>
      </c>
      <c r="S110" s="3">
        <f>VLOOKUP(C110,[1]page!$C$2:$M$3071,11,0)</f>
        <v>41.01</v>
      </c>
      <c r="T110" s="6">
        <f t="shared" si="1"/>
        <v>0.28000000000000114</v>
      </c>
    </row>
    <row r="111" spans="1:20" x14ac:dyDescent="0.2">
      <c r="A111" t="s">
        <v>349</v>
      </c>
      <c r="B111" t="s">
        <v>354</v>
      </c>
      <c r="C111" t="s">
        <v>355</v>
      </c>
      <c r="D111" t="s">
        <v>356</v>
      </c>
      <c r="E111" t="s">
        <v>353</v>
      </c>
      <c r="F111" t="s">
        <v>23</v>
      </c>
      <c r="G111" s="1">
        <v>40</v>
      </c>
      <c r="H111" s="1">
        <v>12</v>
      </c>
      <c r="I111" t="s">
        <v>156</v>
      </c>
      <c r="L111" s="1">
        <v>1</v>
      </c>
      <c r="M111" s="3">
        <v>35.39</v>
      </c>
      <c r="N111" s="3">
        <v>1.77</v>
      </c>
      <c r="O111" s="3">
        <v>0</v>
      </c>
      <c r="P111" s="3">
        <v>0.2</v>
      </c>
      <c r="Q111" s="3">
        <v>37.36</v>
      </c>
      <c r="R111" s="3">
        <v>24.25</v>
      </c>
      <c r="S111" s="3">
        <f>VLOOKUP(C111,[1]page!$C$2:$M$3071,11,0)</f>
        <v>34.61</v>
      </c>
      <c r="T111" s="6">
        <f t="shared" si="1"/>
        <v>0.78000000000000114</v>
      </c>
    </row>
    <row r="112" spans="1:20" x14ac:dyDescent="0.2">
      <c r="A112" t="s">
        <v>349</v>
      </c>
      <c r="B112" t="s">
        <v>357</v>
      </c>
      <c r="C112" t="s">
        <v>358</v>
      </c>
      <c r="D112" t="s">
        <v>359</v>
      </c>
      <c r="E112" t="s">
        <v>360</v>
      </c>
      <c r="F112" t="s">
        <v>23</v>
      </c>
      <c r="G112" s="1">
        <v>42</v>
      </c>
      <c r="H112" s="1">
        <v>6</v>
      </c>
      <c r="I112" t="s">
        <v>57</v>
      </c>
      <c r="L112" s="1">
        <v>1</v>
      </c>
      <c r="M112" s="3">
        <v>46.63</v>
      </c>
      <c r="N112" s="3">
        <v>2.33</v>
      </c>
      <c r="O112" s="3">
        <v>0</v>
      </c>
      <c r="P112" s="3">
        <v>0.2</v>
      </c>
      <c r="Q112" s="3">
        <v>49.16</v>
      </c>
      <c r="R112" s="3">
        <v>24.25</v>
      </c>
      <c r="S112" s="3">
        <f>VLOOKUP(C112,[1]page!$C$2:$M$3071,11,0)</f>
        <v>46.49</v>
      </c>
      <c r="T112" s="6">
        <f t="shared" si="1"/>
        <v>0.14000000000000057</v>
      </c>
    </row>
    <row r="113" spans="1:20" x14ac:dyDescent="0.2">
      <c r="A113" t="s">
        <v>349</v>
      </c>
      <c r="B113" t="s">
        <v>361</v>
      </c>
      <c r="C113" t="s">
        <v>362</v>
      </c>
      <c r="D113" t="s">
        <v>363</v>
      </c>
      <c r="E113" t="s">
        <v>364</v>
      </c>
      <c r="F113" t="s">
        <v>23</v>
      </c>
      <c r="G113" s="1">
        <v>40</v>
      </c>
      <c r="H113" s="1">
        <v>12</v>
      </c>
      <c r="I113" t="s">
        <v>39</v>
      </c>
      <c r="L113" s="1">
        <v>1</v>
      </c>
      <c r="M113" s="3">
        <v>49</v>
      </c>
      <c r="N113" s="3">
        <v>2.4500000000000002</v>
      </c>
      <c r="O113" s="3">
        <v>0</v>
      </c>
      <c r="P113" s="3">
        <v>0.2</v>
      </c>
      <c r="Q113" s="3">
        <v>51.65</v>
      </c>
      <c r="R113" s="3">
        <v>24.25</v>
      </c>
      <c r="S113" s="3">
        <f>VLOOKUP(C113,[1]page!$C$2:$M$3071,11,0)</f>
        <v>49</v>
      </c>
      <c r="T113" s="6">
        <f t="shared" si="1"/>
        <v>0</v>
      </c>
    </row>
    <row r="114" spans="1:20" x14ac:dyDescent="0.2">
      <c r="A114" t="s">
        <v>349</v>
      </c>
      <c r="B114" t="s">
        <v>365</v>
      </c>
      <c r="C114" t="s">
        <v>366</v>
      </c>
      <c r="D114" t="s">
        <v>367</v>
      </c>
      <c r="E114" t="s">
        <v>364</v>
      </c>
      <c r="F114" t="s">
        <v>23</v>
      </c>
      <c r="G114" s="1">
        <v>40</v>
      </c>
      <c r="H114" s="1">
        <v>12</v>
      </c>
      <c r="I114" t="s">
        <v>39</v>
      </c>
      <c r="L114" s="1">
        <v>1</v>
      </c>
      <c r="M114" s="3">
        <v>39</v>
      </c>
      <c r="N114" s="3">
        <v>1.95</v>
      </c>
      <c r="O114" s="3">
        <v>0</v>
      </c>
      <c r="P114" s="3">
        <v>0.2</v>
      </c>
      <c r="Q114" s="3">
        <v>41.15</v>
      </c>
      <c r="R114" s="3">
        <v>24.25</v>
      </c>
      <c r="S114" s="3">
        <f>VLOOKUP(C114,[1]page!$C$2:$M$3071,11,0)</f>
        <v>39</v>
      </c>
      <c r="T114" s="6">
        <f t="shared" si="1"/>
        <v>0</v>
      </c>
    </row>
    <row r="115" spans="1:20" x14ac:dyDescent="0.2">
      <c r="A115" t="s">
        <v>368</v>
      </c>
      <c r="B115" t="s">
        <v>369</v>
      </c>
      <c r="C115" t="s">
        <v>370</v>
      </c>
      <c r="D115" t="s">
        <v>371</v>
      </c>
      <c r="E115" t="s">
        <v>353</v>
      </c>
      <c r="F115" t="s">
        <v>23</v>
      </c>
      <c r="G115" s="1">
        <v>40</v>
      </c>
      <c r="H115" s="1">
        <v>12</v>
      </c>
      <c r="I115" t="s">
        <v>156</v>
      </c>
      <c r="L115" s="1">
        <v>1</v>
      </c>
      <c r="M115" s="3">
        <v>33.39</v>
      </c>
      <c r="N115" s="3">
        <v>1.67</v>
      </c>
      <c r="O115" s="3">
        <v>0</v>
      </c>
      <c r="P115" s="3">
        <v>0.2</v>
      </c>
      <c r="Q115" s="3">
        <v>35.26</v>
      </c>
      <c r="R115" s="3">
        <v>24.25</v>
      </c>
      <c r="S115" s="3">
        <f>VLOOKUP(C115,[1]page!$C$2:$M$3071,11,0)</f>
        <v>32.61</v>
      </c>
      <c r="T115" s="6">
        <f t="shared" si="1"/>
        <v>0.78000000000000114</v>
      </c>
    </row>
    <row r="116" spans="1:20" x14ac:dyDescent="0.2">
      <c r="A116" t="s">
        <v>368</v>
      </c>
      <c r="B116" t="s">
        <v>372</v>
      </c>
      <c r="C116" t="s">
        <v>373</v>
      </c>
      <c r="D116" t="s">
        <v>374</v>
      </c>
      <c r="E116" t="s">
        <v>364</v>
      </c>
      <c r="F116" t="s">
        <v>77</v>
      </c>
      <c r="G116" s="1">
        <v>40</v>
      </c>
      <c r="H116" s="1">
        <v>24</v>
      </c>
      <c r="I116" t="s">
        <v>39</v>
      </c>
      <c r="L116" s="1">
        <v>1</v>
      </c>
      <c r="M116" s="3">
        <v>18.29</v>
      </c>
      <c r="N116" s="3">
        <v>0.91</v>
      </c>
      <c r="O116" s="3">
        <v>0</v>
      </c>
      <c r="P116" s="3">
        <v>0.2</v>
      </c>
      <c r="Q116" s="3">
        <v>19.399999999999999</v>
      </c>
      <c r="R116" s="3">
        <v>13.7</v>
      </c>
      <c r="S116" s="3">
        <f>VLOOKUP(C116,[1]page!$C$2:$M$3071,11,0)</f>
        <v>18.29</v>
      </c>
      <c r="T116" s="6">
        <f t="shared" si="1"/>
        <v>0</v>
      </c>
    </row>
    <row r="117" spans="1:20" x14ac:dyDescent="0.2">
      <c r="A117" t="s">
        <v>368</v>
      </c>
      <c r="B117" t="s">
        <v>375</v>
      </c>
      <c r="C117" t="s">
        <v>376</v>
      </c>
      <c r="D117" t="s">
        <v>374</v>
      </c>
      <c r="E117" t="s">
        <v>364</v>
      </c>
      <c r="F117" t="s">
        <v>23</v>
      </c>
      <c r="G117" s="1">
        <v>40</v>
      </c>
      <c r="H117" s="1">
        <v>12</v>
      </c>
      <c r="I117" t="s">
        <v>39</v>
      </c>
      <c r="L117" s="1">
        <v>1</v>
      </c>
      <c r="M117" s="3">
        <v>34.5</v>
      </c>
      <c r="N117" s="3">
        <v>1.73</v>
      </c>
      <c r="O117" s="3">
        <v>0</v>
      </c>
      <c r="P117" s="3">
        <v>0.2</v>
      </c>
      <c r="Q117" s="3">
        <v>36.43</v>
      </c>
      <c r="R117" s="3">
        <v>24.25</v>
      </c>
      <c r="S117" s="3">
        <f>VLOOKUP(C117,[1]page!$C$2:$M$3071,11,0)</f>
        <v>34.5</v>
      </c>
      <c r="T117" s="6">
        <f t="shared" si="1"/>
        <v>0</v>
      </c>
    </row>
    <row r="118" spans="1:20" x14ac:dyDescent="0.2">
      <c r="A118" t="s">
        <v>368</v>
      </c>
      <c r="B118" t="s">
        <v>377</v>
      </c>
      <c r="C118" t="s">
        <v>378</v>
      </c>
      <c r="D118" t="s">
        <v>374</v>
      </c>
      <c r="E118" t="s">
        <v>364</v>
      </c>
      <c r="F118" t="s">
        <v>65</v>
      </c>
      <c r="G118" s="1">
        <v>40</v>
      </c>
      <c r="H118" s="1">
        <v>6</v>
      </c>
      <c r="I118" t="s">
        <v>39</v>
      </c>
      <c r="L118" s="1">
        <v>1</v>
      </c>
      <c r="M118" s="3">
        <v>46.51</v>
      </c>
      <c r="N118" s="3">
        <v>2.33</v>
      </c>
      <c r="O118" s="3">
        <v>0</v>
      </c>
      <c r="P118" s="3">
        <v>0.4</v>
      </c>
      <c r="Q118" s="3">
        <v>49.24</v>
      </c>
      <c r="R118" s="3">
        <v>35.75</v>
      </c>
      <c r="S118" s="3">
        <f>VLOOKUP(C118,[1]page!$C$2:$M$3071,11,0)</f>
        <v>46.51</v>
      </c>
      <c r="T118" s="6">
        <f t="shared" si="1"/>
        <v>0</v>
      </c>
    </row>
    <row r="119" spans="1:20" x14ac:dyDescent="0.2">
      <c r="A119" t="s">
        <v>368</v>
      </c>
      <c r="B119" t="s">
        <v>379</v>
      </c>
      <c r="C119" t="s">
        <v>380</v>
      </c>
      <c r="D119" t="s">
        <v>374</v>
      </c>
      <c r="E119" t="s">
        <v>364</v>
      </c>
      <c r="F119" t="s">
        <v>84</v>
      </c>
      <c r="G119" s="1">
        <v>40</v>
      </c>
      <c r="H119" s="1">
        <v>6</v>
      </c>
      <c r="I119" t="s">
        <v>39</v>
      </c>
      <c r="L119" s="1">
        <v>1</v>
      </c>
      <c r="M119" s="3">
        <v>66.02</v>
      </c>
      <c r="N119" s="3">
        <v>3.3</v>
      </c>
      <c r="O119" s="3">
        <v>0</v>
      </c>
      <c r="P119" s="3">
        <v>0.4</v>
      </c>
      <c r="Q119" s="3">
        <v>69.72</v>
      </c>
      <c r="R119" s="3">
        <v>53.75</v>
      </c>
      <c r="S119" s="3">
        <f>VLOOKUP(C119,[1]page!$C$2:$M$3071,11,0)</f>
        <v>66.02</v>
      </c>
      <c r="T119" s="6">
        <f t="shared" si="1"/>
        <v>0</v>
      </c>
    </row>
    <row r="120" spans="1:20" x14ac:dyDescent="0.2">
      <c r="A120" t="s">
        <v>368</v>
      </c>
      <c r="B120" t="s">
        <v>381</v>
      </c>
      <c r="C120" t="s">
        <v>382</v>
      </c>
      <c r="D120" t="s">
        <v>383</v>
      </c>
      <c r="E120" t="s">
        <v>364</v>
      </c>
      <c r="F120" t="s">
        <v>23</v>
      </c>
      <c r="G120" s="1">
        <v>40</v>
      </c>
      <c r="H120" s="1">
        <v>6</v>
      </c>
      <c r="I120" t="s">
        <v>39</v>
      </c>
      <c r="L120" s="1">
        <v>1</v>
      </c>
      <c r="M120" s="3">
        <v>68.22</v>
      </c>
      <c r="N120" s="3">
        <v>3.41</v>
      </c>
      <c r="O120" s="3">
        <v>0</v>
      </c>
      <c r="P120" s="3">
        <v>0.2</v>
      </c>
      <c r="Q120" s="3">
        <v>71.83</v>
      </c>
      <c r="R120" s="3">
        <v>24.25</v>
      </c>
      <c r="S120" s="3">
        <f>VLOOKUP(C120,[1]page!$C$2:$M$3071,11,0)</f>
        <v>68.12</v>
      </c>
      <c r="T120" s="6">
        <f t="shared" si="1"/>
        <v>9.9999999999994316E-2</v>
      </c>
    </row>
    <row r="121" spans="1:20" x14ac:dyDescent="0.2">
      <c r="A121" t="s">
        <v>368</v>
      </c>
      <c r="B121" t="s">
        <v>384</v>
      </c>
      <c r="C121" t="s">
        <v>385</v>
      </c>
      <c r="D121" t="s">
        <v>386</v>
      </c>
      <c r="E121" t="s">
        <v>387</v>
      </c>
      <c r="F121" t="s">
        <v>23</v>
      </c>
      <c r="G121" s="1">
        <v>40</v>
      </c>
      <c r="H121" s="1">
        <v>12</v>
      </c>
      <c r="I121" t="s">
        <v>183</v>
      </c>
      <c r="L121" s="1">
        <v>1</v>
      </c>
      <c r="M121" s="3">
        <v>29.34</v>
      </c>
      <c r="N121" s="3">
        <v>1.47</v>
      </c>
      <c r="O121" s="3">
        <v>0</v>
      </c>
      <c r="P121" s="3">
        <v>0.2</v>
      </c>
      <c r="Q121" s="3">
        <v>31.01</v>
      </c>
      <c r="R121" s="3">
        <v>24.25</v>
      </c>
      <c r="S121" s="3">
        <f>VLOOKUP(C121,[1]page!$C$2:$M$3071,11,0)</f>
        <v>29.15</v>
      </c>
      <c r="T121" s="6">
        <f t="shared" si="1"/>
        <v>0.19000000000000128</v>
      </c>
    </row>
    <row r="122" spans="1:20" x14ac:dyDescent="0.2">
      <c r="A122" t="s">
        <v>368</v>
      </c>
      <c r="B122" t="s">
        <v>388</v>
      </c>
      <c r="C122" t="s">
        <v>389</v>
      </c>
      <c r="D122" t="s">
        <v>390</v>
      </c>
      <c r="E122" t="s">
        <v>391</v>
      </c>
      <c r="F122" t="s">
        <v>23</v>
      </c>
      <c r="G122" s="1">
        <v>40</v>
      </c>
      <c r="H122" s="1">
        <v>12</v>
      </c>
      <c r="I122" t="s">
        <v>34</v>
      </c>
      <c r="L122" s="1">
        <v>1</v>
      </c>
      <c r="M122" s="3">
        <v>32.200000000000003</v>
      </c>
      <c r="N122" s="3">
        <v>1.61</v>
      </c>
      <c r="O122" s="3">
        <v>0</v>
      </c>
      <c r="P122" s="3">
        <v>0.2</v>
      </c>
      <c r="Q122" s="3">
        <v>34.01</v>
      </c>
      <c r="R122" s="3">
        <v>24.25</v>
      </c>
      <c r="S122" s="3">
        <f>VLOOKUP(C122,[1]page!$C$2:$M$3071,11,0)</f>
        <v>32.01</v>
      </c>
      <c r="T122" s="6">
        <f t="shared" si="1"/>
        <v>0.19000000000000483</v>
      </c>
    </row>
    <row r="123" spans="1:20" x14ac:dyDescent="0.2">
      <c r="A123" t="s">
        <v>368</v>
      </c>
      <c r="B123" t="s">
        <v>392</v>
      </c>
      <c r="C123" t="s">
        <v>393</v>
      </c>
      <c r="D123" t="s">
        <v>394</v>
      </c>
      <c r="E123" t="s">
        <v>395</v>
      </c>
      <c r="F123" t="s">
        <v>396</v>
      </c>
      <c r="G123" s="1">
        <v>40</v>
      </c>
      <c r="H123" s="1">
        <v>6</v>
      </c>
      <c r="I123" t="s">
        <v>397</v>
      </c>
      <c r="L123" s="1">
        <v>1</v>
      </c>
      <c r="M123" s="3">
        <v>58.52</v>
      </c>
      <c r="N123" s="3">
        <v>2.93</v>
      </c>
      <c r="O123" s="3">
        <v>0</v>
      </c>
      <c r="P123" s="3">
        <v>0.2</v>
      </c>
      <c r="Q123" s="3">
        <v>61.65</v>
      </c>
      <c r="R123" s="3">
        <v>22.65</v>
      </c>
      <c r="S123" s="3">
        <f>VLOOKUP(C123,[1]page!$C$2:$M$3071,11,0)</f>
        <v>58.42</v>
      </c>
      <c r="T123" s="6">
        <f t="shared" si="1"/>
        <v>0.10000000000000142</v>
      </c>
    </row>
    <row r="124" spans="1:20" x14ac:dyDescent="0.2">
      <c r="A124" t="s">
        <v>398</v>
      </c>
      <c r="B124" t="s">
        <v>399</v>
      </c>
      <c r="C124" t="s">
        <v>400</v>
      </c>
      <c r="D124" t="s">
        <v>401</v>
      </c>
      <c r="E124" t="s">
        <v>402</v>
      </c>
      <c r="F124" t="s">
        <v>23</v>
      </c>
      <c r="G124" s="1">
        <v>43</v>
      </c>
      <c r="H124" s="1">
        <v>6</v>
      </c>
      <c r="I124" t="s">
        <v>62</v>
      </c>
      <c r="L124" s="1">
        <v>1</v>
      </c>
      <c r="M124" s="3">
        <v>110.42</v>
      </c>
      <c r="N124" s="3">
        <v>5.52</v>
      </c>
      <c r="O124" s="3">
        <v>0</v>
      </c>
      <c r="P124" s="3">
        <v>0.2</v>
      </c>
      <c r="Q124" s="3">
        <v>116.14</v>
      </c>
      <c r="R124" s="3">
        <v>24.25</v>
      </c>
      <c r="S124" s="3">
        <f>VLOOKUP(C124,[1]page!$C$2:$M$3071,11,0)</f>
        <v>121.07</v>
      </c>
      <c r="T124" s="6">
        <f t="shared" si="1"/>
        <v>-10.649999999999991</v>
      </c>
    </row>
    <row r="125" spans="1:20" x14ac:dyDescent="0.2">
      <c r="A125" t="s">
        <v>398</v>
      </c>
      <c r="B125" t="s">
        <v>403</v>
      </c>
      <c r="C125" t="s">
        <v>404</v>
      </c>
      <c r="D125" t="s">
        <v>405</v>
      </c>
      <c r="E125" t="s">
        <v>402</v>
      </c>
      <c r="F125" t="s">
        <v>23</v>
      </c>
      <c r="G125" s="1">
        <v>43</v>
      </c>
      <c r="H125" s="1">
        <v>6</v>
      </c>
      <c r="I125" t="s">
        <v>62</v>
      </c>
      <c r="L125" s="1">
        <v>1</v>
      </c>
      <c r="M125" s="3">
        <v>46.82</v>
      </c>
      <c r="N125" s="3">
        <v>2.34</v>
      </c>
      <c r="O125" s="3">
        <v>0</v>
      </c>
      <c r="P125" s="3">
        <v>0.2</v>
      </c>
      <c r="Q125" s="3">
        <v>49.36</v>
      </c>
      <c r="R125" s="3">
        <v>24.25</v>
      </c>
      <c r="S125" s="3">
        <f>VLOOKUP(C125,[1]page!$C$2:$M$3071,11,0)</f>
        <v>46.68</v>
      </c>
      <c r="T125" s="6">
        <f t="shared" si="1"/>
        <v>0.14000000000000057</v>
      </c>
    </row>
    <row r="126" spans="1:20" x14ac:dyDescent="0.2">
      <c r="A126" t="s">
        <v>406</v>
      </c>
      <c r="B126" t="s">
        <v>407</v>
      </c>
      <c r="C126" t="s">
        <v>408</v>
      </c>
      <c r="D126" t="s">
        <v>409</v>
      </c>
      <c r="E126" t="s">
        <v>410</v>
      </c>
      <c r="F126" t="s">
        <v>77</v>
      </c>
      <c r="G126" s="1">
        <v>40</v>
      </c>
      <c r="H126" s="1">
        <v>12</v>
      </c>
      <c r="I126" t="s">
        <v>39</v>
      </c>
      <c r="L126" s="1">
        <v>1</v>
      </c>
      <c r="M126" s="3">
        <v>30.12</v>
      </c>
      <c r="N126" s="3">
        <v>1.51</v>
      </c>
      <c r="O126" s="3">
        <v>0</v>
      </c>
      <c r="P126" s="3">
        <v>0.2</v>
      </c>
      <c r="Q126" s="3">
        <v>31.83</v>
      </c>
      <c r="R126" s="3">
        <v>13.7</v>
      </c>
      <c r="S126" s="3">
        <f>VLOOKUP(C126,[1]page!$C$2:$M$3071,11,0)</f>
        <v>30.12</v>
      </c>
      <c r="T126" s="6">
        <f t="shared" si="1"/>
        <v>0</v>
      </c>
    </row>
    <row r="127" spans="1:20" x14ac:dyDescent="0.2">
      <c r="A127" t="s">
        <v>411</v>
      </c>
      <c r="B127" t="s">
        <v>412</v>
      </c>
      <c r="C127" t="s">
        <v>413</v>
      </c>
      <c r="D127" t="s">
        <v>414</v>
      </c>
      <c r="E127" t="s">
        <v>415</v>
      </c>
      <c r="F127" t="s">
        <v>23</v>
      </c>
      <c r="G127" s="1">
        <v>47</v>
      </c>
      <c r="H127" s="1">
        <v>12</v>
      </c>
      <c r="I127" t="s">
        <v>178</v>
      </c>
      <c r="L127" s="1">
        <v>1</v>
      </c>
      <c r="M127" s="3">
        <v>47.77</v>
      </c>
      <c r="N127" s="3">
        <v>2.39</v>
      </c>
      <c r="O127" s="3">
        <v>0</v>
      </c>
      <c r="P127" s="3">
        <v>0.2</v>
      </c>
      <c r="Q127" s="3">
        <v>50.36</v>
      </c>
      <c r="R127" s="3">
        <v>30.35</v>
      </c>
      <c r="S127" s="3">
        <f>VLOOKUP(C127,[1]page!$C$2:$M$3071,11,0)</f>
        <v>47.61</v>
      </c>
      <c r="T127" s="6">
        <f t="shared" si="1"/>
        <v>0.16000000000000369</v>
      </c>
    </row>
    <row r="128" spans="1:20" x14ac:dyDescent="0.2">
      <c r="A128" t="s">
        <v>411</v>
      </c>
      <c r="B128" t="s">
        <v>416</v>
      </c>
      <c r="C128" t="s">
        <v>417</v>
      </c>
      <c r="D128" t="s">
        <v>418</v>
      </c>
      <c r="E128" t="s">
        <v>419</v>
      </c>
      <c r="F128" t="s">
        <v>23</v>
      </c>
      <c r="G128" s="1">
        <v>40</v>
      </c>
      <c r="H128" s="1">
        <v>12</v>
      </c>
      <c r="I128" t="s">
        <v>420</v>
      </c>
      <c r="L128" s="1">
        <v>1</v>
      </c>
      <c r="M128" s="3">
        <v>38.61</v>
      </c>
      <c r="N128" s="3">
        <v>1.93</v>
      </c>
      <c r="O128" s="3">
        <v>0</v>
      </c>
      <c r="P128" s="3">
        <v>0.2</v>
      </c>
      <c r="Q128" s="3">
        <v>40.74</v>
      </c>
      <c r="R128" s="3">
        <v>24.25</v>
      </c>
      <c r="S128" s="3">
        <f>VLOOKUP(C128,[1]page!$C$2:$M$3071,11,0)</f>
        <v>38.42</v>
      </c>
      <c r="T128" s="6">
        <f t="shared" si="1"/>
        <v>0.18999999999999773</v>
      </c>
    </row>
    <row r="129" spans="1:20" x14ac:dyDescent="0.2">
      <c r="A129" t="s">
        <v>411</v>
      </c>
      <c r="B129" t="s">
        <v>421</v>
      </c>
      <c r="C129" t="s">
        <v>422</v>
      </c>
      <c r="D129" t="s">
        <v>423</v>
      </c>
      <c r="E129" t="s">
        <v>419</v>
      </c>
      <c r="F129" t="s">
        <v>23</v>
      </c>
      <c r="G129" s="1">
        <v>47</v>
      </c>
      <c r="H129" s="1">
        <v>6</v>
      </c>
      <c r="I129" t="s">
        <v>420</v>
      </c>
      <c r="L129" s="1">
        <v>1</v>
      </c>
      <c r="M129" s="3">
        <v>61.44</v>
      </c>
      <c r="N129" s="3">
        <v>3.07</v>
      </c>
      <c r="O129" s="3">
        <v>0</v>
      </c>
      <c r="P129" s="3">
        <v>0.2</v>
      </c>
      <c r="Q129" s="3">
        <v>64.709999999999994</v>
      </c>
      <c r="R129" s="3">
        <v>30.35</v>
      </c>
      <c r="S129" s="3">
        <f>VLOOKUP(C129,[1]page!$C$2:$M$3071,11,0)</f>
        <v>61.31</v>
      </c>
      <c r="T129" s="6">
        <f t="shared" ref="T129:T192" si="2">SUM(M129-S129)</f>
        <v>0.12999999999999545</v>
      </c>
    </row>
    <row r="130" spans="1:20" x14ac:dyDescent="0.2">
      <c r="A130" t="s">
        <v>411</v>
      </c>
      <c r="B130" t="s">
        <v>424</v>
      </c>
      <c r="C130" t="s">
        <v>425</v>
      </c>
      <c r="D130" t="s">
        <v>426</v>
      </c>
      <c r="E130" t="s">
        <v>427</v>
      </c>
      <c r="F130" t="s">
        <v>23</v>
      </c>
      <c r="G130" s="1">
        <v>47</v>
      </c>
      <c r="H130" s="1">
        <v>6</v>
      </c>
      <c r="I130" t="s">
        <v>62</v>
      </c>
      <c r="L130" s="1">
        <v>1</v>
      </c>
      <c r="M130" s="3">
        <v>47.83</v>
      </c>
      <c r="N130" s="3">
        <v>2.39</v>
      </c>
      <c r="O130" s="3">
        <v>0</v>
      </c>
      <c r="P130" s="3">
        <v>0.2</v>
      </c>
      <c r="Q130" s="3">
        <v>50.42</v>
      </c>
      <c r="R130" s="3">
        <v>30.35</v>
      </c>
      <c r="S130" s="3">
        <f>VLOOKUP(C130,[1]page!$C$2:$M$3071,11,0)</f>
        <v>47.67</v>
      </c>
      <c r="T130" s="6">
        <f t="shared" si="2"/>
        <v>0.15999999999999659</v>
      </c>
    </row>
    <row r="131" spans="1:20" x14ac:dyDescent="0.2">
      <c r="A131" t="s">
        <v>411</v>
      </c>
      <c r="B131" t="s">
        <v>428</v>
      </c>
      <c r="C131" t="s">
        <v>429</v>
      </c>
      <c r="D131" t="s">
        <v>430</v>
      </c>
      <c r="E131" t="s">
        <v>431</v>
      </c>
      <c r="F131" t="s">
        <v>23</v>
      </c>
      <c r="G131" s="1">
        <v>42</v>
      </c>
      <c r="H131" s="1">
        <v>12</v>
      </c>
      <c r="I131" t="s">
        <v>156</v>
      </c>
      <c r="L131" s="1">
        <v>1</v>
      </c>
      <c r="M131" s="3">
        <v>31.21</v>
      </c>
      <c r="N131" s="3">
        <v>1.56</v>
      </c>
      <c r="O131" s="3">
        <v>0</v>
      </c>
      <c r="P131" s="3">
        <v>0.2</v>
      </c>
      <c r="Q131" s="3">
        <v>32.97</v>
      </c>
      <c r="R131" s="3">
        <v>24.25</v>
      </c>
      <c r="S131" s="3">
        <f>VLOOKUP(C131,[1]page!$C$2:$M$3071,11,0)</f>
        <v>31.01</v>
      </c>
      <c r="T131" s="6">
        <f t="shared" si="2"/>
        <v>0.19999999999999929</v>
      </c>
    </row>
    <row r="132" spans="1:20" x14ac:dyDescent="0.2">
      <c r="A132" t="s">
        <v>411</v>
      </c>
      <c r="B132" t="s">
        <v>432</v>
      </c>
      <c r="C132" t="s">
        <v>433</v>
      </c>
      <c r="D132" t="s">
        <v>434</v>
      </c>
      <c r="E132" t="s">
        <v>419</v>
      </c>
      <c r="F132" t="s">
        <v>23</v>
      </c>
      <c r="G132" s="2">
        <v>45.2</v>
      </c>
      <c r="H132" s="1">
        <v>6</v>
      </c>
      <c r="I132" t="s">
        <v>435</v>
      </c>
      <c r="L132" s="1">
        <v>1</v>
      </c>
      <c r="M132" s="3">
        <v>45.49</v>
      </c>
      <c r="N132" s="3">
        <v>2.27</v>
      </c>
      <c r="O132" s="3">
        <v>0</v>
      </c>
      <c r="P132" s="3">
        <v>0.2</v>
      </c>
      <c r="Q132" s="3">
        <v>47.96</v>
      </c>
      <c r="R132" s="3">
        <v>30.35</v>
      </c>
      <c r="S132" s="3">
        <f>VLOOKUP(C132,[1]page!$C$2:$M$3071,11,0)</f>
        <v>45.34</v>
      </c>
      <c r="T132" s="6">
        <f t="shared" si="2"/>
        <v>0.14999999999999858</v>
      </c>
    </row>
    <row r="133" spans="1:20" x14ac:dyDescent="0.2">
      <c r="A133" t="s">
        <v>411</v>
      </c>
      <c r="B133" t="s">
        <v>436</v>
      </c>
      <c r="C133" t="s">
        <v>437</v>
      </c>
      <c r="D133" t="s">
        <v>438</v>
      </c>
      <c r="E133" t="s">
        <v>419</v>
      </c>
      <c r="F133" t="s">
        <v>23</v>
      </c>
      <c r="G133" s="2">
        <v>45.2</v>
      </c>
      <c r="H133" s="1">
        <v>6</v>
      </c>
      <c r="I133" t="s">
        <v>420</v>
      </c>
      <c r="L133" s="1">
        <v>1</v>
      </c>
      <c r="M133" s="3">
        <v>66.2</v>
      </c>
      <c r="N133" s="3">
        <v>3.31</v>
      </c>
      <c r="O133" s="3">
        <v>0</v>
      </c>
      <c r="P133" s="3">
        <v>0.2</v>
      </c>
      <c r="Q133" s="3">
        <v>69.709999999999994</v>
      </c>
      <c r="R133" s="3">
        <v>30.35</v>
      </c>
      <c r="S133" s="3">
        <f>VLOOKUP(C133,[1]page!$C$2:$M$3071,11,0)</f>
        <v>66.08</v>
      </c>
      <c r="T133" s="6">
        <f t="shared" si="2"/>
        <v>0.12000000000000455</v>
      </c>
    </row>
    <row r="134" spans="1:20" x14ac:dyDescent="0.2">
      <c r="A134" t="s">
        <v>439</v>
      </c>
      <c r="B134" t="s">
        <v>440</v>
      </c>
      <c r="C134" t="s">
        <v>441</v>
      </c>
      <c r="D134" t="s">
        <v>442</v>
      </c>
      <c r="E134" t="s">
        <v>443</v>
      </c>
      <c r="F134" t="s">
        <v>23</v>
      </c>
      <c r="G134" s="1">
        <v>46</v>
      </c>
      <c r="H134" s="1">
        <v>6</v>
      </c>
      <c r="I134" t="s">
        <v>444</v>
      </c>
      <c r="L134" s="1">
        <v>1</v>
      </c>
      <c r="M134" s="3">
        <v>67.11</v>
      </c>
      <c r="N134" s="3">
        <v>3.36</v>
      </c>
      <c r="O134" s="3">
        <v>0</v>
      </c>
      <c r="P134" s="3">
        <v>0.2</v>
      </c>
      <c r="Q134" s="3">
        <v>70.67</v>
      </c>
      <c r="R134" s="3">
        <v>30.35</v>
      </c>
      <c r="S134" s="3">
        <f>VLOOKUP(C134,[1]page!$C$2:$M$3071,11,0)</f>
        <v>67.099999999999994</v>
      </c>
      <c r="T134" s="6">
        <f t="shared" si="2"/>
        <v>1.0000000000005116E-2</v>
      </c>
    </row>
    <row r="135" spans="1:20" x14ac:dyDescent="0.2">
      <c r="A135" t="s">
        <v>439</v>
      </c>
      <c r="B135" t="s">
        <v>445</v>
      </c>
      <c r="C135" t="s">
        <v>446</v>
      </c>
      <c r="D135" t="s">
        <v>447</v>
      </c>
      <c r="E135" t="s">
        <v>448</v>
      </c>
      <c r="F135" t="s">
        <v>23</v>
      </c>
      <c r="G135" s="1">
        <v>46</v>
      </c>
      <c r="H135" s="1">
        <v>6</v>
      </c>
      <c r="I135" t="s">
        <v>449</v>
      </c>
      <c r="L135" s="1">
        <v>1</v>
      </c>
      <c r="M135" s="3">
        <v>81.150000000000006</v>
      </c>
      <c r="N135" s="3">
        <v>4.0599999999999996</v>
      </c>
      <c r="O135" s="3">
        <v>0</v>
      </c>
      <c r="P135" s="3">
        <v>0.2</v>
      </c>
      <c r="Q135" s="3">
        <v>85.41</v>
      </c>
      <c r="R135" s="3">
        <v>30.35</v>
      </c>
      <c r="S135" s="3">
        <f>VLOOKUP(C135,[1]page!$C$2:$M$3071,11,0)</f>
        <v>81.02</v>
      </c>
      <c r="T135" s="6">
        <f t="shared" si="2"/>
        <v>0.13000000000000966</v>
      </c>
    </row>
    <row r="136" spans="1:20" x14ac:dyDescent="0.2">
      <c r="A136" t="s">
        <v>439</v>
      </c>
      <c r="B136" t="s">
        <v>450</v>
      </c>
      <c r="C136" t="s">
        <v>451</v>
      </c>
      <c r="D136" t="s">
        <v>73</v>
      </c>
      <c r="E136" t="s">
        <v>452</v>
      </c>
      <c r="F136" t="s">
        <v>209</v>
      </c>
      <c r="G136" s="1">
        <v>40</v>
      </c>
      <c r="H136" s="1">
        <v>44</v>
      </c>
      <c r="I136" t="s">
        <v>24</v>
      </c>
      <c r="L136" s="1">
        <v>1</v>
      </c>
      <c r="M136" s="3">
        <v>8.7899999999999991</v>
      </c>
      <c r="N136" s="3">
        <v>0.44</v>
      </c>
      <c r="O136" s="3">
        <v>0</v>
      </c>
      <c r="P136" s="3">
        <v>0.1</v>
      </c>
      <c r="Q136" s="3">
        <v>9.33</v>
      </c>
      <c r="R136" s="3">
        <v>13.7</v>
      </c>
      <c r="S136" s="3">
        <f>VLOOKUP(C136,[1]page!$C$2:$M$3071,11,0)</f>
        <v>8.69</v>
      </c>
      <c r="T136" s="6">
        <f t="shared" si="2"/>
        <v>9.9999999999999645E-2</v>
      </c>
    </row>
    <row r="137" spans="1:20" x14ac:dyDescent="0.2">
      <c r="A137" t="s">
        <v>439</v>
      </c>
      <c r="B137" t="s">
        <v>453</v>
      </c>
      <c r="C137" t="s">
        <v>454</v>
      </c>
      <c r="D137" t="s">
        <v>455</v>
      </c>
      <c r="E137" t="s">
        <v>419</v>
      </c>
      <c r="F137" t="s">
        <v>74</v>
      </c>
      <c r="G137" s="1">
        <v>40</v>
      </c>
      <c r="H137" s="1">
        <v>120</v>
      </c>
      <c r="I137" t="s">
        <v>420</v>
      </c>
      <c r="L137" s="1">
        <v>1</v>
      </c>
      <c r="M137" s="3">
        <v>3.57</v>
      </c>
      <c r="N137" s="3">
        <v>0.18</v>
      </c>
      <c r="O137" s="3">
        <v>0</v>
      </c>
      <c r="P137" s="3">
        <v>0.1</v>
      </c>
      <c r="Q137" s="3">
        <v>3.85</v>
      </c>
      <c r="R137" s="3">
        <v>2.6</v>
      </c>
      <c r="S137" s="3">
        <f>VLOOKUP(C137,[1]page!$C$2:$M$3071,11,0)</f>
        <v>3.56</v>
      </c>
      <c r="T137" s="6">
        <f t="shared" si="2"/>
        <v>9.9999999999997868E-3</v>
      </c>
    </row>
    <row r="138" spans="1:20" x14ac:dyDescent="0.2">
      <c r="A138" t="s">
        <v>439</v>
      </c>
      <c r="B138" t="s">
        <v>456</v>
      </c>
      <c r="C138" t="s">
        <v>457</v>
      </c>
      <c r="D138" t="s">
        <v>455</v>
      </c>
      <c r="E138" t="s">
        <v>419</v>
      </c>
      <c r="F138" t="s">
        <v>77</v>
      </c>
      <c r="G138" s="1">
        <v>40</v>
      </c>
      <c r="H138" s="1">
        <v>24</v>
      </c>
      <c r="I138" t="s">
        <v>420</v>
      </c>
      <c r="L138" s="1">
        <v>1</v>
      </c>
      <c r="M138" s="3">
        <v>17.38</v>
      </c>
      <c r="N138" s="3">
        <v>0.87</v>
      </c>
      <c r="O138" s="3">
        <v>0</v>
      </c>
      <c r="P138" s="3">
        <v>0.2</v>
      </c>
      <c r="Q138" s="3">
        <v>18.45</v>
      </c>
      <c r="R138" s="3">
        <v>13.7</v>
      </c>
      <c r="S138" s="3">
        <f>VLOOKUP(C138,[1]page!$C$2:$M$3071,11,0)</f>
        <v>17.28</v>
      </c>
      <c r="T138" s="6">
        <f t="shared" si="2"/>
        <v>9.9999999999997868E-2</v>
      </c>
    </row>
    <row r="139" spans="1:20" x14ac:dyDescent="0.2">
      <c r="A139" t="s">
        <v>439</v>
      </c>
      <c r="B139" t="s">
        <v>458</v>
      </c>
      <c r="C139" t="s">
        <v>459</v>
      </c>
      <c r="D139" t="s">
        <v>455</v>
      </c>
      <c r="E139" t="s">
        <v>419</v>
      </c>
      <c r="F139" t="s">
        <v>23</v>
      </c>
      <c r="G139" s="1">
        <v>40</v>
      </c>
      <c r="H139" s="1">
        <v>12</v>
      </c>
      <c r="I139" t="s">
        <v>435</v>
      </c>
      <c r="L139" s="1">
        <v>1</v>
      </c>
      <c r="M139" s="3">
        <v>32.61</v>
      </c>
      <c r="N139" s="3">
        <v>1.63</v>
      </c>
      <c r="O139" s="3">
        <v>0</v>
      </c>
      <c r="P139" s="3">
        <v>0.2</v>
      </c>
      <c r="Q139" s="3">
        <v>34.44</v>
      </c>
      <c r="R139" s="3">
        <v>24.25</v>
      </c>
      <c r="S139" s="3">
        <f>VLOOKUP(C139,[1]page!$C$2:$M$3071,11,0)</f>
        <v>32.42</v>
      </c>
      <c r="T139" s="6">
        <f t="shared" si="2"/>
        <v>0.18999999999999773</v>
      </c>
    </row>
    <row r="140" spans="1:20" x14ac:dyDescent="0.2">
      <c r="A140" t="s">
        <v>439</v>
      </c>
      <c r="B140" t="s">
        <v>460</v>
      </c>
      <c r="C140" t="s">
        <v>461</v>
      </c>
      <c r="D140" t="s">
        <v>455</v>
      </c>
      <c r="E140" t="s">
        <v>419</v>
      </c>
      <c r="F140" t="s">
        <v>65</v>
      </c>
      <c r="G140" s="1">
        <v>40</v>
      </c>
      <c r="H140" s="1">
        <v>6</v>
      </c>
      <c r="I140" t="s">
        <v>420</v>
      </c>
      <c r="L140" s="1">
        <v>1</v>
      </c>
      <c r="M140" s="3">
        <v>43.42</v>
      </c>
      <c r="N140" s="3">
        <v>2.17</v>
      </c>
      <c r="O140" s="3">
        <v>0</v>
      </c>
      <c r="P140" s="3">
        <v>0.4</v>
      </c>
      <c r="Q140" s="3">
        <v>45.99</v>
      </c>
      <c r="R140" s="3">
        <v>35.75</v>
      </c>
      <c r="S140" s="3">
        <f>VLOOKUP(C140,[1]page!$C$2:$M$3071,11,0)</f>
        <v>43.13</v>
      </c>
      <c r="T140" s="6">
        <f t="shared" si="2"/>
        <v>0.28999999999999915</v>
      </c>
    </row>
    <row r="141" spans="1:20" x14ac:dyDescent="0.2">
      <c r="A141" t="s">
        <v>439</v>
      </c>
      <c r="B141" t="s">
        <v>462</v>
      </c>
      <c r="C141" t="s">
        <v>463</v>
      </c>
      <c r="D141" t="s">
        <v>455</v>
      </c>
      <c r="E141" t="s">
        <v>419</v>
      </c>
      <c r="F141" t="s">
        <v>84</v>
      </c>
      <c r="G141" s="1">
        <v>40</v>
      </c>
      <c r="H141" s="1">
        <v>6</v>
      </c>
      <c r="I141" t="s">
        <v>420</v>
      </c>
      <c r="L141" s="1">
        <v>1</v>
      </c>
      <c r="M141" s="3">
        <v>61.94</v>
      </c>
      <c r="N141" s="3">
        <v>3.1</v>
      </c>
      <c r="O141" s="3">
        <v>0</v>
      </c>
      <c r="P141" s="3">
        <v>0.4</v>
      </c>
      <c r="Q141" s="3">
        <v>65.44</v>
      </c>
      <c r="R141" s="3">
        <v>53.75</v>
      </c>
      <c r="S141" s="3">
        <f>VLOOKUP(C141,[1]page!$C$2:$M$3071,11,0)</f>
        <v>61.49</v>
      </c>
      <c r="T141" s="6">
        <f t="shared" si="2"/>
        <v>0.44999999999999574</v>
      </c>
    </row>
    <row r="142" spans="1:20" x14ac:dyDescent="0.2">
      <c r="A142" t="s">
        <v>439</v>
      </c>
      <c r="B142" t="s">
        <v>464</v>
      </c>
      <c r="C142" t="s">
        <v>465</v>
      </c>
      <c r="D142" t="s">
        <v>466</v>
      </c>
      <c r="E142" t="s">
        <v>419</v>
      </c>
      <c r="F142" t="s">
        <v>87</v>
      </c>
      <c r="G142" s="1">
        <v>40</v>
      </c>
      <c r="H142" s="1">
        <v>1</v>
      </c>
      <c r="I142" t="s">
        <v>420</v>
      </c>
      <c r="L142" s="1">
        <v>1</v>
      </c>
      <c r="M142" s="3">
        <v>120.8</v>
      </c>
      <c r="N142" s="3">
        <v>6.04</v>
      </c>
      <c r="O142" s="3">
        <v>0</v>
      </c>
      <c r="P142" s="3">
        <v>0.4</v>
      </c>
      <c r="Q142" s="3">
        <v>127.24</v>
      </c>
      <c r="R142" s="3">
        <v>90.2</v>
      </c>
      <c r="S142" s="3">
        <f>VLOOKUP(C142,[1]page!$C$2:$M$3071,11,0)</f>
        <v>120.03</v>
      </c>
      <c r="T142" s="6">
        <f t="shared" si="2"/>
        <v>0.76999999999999602</v>
      </c>
    </row>
    <row r="143" spans="1:20" x14ac:dyDescent="0.2">
      <c r="A143" t="s">
        <v>439</v>
      </c>
      <c r="B143" t="s">
        <v>467</v>
      </c>
      <c r="C143" t="s">
        <v>468</v>
      </c>
      <c r="D143" t="s">
        <v>469</v>
      </c>
      <c r="E143" t="s">
        <v>419</v>
      </c>
      <c r="F143" t="s">
        <v>23</v>
      </c>
      <c r="G143" s="1">
        <v>35</v>
      </c>
      <c r="H143" s="1">
        <v>12</v>
      </c>
      <c r="I143" t="s">
        <v>420</v>
      </c>
      <c r="L143" s="1">
        <v>1</v>
      </c>
      <c r="M143" s="3">
        <v>32.54</v>
      </c>
      <c r="N143" s="3">
        <v>1.63</v>
      </c>
      <c r="O143" s="3">
        <v>0</v>
      </c>
      <c r="P143" s="3">
        <v>0.2</v>
      </c>
      <c r="Q143" s="3">
        <v>34.369999999999997</v>
      </c>
      <c r="R143" s="3">
        <v>24.25</v>
      </c>
      <c r="S143" s="3">
        <f>VLOOKUP(C143,[1]page!$C$2:$M$3071,11,0)</f>
        <v>32.369999999999997</v>
      </c>
      <c r="T143" s="6">
        <f t="shared" si="2"/>
        <v>0.17000000000000171</v>
      </c>
    </row>
    <row r="144" spans="1:20" x14ac:dyDescent="0.2">
      <c r="A144" t="s">
        <v>439</v>
      </c>
      <c r="B144" t="s">
        <v>470</v>
      </c>
      <c r="C144" t="s">
        <v>471</v>
      </c>
      <c r="D144" t="s">
        <v>472</v>
      </c>
      <c r="E144" t="s">
        <v>419</v>
      </c>
      <c r="F144" t="s">
        <v>23</v>
      </c>
      <c r="G144" s="1">
        <v>35</v>
      </c>
      <c r="H144" s="1">
        <v>12</v>
      </c>
      <c r="I144" t="s">
        <v>420</v>
      </c>
      <c r="L144" s="1">
        <v>1</v>
      </c>
      <c r="M144" s="3">
        <v>32.54</v>
      </c>
      <c r="N144" s="3">
        <v>1.63</v>
      </c>
      <c r="O144" s="3">
        <v>0</v>
      </c>
      <c r="P144" s="3">
        <v>0.2</v>
      </c>
      <c r="Q144" s="3">
        <v>34.369999999999997</v>
      </c>
      <c r="R144" s="3">
        <v>24.25</v>
      </c>
      <c r="S144" s="3">
        <f>VLOOKUP(C144,[1]page!$C$2:$M$3071,11,0)</f>
        <v>32.369999999999997</v>
      </c>
      <c r="T144" s="6">
        <f t="shared" si="2"/>
        <v>0.17000000000000171</v>
      </c>
    </row>
    <row r="145" spans="1:20" x14ac:dyDescent="0.2">
      <c r="A145" t="s">
        <v>439</v>
      </c>
      <c r="B145" t="s">
        <v>473</v>
      </c>
      <c r="C145" t="s">
        <v>474</v>
      </c>
      <c r="D145" t="s">
        <v>475</v>
      </c>
      <c r="E145" t="s">
        <v>402</v>
      </c>
      <c r="F145" t="s">
        <v>84</v>
      </c>
      <c r="G145" s="1">
        <v>40</v>
      </c>
      <c r="H145" s="1">
        <v>6</v>
      </c>
      <c r="I145" t="s">
        <v>62</v>
      </c>
      <c r="L145" s="1">
        <v>1</v>
      </c>
      <c r="M145" s="3">
        <v>54.94</v>
      </c>
      <c r="N145" s="3">
        <v>2.75</v>
      </c>
      <c r="O145" s="3">
        <v>0</v>
      </c>
      <c r="P145" s="3">
        <v>0.4</v>
      </c>
      <c r="Q145" s="3">
        <v>58.09</v>
      </c>
      <c r="R145" s="3">
        <v>53.75</v>
      </c>
      <c r="S145" s="3">
        <f>VLOOKUP(C145,[1]page!$C$2:$M$3071,11,0)</f>
        <v>54.49</v>
      </c>
      <c r="T145" s="6">
        <f t="shared" si="2"/>
        <v>0.44999999999999574</v>
      </c>
    </row>
    <row r="146" spans="1:20" x14ac:dyDescent="0.2">
      <c r="A146" t="s">
        <v>439</v>
      </c>
      <c r="B146" t="s">
        <v>476</v>
      </c>
      <c r="C146" t="s">
        <v>477</v>
      </c>
      <c r="D146" t="s">
        <v>478</v>
      </c>
      <c r="E146" t="s">
        <v>479</v>
      </c>
      <c r="F146" t="s">
        <v>23</v>
      </c>
      <c r="G146" s="2">
        <v>45.7</v>
      </c>
      <c r="H146" s="1">
        <v>6</v>
      </c>
      <c r="I146" t="s">
        <v>70</v>
      </c>
      <c r="L146" s="1">
        <v>1</v>
      </c>
      <c r="M146" s="3">
        <v>76.91</v>
      </c>
      <c r="N146" s="3">
        <v>3.85</v>
      </c>
      <c r="O146" s="3">
        <v>0</v>
      </c>
      <c r="P146" s="3">
        <v>0.2</v>
      </c>
      <c r="Q146" s="3">
        <v>80.959999999999994</v>
      </c>
      <c r="R146" s="3">
        <v>30.35</v>
      </c>
      <c r="S146" s="3">
        <f>VLOOKUP(C146,[1]page!$C$2:$M$3071,11,0)</f>
        <v>76.790000000000006</v>
      </c>
      <c r="T146" s="6">
        <f t="shared" si="2"/>
        <v>0.11999999999999034</v>
      </c>
    </row>
    <row r="147" spans="1:20" x14ac:dyDescent="0.2">
      <c r="A147" t="s">
        <v>439</v>
      </c>
      <c r="B147" t="s">
        <v>480</v>
      </c>
      <c r="C147" t="s">
        <v>481</v>
      </c>
      <c r="D147" t="s">
        <v>482</v>
      </c>
      <c r="E147" t="s">
        <v>448</v>
      </c>
      <c r="F147" t="s">
        <v>23</v>
      </c>
      <c r="G147" s="1">
        <v>42</v>
      </c>
      <c r="H147" s="1">
        <v>12</v>
      </c>
      <c r="I147" t="s">
        <v>449</v>
      </c>
      <c r="L147" s="1">
        <v>1</v>
      </c>
      <c r="M147" s="3">
        <v>41.78</v>
      </c>
      <c r="N147" s="3">
        <v>2.09</v>
      </c>
      <c r="O147" s="3">
        <v>0</v>
      </c>
      <c r="P147" s="3">
        <v>0.2</v>
      </c>
      <c r="Q147" s="3">
        <v>44.07</v>
      </c>
      <c r="R147" s="3">
        <v>24.25</v>
      </c>
      <c r="S147" s="3">
        <f>VLOOKUP(C147,[1]page!$C$2:$M$3071,11,0)</f>
        <v>41.58</v>
      </c>
      <c r="T147" s="6">
        <f t="shared" si="2"/>
        <v>0.20000000000000284</v>
      </c>
    </row>
    <row r="148" spans="1:20" x14ac:dyDescent="0.2">
      <c r="A148" t="s">
        <v>439</v>
      </c>
      <c r="B148" t="s">
        <v>483</v>
      </c>
      <c r="C148" t="s">
        <v>484</v>
      </c>
      <c r="D148" t="s">
        <v>485</v>
      </c>
      <c r="E148" t="s">
        <v>486</v>
      </c>
      <c r="F148" t="s">
        <v>23</v>
      </c>
      <c r="G148" s="2">
        <v>46.5</v>
      </c>
      <c r="H148" s="1">
        <v>6</v>
      </c>
      <c r="I148" t="s">
        <v>178</v>
      </c>
      <c r="L148" s="1">
        <v>1</v>
      </c>
      <c r="M148" s="3">
        <v>56.21</v>
      </c>
      <c r="N148" s="3">
        <v>2.81</v>
      </c>
      <c r="O148" s="3">
        <v>0</v>
      </c>
      <c r="P148" s="3">
        <v>0.2</v>
      </c>
      <c r="Q148" s="3">
        <v>59.22</v>
      </c>
      <c r="R148" s="3">
        <v>30.35</v>
      </c>
      <c r="S148" s="3">
        <f>VLOOKUP(C148,[1]page!$C$2:$M$3071,11,0)</f>
        <v>56.06</v>
      </c>
      <c r="T148" s="6">
        <f t="shared" si="2"/>
        <v>0.14999999999999858</v>
      </c>
    </row>
    <row r="149" spans="1:20" x14ac:dyDescent="0.2">
      <c r="A149" t="s">
        <v>17</v>
      </c>
      <c r="B149" t="s">
        <v>487</v>
      </c>
      <c r="C149" t="s">
        <v>488</v>
      </c>
      <c r="D149" t="s">
        <v>489</v>
      </c>
      <c r="E149" t="s">
        <v>50</v>
      </c>
      <c r="F149" t="s">
        <v>23</v>
      </c>
      <c r="G149" s="1">
        <v>40</v>
      </c>
      <c r="H149" s="1">
        <v>6</v>
      </c>
      <c r="I149" t="s">
        <v>51</v>
      </c>
      <c r="L149" s="1">
        <v>1</v>
      </c>
      <c r="M149" s="3">
        <v>28.99</v>
      </c>
      <c r="N149" s="3">
        <v>1.45</v>
      </c>
      <c r="O149" s="3">
        <v>0</v>
      </c>
      <c r="P149" s="3">
        <v>0.2</v>
      </c>
      <c r="Q149" s="3">
        <v>30.64</v>
      </c>
      <c r="R149" s="3">
        <v>24.25</v>
      </c>
      <c r="S149" s="3">
        <f>VLOOKUP(C149,[1]page!$C$2:$M$3071,11,0)</f>
        <v>28.66</v>
      </c>
      <c r="T149" s="6">
        <f t="shared" si="2"/>
        <v>0.32999999999999829</v>
      </c>
    </row>
    <row r="150" spans="1:20" x14ac:dyDescent="0.2">
      <c r="A150" t="s">
        <v>52</v>
      </c>
      <c r="B150" t="s">
        <v>490</v>
      </c>
      <c r="C150" t="s">
        <v>491</v>
      </c>
      <c r="D150" t="s">
        <v>492</v>
      </c>
      <c r="E150" t="s">
        <v>493</v>
      </c>
      <c r="F150" t="s">
        <v>23</v>
      </c>
      <c r="G150" s="1">
        <v>40</v>
      </c>
      <c r="H150" s="1">
        <v>12</v>
      </c>
      <c r="I150" t="s">
        <v>62</v>
      </c>
      <c r="L150" s="1">
        <v>1</v>
      </c>
      <c r="M150" s="3">
        <v>25.81</v>
      </c>
      <c r="N150" s="3">
        <v>1.29</v>
      </c>
      <c r="O150" s="3">
        <v>0</v>
      </c>
      <c r="P150" s="3">
        <v>0.2</v>
      </c>
      <c r="Q150" s="3">
        <v>27.3</v>
      </c>
      <c r="R150" s="3">
        <v>24.25</v>
      </c>
      <c r="S150" s="3">
        <f>VLOOKUP(C150,[1]page!$C$2:$M$3071,11,0)</f>
        <v>25.62</v>
      </c>
      <c r="T150" s="6">
        <f t="shared" si="2"/>
        <v>0.18999999999999773</v>
      </c>
    </row>
    <row r="151" spans="1:20" x14ac:dyDescent="0.2">
      <c r="A151" t="s">
        <v>52</v>
      </c>
      <c r="B151" t="s">
        <v>494</v>
      </c>
      <c r="C151" t="s">
        <v>495</v>
      </c>
      <c r="D151" t="s">
        <v>496</v>
      </c>
      <c r="E151" t="s">
        <v>22</v>
      </c>
      <c r="F151" t="s">
        <v>23</v>
      </c>
      <c r="G151" s="1">
        <v>35</v>
      </c>
      <c r="H151" s="1">
        <v>12</v>
      </c>
      <c r="I151" t="s">
        <v>24</v>
      </c>
      <c r="L151" s="1">
        <v>1</v>
      </c>
      <c r="M151" s="3">
        <v>25.99</v>
      </c>
      <c r="N151" s="3">
        <v>1.3</v>
      </c>
      <c r="O151" s="3">
        <v>0</v>
      </c>
      <c r="P151" s="3">
        <v>0.2</v>
      </c>
      <c r="Q151" s="3">
        <v>27.49</v>
      </c>
      <c r="R151" s="3">
        <v>24.25</v>
      </c>
      <c r="S151" s="3">
        <f>VLOOKUP(C151,[1]page!$C$2:$M$3071,11,0)</f>
        <v>25.49</v>
      </c>
      <c r="T151" s="6">
        <f t="shared" si="2"/>
        <v>0.5</v>
      </c>
    </row>
    <row r="152" spans="1:20" x14ac:dyDescent="0.2">
      <c r="A152" t="s">
        <v>52</v>
      </c>
      <c r="B152" t="s">
        <v>497</v>
      </c>
      <c r="C152" t="s">
        <v>498</v>
      </c>
      <c r="D152" t="s">
        <v>499</v>
      </c>
      <c r="E152" t="s">
        <v>96</v>
      </c>
      <c r="F152" t="s">
        <v>23</v>
      </c>
      <c r="G152" s="1">
        <v>35</v>
      </c>
      <c r="H152" s="1">
        <v>12</v>
      </c>
      <c r="I152" t="s">
        <v>24</v>
      </c>
      <c r="L152" s="1">
        <v>1</v>
      </c>
      <c r="M152" s="3">
        <v>25.99</v>
      </c>
      <c r="N152" s="3">
        <v>1.3</v>
      </c>
      <c r="O152" s="3">
        <v>0</v>
      </c>
      <c r="P152" s="3">
        <v>0.2</v>
      </c>
      <c r="Q152" s="3">
        <v>27.49</v>
      </c>
      <c r="R152" s="3">
        <v>24.25</v>
      </c>
      <c r="S152" s="3">
        <f>VLOOKUP(C152,[1]page!$C$2:$M$3071,11,0)</f>
        <v>25.49</v>
      </c>
      <c r="T152" s="6">
        <f t="shared" si="2"/>
        <v>0.5</v>
      </c>
    </row>
    <row r="153" spans="1:20" x14ac:dyDescent="0.2">
      <c r="A153" t="s">
        <v>52</v>
      </c>
      <c r="B153" t="s">
        <v>500</v>
      </c>
      <c r="C153" t="s">
        <v>501</v>
      </c>
      <c r="D153" t="s">
        <v>502</v>
      </c>
      <c r="E153" t="s">
        <v>96</v>
      </c>
      <c r="F153" t="s">
        <v>23</v>
      </c>
      <c r="G153" s="1">
        <v>35</v>
      </c>
      <c r="H153" s="1">
        <v>12</v>
      </c>
      <c r="I153" t="s">
        <v>24</v>
      </c>
      <c r="L153" s="1">
        <v>1</v>
      </c>
      <c r="M153" s="3">
        <v>25.99</v>
      </c>
      <c r="N153" s="3">
        <v>1.3</v>
      </c>
      <c r="O153" s="3">
        <v>0</v>
      </c>
      <c r="P153" s="3">
        <v>0.2</v>
      </c>
      <c r="Q153" s="3">
        <v>27.49</v>
      </c>
      <c r="R153" s="3">
        <v>24.25</v>
      </c>
      <c r="S153" s="3">
        <f>VLOOKUP(C153,[1]page!$C$2:$M$3071,11,0)</f>
        <v>25.51</v>
      </c>
      <c r="T153" s="6">
        <f t="shared" si="2"/>
        <v>0.47999999999999687</v>
      </c>
    </row>
    <row r="154" spans="1:20" x14ac:dyDescent="0.2">
      <c r="A154" t="s">
        <v>52</v>
      </c>
      <c r="B154" t="s">
        <v>503</v>
      </c>
      <c r="C154" t="s">
        <v>504</v>
      </c>
      <c r="D154" t="s">
        <v>505</v>
      </c>
      <c r="E154" t="s">
        <v>22</v>
      </c>
      <c r="F154" t="s">
        <v>23</v>
      </c>
      <c r="G154" s="1">
        <v>35</v>
      </c>
      <c r="H154" s="1">
        <v>12</v>
      </c>
      <c r="I154" t="s">
        <v>24</v>
      </c>
      <c r="L154" s="1">
        <v>1</v>
      </c>
      <c r="M154" s="3">
        <v>25.99</v>
      </c>
      <c r="N154" s="3">
        <v>1.3</v>
      </c>
      <c r="O154" s="3">
        <v>0</v>
      </c>
      <c r="P154" s="3">
        <v>0.2</v>
      </c>
      <c r="Q154" s="3">
        <v>27.49</v>
      </c>
      <c r="R154" s="3">
        <v>24.25</v>
      </c>
      <c r="S154" s="3">
        <f>VLOOKUP(C154,[1]page!$C$2:$M$3071,11,0)</f>
        <v>25.49</v>
      </c>
      <c r="T154" s="6">
        <f t="shared" si="2"/>
        <v>0.5</v>
      </c>
    </row>
    <row r="155" spans="1:20" x14ac:dyDescent="0.2">
      <c r="A155" t="s">
        <v>52</v>
      </c>
      <c r="B155" t="s">
        <v>506</v>
      </c>
      <c r="C155" t="s">
        <v>507</v>
      </c>
      <c r="D155" t="s">
        <v>508</v>
      </c>
      <c r="E155" t="s">
        <v>28</v>
      </c>
      <c r="F155" t="s">
        <v>23</v>
      </c>
      <c r="G155" s="1">
        <v>40</v>
      </c>
      <c r="H155" s="1">
        <v>12</v>
      </c>
      <c r="I155" t="s">
        <v>29</v>
      </c>
      <c r="L155" s="1">
        <v>1</v>
      </c>
      <c r="M155" s="3">
        <v>24.2</v>
      </c>
      <c r="N155" s="3">
        <v>1.21</v>
      </c>
      <c r="O155" s="3">
        <v>0</v>
      </c>
      <c r="P155" s="3">
        <v>0.2</v>
      </c>
      <c r="Q155" s="3">
        <v>25.61</v>
      </c>
      <c r="R155" s="3">
        <v>24.25</v>
      </c>
      <c r="S155" s="3">
        <f>VLOOKUP(C155,[1]page!$C$2:$M$3071,11,0)</f>
        <v>24</v>
      </c>
      <c r="T155" s="6">
        <f t="shared" si="2"/>
        <v>0.19999999999999929</v>
      </c>
    </row>
    <row r="156" spans="1:20" x14ac:dyDescent="0.2">
      <c r="A156" t="s">
        <v>52</v>
      </c>
      <c r="B156" t="s">
        <v>509</v>
      </c>
      <c r="C156" t="s">
        <v>510</v>
      </c>
      <c r="D156" t="s">
        <v>511</v>
      </c>
      <c r="E156" t="s">
        <v>43</v>
      </c>
      <c r="F156" t="s">
        <v>23</v>
      </c>
      <c r="G156" s="1">
        <v>35</v>
      </c>
      <c r="H156" s="1">
        <v>12</v>
      </c>
      <c r="I156" t="s">
        <v>39</v>
      </c>
      <c r="L156" s="1">
        <v>1</v>
      </c>
      <c r="M156" s="3">
        <v>23.82</v>
      </c>
      <c r="N156" s="3">
        <v>1.19</v>
      </c>
      <c r="O156" s="3">
        <v>0</v>
      </c>
      <c r="P156" s="3">
        <v>0.2</v>
      </c>
      <c r="Q156" s="3">
        <v>25.21</v>
      </c>
      <c r="R156" s="3">
        <v>24.25</v>
      </c>
      <c r="S156" s="3">
        <f>VLOOKUP(C156,[1]page!$C$2:$M$3071,11,0)</f>
        <v>23.82</v>
      </c>
      <c r="T156" s="6">
        <f t="shared" si="2"/>
        <v>0</v>
      </c>
    </row>
    <row r="157" spans="1:20" x14ac:dyDescent="0.2">
      <c r="A157" t="s">
        <v>52</v>
      </c>
      <c r="B157" t="s">
        <v>512</v>
      </c>
      <c r="C157" t="s">
        <v>513</v>
      </c>
      <c r="D157" t="s">
        <v>514</v>
      </c>
      <c r="E157" t="s">
        <v>38</v>
      </c>
      <c r="F157" t="s">
        <v>23</v>
      </c>
      <c r="G157" s="1">
        <v>35</v>
      </c>
      <c r="H157" s="1">
        <v>12</v>
      </c>
      <c r="I157" t="s">
        <v>39</v>
      </c>
      <c r="L157" s="1">
        <v>1</v>
      </c>
      <c r="M157" s="3">
        <v>23.82</v>
      </c>
      <c r="N157" s="3">
        <v>1.19</v>
      </c>
      <c r="O157" s="3">
        <v>0</v>
      </c>
      <c r="P157" s="3">
        <v>0.2</v>
      </c>
      <c r="Q157" s="3">
        <v>25.21</v>
      </c>
      <c r="R157" s="3">
        <v>24.25</v>
      </c>
      <c r="S157" s="3">
        <f>VLOOKUP(C157,[1]page!$C$2:$M$3071,11,0)</f>
        <v>23.82</v>
      </c>
      <c r="T157" s="6">
        <f t="shared" si="2"/>
        <v>0</v>
      </c>
    </row>
    <row r="158" spans="1:20" x14ac:dyDescent="0.2">
      <c r="A158" t="s">
        <v>52</v>
      </c>
      <c r="B158" t="s">
        <v>515</v>
      </c>
      <c r="C158" t="s">
        <v>516</v>
      </c>
      <c r="D158" t="s">
        <v>517</v>
      </c>
      <c r="E158" t="s">
        <v>518</v>
      </c>
      <c r="F158" t="s">
        <v>23</v>
      </c>
      <c r="G158" s="1">
        <v>35</v>
      </c>
      <c r="H158" s="1">
        <v>12</v>
      </c>
      <c r="I158" t="s">
        <v>397</v>
      </c>
      <c r="L158" s="1">
        <v>1</v>
      </c>
      <c r="M158" s="3">
        <v>24.16</v>
      </c>
      <c r="N158" s="3">
        <v>1.21</v>
      </c>
      <c r="O158" s="3">
        <v>0</v>
      </c>
      <c r="P158" s="3">
        <v>0.2</v>
      </c>
      <c r="Q158" s="3">
        <v>25.57</v>
      </c>
      <c r="R158" s="3">
        <v>24.25</v>
      </c>
      <c r="S158" s="3">
        <f>VLOOKUP(C158,[1]page!$C$2:$M$3071,11,0)</f>
        <v>23.99</v>
      </c>
      <c r="T158" s="6">
        <f t="shared" si="2"/>
        <v>0.17000000000000171</v>
      </c>
    </row>
    <row r="159" spans="1:20" x14ac:dyDescent="0.2">
      <c r="A159" t="s">
        <v>52</v>
      </c>
      <c r="B159" t="s">
        <v>519</v>
      </c>
      <c r="C159" t="s">
        <v>520</v>
      </c>
      <c r="D159" t="s">
        <v>521</v>
      </c>
      <c r="E159" t="s">
        <v>200</v>
      </c>
      <c r="F159" t="s">
        <v>23</v>
      </c>
      <c r="G159" s="1">
        <v>40</v>
      </c>
      <c r="H159" s="1">
        <v>6</v>
      </c>
      <c r="I159" t="s">
        <v>201</v>
      </c>
      <c r="L159" s="1">
        <v>1</v>
      </c>
      <c r="M159" s="3">
        <v>32.200000000000003</v>
      </c>
      <c r="N159" s="3">
        <v>1.61</v>
      </c>
      <c r="O159" s="3">
        <v>0</v>
      </c>
      <c r="P159" s="3">
        <v>0.2</v>
      </c>
      <c r="Q159" s="3">
        <v>34.01</v>
      </c>
      <c r="R159" s="3">
        <v>24.25</v>
      </c>
      <c r="S159" s="3">
        <f>VLOOKUP(C159,[1]page!$C$2:$M$3071,11,0)</f>
        <v>32.01</v>
      </c>
      <c r="T159" s="6">
        <f t="shared" si="2"/>
        <v>0.19000000000000483</v>
      </c>
    </row>
    <row r="160" spans="1:20" x14ac:dyDescent="0.2">
      <c r="A160" t="s">
        <v>52</v>
      </c>
      <c r="B160" t="s">
        <v>522</v>
      </c>
      <c r="C160" t="s">
        <v>523</v>
      </c>
      <c r="D160" t="s">
        <v>524</v>
      </c>
      <c r="E160" t="s">
        <v>200</v>
      </c>
      <c r="F160" t="s">
        <v>23</v>
      </c>
      <c r="G160" s="1">
        <v>30</v>
      </c>
      <c r="H160" s="1">
        <v>6</v>
      </c>
      <c r="I160" t="s">
        <v>201</v>
      </c>
      <c r="L160" s="1">
        <v>1</v>
      </c>
      <c r="M160" s="3">
        <v>28.17</v>
      </c>
      <c r="N160" s="3">
        <v>1.41</v>
      </c>
      <c r="O160" s="3">
        <v>0</v>
      </c>
      <c r="P160" s="3">
        <v>0.2</v>
      </c>
      <c r="Q160" s="3">
        <v>29.78</v>
      </c>
      <c r="R160" s="3">
        <v>18.2</v>
      </c>
      <c r="S160" s="3">
        <f>VLOOKUP(C160,[1]page!$C$2:$M$3071,11,0)</f>
        <v>28.02</v>
      </c>
      <c r="T160" s="6">
        <f t="shared" si="2"/>
        <v>0.15000000000000213</v>
      </c>
    </row>
    <row r="161" spans="1:20" x14ac:dyDescent="0.2">
      <c r="A161" t="s">
        <v>205</v>
      </c>
      <c r="B161" t="s">
        <v>525</v>
      </c>
      <c r="C161" t="s">
        <v>526</v>
      </c>
      <c r="D161" t="s">
        <v>527</v>
      </c>
      <c r="E161" t="s">
        <v>528</v>
      </c>
      <c r="F161" t="s">
        <v>23</v>
      </c>
      <c r="G161" s="1">
        <v>35</v>
      </c>
      <c r="H161" s="1">
        <v>12</v>
      </c>
      <c r="I161" t="s">
        <v>529</v>
      </c>
      <c r="L161" s="1">
        <v>1</v>
      </c>
      <c r="M161" s="3">
        <v>24.65</v>
      </c>
      <c r="N161" s="3">
        <v>1.23</v>
      </c>
      <c r="O161" s="3">
        <v>0</v>
      </c>
      <c r="P161" s="3">
        <v>0.2</v>
      </c>
      <c r="Q161" s="3">
        <v>26.08</v>
      </c>
      <c r="R161" s="3">
        <v>24.25</v>
      </c>
      <c r="S161" s="3">
        <f>VLOOKUP(C161,[1]page!$C$2:$M$3071,11,0)</f>
        <v>24.48</v>
      </c>
      <c r="T161" s="6">
        <f t="shared" si="2"/>
        <v>0.16999999999999815</v>
      </c>
    </row>
    <row r="162" spans="1:20" x14ac:dyDescent="0.2">
      <c r="A162" t="s">
        <v>439</v>
      </c>
      <c r="B162" t="s">
        <v>530</v>
      </c>
      <c r="C162" t="s">
        <v>531</v>
      </c>
      <c r="D162" t="s">
        <v>532</v>
      </c>
      <c r="E162" t="s">
        <v>419</v>
      </c>
      <c r="F162" t="s">
        <v>23</v>
      </c>
      <c r="G162" s="1">
        <v>35</v>
      </c>
      <c r="H162" s="1">
        <v>12</v>
      </c>
      <c r="I162" t="s">
        <v>420</v>
      </c>
      <c r="L162" s="1">
        <v>1</v>
      </c>
      <c r="M162" s="3">
        <v>32.54</v>
      </c>
      <c r="N162" s="3">
        <v>1.63</v>
      </c>
      <c r="O162" s="3">
        <v>0</v>
      </c>
      <c r="P162" s="3">
        <v>0.2</v>
      </c>
      <c r="Q162" s="3">
        <v>34.369999999999997</v>
      </c>
      <c r="R162" s="3">
        <v>24.25</v>
      </c>
      <c r="S162" s="3">
        <f>VLOOKUP(C162,[1]page!$C$2:$M$3071,11,0)</f>
        <v>32.369999999999997</v>
      </c>
      <c r="T162" s="6">
        <f t="shared" si="2"/>
        <v>0.17000000000000171</v>
      </c>
    </row>
    <row r="163" spans="1:20" x14ac:dyDescent="0.2">
      <c r="A163" t="s">
        <v>439</v>
      </c>
      <c r="B163" t="s">
        <v>533</v>
      </c>
      <c r="C163" t="s">
        <v>534</v>
      </c>
      <c r="D163" t="s">
        <v>535</v>
      </c>
      <c r="E163" t="s">
        <v>528</v>
      </c>
      <c r="F163" t="s">
        <v>23</v>
      </c>
      <c r="G163" s="1">
        <v>35</v>
      </c>
      <c r="H163" s="1">
        <v>12</v>
      </c>
      <c r="I163" t="s">
        <v>529</v>
      </c>
      <c r="L163" s="1">
        <v>1</v>
      </c>
      <c r="M163" s="3">
        <v>22.08</v>
      </c>
      <c r="N163" s="3">
        <v>1.1000000000000001</v>
      </c>
      <c r="O163" s="3">
        <v>0</v>
      </c>
      <c r="P163" s="3">
        <v>0.2</v>
      </c>
      <c r="Q163" s="3">
        <v>23.38</v>
      </c>
      <c r="R163" s="3">
        <v>24.25</v>
      </c>
      <c r="S163" s="3">
        <f>VLOOKUP(C163,[1]page!$C$2:$M$3071,11,0)</f>
        <v>21.91</v>
      </c>
      <c r="T163" s="6">
        <f t="shared" si="2"/>
        <v>0.16999999999999815</v>
      </c>
    </row>
    <row r="164" spans="1:20" x14ac:dyDescent="0.2">
      <c r="A164" t="s">
        <v>439</v>
      </c>
      <c r="B164" t="s">
        <v>536</v>
      </c>
      <c r="C164" t="s">
        <v>537</v>
      </c>
      <c r="D164" t="s">
        <v>538</v>
      </c>
      <c r="E164" t="s">
        <v>528</v>
      </c>
      <c r="F164" t="s">
        <v>23</v>
      </c>
      <c r="G164" s="1">
        <v>35</v>
      </c>
      <c r="H164" s="1">
        <v>12</v>
      </c>
      <c r="I164" t="s">
        <v>529</v>
      </c>
      <c r="L164" s="1">
        <v>1</v>
      </c>
      <c r="M164" s="3">
        <v>22.08</v>
      </c>
      <c r="N164" s="3">
        <v>1.1000000000000001</v>
      </c>
      <c r="O164" s="3">
        <v>0</v>
      </c>
      <c r="P164" s="3">
        <v>0.2</v>
      </c>
      <c r="Q164" s="3">
        <v>23.38</v>
      </c>
      <c r="R164" s="3">
        <v>24.25</v>
      </c>
      <c r="S164" s="3">
        <f>VLOOKUP(C164,[1]page!$C$2:$M$3071,11,0)</f>
        <v>21.91</v>
      </c>
      <c r="T164" s="6">
        <f t="shared" si="2"/>
        <v>0.16999999999999815</v>
      </c>
    </row>
    <row r="165" spans="1:20" x14ac:dyDescent="0.2">
      <c r="A165" t="s">
        <v>439</v>
      </c>
      <c r="B165" t="s">
        <v>539</v>
      </c>
      <c r="C165" t="s">
        <v>540</v>
      </c>
      <c r="D165" t="s">
        <v>541</v>
      </c>
      <c r="E165" t="s">
        <v>528</v>
      </c>
      <c r="F165" t="s">
        <v>23</v>
      </c>
      <c r="G165" s="1">
        <v>35</v>
      </c>
      <c r="H165" s="1">
        <v>12</v>
      </c>
      <c r="I165" t="s">
        <v>529</v>
      </c>
      <c r="L165" s="1">
        <v>1</v>
      </c>
      <c r="M165" s="3">
        <v>24.15</v>
      </c>
      <c r="N165" s="3">
        <v>1.21</v>
      </c>
      <c r="O165" s="3">
        <v>0</v>
      </c>
      <c r="P165" s="3">
        <v>0.2</v>
      </c>
      <c r="Q165" s="3">
        <v>25.56</v>
      </c>
      <c r="R165" s="3">
        <v>24.25</v>
      </c>
      <c r="S165" s="3">
        <f>VLOOKUP(C165,[1]page!$C$2:$M$3071,11,0)</f>
        <v>23.98</v>
      </c>
      <c r="T165" s="6">
        <f t="shared" si="2"/>
        <v>0.16999999999999815</v>
      </c>
    </row>
    <row r="166" spans="1:20" x14ac:dyDescent="0.2">
      <c r="A166" t="s">
        <v>439</v>
      </c>
      <c r="B166" t="s">
        <v>542</v>
      </c>
      <c r="C166" t="s">
        <v>543</v>
      </c>
      <c r="D166" t="s">
        <v>544</v>
      </c>
      <c r="E166" t="s">
        <v>545</v>
      </c>
      <c r="F166" t="s">
        <v>23</v>
      </c>
      <c r="G166" s="1">
        <v>35</v>
      </c>
      <c r="H166" s="1">
        <v>12</v>
      </c>
      <c r="I166" t="s">
        <v>39</v>
      </c>
      <c r="L166" s="1">
        <v>1</v>
      </c>
      <c r="M166" s="3">
        <v>37.380000000000003</v>
      </c>
      <c r="N166" s="3">
        <v>1.87</v>
      </c>
      <c r="O166" s="3">
        <v>0</v>
      </c>
      <c r="P166" s="3">
        <v>0.2</v>
      </c>
      <c r="Q166" s="3">
        <v>39.450000000000003</v>
      </c>
      <c r="R166" s="3">
        <v>24.25</v>
      </c>
      <c r="S166" s="3">
        <f>VLOOKUP(C166,[1]page!$C$2:$M$3071,11,0)</f>
        <v>37.21</v>
      </c>
      <c r="T166" s="6">
        <f t="shared" si="2"/>
        <v>0.17000000000000171</v>
      </c>
    </row>
    <row r="167" spans="1:20" x14ac:dyDescent="0.2">
      <c r="A167" t="s">
        <v>546</v>
      </c>
      <c r="B167" t="s">
        <v>547</v>
      </c>
      <c r="C167" t="s">
        <v>548</v>
      </c>
      <c r="D167" t="s">
        <v>549</v>
      </c>
      <c r="E167" t="s">
        <v>528</v>
      </c>
      <c r="F167" t="s">
        <v>23</v>
      </c>
      <c r="G167" s="1">
        <v>35</v>
      </c>
      <c r="H167" s="1">
        <v>12</v>
      </c>
      <c r="I167" t="s">
        <v>529</v>
      </c>
      <c r="L167" s="1">
        <v>1</v>
      </c>
      <c r="M167" s="3">
        <v>22.08</v>
      </c>
      <c r="N167" s="3">
        <v>1.1000000000000001</v>
      </c>
      <c r="O167" s="3">
        <v>0</v>
      </c>
      <c r="P167" s="3">
        <v>0.2</v>
      </c>
      <c r="Q167" s="3">
        <v>23.38</v>
      </c>
      <c r="R167" s="3">
        <v>24.25</v>
      </c>
      <c r="S167" s="3">
        <f>VLOOKUP(C167,[1]page!$C$2:$M$3071,11,0)</f>
        <v>21.91</v>
      </c>
      <c r="T167" s="6">
        <f t="shared" si="2"/>
        <v>0.16999999999999815</v>
      </c>
    </row>
    <row r="168" spans="1:20" x14ac:dyDescent="0.2">
      <c r="A168" t="s">
        <v>411</v>
      </c>
      <c r="B168" t="s">
        <v>550</v>
      </c>
      <c r="C168" t="s">
        <v>551</v>
      </c>
      <c r="D168" t="s">
        <v>552</v>
      </c>
      <c r="E168" t="s">
        <v>402</v>
      </c>
      <c r="F168" t="s">
        <v>23</v>
      </c>
      <c r="G168" s="1">
        <v>40</v>
      </c>
      <c r="H168" s="1">
        <v>6</v>
      </c>
      <c r="I168" t="s">
        <v>62</v>
      </c>
      <c r="L168" s="1">
        <v>1</v>
      </c>
      <c r="M168" s="3">
        <v>57.16</v>
      </c>
      <c r="N168" s="3">
        <v>2.86</v>
      </c>
      <c r="O168" s="3">
        <v>0</v>
      </c>
      <c r="P168" s="3">
        <v>0.2</v>
      </c>
      <c r="Q168" s="3">
        <v>60.22</v>
      </c>
      <c r="R168" s="3">
        <v>24.25</v>
      </c>
      <c r="S168" s="3">
        <f>VLOOKUP(C168,[1]page!$C$2:$M$3071,11,0)</f>
        <v>57.03</v>
      </c>
      <c r="T168" s="6">
        <f t="shared" si="2"/>
        <v>0.12999999999999545</v>
      </c>
    </row>
    <row r="169" spans="1:20" x14ac:dyDescent="0.2">
      <c r="A169" t="s">
        <v>411</v>
      </c>
      <c r="B169" t="s">
        <v>553</v>
      </c>
      <c r="C169" t="s">
        <v>554</v>
      </c>
      <c r="D169" t="s">
        <v>555</v>
      </c>
      <c r="E169" t="s">
        <v>556</v>
      </c>
      <c r="F169" t="s">
        <v>23</v>
      </c>
      <c r="G169" s="1">
        <v>45</v>
      </c>
      <c r="H169" s="1">
        <v>12</v>
      </c>
      <c r="I169" t="s">
        <v>183</v>
      </c>
      <c r="L169" s="1">
        <v>1</v>
      </c>
      <c r="M169" s="3">
        <v>36.450000000000003</v>
      </c>
      <c r="N169" s="3">
        <v>1.82</v>
      </c>
      <c r="O169" s="3">
        <v>0</v>
      </c>
      <c r="P169" s="3">
        <v>0.2</v>
      </c>
      <c r="Q169" s="3">
        <v>38.47</v>
      </c>
      <c r="R169" s="3">
        <v>30.35</v>
      </c>
      <c r="S169" s="3">
        <f>VLOOKUP(C169,[1]page!$C$2:$M$3071,11,0)</f>
        <v>36.229999999999997</v>
      </c>
      <c r="T169" s="6">
        <f t="shared" si="2"/>
        <v>0.22000000000000597</v>
      </c>
    </row>
    <row r="170" spans="1:20" x14ac:dyDescent="0.2">
      <c r="A170" t="s">
        <v>411</v>
      </c>
      <c r="B170" t="s">
        <v>557</v>
      </c>
      <c r="C170" t="s">
        <v>558</v>
      </c>
      <c r="D170" t="s">
        <v>559</v>
      </c>
      <c r="E170" t="s">
        <v>560</v>
      </c>
      <c r="F170" t="s">
        <v>23</v>
      </c>
      <c r="G170" s="1">
        <v>45</v>
      </c>
      <c r="H170" s="1">
        <v>12</v>
      </c>
      <c r="I170" t="s">
        <v>24</v>
      </c>
      <c r="L170" s="1">
        <v>1</v>
      </c>
      <c r="M170" s="3">
        <v>36.99</v>
      </c>
      <c r="N170" s="3">
        <v>1.85</v>
      </c>
      <c r="O170" s="3">
        <v>0</v>
      </c>
      <c r="P170" s="3">
        <v>0.2</v>
      </c>
      <c r="Q170" s="3">
        <v>39.04</v>
      </c>
      <c r="R170" s="3">
        <v>30.35</v>
      </c>
      <c r="S170" s="3">
        <f>VLOOKUP(C170,[1]page!$C$2:$M$3071,11,0)</f>
        <v>37.01</v>
      </c>
      <c r="T170" s="6">
        <f t="shared" si="2"/>
        <v>-1.9999999999996021E-2</v>
      </c>
    </row>
    <row r="171" spans="1:20" x14ac:dyDescent="0.2">
      <c r="A171" t="s">
        <v>411</v>
      </c>
      <c r="B171" t="s">
        <v>561</v>
      </c>
      <c r="C171" t="s">
        <v>562</v>
      </c>
      <c r="D171" t="s">
        <v>563</v>
      </c>
      <c r="E171" t="s">
        <v>402</v>
      </c>
      <c r="F171" t="s">
        <v>23</v>
      </c>
      <c r="G171" s="1">
        <v>50</v>
      </c>
      <c r="H171" s="1">
        <v>6</v>
      </c>
      <c r="I171" t="s">
        <v>62</v>
      </c>
      <c r="L171" s="1">
        <v>1</v>
      </c>
      <c r="M171" s="3">
        <v>46.85</v>
      </c>
      <c r="N171" s="3">
        <v>2.34</v>
      </c>
      <c r="O171" s="3">
        <v>0</v>
      </c>
      <c r="P171" s="3">
        <v>0.2</v>
      </c>
      <c r="Q171" s="3">
        <v>49.39</v>
      </c>
      <c r="R171" s="3">
        <v>30.35</v>
      </c>
      <c r="S171" s="3">
        <f>VLOOKUP(C171,[1]page!$C$2:$M$3071,11,0)</f>
        <v>46.68</v>
      </c>
      <c r="T171" s="6">
        <f t="shared" si="2"/>
        <v>0.17000000000000171</v>
      </c>
    </row>
    <row r="172" spans="1:20" x14ac:dyDescent="0.2">
      <c r="A172" t="s">
        <v>411</v>
      </c>
      <c r="B172" t="s">
        <v>564</v>
      </c>
      <c r="C172" t="s">
        <v>565</v>
      </c>
      <c r="D172" t="s">
        <v>566</v>
      </c>
      <c r="E172" t="s">
        <v>402</v>
      </c>
      <c r="F172" t="s">
        <v>23</v>
      </c>
      <c r="G172" s="1">
        <v>45</v>
      </c>
      <c r="H172" s="1">
        <v>6</v>
      </c>
      <c r="I172" t="s">
        <v>62</v>
      </c>
      <c r="L172" s="1">
        <v>1</v>
      </c>
      <c r="M172" s="3">
        <v>46.82</v>
      </c>
      <c r="N172" s="3">
        <v>2.34</v>
      </c>
      <c r="O172" s="3">
        <v>0</v>
      </c>
      <c r="P172" s="3">
        <v>0.2</v>
      </c>
      <c r="Q172" s="3">
        <v>49.36</v>
      </c>
      <c r="R172" s="3">
        <v>30.35</v>
      </c>
      <c r="S172" s="3">
        <f>VLOOKUP(C172,[1]page!$C$2:$M$3071,11,0)</f>
        <v>46.67</v>
      </c>
      <c r="T172" s="6">
        <f t="shared" si="2"/>
        <v>0.14999999999999858</v>
      </c>
    </row>
    <row r="173" spans="1:20" x14ac:dyDescent="0.2">
      <c r="A173" t="s">
        <v>411</v>
      </c>
      <c r="B173" t="s">
        <v>567</v>
      </c>
      <c r="C173" t="s">
        <v>568</v>
      </c>
      <c r="D173" t="s">
        <v>569</v>
      </c>
      <c r="E173" t="s">
        <v>402</v>
      </c>
      <c r="F173" t="s">
        <v>23</v>
      </c>
      <c r="G173" s="1">
        <v>47</v>
      </c>
      <c r="H173" s="1">
        <v>6</v>
      </c>
      <c r="I173" t="s">
        <v>62</v>
      </c>
      <c r="L173" s="1">
        <v>1</v>
      </c>
      <c r="M173" s="3">
        <v>50.33</v>
      </c>
      <c r="N173" s="3">
        <v>2.52</v>
      </c>
      <c r="O173" s="3">
        <v>0</v>
      </c>
      <c r="P173" s="3">
        <v>0.2</v>
      </c>
      <c r="Q173" s="3">
        <v>53.05</v>
      </c>
      <c r="R173" s="3">
        <v>30.35</v>
      </c>
      <c r="S173" s="3">
        <f>VLOOKUP(C173,[1]page!$C$2:$M$3071,11,0)</f>
        <v>50.17</v>
      </c>
      <c r="T173" s="6">
        <f t="shared" si="2"/>
        <v>0.15999999999999659</v>
      </c>
    </row>
    <row r="174" spans="1:20" x14ac:dyDescent="0.2">
      <c r="A174" t="s">
        <v>411</v>
      </c>
      <c r="B174" t="s">
        <v>570</v>
      </c>
      <c r="C174" t="s">
        <v>571</v>
      </c>
      <c r="D174" t="s">
        <v>572</v>
      </c>
      <c r="E174" t="s">
        <v>402</v>
      </c>
      <c r="F174" t="s">
        <v>77</v>
      </c>
      <c r="G174" s="1">
        <v>45</v>
      </c>
      <c r="H174" s="1">
        <v>12</v>
      </c>
      <c r="I174" t="s">
        <v>62</v>
      </c>
      <c r="L174" s="1">
        <v>1</v>
      </c>
      <c r="M174" s="3">
        <v>19.22</v>
      </c>
      <c r="N174" s="3">
        <v>0.96</v>
      </c>
      <c r="O174" s="3">
        <v>0</v>
      </c>
      <c r="P174" s="3">
        <v>0.2</v>
      </c>
      <c r="Q174" s="3">
        <v>20.38</v>
      </c>
      <c r="R174" s="3">
        <v>17.149999999999999</v>
      </c>
      <c r="S174" s="3">
        <f>VLOOKUP(C174,[1]page!$C$2:$M$3071,11,0)</f>
        <v>19.11</v>
      </c>
      <c r="T174" s="6">
        <f t="shared" si="2"/>
        <v>0.10999999999999943</v>
      </c>
    </row>
    <row r="175" spans="1:20" x14ac:dyDescent="0.2">
      <c r="A175" t="s">
        <v>411</v>
      </c>
      <c r="B175" t="s">
        <v>573</v>
      </c>
      <c r="C175" t="s">
        <v>574</v>
      </c>
      <c r="D175" t="s">
        <v>575</v>
      </c>
      <c r="E175" t="s">
        <v>427</v>
      </c>
      <c r="F175" t="s">
        <v>23</v>
      </c>
      <c r="G175" s="1">
        <v>45</v>
      </c>
      <c r="H175" s="1">
        <v>12</v>
      </c>
      <c r="I175" t="s">
        <v>62</v>
      </c>
      <c r="L175" s="1">
        <v>1</v>
      </c>
      <c r="M175" s="3">
        <v>36.950000000000003</v>
      </c>
      <c r="N175" s="3">
        <v>1.85</v>
      </c>
      <c r="O175" s="3">
        <v>0</v>
      </c>
      <c r="P175" s="3">
        <v>0.2</v>
      </c>
      <c r="Q175" s="3">
        <v>39</v>
      </c>
      <c r="R175" s="3">
        <v>30.35</v>
      </c>
      <c r="S175" s="3">
        <f>VLOOKUP(C175,[1]page!$C$2:$M$3071,11,0)</f>
        <v>36.729999999999997</v>
      </c>
      <c r="T175" s="6">
        <f t="shared" si="2"/>
        <v>0.22000000000000597</v>
      </c>
    </row>
    <row r="176" spans="1:20" x14ac:dyDescent="0.2">
      <c r="A176" t="s">
        <v>411</v>
      </c>
      <c r="B176" t="s">
        <v>576</v>
      </c>
      <c r="C176" t="s">
        <v>577</v>
      </c>
      <c r="D176" t="s">
        <v>578</v>
      </c>
      <c r="E176" t="s">
        <v>579</v>
      </c>
      <c r="F176" t="s">
        <v>23</v>
      </c>
      <c r="G176" s="2">
        <v>50.5</v>
      </c>
      <c r="H176" s="1">
        <v>12</v>
      </c>
      <c r="I176" t="s">
        <v>29</v>
      </c>
      <c r="L176" s="1">
        <v>1</v>
      </c>
      <c r="M176" s="3">
        <v>36.75</v>
      </c>
      <c r="N176" s="3">
        <v>1.84</v>
      </c>
      <c r="O176" s="3">
        <v>0</v>
      </c>
      <c r="P176" s="3">
        <v>0.2</v>
      </c>
      <c r="Q176" s="3">
        <v>38.79</v>
      </c>
      <c r="R176" s="3">
        <v>30.35</v>
      </c>
      <c r="S176" s="3">
        <f>VLOOKUP(C176,[1]page!$C$2:$M$3071,11,0)</f>
        <v>36.51</v>
      </c>
      <c r="T176" s="6">
        <f t="shared" si="2"/>
        <v>0.24000000000000199</v>
      </c>
    </row>
    <row r="177" spans="1:20" x14ac:dyDescent="0.2">
      <c r="A177" t="s">
        <v>411</v>
      </c>
      <c r="B177" t="s">
        <v>580</v>
      </c>
      <c r="C177" t="s">
        <v>581</v>
      </c>
      <c r="D177" t="s">
        <v>582</v>
      </c>
      <c r="E177" t="s">
        <v>579</v>
      </c>
      <c r="F177" t="s">
        <v>23</v>
      </c>
      <c r="G177" s="1">
        <v>43</v>
      </c>
      <c r="H177" s="1">
        <v>6</v>
      </c>
      <c r="I177" t="s">
        <v>29</v>
      </c>
      <c r="L177" s="1">
        <v>1</v>
      </c>
      <c r="M177" s="3">
        <v>47.16</v>
      </c>
      <c r="N177" s="3">
        <v>2.36</v>
      </c>
      <c r="O177" s="3">
        <v>0</v>
      </c>
      <c r="P177" s="3">
        <v>0.2</v>
      </c>
      <c r="Q177" s="3">
        <v>49.72</v>
      </c>
      <c r="R177" s="3">
        <v>24.25</v>
      </c>
      <c r="S177" s="3">
        <f>VLOOKUP(C177,[1]page!$C$2:$M$3071,11,0)</f>
        <v>47.01</v>
      </c>
      <c r="T177" s="6">
        <f t="shared" si="2"/>
        <v>0.14999999999999858</v>
      </c>
    </row>
    <row r="178" spans="1:20" x14ac:dyDescent="0.2">
      <c r="A178" t="s">
        <v>439</v>
      </c>
      <c r="B178" t="s">
        <v>583</v>
      </c>
      <c r="C178" t="s">
        <v>584</v>
      </c>
      <c r="D178" t="s">
        <v>585</v>
      </c>
      <c r="E178" t="s">
        <v>182</v>
      </c>
      <c r="F178" t="s">
        <v>23</v>
      </c>
      <c r="G178" s="2">
        <v>48.5</v>
      </c>
      <c r="H178" s="1">
        <v>6</v>
      </c>
      <c r="I178" t="s">
        <v>183</v>
      </c>
      <c r="L178" s="1">
        <v>1</v>
      </c>
      <c r="M178" s="3">
        <v>46.3</v>
      </c>
      <c r="N178" s="3">
        <v>2.3199999999999998</v>
      </c>
      <c r="O178" s="3">
        <v>0</v>
      </c>
      <c r="P178" s="3">
        <v>0.2</v>
      </c>
      <c r="Q178" s="3">
        <v>48.82</v>
      </c>
      <c r="R178" s="3">
        <v>30.35</v>
      </c>
      <c r="S178" s="3">
        <f>VLOOKUP(C178,[1]page!$C$2:$M$3071,11,0)</f>
        <v>46.14</v>
      </c>
      <c r="T178" s="6">
        <f t="shared" si="2"/>
        <v>0.15999999999999659</v>
      </c>
    </row>
    <row r="179" spans="1:20" x14ac:dyDescent="0.2">
      <c r="A179" t="s">
        <v>439</v>
      </c>
      <c r="B179" t="s">
        <v>586</v>
      </c>
      <c r="C179" t="s">
        <v>587</v>
      </c>
      <c r="D179" t="s">
        <v>588</v>
      </c>
      <c r="E179" t="s">
        <v>443</v>
      </c>
      <c r="F179" t="s">
        <v>77</v>
      </c>
      <c r="G179" s="2">
        <v>43.3</v>
      </c>
      <c r="H179" s="1">
        <v>12</v>
      </c>
      <c r="I179" t="s">
        <v>444</v>
      </c>
      <c r="L179" s="1">
        <v>1</v>
      </c>
      <c r="M179" s="3">
        <v>34.799999999999997</v>
      </c>
      <c r="N179" s="3">
        <v>1.74</v>
      </c>
      <c r="O179" s="3">
        <v>0</v>
      </c>
      <c r="P179" s="3">
        <v>0.2</v>
      </c>
      <c r="Q179" s="3">
        <v>36.74</v>
      </c>
      <c r="R179" s="3">
        <v>13.7</v>
      </c>
      <c r="S179" s="3">
        <f>VLOOKUP(C179,[1]page!$C$2:$M$3071,11,0)</f>
        <v>34.79</v>
      </c>
      <c r="T179" s="6">
        <f t="shared" si="2"/>
        <v>9.9999999999980105E-3</v>
      </c>
    </row>
    <row r="180" spans="1:20" x14ac:dyDescent="0.2">
      <c r="A180" t="s">
        <v>439</v>
      </c>
      <c r="B180" t="s">
        <v>589</v>
      </c>
      <c r="C180" t="s">
        <v>590</v>
      </c>
      <c r="D180" t="s">
        <v>588</v>
      </c>
      <c r="E180" t="s">
        <v>443</v>
      </c>
      <c r="F180" t="s">
        <v>23</v>
      </c>
      <c r="G180" s="2">
        <v>43.3</v>
      </c>
      <c r="H180" s="1">
        <v>6</v>
      </c>
      <c r="I180" t="s">
        <v>444</v>
      </c>
      <c r="L180" s="1">
        <v>1</v>
      </c>
      <c r="M180" s="3">
        <v>64.59</v>
      </c>
      <c r="N180" s="3">
        <v>3.23</v>
      </c>
      <c r="O180" s="3">
        <v>0</v>
      </c>
      <c r="P180" s="3">
        <v>0.2</v>
      </c>
      <c r="Q180" s="3">
        <v>68.02</v>
      </c>
      <c r="R180" s="3">
        <v>24.25</v>
      </c>
      <c r="S180" s="3">
        <f>VLOOKUP(C180,[1]page!$C$2:$M$3071,11,0)</f>
        <v>64.58</v>
      </c>
      <c r="T180" s="6">
        <f t="shared" si="2"/>
        <v>1.0000000000005116E-2</v>
      </c>
    </row>
    <row r="181" spans="1:20" x14ac:dyDescent="0.2">
      <c r="A181" t="s">
        <v>439</v>
      </c>
      <c r="B181" t="s">
        <v>591</v>
      </c>
      <c r="C181" t="s">
        <v>592</v>
      </c>
      <c r="D181" t="s">
        <v>593</v>
      </c>
      <c r="E181" t="s">
        <v>594</v>
      </c>
      <c r="F181" t="s">
        <v>23</v>
      </c>
      <c r="G181" s="1">
        <v>45</v>
      </c>
      <c r="H181" s="1">
        <v>6</v>
      </c>
      <c r="I181" t="s">
        <v>595</v>
      </c>
      <c r="L181" s="1">
        <v>1</v>
      </c>
      <c r="M181" s="3">
        <v>64.23</v>
      </c>
      <c r="N181" s="3">
        <v>3.21</v>
      </c>
      <c r="O181" s="3">
        <v>0</v>
      </c>
      <c r="P181" s="3">
        <v>0.2</v>
      </c>
      <c r="Q181" s="3">
        <v>67.64</v>
      </c>
      <c r="R181" s="3">
        <v>30.35</v>
      </c>
      <c r="S181" s="3">
        <f>VLOOKUP(C181,[1]page!$C$2:$M$3071,11,0)</f>
        <v>64.11</v>
      </c>
      <c r="T181" s="6">
        <f t="shared" si="2"/>
        <v>0.12000000000000455</v>
      </c>
    </row>
    <row r="182" spans="1:20" x14ac:dyDescent="0.2">
      <c r="A182" t="s">
        <v>439</v>
      </c>
      <c r="B182" t="s">
        <v>596</v>
      </c>
      <c r="C182" t="s">
        <v>597</v>
      </c>
      <c r="D182" t="s">
        <v>598</v>
      </c>
      <c r="E182" t="s">
        <v>599</v>
      </c>
      <c r="F182" t="s">
        <v>23</v>
      </c>
      <c r="G182" s="1">
        <v>40</v>
      </c>
      <c r="H182" s="1">
        <v>6</v>
      </c>
      <c r="I182" t="s">
        <v>600</v>
      </c>
      <c r="L182" s="1">
        <v>1</v>
      </c>
      <c r="M182" s="3">
        <v>59.2</v>
      </c>
      <c r="N182" s="3">
        <v>2.96</v>
      </c>
      <c r="O182" s="3">
        <v>0</v>
      </c>
      <c r="P182" s="3">
        <v>0.2</v>
      </c>
      <c r="Q182" s="3">
        <v>62.36</v>
      </c>
      <c r="R182" s="3">
        <v>24.25</v>
      </c>
      <c r="S182" s="3">
        <f>VLOOKUP(C182,[1]page!$C$2:$M$3071,11,0)</f>
        <v>59.09</v>
      </c>
      <c r="T182" s="6">
        <f t="shared" si="2"/>
        <v>0.10999999999999943</v>
      </c>
    </row>
    <row r="183" spans="1:20" x14ac:dyDescent="0.2">
      <c r="A183" t="s">
        <v>439</v>
      </c>
      <c r="B183" t="s">
        <v>601</v>
      </c>
      <c r="C183" t="s">
        <v>602</v>
      </c>
      <c r="D183" t="s">
        <v>559</v>
      </c>
      <c r="E183" t="s">
        <v>560</v>
      </c>
      <c r="F183" t="s">
        <v>84</v>
      </c>
      <c r="G183" s="1">
        <v>45</v>
      </c>
      <c r="H183" s="1">
        <v>6</v>
      </c>
      <c r="I183" t="s">
        <v>24</v>
      </c>
      <c r="L183" s="1">
        <v>1</v>
      </c>
      <c r="M183" s="3">
        <v>61.99</v>
      </c>
      <c r="N183" s="3">
        <v>3.1</v>
      </c>
      <c r="O183" s="3">
        <v>0</v>
      </c>
      <c r="P183" s="3">
        <v>0.4</v>
      </c>
      <c r="Q183" s="3">
        <v>65.489999999999995</v>
      </c>
      <c r="R183" s="3">
        <v>67.3</v>
      </c>
      <c r="S183" s="3">
        <f>VLOOKUP(C183,[1]page!$C$2:$M$3071,11,0)</f>
        <v>62.04</v>
      </c>
      <c r="T183" s="6">
        <f t="shared" si="2"/>
        <v>-4.9999999999997158E-2</v>
      </c>
    </row>
    <row r="184" spans="1:20" x14ac:dyDescent="0.2">
      <c r="A184" t="s">
        <v>439</v>
      </c>
      <c r="B184" t="s">
        <v>603</v>
      </c>
      <c r="C184" t="s">
        <v>604</v>
      </c>
      <c r="D184" t="s">
        <v>605</v>
      </c>
      <c r="E184" t="s">
        <v>606</v>
      </c>
      <c r="F184" t="s">
        <v>23</v>
      </c>
      <c r="G184" s="1">
        <v>40</v>
      </c>
      <c r="H184" s="1">
        <v>12</v>
      </c>
      <c r="I184" t="s">
        <v>607</v>
      </c>
      <c r="L184" s="1">
        <v>1</v>
      </c>
      <c r="M184" s="3">
        <v>33.630000000000003</v>
      </c>
      <c r="N184" s="3">
        <v>1.68</v>
      </c>
      <c r="O184" s="3">
        <v>0</v>
      </c>
      <c r="P184" s="3">
        <v>0.2</v>
      </c>
      <c r="Q184" s="3">
        <v>35.51</v>
      </c>
      <c r="R184" s="3">
        <v>24.25</v>
      </c>
      <c r="S184" s="3">
        <f>VLOOKUP(C184,[1]page!$C$2:$M$3071,11,0)</f>
        <v>33.43</v>
      </c>
      <c r="T184" s="6">
        <f t="shared" si="2"/>
        <v>0.20000000000000284</v>
      </c>
    </row>
    <row r="185" spans="1:20" x14ac:dyDescent="0.2">
      <c r="A185" t="s">
        <v>439</v>
      </c>
      <c r="B185" t="s">
        <v>608</v>
      </c>
      <c r="C185" t="s">
        <v>609</v>
      </c>
      <c r="D185" t="s">
        <v>610</v>
      </c>
      <c r="E185" t="s">
        <v>611</v>
      </c>
      <c r="F185" t="s">
        <v>23</v>
      </c>
      <c r="G185" s="1">
        <v>40</v>
      </c>
      <c r="H185" s="1">
        <v>12</v>
      </c>
      <c r="I185" t="s">
        <v>607</v>
      </c>
      <c r="L185" s="1">
        <v>1</v>
      </c>
      <c r="M185" s="3">
        <v>38.28</v>
      </c>
      <c r="N185" s="3">
        <v>1.91</v>
      </c>
      <c r="O185" s="3">
        <v>0</v>
      </c>
      <c r="P185" s="3">
        <v>0.2</v>
      </c>
      <c r="Q185" s="3">
        <v>40.39</v>
      </c>
      <c r="R185" s="3">
        <v>24.25</v>
      </c>
      <c r="S185" s="3">
        <f>VLOOKUP(C185,[1]page!$C$2:$M$3071,11,0)</f>
        <v>38.090000000000003</v>
      </c>
      <c r="T185" s="6">
        <f t="shared" si="2"/>
        <v>0.18999999999999773</v>
      </c>
    </row>
    <row r="186" spans="1:20" x14ac:dyDescent="0.2">
      <c r="A186" t="s">
        <v>439</v>
      </c>
      <c r="B186" t="s">
        <v>612</v>
      </c>
      <c r="C186" t="s">
        <v>613</v>
      </c>
      <c r="D186" t="s">
        <v>614</v>
      </c>
      <c r="E186" t="s">
        <v>402</v>
      </c>
      <c r="F186" t="s">
        <v>23</v>
      </c>
      <c r="G186" s="1">
        <v>43</v>
      </c>
      <c r="H186" s="1">
        <v>12</v>
      </c>
      <c r="I186" t="s">
        <v>62</v>
      </c>
      <c r="L186" s="1">
        <v>1</v>
      </c>
      <c r="M186" s="3">
        <v>32.659999999999997</v>
      </c>
      <c r="N186" s="3">
        <v>1.63</v>
      </c>
      <c r="O186" s="3">
        <v>0</v>
      </c>
      <c r="P186" s="3">
        <v>0.2</v>
      </c>
      <c r="Q186" s="3">
        <v>34.49</v>
      </c>
      <c r="R186" s="3">
        <v>24.25</v>
      </c>
      <c r="S186" s="3">
        <f>VLOOKUP(C186,[1]page!$C$2:$M$3071,11,0)</f>
        <v>32.450000000000003</v>
      </c>
      <c r="T186" s="6">
        <f t="shared" si="2"/>
        <v>0.20999999999999375</v>
      </c>
    </row>
    <row r="187" spans="1:20" x14ac:dyDescent="0.2">
      <c r="A187" t="s">
        <v>439</v>
      </c>
      <c r="B187" t="s">
        <v>615</v>
      </c>
      <c r="C187" t="s">
        <v>616</v>
      </c>
      <c r="D187" t="s">
        <v>617</v>
      </c>
      <c r="E187" t="s">
        <v>402</v>
      </c>
      <c r="F187" t="s">
        <v>23</v>
      </c>
      <c r="G187" s="1">
        <v>45</v>
      </c>
      <c r="H187" s="1">
        <v>12</v>
      </c>
      <c r="I187" t="s">
        <v>62</v>
      </c>
      <c r="L187" s="1">
        <v>1</v>
      </c>
      <c r="M187" s="3">
        <v>29.44</v>
      </c>
      <c r="N187" s="3">
        <v>1.47</v>
      </c>
      <c r="O187" s="3">
        <v>0</v>
      </c>
      <c r="P187" s="3">
        <v>0.2</v>
      </c>
      <c r="Q187" s="3">
        <v>31.11</v>
      </c>
      <c r="R187" s="3">
        <v>30.35</v>
      </c>
      <c r="S187" s="3">
        <f>VLOOKUP(C187,[1]page!$C$2:$M$3071,11,0)</f>
        <v>33.39</v>
      </c>
      <c r="T187" s="6">
        <f t="shared" si="2"/>
        <v>-3.9499999999999993</v>
      </c>
    </row>
    <row r="188" spans="1:20" x14ac:dyDescent="0.2">
      <c r="A188" t="s">
        <v>439</v>
      </c>
      <c r="B188" t="s">
        <v>618</v>
      </c>
      <c r="C188" t="s">
        <v>619</v>
      </c>
      <c r="D188" t="s">
        <v>572</v>
      </c>
      <c r="E188" t="s">
        <v>402</v>
      </c>
      <c r="F188" t="s">
        <v>65</v>
      </c>
      <c r="G188" s="1">
        <v>45</v>
      </c>
      <c r="H188" s="1">
        <v>6</v>
      </c>
      <c r="I188" t="s">
        <v>62</v>
      </c>
      <c r="L188" s="1">
        <v>1</v>
      </c>
      <c r="M188" s="3">
        <v>45.18</v>
      </c>
      <c r="N188" s="3">
        <v>2.2599999999999998</v>
      </c>
      <c r="O188" s="3">
        <v>0</v>
      </c>
      <c r="P188" s="3">
        <v>0.4</v>
      </c>
      <c r="Q188" s="3">
        <v>47.84</v>
      </c>
      <c r="R188" s="3">
        <v>44.75</v>
      </c>
      <c r="S188" s="3">
        <f>VLOOKUP(C188,[1]page!$C$2:$M$3071,11,0)</f>
        <v>44.86</v>
      </c>
      <c r="T188" s="6">
        <f t="shared" si="2"/>
        <v>0.32000000000000028</v>
      </c>
    </row>
    <row r="189" spans="1:20" x14ac:dyDescent="0.2">
      <c r="A189" t="s">
        <v>439</v>
      </c>
      <c r="B189" t="s">
        <v>620</v>
      </c>
      <c r="C189" t="s">
        <v>621</v>
      </c>
      <c r="D189" t="s">
        <v>622</v>
      </c>
      <c r="E189" t="s">
        <v>419</v>
      </c>
      <c r="F189" t="s">
        <v>23</v>
      </c>
      <c r="G189" s="1">
        <v>43</v>
      </c>
      <c r="H189" s="1">
        <v>12</v>
      </c>
      <c r="I189" t="s">
        <v>420</v>
      </c>
      <c r="L189" s="1">
        <v>1</v>
      </c>
      <c r="M189" s="3">
        <v>31.16</v>
      </c>
      <c r="N189" s="3">
        <v>1.56</v>
      </c>
      <c r="O189" s="3">
        <v>0</v>
      </c>
      <c r="P189" s="3">
        <v>0.2</v>
      </c>
      <c r="Q189" s="3">
        <v>32.92</v>
      </c>
      <c r="R189" s="3">
        <v>24.25</v>
      </c>
      <c r="S189" s="3">
        <f>VLOOKUP(C189,[1]page!$C$2:$M$3071,11,0)</f>
        <v>30.95</v>
      </c>
      <c r="T189" s="6">
        <f t="shared" si="2"/>
        <v>0.21000000000000085</v>
      </c>
    </row>
    <row r="190" spans="1:20" x14ac:dyDescent="0.2">
      <c r="A190" t="s">
        <v>439</v>
      </c>
      <c r="B190" t="s">
        <v>623</v>
      </c>
      <c r="C190" t="s">
        <v>624</v>
      </c>
      <c r="D190" t="s">
        <v>625</v>
      </c>
      <c r="E190" t="s">
        <v>626</v>
      </c>
      <c r="F190" t="s">
        <v>23</v>
      </c>
      <c r="G190" s="2">
        <v>47.5</v>
      </c>
      <c r="H190" s="1">
        <v>6</v>
      </c>
      <c r="I190" t="s">
        <v>39</v>
      </c>
      <c r="L190" s="1">
        <v>1</v>
      </c>
      <c r="M190" s="3">
        <v>56.56</v>
      </c>
      <c r="N190" s="3">
        <v>2.83</v>
      </c>
      <c r="O190" s="3">
        <v>0</v>
      </c>
      <c r="P190" s="3">
        <v>0.2</v>
      </c>
      <c r="Q190" s="3">
        <v>59.59</v>
      </c>
      <c r="R190" s="3">
        <v>30.35</v>
      </c>
      <c r="S190" s="3">
        <f>VLOOKUP(C190,[1]page!$C$2:$M$3071,11,0)</f>
        <v>56.4</v>
      </c>
      <c r="T190" s="6">
        <f t="shared" si="2"/>
        <v>0.16000000000000369</v>
      </c>
    </row>
    <row r="191" spans="1:20" x14ac:dyDescent="0.2">
      <c r="A191" t="s">
        <v>439</v>
      </c>
      <c r="B191" t="s">
        <v>627</v>
      </c>
      <c r="C191" t="s">
        <v>628</v>
      </c>
      <c r="D191" t="s">
        <v>629</v>
      </c>
      <c r="E191" t="s">
        <v>579</v>
      </c>
      <c r="F191" t="s">
        <v>23</v>
      </c>
      <c r="G191" s="2">
        <v>40.5</v>
      </c>
      <c r="H191" s="1">
        <v>12</v>
      </c>
      <c r="I191" t="s">
        <v>29</v>
      </c>
      <c r="L191" s="1">
        <v>1</v>
      </c>
      <c r="M191" s="3">
        <v>31.7</v>
      </c>
      <c r="N191" s="3">
        <v>1.59</v>
      </c>
      <c r="O191" s="3">
        <v>0</v>
      </c>
      <c r="P191" s="3">
        <v>0.2</v>
      </c>
      <c r="Q191" s="3">
        <v>33.49</v>
      </c>
      <c r="R191" s="3">
        <v>24.25</v>
      </c>
      <c r="S191" s="3">
        <f>VLOOKUP(C191,[1]page!$C$2:$M$3071,11,0)</f>
        <v>31.5</v>
      </c>
      <c r="T191" s="6">
        <f t="shared" si="2"/>
        <v>0.19999999999999929</v>
      </c>
    </row>
    <row r="192" spans="1:20" x14ac:dyDescent="0.2">
      <c r="A192" t="s">
        <v>546</v>
      </c>
      <c r="B192" t="s">
        <v>630</v>
      </c>
      <c r="C192" t="s">
        <v>631</v>
      </c>
      <c r="D192" t="s">
        <v>632</v>
      </c>
      <c r="E192" t="s">
        <v>415</v>
      </c>
      <c r="F192" t="s">
        <v>23</v>
      </c>
      <c r="G192" s="1">
        <v>43</v>
      </c>
      <c r="H192" s="1">
        <v>12</v>
      </c>
      <c r="I192" t="s">
        <v>178</v>
      </c>
      <c r="L192" s="1">
        <v>1</v>
      </c>
      <c r="M192" s="3">
        <v>24.42</v>
      </c>
      <c r="N192" s="3">
        <v>1.22</v>
      </c>
      <c r="O192" s="3">
        <v>0</v>
      </c>
      <c r="P192" s="3">
        <v>0.2</v>
      </c>
      <c r="Q192" s="3">
        <v>25.84</v>
      </c>
      <c r="R192" s="3">
        <v>24.25</v>
      </c>
      <c r="S192" s="3">
        <f>VLOOKUP(C192,[1]page!$C$2:$M$3071,11,0)</f>
        <v>24.21</v>
      </c>
      <c r="T192" s="6">
        <f t="shared" si="2"/>
        <v>0.21000000000000085</v>
      </c>
    </row>
    <row r="193" spans="1:20" x14ac:dyDescent="0.2">
      <c r="A193" t="s">
        <v>546</v>
      </c>
      <c r="B193" t="s">
        <v>633</v>
      </c>
      <c r="C193" t="s">
        <v>634</v>
      </c>
      <c r="D193" t="s">
        <v>635</v>
      </c>
      <c r="E193" t="s">
        <v>402</v>
      </c>
      <c r="F193" t="s">
        <v>23</v>
      </c>
      <c r="G193" s="2">
        <v>32.5</v>
      </c>
      <c r="H193" s="1">
        <v>12</v>
      </c>
      <c r="I193" t="s">
        <v>62</v>
      </c>
      <c r="L193" s="1">
        <v>1</v>
      </c>
      <c r="M193" s="3">
        <v>26.32</v>
      </c>
      <c r="N193" s="3">
        <v>1.32</v>
      </c>
      <c r="O193" s="3">
        <v>0</v>
      </c>
      <c r="P193" s="3">
        <v>0.2</v>
      </c>
      <c r="Q193" s="3">
        <v>27.84</v>
      </c>
      <c r="R193" s="3">
        <v>18.2</v>
      </c>
      <c r="S193" s="3">
        <f>VLOOKUP(C193,[1]page!$C$2:$M$3071,11,0)</f>
        <v>26.17</v>
      </c>
      <c r="T193" s="6">
        <f t="shared" ref="T193:T256" si="3">SUM(M193-S193)</f>
        <v>0.14999999999999858</v>
      </c>
    </row>
    <row r="194" spans="1:20" x14ac:dyDescent="0.2">
      <c r="A194" t="s">
        <v>546</v>
      </c>
      <c r="B194" t="s">
        <v>636</v>
      </c>
      <c r="C194" t="s">
        <v>637</v>
      </c>
      <c r="D194" t="s">
        <v>475</v>
      </c>
      <c r="E194" t="s">
        <v>402</v>
      </c>
      <c r="F194" t="s">
        <v>77</v>
      </c>
      <c r="G194" s="1">
        <v>40</v>
      </c>
      <c r="H194" s="1">
        <v>24</v>
      </c>
      <c r="I194" t="s">
        <v>62</v>
      </c>
      <c r="L194" s="1">
        <v>1</v>
      </c>
      <c r="M194" s="3">
        <v>12.23</v>
      </c>
      <c r="N194" s="3">
        <v>0.61</v>
      </c>
      <c r="O194" s="3">
        <v>0</v>
      </c>
      <c r="P194" s="3">
        <v>0.1</v>
      </c>
      <c r="Q194" s="3">
        <v>12.94</v>
      </c>
      <c r="R194" s="3">
        <v>13.7</v>
      </c>
      <c r="S194" s="3">
        <f>VLOOKUP(C194,[1]page!$C$2:$M$3071,11,0)</f>
        <v>15.62</v>
      </c>
      <c r="T194" s="6">
        <f t="shared" si="3"/>
        <v>-3.3899999999999988</v>
      </c>
    </row>
    <row r="195" spans="1:20" x14ac:dyDescent="0.2">
      <c r="A195" t="s">
        <v>546</v>
      </c>
      <c r="B195" t="s">
        <v>638</v>
      </c>
      <c r="C195" t="s">
        <v>639</v>
      </c>
      <c r="D195" t="s">
        <v>475</v>
      </c>
      <c r="E195" t="s">
        <v>402</v>
      </c>
      <c r="F195" t="s">
        <v>23</v>
      </c>
      <c r="G195" s="1">
        <v>40</v>
      </c>
      <c r="H195" s="1">
        <v>12</v>
      </c>
      <c r="I195" t="s">
        <v>62</v>
      </c>
      <c r="L195" s="1">
        <v>1</v>
      </c>
      <c r="M195" s="3">
        <v>26.4</v>
      </c>
      <c r="N195" s="3">
        <v>1.32</v>
      </c>
      <c r="O195" s="3">
        <v>0</v>
      </c>
      <c r="P195" s="3">
        <v>0.2</v>
      </c>
      <c r="Q195" s="3">
        <v>27.92</v>
      </c>
      <c r="R195" s="3">
        <v>24.25</v>
      </c>
      <c r="S195" s="3">
        <f>VLOOKUP(C195,[1]page!$C$2:$M$3071,11,0)</f>
        <v>26.21</v>
      </c>
      <c r="T195" s="6">
        <f t="shared" si="3"/>
        <v>0.18999999999999773</v>
      </c>
    </row>
    <row r="196" spans="1:20" x14ac:dyDescent="0.2">
      <c r="A196" t="s">
        <v>546</v>
      </c>
      <c r="B196" t="s">
        <v>640</v>
      </c>
      <c r="C196" t="s">
        <v>641</v>
      </c>
      <c r="D196" t="s">
        <v>475</v>
      </c>
      <c r="E196" t="s">
        <v>402</v>
      </c>
      <c r="F196" t="s">
        <v>65</v>
      </c>
      <c r="G196" s="1">
        <v>40</v>
      </c>
      <c r="H196" s="1">
        <v>8</v>
      </c>
      <c r="I196" t="s">
        <v>62</v>
      </c>
      <c r="L196" s="1">
        <v>1</v>
      </c>
      <c r="M196" s="3">
        <v>36.61</v>
      </c>
      <c r="N196" s="3">
        <v>1.83</v>
      </c>
      <c r="O196" s="3">
        <v>0</v>
      </c>
      <c r="P196" s="3">
        <v>0.4</v>
      </c>
      <c r="Q196" s="3">
        <v>38.840000000000003</v>
      </c>
      <c r="R196" s="3">
        <v>35.75</v>
      </c>
      <c r="S196" s="3">
        <f>VLOOKUP(C196,[1]page!$C$2:$M$3071,11,0)</f>
        <v>36.32</v>
      </c>
      <c r="T196" s="6">
        <f t="shared" si="3"/>
        <v>0.28999999999999915</v>
      </c>
    </row>
    <row r="197" spans="1:20" x14ac:dyDescent="0.2">
      <c r="A197" t="s">
        <v>642</v>
      </c>
      <c r="B197" t="s">
        <v>643</v>
      </c>
      <c r="C197" t="s">
        <v>644</v>
      </c>
      <c r="D197" t="s">
        <v>645</v>
      </c>
      <c r="E197" t="s">
        <v>402</v>
      </c>
      <c r="F197" t="s">
        <v>23</v>
      </c>
      <c r="G197" s="2">
        <v>32.5</v>
      </c>
      <c r="H197" s="1">
        <v>12</v>
      </c>
      <c r="I197" t="s">
        <v>62</v>
      </c>
      <c r="L197" s="1">
        <v>1</v>
      </c>
      <c r="M197" s="3">
        <v>26.31</v>
      </c>
      <c r="N197" s="3">
        <v>1.32</v>
      </c>
      <c r="O197" s="3">
        <v>0</v>
      </c>
      <c r="P197" s="3">
        <v>0.2</v>
      </c>
      <c r="Q197" s="3">
        <v>27.83</v>
      </c>
      <c r="R197" s="3">
        <v>18.2</v>
      </c>
      <c r="S197" s="3">
        <f>VLOOKUP(C197,[1]page!$C$2:$M$3071,11,0)</f>
        <v>30.31</v>
      </c>
      <c r="T197" s="6">
        <f t="shared" si="3"/>
        <v>-4</v>
      </c>
    </row>
    <row r="198" spans="1:20" x14ac:dyDescent="0.2">
      <c r="A198" t="s">
        <v>368</v>
      </c>
      <c r="B198" t="s">
        <v>646</v>
      </c>
      <c r="C198" t="s">
        <v>647</v>
      </c>
      <c r="D198" t="s">
        <v>648</v>
      </c>
      <c r="E198" t="s">
        <v>364</v>
      </c>
      <c r="F198" t="s">
        <v>23</v>
      </c>
      <c r="G198" s="1">
        <v>40</v>
      </c>
      <c r="H198" s="1">
        <v>12</v>
      </c>
      <c r="I198" t="s">
        <v>39</v>
      </c>
      <c r="L198" s="1">
        <v>1</v>
      </c>
      <c r="M198" s="3">
        <v>40.200000000000003</v>
      </c>
      <c r="N198" s="3">
        <v>2.0099999999999998</v>
      </c>
      <c r="O198" s="3">
        <v>0</v>
      </c>
      <c r="P198" s="3">
        <v>0.2</v>
      </c>
      <c r="Q198" s="3">
        <v>42.41</v>
      </c>
      <c r="R198" s="3">
        <v>24.25</v>
      </c>
      <c r="S198" s="3">
        <f>VLOOKUP(C198,[1]page!$C$2:$M$3071,11,0)</f>
        <v>40.200000000000003</v>
      </c>
      <c r="T198" s="6">
        <f t="shared" si="3"/>
        <v>0</v>
      </c>
    </row>
    <row r="199" spans="1:20" x14ac:dyDescent="0.2">
      <c r="A199" t="s">
        <v>368</v>
      </c>
      <c r="B199" t="s">
        <v>649</v>
      </c>
      <c r="C199" t="s">
        <v>650</v>
      </c>
      <c r="D199" t="s">
        <v>651</v>
      </c>
      <c r="E199" t="s">
        <v>652</v>
      </c>
      <c r="F199" t="s">
        <v>23</v>
      </c>
      <c r="G199" s="1">
        <v>40</v>
      </c>
      <c r="H199" s="1">
        <v>12</v>
      </c>
      <c r="I199" t="s">
        <v>156</v>
      </c>
      <c r="L199" s="1">
        <v>1</v>
      </c>
      <c r="M199" s="3">
        <v>34.99</v>
      </c>
      <c r="N199" s="3">
        <v>1.75</v>
      </c>
      <c r="O199" s="3">
        <v>0</v>
      </c>
      <c r="P199" s="3">
        <v>0.2</v>
      </c>
      <c r="Q199" s="3">
        <v>36.94</v>
      </c>
      <c r="R199" s="3">
        <v>24.25</v>
      </c>
      <c r="S199" s="3">
        <f>VLOOKUP(C199,[1]page!$C$2:$M$3071,11,0)</f>
        <v>34.61</v>
      </c>
      <c r="T199" s="6">
        <f t="shared" si="3"/>
        <v>0.38000000000000256</v>
      </c>
    </row>
    <row r="200" spans="1:20" x14ac:dyDescent="0.2">
      <c r="A200" t="s">
        <v>368</v>
      </c>
      <c r="B200" t="s">
        <v>653</v>
      </c>
      <c r="C200" t="s">
        <v>654</v>
      </c>
      <c r="D200" t="s">
        <v>651</v>
      </c>
      <c r="E200" t="s">
        <v>652</v>
      </c>
      <c r="F200" t="s">
        <v>84</v>
      </c>
      <c r="G200" s="1">
        <v>40</v>
      </c>
      <c r="H200" s="1">
        <v>6</v>
      </c>
      <c r="I200" t="s">
        <v>156</v>
      </c>
      <c r="L200" s="1">
        <v>1</v>
      </c>
      <c r="M200" s="3">
        <v>66.489999999999995</v>
      </c>
      <c r="N200" s="3">
        <v>3.32</v>
      </c>
      <c r="O200" s="3">
        <v>0</v>
      </c>
      <c r="P200" s="3">
        <v>0.4</v>
      </c>
      <c r="Q200" s="3">
        <v>70.209999999999994</v>
      </c>
      <c r="R200" s="3">
        <v>53.75</v>
      </c>
      <c r="S200" s="3">
        <f>VLOOKUP(C200,[1]page!$C$2:$M$3071,11,0)</f>
        <v>66.03</v>
      </c>
      <c r="T200" s="6">
        <f t="shared" si="3"/>
        <v>0.45999999999999375</v>
      </c>
    </row>
    <row r="201" spans="1:20" x14ac:dyDescent="0.2">
      <c r="A201" t="s">
        <v>368</v>
      </c>
      <c r="B201" t="s">
        <v>655</v>
      </c>
      <c r="C201" t="s">
        <v>656</v>
      </c>
      <c r="D201" t="s">
        <v>657</v>
      </c>
      <c r="E201" t="s">
        <v>96</v>
      </c>
      <c r="F201" t="s">
        <v>23</v>
      </c>
      <c r="G201" s="1">
        <v>45</v>
      </c>
      <c r="H201" s="1">
        <v>6</v>
      </c>
      <c r="I201" t="s">
        <v>24</v>
      </c>
      <c r="L201" s="1">
        <v>1</v>
      </c>
      <c r="M201" s="3">
        <v>37.99</v>
      </c>
      <c r="N201" s="3">
        <v>1.9</v>
      </c>
      <c r="O201" s="3">
        <v>0</v>
      </c>
      <c r="P201" s="3">
        <v>0.2</v>
      </c>
      <c r="Q201" s="3">
        <v>40.090000000000003</v>
      </c>
      <c r="R201" s="3">
        <v>30.35</v>
      </c>
      <c r="S201" s="3">
        <f>VLOOKUP(C201,[1]page!$C$2:$M$3071,11,0)</f>
        <v>38</v>
      </c>
      <c r="T201" s="6">
        <f t="shared" si="3"/>
        <v>-9.9999999999980105E-3</v>
      </c>
    </row>
    <row r="202" spans="1:20" x14ac:dyDescent="0.2">
      <c r="A202" t="s">
        <v>368</v>
      </c>
      <c r="B202" t="s">
        <v>658</v>
      </c>
      <c r="C202" t="s">
        <v>659</v>
      </c>
      <c r="D202" t="s">
        <v>660</v>
      </c>
      <c r="E202" t="s">
        <v>661</v>
      </c>
      <c r="F202" t="s">
        <v>23</v>
      </c>
      <c r="G202" s="1">
        <v>46</v>
      </c>
      <c r="H202" s="1">
        <v>6</v>
      </c>
      <c r="I202" t="s">
        <v>444</v>
      </c>
      <c r="L202" s="1">
        <v>1</v>
      </c>
      <c r="M202" s="3">
        <v>45.26</v>
      </c>
      <c r="N202" s="3">
        <v>2.2599999999999998</v>
      </c>
      <c r="O202" s="3">
        <v>0</v>
      </c>
      <c r="P202" s="3">
        <v>0.2</v>
      </c>
      <c r="Q202" s="3">
        <v>47.72</v>
      </c>
      <c r="R202" s="3">
        <v>30.35</v>
      </c>
      <c r="S202" s="3">
        <f>VLOOKUP(C202,[1]page!$C$2:$M$3071,11,0)</f>
        <v>45.25</v>
      </c>
      <c r="T202" s="6">
        <f t="shared" si="3"/>
        <v>9.9999999999980105E-3</v>
      </c>
    </row>
    <row r="203" spans="1:20" x14ac:dyDescent="0.2">
      <c r="A203" t="s">
        <v>439</v>
      </c>
      <c r="B203" t="s">
        <v>662</v>
      </c>
      <c r="C203" t="s">
        <v>663</v>
      </c>
      <c r="D203" t="s">
        <v>664</v>
      </c>
      <c r="E203" t="s">
        <v>443</v>
      </c>
      <c r="F203" t="s">
        <v>23</v>
      </c>
      <c r="G203" s="1">
        <v>50</v>
      </c>
      <c r="H203" s="1">
        <v>6</v>
      </c>
      <c r="I203" t="s">
        <v>444</v>
      </c>
      <c r="L203" s="1">
        <v>1</v>
      </c>
      <c r="M203" s="3">
        <v>73.760000000000005</v>
      </c>
      <c r="N203" s="3">
        <v>3.69</v>
      </c>
      <c r="O203" s="3">
        <v>0</v>
      </c>
      <c r="P203" s="3">
        <v>0.2</v>
      </c>
      <c r="Q203" s="3">
        <v>77.650000000000006</v>
      </c>
      <c r="R203" s="3">
        <v>30.35</v>
      </c>
      <c r="S203" s="3">
        <f>VLOOKUP(C203,[1]page!$C$2:$M$3071,11,0)</f>
        <v>73.75</v>
      </c>
      <c r="T203" s="6">
        <f t="shared" si="3"/>
        <v>1.0000000000005116E-2</v>
      </c>
    </row>
    <row r="204" spans="1:20" x14ac:dyDescent="0.2">
      <c r="A204" t="s">
        <v>665</v>
      </c>
      <c r="B204" t="s">
        <v>666</v>
      </c>
      <c r="C204" t="s">
        <v>667</v>
      </c>
      <c r="D204" t="s">
        <v>668</v>
      </c>
      <c r="E204" t="s">
        <v>669</v>
      </c>
      <c r="F204" t="s">
        <v>65</v>
      </c>
      <c r="G204" s="1">
        <v>40</v>
      </c>
      <c r="H204" s="1">
        <v>6</v>
      </c>
      <c r="I204" t="s">
        <v>24</v>
      </c>
      <c r="L204" s="1">
        <v>1</v>
      </c>
      <c r="M204" s="3">
        <v>62.99</v>
      </c>
      <c r="N204" s="3">
        <v>3.15</v>
      </c>
      <c r="O204" s="3">
        <v>0</v>
      </c>
      <c r="P204" s="3">
        <v>0.4</v>
      </c>
      <c r="Q204" s="3">
        <v>66.540000000000006</v>
      </c>
      <c r="R204" s="3">
        <v>35.75</v>
      </c>
      <c r="S204" s="3">
        <f>VLOOKUP(C204,[1]page!$C$2:$M$3071,11,0)</f>
        <v>63.02</v>
      </c>
      <c r="T204" s="6">
        <f t="shared" si="3"/>
        <v>-3.0000000000001137E-2</v>
      </c>
    </row>
    <row r="205" spans="1:20" x14ac:dyDescent="0.2">
      <c r="A205" t="s">
        <v>439</v>
      </c>
      <c r="B205" t="s">
        <v>670</v>
      </c>
      <c r="C205" t="s">
        <v>671</v>
      </c>
      <c r="D205" t="s">
        <v>672</v>
      </c>
      <c r="E205" t="s">
        <v>69</v>
      </c>
      <c r="F205" t="s">
        <v>23</v>
      </c>
      <c r="G205" s="1">
        <v>45</v>
      </c>
      <c r="H205" s="1">
        <v>12</v>
      </c>
      <c r="I205" t="s">
        <v>183</v>
      </c>
      <c r="L205" s="1">
        <v>1</v>
      </c>
      <c r="M205" s="3">
        <v>45.92</v>
      </c>
      <c r="N205" s="3">
        <v>2.2999999999999998</v>
      </c>
      <c r="O205" s="3">
        <v>0</v>
      </c>
      <c r="P205" s="3">
        <v>0.2</v>
      </c>
      <c r="Q205" s="3">
        <v>48.42</v>
      </c>
      <c r="R205" s="3">
        <v>30.35</v>
      </c>
      <c r="S205" s="3">
        <f>VLOOKUP(C205,[1]page!$C$2:$M$3071,11,0)</f>
        <v>45.77</v>
      </c>
      <c r="T205" s="6">
        <f t="shared" si="3"/>
        <v>0.14999999999999858</v>
      </c>
    </row>
    <row r="206" spans="1:20" x14ac:dyDescent="0.2">
      <c r="A206" t="s">
        <v>673</v>
      </c>
      <c r="B206" t="s">
        <v>674</v>
      </c>
      <c r="C206" t="s">
        <v>675</v>
      </c>
      <c r="D206" t="s">
        <v>676</v>
      </c>
      <c r="E206" t="s">
        <v>677</v>
      </c>
      <c r="F206" t="s">
        <v>23</v>
      </c>
      <c r="G206" s="1">
        <v>40</v>
      </c>
      <c r="H206" s="1">
        <v>6</v>
      </c>
      <c r="I206" t="s">
        <v>62</v>
      </c>
      <c r="L206" s="1">
        <v>1</v>
      </c>
      <c r="M206" s="3">
        <v>39.56</v>
      </c>
      <c r="N206" s="3">
        <v>1.98</v>
      </c>
      <c r="O206" s="3">
        <v>0</v>
      </c>
      <c r="P206" s="3">
        <v>0.2</v>
      </c>
      <c r="Q206" s="3">
        <v>41.74</v>
      </c>
      <c r="R206" s="3">
        <v>24.25</v>
      </c>
      <c r="S206" s="3">
        <f>VLOOKUP(C206,[1]page!$C$2:$M$3071,11,0)</f>
        <v>44.34</v>
      </c>
      <c r="T206" s="6">
        <f t="shared" si="3"/>
        <v>-4.7800000000000011</v>
      </c>
    </row>
    <row r="207" spans="1:20" x14ac:dyDescent="0.2">
      <c r="A207" t="s">
        <v>678</v>
      </c>
      <c r="B207" t="s">
        <v>679</v>
      </c>
      <c r="C207" t="s">
        <v>680</v>
      </c>
      <c r="D207" t="s">
        <v>681</v>
      </c>
      <c r="E207" t="s">
        <v>96</v>
      </c>
      <c r="F207" t="s">
        <v>23</v>
      </c>
      <c r="G207" s="2">
        <v>51.6</v>
      </c>
      <c r="H207" s="1">
        <v>6</v>
      </c>
      <c r="I207" t="s">
        <v>24</v>
      </c>
      <c r="L207" s="1">
        <v>1</v>
      </c>
      <c r="M207" s="3">
        <v>261.14999999999998</v>
      </c>
      <c r="N207" s="3">
        <v>13.06</v>
      </c>
      <c r="O207" s="3">
        <v>0</v>
      </c>
      <c r="P207" s="3">
        <v>0.2</v>
      </c>
      <c r="Q207" s="3">
        <v>274.41000000000003</v>
      </c>
      <c r="R207" s="3">
        <v>30.35</v>
      </c>
      <c r="S207" s="3">
        <f>VLOOKUP(C207,[1]page!$C$2:$M$3071,11,0)</f>
        <v>261.01</v>
      </c>
      <c r="T207" s="6">
        <f t="shared" si="3"/>
        <v>0.13999999999998636</v>
      </c>
    </row>
    <row r="208" spans="1:20" x14ac:dyDescent="0.2">
      <c r="A208" t="s">
        <v>678</v>
      </c>
      <c r="B208" t="s">
        <v>682</v>
      </c>
      <c r="C208" t="s">
        <v>683</v>
      </c>
      <c r="D208" t="s">
        <v>684</v>
      </c>
      <c r="E208" t="s">
        <v>96</v>
      </c>
      <c r="F208" t="s">
        <v>23</v>
      </c>
      <c r="G208" s="2">
        <v>55.9</v>
      </c>
      <c r="H208" s="1">
        <v>6</v>
      </c>
      <c r="I208" t="s">
        <v>24</v>
      </c>
      <c r="L208" s="1">
        <v>1</v>
      </c>
      <c r="M208" s="3">
        <v>172.16</v>
      </c>
      <c r="N208" s="3">
        <v>8.61</v>
      </c>
      <c r="O208" s="3">
        <v>0</v>
      </c>
      <c r="P208" s="3">
        <v>0.2</v>
      </c>
      <c r="Q208" s="3">
        <v>180.97</v>
      </c>
      <c r="R208" s="3">
        <v>36.4</v>
      </c>
      <c r="S208" s="3">
        <f>VLOOKUP(C208,[1]page!$C$2:$M$3071,11,0)</f>
        <v>172.01</v>
      </c>
      <c r="T208" s="6">
        <f t="shared" si="3"/>
        <v>0.15000000000000568</v>
      </c>
    </row>
    <row r="209" spans="1:20" x14ac:dyDescent="0.2">
      <c r="A209" t="s">
        <v>678</v>
      </c>
      <c r="B209" t="s">
        <v>685</v>
      </c>
      <c r="C209" t="s">
        <v>686</v>
      </c>
      <c r="D209" t="s">
        <v>687</v>
      </c>
      <c r="E209" t="s">
        <v>96</v>
      </c>
      <c r="F209" t="s">
        <v>23</v>
      </c>
      <c r="G209" s="2">
        <v>55.5</v>
      </c>
      <c r="H209" s="1">
        <v>6</v>
      </c>
      <c r="I209" t="s">
        <v>24</v>
      </c>
      <c r="L209" s="1">
        <v>1</v>
      </c>
      <c r="M209" s="3">
        <v>214.78</v>
      </c>
      <c r="N209" s="3">
        <v>10.74</v>
      </c>
      <c r="O209" s="3">
        <v>0</v>
      </c>
      <c r="P209" s="3">
        <v>0.2</v>
      </c>
      <c r="Q209" s="3">
        <v>225.72</v>
      </c>
      <c r="R209" s="3">
        <v>36.4</v>
      </c>
      <c r="S209" s="3">
        <f>VLOOKUP(C209,[1]page!$C$2:$M$3071,11,0)</f>
        <v>217.01</v>
      </c>
      <c r="T209" s="6">
        <f t="shared" si="3"/>
        <v>-2.2299999999999898</v>
      </c>
    </row>
    <row r="210" spans="1:20" x14ac:dyDescent="0.2">
      <c r="A210" t="s">
        <v>678</v>
      </c>
      <c r="B210" t="s">
        <v>688</v>
      </c>
      <c r="C210" t="s">
        <v>689</v>
      </c>
      <c r="D210" t="s">
        <v>690</v>
      </c>
      <c r="E210" t="s">
        <v>691</v>
      </c>
      <c r="F210" t="s">
        <v>396</v>
      </c>
      <c r="G210" s="1">
        <v>40</v>
      </c>
      <c r="H210" s="1">
        <v>6</v>
      </c>
      <c r="I210" t="s">
        <v>188</v>
      </c>
      <c r="L210" s="1">
        <v>1</v>
      </c>
      <c r="M210" s="3">
        <v>47.87</v>
      </c>
      <c r="N210" s="3">
        <v>2.39</v>
      </c>
      <c r="O210" s="3">
        <v>0</v>
      </c>
      <c r="P210" s="3">
        <v>0.2</v>
      </c>
      <c r="Q210" s="3">
        <v>50.46</v>
      </c>
      <c r="R210" s="3">
        <v>22.65</v>
      </c>
      <c r="S210" s="3">
        <f>VLOOKUP(C210,[1]page!$C$2:$M$3071,11,0)</f>
        <v>57.91</v>
      </c>
      <c r="T210" s="6">
        <f t="shared" si="3"/>
        <v>-10.039999999999999</v>
      </c>
    </row>
    <row r="211" spans="1:20" x14ac:dyDescent="0.2">
      <c r="A211" t="s">
        <v>692</v>
      </c>
      <c r="B211" t="s">
        <v>693</v>
      </c>
      <c r="C211" t="s">
        <v>694</v>
      </c>
      <c r="D211" t="s">
        <v>695</v>
      </c>
      <c r="E211" t="s">
        <v>696</v>
      </c>
      <c r="F211" t="s">
        <v>23</v>
      </c>
      <c r="G211" s="1">
        <v>40</v>
      </c>
      <c r="H211" s="1">
        <v>6</v>
      </c>
      <c r="I211" t="s">
        <v>444</v>
      </c>
      <c r="L211" s="1">
        <v>1</v>
      </c>
      <c r="M211" s="3">
        <v>70.010000000000005</v>
      </c>
      <c r="N211" s="3">
        <v>3.5</v>
      </c>
      <c r="O211" s="3">
        <v>0</v>
      </c>
      <c r="P211" s="3">
        <v>0.2</v>
      </c>
      <c r="Q211" s="3">
        <v>73.709999999999994</v>
      </c>
      <c r="R211" s="3">
        <v>24.25</v>
      </c>
      <c r="S211" s="3">
        <f>VLOOKUP(C211,[1]page!$C$2:$M$3071,11,0)</f>
        <v>70</v>
      </c>
      <c r="T211" s="6">
        <f t="shared" si="3"/>
        <v>1.0000000000005116E-2</v>
      </c>
    </row>
    <row r="212" spans="1:20" x14ac:dyDescent="0.2">
      <c r="A212" t="s">
        <v>692</v>
      </c>
      <c r="B212" t="s">
        <v>697</v>
      </c>
      <c r="C212" t="s">
        <v>698</v>
      </c>
      <c r="D212" t="s">
        <v>699</v>
      </c>
      <c r="E212" t="s">
        <v>700</v>
      </c>
      <c r="F212" t="s">
        <v>396</v>
      </c>
      <c r="G212" s="1">
        <v>40</v>
      </c>
      <c r="H212" s="1">
        <v>6</v>
      </c>
      <c r="I212" t="s">
        <v>449</v>
      </c>
      <c r="L212" s="1">
        <v>1</v>
      </c>
      <c r="M212" s="3">
        <v>55</v>
      </c>
      <c r="N212" s="3">
        <v>2.75</v>
      </c>
      <c r="O212" s="3">
        <v>0</v>
      </c>
      <c r="P212" s="3">
        <v>0.2</v>
      </c>
      <c r="Q212" s="3">
        <v>57.95</v>
      </c>
      <c r="R212" s="3">
        <v>22.65</v>
      </c>
      <c r="S212" s="3">
        <f>VLOOKUP(C212,[1]page!$C$2:$M$3071,11,0)</f>
        <v>54.9</v>
      </c>
      <c r="T212" s="6">
        <f t="shared" si="3"/>
        <v>0.10000000000000142</v>
      </c>
    </row>
    <row r="213" spans="1:20" x14ac:dyDescent="0.2">
      <c r="A213" t="s">
        <v>692</v>
      </c>
      <c r="B213" t="s">
        <v>701</v>
      </c>
      <c r="C213" t="s">
        <v>702</v>
      </c>
      <c r="D213" t="s">
        <v>703</v>
      </c>
      <c r="E213" t="s">
        <v>677</v>
      </c>
      <c r="F213" t="s">
        <v>23</v>
      </c>
      <c r="G213" s="1">
        <v>40</v>
      </c>
      <c r="H213" s="1">
        <v>6</v>
      </c>
      <c r="I213" t="s">
        <v>62</v>
      </c>
      <c r="L213" s="1">
        <v>1</v>
      </c>
      <c r="M213" s="3">
        <v>42.94</v>
      </c>
      <c r="N213" s="3">
        <v>2.15</v>
      </c>
      <c r="O213" s="3">
        <v>0</v>
      </c>
      <c r="P213" s="3">
        <v>0.2</v>
      </c>
      <c r="Q213" s="3">
        <v>45.29</v>
      </c>
      <c r="R213" s="3">
        <v>24.25</v>
      </c>
      <c r="S213" s="3">
        <f>VLOOKUP(C213,[1]page!$C$2:$M$3071,11,0)</f>
        <v>49.39</v>
      </c>
      <c r="T213" s="6">
        <f t="shared" si="3"/>
        <v>-6.4500000000000028</v>
      </c>
    </row>
    <row r="214" spans="1:20" x14ac:dyDescent="0.2">
      <c r="A214" t="s">
        <v>692</v>
      </c>
      <c r="B214" t="s">
        <v>704</v>
      </c>
      <c r="C214" t="s">
        <v>705</v>
      </c>
      <c r="D214" t="s">
        <v>706</v>
      </c>
      <c r="E214" t="s">
        <v>707</v>
      </c>
      <c r="F214" t="s">
        <v>23</v>
      </c>
      <c r="G214" s="1">
        <v>40</v>
      </c>
      <c r="H214" s="1">
        <v>6</v>
      </c>
      <c r="I214" t="s">
        <v>34</v>
      </c>
      <c r="L214" s="1">
        <v>1</v>
      </c>
      <c r="M214" s="3">
        <v>87.05</v>
      </c>
      <c r="N214" s="3">
        <v>4.3499999999999996</v>
      </c>
      <c r="O214" s="3">
        <v>0</v>
      </c>
      <c r="P214" s="3">
        <v>0.2</v>
      </c>
      <c r="Q214" s="3">
        <v>91.6</v>
      </c>
      <c r="R214" s="3">
        <v>24.25</v>
      </c>
      <c r="S214" s="3">
        <f>VLOOKUP(C214,[1]page!$C$2:$M$3071,11,0)</f>
        <v>86.94</v>
      </c>
      <c r="T214" s="6">
        <f t="shared" si="3"/>
        <v>0.10999999999999943</v>
      </c>
    </row>
    <row r="215" spans="1:20" x14ac:dyDescent="0.2">
      <c r="A215" t="s">
        <v>692</v>
      </c>
      <c r="B215" t="s">
        <v>708</v>
      </c>
      <c r="C215" t="s">
        <v>709</v>
      </c>
      <c r="D215" t="s">
        <v>710</v>
      </c>
      <c r="E215" t="s">
        <v>677</v>
      </c>
      <c r="F215" t="s">
        <v>23</v>
      </c>
      <c r="G215" s="1">
        <v>40</v>
      </c>
      <c r="H215" s="1">
        <v>6</v>
      </c>
      <c r="I215" t="s">
        <v>62</v>
      </c>
      <c r="L215" s="1">
        <v>1</v>
      </c>
      <c r="M215" s="3">
        <v>60.73</v>
      </c>
      <c r="N215" s="3">
        <v>3.04</v>
      </c>
      <c r="O215" s="3">
        <v>0</v>
      </c>
      <c r="P215" s="3">
        <v>0.2</v>
      </c>
      <c r="Q215" s="3">
        <v>63.97</v>
      </c>
      <c r="R215" s="3">
        <v>24.25</v>
      </c>
      <c r="S215" s="3">
        <f>VLOOKUP(C215,[1]page!$C$2:$M$3071,11,0)</f>
        <v>60.62</v>
      </c>
      <c r="T215" s="6">
        <f t="shared" si="3"/>
        <v>0.10999999999999943</v>
      </c>
    </row>
    <row r="216" spans="1:20" x14ac:dyDescent="0.2">
      <c r="A216" t="s">
        <v>692</v>
      </c>
      <c r="B216" t="s">
        <v>711</v>
      </c>
      <c r="C216" t="s">
        <v>712</v>
      </c>
      <c r="D216" t="s">
        <v>713</v>
      </c>
      <c r="E216" t="s">
        <v>677</v>
      </c>
      <c r="F216" t="s">
        <v>23</v>
      </c>
      <c r="G216" s="1">
        <v>43</v>
      </c>
      <c r="H216" s="1">
        <v>6</v>
      </c>
      <c r="I216" t="s">
        <v>62</v>
      </c>
      <c r="L216" s="1">
        <v>1</v>
      </c>
      <c r="M216" s="3">
        <v>93.25</v>
      </c>
      <c r="N216" s="3">
        <v>4.66</v>
      </c>
      <c r="O216" s="3">
        <v>0</v>
      </c>
      <c r="P216" s="3">
        <v>0.2</v>
      </c>
      <c r="Q216" s="3">
        <v>98.11</v>
      </c>
      <c r="R216" s="3">
        <v>24.25</v>
      </c>
      <c r="S216" s="3">
        <f>VLOOKUP(C216,[1]page!$C$2:$M$3071,11,0)</f>
        <v>93.13</v>
      </c>
      <c r="T216" s="6">
        <f t="shared" si="3"/>
        <v>0.12000000000000455</v>
      </c>
    </row>
    <row r="217" spans="1:20" x14ac:dyDescent="0.2">
      <c r="A217" t="s">
        <v>692</v>
      </c>
      <c r="B217" t="s">
        <v>714</v>
      </c>
      <c r="C217" t="s">
        <v>715</v>
      </c>
      <c r="D217" t="s">
        <v>716</v>
      </c>
      <c r="E217" t="s">
        <v>717</v>
      </c>
      <c r="F217" t="s">
        <v>23</v>
      </c>
      <c r="G217" s="1">
        <v>40</v>
      </c>
      <c r="H217" s="1">
        <v>12</v>
      </c>
      <c r="I217" t="s">
        <v>39</v>
      </c>
      <c r="L217" s="1">
        <v>1</v>
      </c>
      <c r="M217" s="3">
        <v>47.15</v>
      </c>
      <c r="N217" s="3">
        <v>2.36</v>
      </c>
      <c r="O217" s="3">
        <v>0</v>
      </c>
      <c r="P217" s="3">
        <v>0.2</v>
      </c>
      <c r="Q217" s="3">
        <v>49.71</v>
      </c>
      <c r="R217" s="3">
        <v>24.25</v>
      </c>
      <c r="S217" s="3">
        <f>VLOOKUP(C217,[1]page!$C$2:$M$3071,11,0)</f>
        <v>47.02</v>
      </c>
      <c r="T217" s="6">
        <f t="shared" si="3"/>
        <v>0.12999999999999545</v>
      </c>
    </row>
    <row r="218" spans="1:20" x14ac:dyDescent="0.2">
      <c r="A218" t="s">
        <v>692</v>
      </c>
      <c r="B218" t="s">
        <v>718</v>
      </c>
      <c r="C218" t="s">
        <v>719</v>
      </c>
      <c r="D218" t="s">
        <v>716</v>
      </c>
      <c r="E218" t="s">
        <v>717</v>
      </c>
      <c r="F218" t="s">
        <v>65</v>
      </c>
      <c r="G218" s="1">
        <v>40</v>
      </c>
      <c r="H218" s="1">
        <v>6</v>
      </c>
      <c r="I218" t="s">
        <v>39</v>
      </c>
      <c r="L218" s="1">
        <v>1</v>
      </c>
      <c r="M218" s="3">
        <v>63.31</v>
      </c>
      <c r="N218" s="3">
        <v>3.17</v>
      </c>
      <c r="O218" s="3">
        <v>0</v>
      </c>
      <c r="P218" s="3">
        <v>0.4</v>
      </c>
      <c r="Q218" s="3">
        <v>66.88</v>
      </c>
      <c r="R218" s="3">
        <v>35.75</v>
      </c>
      <c r="S218" s="3">
        <f>VLOOKUP(C218,[1]page!$C$2:$M$3071,11,0)</f>
        <v>63.02</v>
      </c>
      <c r="T218" s="6">
        <f t="shared" si="3"/>
        <v>0.28999999999999915</v>
      </c>
    </row>
    <row r="219" spans="1:20" x14ac:dyDescent="0.2">
      <c r="A219" t="s">
        <v>692</v>
      </c>
      <c r="B219" t="s">
        <v>720</v>
      </c>
      <c r="C219" t="s">
        <v>721</v>
      </c>
      <c r="D219" t="s">
        <v>722</v>
      </c>
      <c r="E219" t="s">
        <v>723</v>
      </c>
      <c r="F219" t="s">
        <v>23</v>
      </c>
      <c r="G219" s="1">
        <v>43</v>
      </c>
      <c r="H219" s="1">
        <v>6</v>
      </c>
      <c r="I219" t="s">
        <v>24</v>
      </c>
      <c r="L219" s="1">
        <v>1</v>
      </c>
      <c r="M219" s="3">
        <v>95.99</v>
      </c>
      <c r="N219" s="3">
        <v>4.8</v>
      </c>
      <c r="O219" s="3">
        <v>0</v>
      </c>
      <c r="P219" s="3">
        <v>0.2</v>
      </c>
      <c r="Q219" s="3">
        <v>100.99</v>
      </c>
      <c r="R219" s="3">
        <v>24.25</v>
      </c>
      <c r="S219" s="3">
        <f>VLOOKUP(C219,[1]page!$C$2:$M$3071,11,0)</f>
        <v>96.01</v>
      </c>
      <c r="T219" s="6">
        <f t="shared" si="3"/>
        <v>-2.0000000000010232E-2</v>
      </c>
    </row>
    <row r="220" spans="1:20" x14ac:dyDescent="0.2">
      <c r="A220" t="s">
        <v>692</v>
      </c>
      <c r="B220" t="s">
        <v>724</v>
      </c>
      <c r="C220" t="s">
        <v>725</v>
      </c>
      <c r="D220" t="s">
        <v>726</v>
      </c>
      <c r="E220" t="s">
        <v>727</v>
      </c>
      <c r="F220" t="s">
        <v>396</v>
      </c>
      <c r="G220" s="1">
        <v>46</v>
      </c>
      <c r="H220" s="1">
        <v>6</v>
      </c>
      <c r="I220" t="s">
        <v>728</v>
      </c>
      <c r="L220" s="1">
        <v>1</v>
      </c>
      <c r="M220" s="3">
        <v>108.71</v>
      </c>
      <c r="N220" s="3">
        <v>5.44</v>
      </c>
      <c r="O220" s="3">
        <v>0</v>
      </c>
      <c r="P220" s="3">
        <v>0.2</v>
      </c>
      <c r="Q220" s="3">
        <v>114.35</v>
      </c>
      <c r="R220" s="3">
        <v>28.35</v>
      </c>
      <c r="S220" s="3">
        <f>VLOOKUP(C220,[1]page!$C$2:$M$3071,11,0)</f>
        <v>108.59</v>
      </c>
      <c r="T220" s="6">
        <f t="shared" si="3"/>
        <v>0.11999999999999034</v>
      </c>
    </row>
    <row r="221" spans="1:20" x14ac:dyDescent="0.2">
      <c r="A221" t="s">
        <v>692</v>
      </c>
      <c r="B221" t="s">
        <v>729</v>
      </c>
      <c r="C221" t="s">
        <v>730</v>
      </c>
      <c r="D221" t="s">
        <v>731</v>
      </c>
      <c r="E221" t="s">
        <v>707</v>
      </c>
      <c r="F221" t="s">
        <v>77</v>
      </c>
      <c r="G221" s="1">
        <v>40</v>
      </c>
      <c r="H221" s="1">
        <v>24</v>
      </c>
      <c r="I221" t="s">
        <v>34</v>
      </c>
      <c r="L221" s="1">
        <v>1</v>
      </c>
      <c r="M221" s="3">
        <v>32.049999999999997</v>
      </c>
      <c r="N221" s="3">
        <v>1.6</v>
      </c>
      <c r="O221" s="3">
        <v>0</v>
      </c>
      <c r="P221" s="3">
        <v>0.2</v>
      </c>
      <c r="Q221" s="3">
        <v>33.85</v>
      </c>
      <c r="R221" s="3">
        <v>13.7</v>
      </c>
      <c r="S221" s="3">
        <f>VLOOKUP(C221,[1]page!$C$2:$M$3071,11,0)</f>
        <v>31.99</v>
      </c>
      <c r="T221" s="6">
        <f t="shared" si="3"/>
        <v>5.9999999999998721E-2</v>
      </c>
    </row>
    <row r="222" spans="1:20" x14ac:dyDescent="0.2">
      <c r="A222" t="s">
        <v>692</v>
      </c>
      <c r="B222" t="s">
        <v>732</v>
      </c>
      <c r="C222" t="s">
        <v>733</v>
      </c>
      <c r="D222" t="s">
        <v>731</v>
      </c>
      <c r="E222" t="s">
        <v>707</v>
      </c>
      <c r="F222" t="s">
        <v>23</v>
      </c>
      <c r="G222" s="1">
        <v>40</v>
      </c>
      <c r="H222" s="1">
        <v>12</v>
      </c>
      <c r="I222" t="s">
        <v>34</v>
      </c>
      <c r="L222" s="1">
        <v>1</v>
      </c>
      <c r="M222" s="3">
        <v>57.54</v>
      </c>
      <c r="N222" s="3">
        <v>2.88</v>
      </c>
      <c r="O222" s="3">
        <v>0</v>
      </c>
      <c r="P222" s="3">
        <v>0.2</v>
      </c>
      <c r="Q222" s="3">
        <v>60.62</v>
      </c>
      <c r="R222" s="3">
        <v>24.25</v>
      </c>
      <c r="S222" s="3">
        <f>VLOOKUP(C222,[1]page!$C$2:$M$3071,11,0)</f>
        <v>57.4</v>
      </c>
      <c r="T222" s="6">
        <f t="shared" si="3"/>
        <v>0.14000000000000057</v>
      </c>
    </row>
    <row r="223" spans="1:20" x14ac:dyDescent="0.2">
      <c r="A223" t="s">
        <v>692</v>
      </c>
      <c r="B223" t="s">
        <v>734</v>
      </c>
      <c r="C223" t="s">
        <v>735</v>
      </c>
      <c r="D223" t="s">
        <v>731</v>
      </c>
      <c r="E223" t="s">
        <v>707</v>
      </c>
      <c r="F223" t="s">
        <v>65</v>
      </c>
      <c r="G223" s="1">
        <v>40</v>
      </c>
      <c r="H223" s="1">
        <v>6</v>
      </c>
      <c r="I223" t="s">
        <v>34</v>
      </c>
      <c r="L223" s="1">
        <v>1</v>
      </c>
      <c r="M223" s="3">
        <v>78.709999999999994</v>
      </c>
      <c r="N223" s="3">
        <v>3.94</v>
      </c>
      <c r="O223" s="3">
        <v>0</v>
      </c>
      <c r="P223" s="3">
        <v>0.4</v>
      </c>
      <c r="Q223" s="3">
        <v>83.05</v>
      </c>
      <c r="R223" s="3">
        <v>35.75</v>
      </c>
      <c r="S223" s="3">
        <f>VLOOKUP(C223,[1]page!$C$2:$M$3071,11,0)</f>
        <v>78.510000000000005</v>
      </c>
      <c r="T223" s="6">
        <f t="shared" si="3"/>
        <v>0.19999999999998863</v>
      </c>
    </row>
    <row r="224" spans="1:20" x14ac:dyDescent="0.2">
      <c r="A224" t="s">
        <v>692</v>
      </c>
      <c r="B224" t="s">
        <v>736</v>
      </c>
      <c r="C224" t="s">
        <v>737</v>
      </c>
      <c r="D224" t="s">
        <v>738</v>
      </c>
      <c r="E224" t="s">
        <v>707</v>
      </c>
      <c r="F224" t="s">
        <v>23</v>
      </c>
      <c r="G224" s="1">
        <v>40</v>
      </c>
      <c r="H224" s="1">
        <v>6</v>
      </c>
      <c r="I224" t="s">
        <v>34</v>
      </c>
      <c r="L224" s="1">
        <v>1</v>
      </c>
      <c r="M224" s="3">
        <v>78.489999999999995</v>
      </c>
      <c r="N224" s="3">
        <v>3.92</v>
      </c>
      <c r="O224" s="3">
        <v>0</v>
      </c>
      <c r="P224" s="3">
        <v>0.2</v>
      </c>
      <c r="Q224" s="3">
        <v>82.61</v>
      </c>
      <c r="R224" s="3">
        <v>24.25</v>
      </c>
      <c r="S224" s="3">
        <f>VLOOKUP(C224,[1]page!$C$2:$M$3071,11,0)</f>
        <v>78.38</v>
      </c>
      <c r="T224" s="6">
        <f t="shared" si="3"/>
        <v>0.10999999999999943</v>
      </c>
    </row>
    <row r="225" spans="1:20" x14ac:dyDescent="0.2">
      <c r="A225" t="s">
        <v>692</v>
      </c>
      <c r="B225" t="s">
        <v>739</v>
      </c>
      <c r="C225" t="s">
        <v>740</v>
      </c>
      <c r="D225" t="s">
        <v>409</v>
      </c>
      <c r="E225" t="s">
        <v>410</v>
      </c>
      <c r="F225" t="s">
        <v>23</v>
      </c>
      <c r="G225" s="1">
        <v>40</v>
      </c>
      <c r="H225" s="1">
        <v>12</v>
      </c>
      <c r="I225" t="s">
        <v>39</v>
      </c>
      <c r="L225" s="1">
        <v>1</v>
      </c>
      <c r="M225" s="3">
        <v>54.5</v>
      </c>
      <c r="N225" s="3">
        <v>2.73</v>
      </c>
      <c r="O225" s="3">
        <v>0</v>
      </c>
      <c r="P225" s="3">
        <v>0.2</v>
      </c>
      <c r="Q225" s="3">
        <v>57.43</v>
      </c>
      <c r="R225" s="3">
        <v>24.25</v>
      </c>
      <c r="S225" s="3">
        <f>VLOOKUP(C225,[1]page!$C$2:$M$3071,11,0)</f>
        <v>54.5</v>
      </c>
      <c r="T225" s="6">
        <f t="shared" si="3"/>
        <v>0</v>
      </c>
    </row>
    <row r="226" spans="1:20" x14ac:dyDescent="0.2">
      <c r="A226" t="s">
        <v>692</v>
      </c>
      <c r="B226" t="s">
        <v>741</v>
      </c>
      <c r="C226" t="s">
        <v>742</v>
      </c>
      <c r="D226" t="s">
        <v>409</v>
      </c>
      <c r="E226" t="s">
        <v>410</v>
      </c>
      <c r="F226" t="s">
        <v>65</v>
      </c>
      <c r="G226" s="1">
        <v>40</v>
      </c>
      <c r="H226" s="1">
        <v>6</v>
      </c>
      <c r="I226" t="s">
        <v>39</v>
      </c>
      <c r="L226" s="1">
        <v>1</v>
      </c>
      <c r="M226" s="3">
        <v>74.010000000000005</v>
      </c>
      <c r="N226" s="3">
        <v>3.7</v>
      </c>
      <c r="O226" s="3">
        <v>0</v>
      </c>
      <c r="P226" s="3">
        <v>0.4</v>
      </c>
      <c r="Q226" s="3">
        <v>78.11</v>
      </c>
      <c r="R226" s="3">
        <v>35.75</v>
      </c>
      <c r="S226" s="3">
        <f>VLOOKUP(C226,[1]page!$C$2:$M$3071,11,0)</f>
        <v>74.010000000000005</v>
      </c>
      <c r="T226" s="6">
        <f t="shared" si="3"/>
        <v>0</v>
      </c>
    </row>
    <row r="227" spans="1:20" x14ac:dyDescent="0.2">
      <c r="A227" t="s">
        <v>692</v>
      </c>
      <c r="B227" t="s">
        <v>743</v>
      </c>
      <c r="C227" t="s">
        <v>744</v>
      </c>
      <c r="D227" t="s">
        <v>745</v>
      </c>
      <c r="E227" t="s">
        <v>410</v>
      </c>
      <c r="F227" t="s">
        <v>23</v>
      </c>
      <c r="G227" s="1">
        <v>40</v>
      </c>
      <c r="H227" s="1">
        <v>6</v>
      </c>
      <c r="I227" t="s">
        <v>39</v>
      </c>
      <c r="L227" s="1">
        <v>1</v>
      </c>
      <c r="M227" s="3">
        <v>81.540000000000006</v>
      </c>
      <c r="N227" s="3">
        <v>4.08</v>
      </c>
      <c r="O227" s="3">
        <v>0</v>
      </c>
      <c r="P227" s="3">
        <v>0.2</v>
      </c>
      <c r="Q227" s="3">
        <v>85.82</v>
      </c>
      <c r="R227" s="3">
        <v>24.25</v>
      </c>
      <c r="S227" s="3">
        <f>VLOOKUP(C227,[1]page!$C$2:$M$3071,11,0)</f>
        <v>81.540000000000006</v>
      </c>
      <c r="T227" s="6">
        <f t="shared" si="3"/>
        <v>0</v>
      </c>
    </row>
    <row r="228" spans="1:20" x14ac:dyDescent="0.2">
      <c r="A228" t="s">
        <v>692</v>
      </c>
      <c r="B228" t="s">
        <v>746</v>
      </c>
      <c r="C228" t="s">
        <v>747</v>
      </c>
      <c r="D228" t="s">
        <v>748</v>
      </c>
      <c r="E228" t="s">
        <v>749</v>
      </c>
      <c r="F228" t="s">
        <v>23</v>
      </c>
      <c r="G228" s="1">
        <v>43</v>
      </c>
      <c r="H228" s="1">
        <v>6</v>
      </c>
      <c r="I228" t="s">
        <v>62</v>
      </c>
      <c r="L228" s="1">
        <v>1</v>
      </c>
      <c r="M228" s="3">
        <v>70.599999999999994</v>
      </c>
      <c r="N228" s="3">
        <v>3.53</v>
      </c>
      <c r="O228" s="3">
        <v>0</v>
      </c>
      <c r="P228" s="3">
        <v>0.2</v>
      </c>
      <c r="Q228" s="3">
        <v>74.33</v>
      </c>
      <c r="R228" s="3">
        <v>24.25</v>
      </c>
      <c r="S228" s="3">
        <f>VLOOKUP(C228,[1]page!$C$2:$M$3071,11,0)</f>
        <v>70.48</v>
      </c>
      <c r="T228" s="6">
        <f t="shared" si="3"/>
        <v>0.11999999999999034</v>
      </c>
    </row>
    <row r="229" spans="1:20" x14ac:dyDescent="0.2">
      <c r="A229" t="s">
        <v>692</v>
      </c>
      <c r="B229" t="s">
        <v>750</v>
      </c>
      <c r="C229" t="s">
        <v>751</v>
      </c>
      <c r="D229" t="s">
        <v>752</v>
      </c>
      <c r="E229" t="s">
        <v>753</v>
      </c>
      <c r="F229" t="s">
        <v>23</v>
      </c>
      <c r="G229" s="1">
        <v>40</v>
      </c>
      <c r="H229" s="1">
        <v>12</v>
      </c>
      <c r="I229" t="s">
        <v>24</v>
      </c>
      <c r="L229" s="1">
        <v>1</v>
      </c>
      <c r="M229" s="3">
        <v>47.29</v>
      </c>
      <c r="N229" s="3">
        <v>2.36</v>
      </c>
      <c r="O229" s="3">
        <v>0</v>
      </c>
      <c r="P229" s="3">
        <v>0.2</v>
      </c>
      <c r="Q229" s="3">
        <v>49.85</v>
      </c>
      <c r="R229" s="3">
        <v>24.25</v>
      </c>
      <c r="S229" s="3">
        <f>VLOOKUP(C229,[1]page!$C$2:$M$3071,11,0)</f>
        <v>47.01</v>
      </c>
      <c r="T229" s="6">
        <f t="shared" si="3"/>
        <v>0.28000000000000114</v>
      </c>
    </row>
    <row r="230" spans="1:20" x14ac:dyDescent="0.2">
      <c r="A230" t="s">
        <v>692</v>
      </c>
      <c r="B230" t="s">
        <v>754</v>
      </c>
      <c r="C230" t="s">
        <v>755</v>
      </c>
      <c r="D230" t="s">
        <v>756</v>
      </c>
      <c r="E230" t="s">
        <v>753</v>
      </c>
      <c r="F230" t="s">
        <v>23</v>
      </c>
      <c r="G230" s="1">
        <v>40</v>
      </c>
      <c r="H230" s="1">
        <v>6</v>
      </c>
      <c r="I230" t="s">
        <v>24</v>
      </c>
      <c r="L230" s="1">
        <v>1</v>
      </c>
      <c r="M230" s="3">
        <v>274.99</v>
      </c>
      <c r="N230" s="3">
        <v>13.75</v>
      </c>
      <c r="O230" s="3">
        <v>0</v>
      </c>
      <c r="P230" s="3">
        <v>0.2</v>
      </c>
      <c r="Q230" s="3">
        <v>288.94</v>
      </c>
      <c r="R230" s="3">
        <v>24.25</v>
      </c>
      <c r="S230" s="3">
        <f>VLOOKUP(C230,[1]page!$C$2:$M$3071,11,0)</f>
        <v>275.01</v>
      </c>
      <c r="T230" s="6">
        <f t="shared" si="3"/>
        <v>-1.999999999998181E-2</v>
      </c>
    </row>
    <row r="231" spans="1:20" x14ac:dyDescent="0.2">
      <c r="A231" t="s">
        <v>692</v>
      </c>
      <c r="B231" t="s">
        <v>757</v>
      </c>
      <c r="C231" t="s">
        <v>758</v>
      </c>
      <c r="D231" t="s">
        <v>759</v>
      </c>
      <c r="E231" t="s">
        <v>753</v>
      </c>
      <c r="F231" t="s">
        <v>23</v>
      </c>
      <c r="G231" s="1">
        <v>43</v>
      </c>
      <c r="H231" s="1">
        <v>6</v>
      </c>
      <c r="I231" t="s">
        <v>24</v>
      </c>
      <c r="L231" s="1">
        <v>1</v>
      </c>
      <c r="M231" s="3">
        <v>80.12</v>
      </c>
      <c r="N231" s="3">
        <v>4.01</v>
      </c>
      <c r="O231" s="3">
        <v>0</v>
      </c>
      <c r="P231" s="3">
        <v>0.2</v>
      </c>
      <c r="Q231" s="3">
        <v>84.33</v>
      </c>
      <c r="R231" s="3">
        <v>24.25</v>
      </c>
      <c r="S231" s="3">
        <f>VLOOKUP(C231,[1]page!$C$2:$M$3071,11,0)</f>
        <v>80.010000000000005</v>
      </c>
      <c r="T231" s="6">
        <f t="shared" si="3"/>
        <v>0.10999999999999943</v>
      </c>
    </row>
    <row r="232" spans="1:20" x14ac:dyDescent="0.2">
      <c r="A232" t="s">
        <v>692</v>
      </c>
      <c r="B232" t="s">
        <v>760</v>
      </c>
      <c r="C232" t="s">
        <v>761</v>
      </c>
      <c r="D232" t="s">
        <v>762</v>
      </c>
      <c r="E232" t="s">
        <v>763</v>
      </c>
      <c r="F232" t="s">
        <v>23</v>
      </c>
      <c r="G232" s="1">
        <v>43</v>
      </c>
      <c r="H232" s="1">
        <v>6</v>
      </c>
      <c r="I232" t="s">
        <v>57</v>
      </c>
      <c r="L232" s="1">
        <v>1</v>
      </c>
      <c r="M232" s="3">
        <v>61.63</v>
      </c>
      <c r="N232" s="3">
        <v>3.08</v>
      </c>
      <c r="O232" s="3">
        <v>0</v>
      </c>
      <c r="P232" s="3">
        <v>0.2</v>
      </c>
      <c r="Q232" s="3">
        <v>64.91</v>
      </c>
      <c r="R232" s="3">
        <v>24.25</v>
      </c>
      <c r="S232" s="3">
        <f>VLOOKUP(C232,[1]page!$C$2:$M$3071,11,0)</f>
        <v>61.51</v>
      </c>
      <c r="T232" s="6">
        <f t="shared" si="3"/>
        <v>0.12000000000000455</v>
      </c>
    </row>
    <row r="233" spans="1:20" x14ac:dyDescent="0.2">
      <c r="A233" t="s">
        <v>692</v>
      </c>
      <c r="B233" t="s">
        <v>764</v>
      </c>
      <c r="C233" t="s">
        <v>765</v>
      </c>
      <c r="D233" t="s">
        <v>766</v>
      </c>
      <c r="E233" t="s">
        <v>767</v>
      </c>
      <c r="F233" t="s">
        <v>23</v>
      </c>
      <c r="G233" s="1">
        <v>43</v>
      </c>
      <c r="H233" s="1">
        <v>6</v>
      </c>
      <c r="I233" t="s">
        <v>24</v>
      </c>
      <c r="L233" s="1">
        <v>1</v>
      </c>
      <c r="M233" s="3">
        <v>129.99</v>
      </c>
      <c r="N233" s="3">
        <v>6.5</v>
      </c>
      <c r="O233" s="3">
        <v>0</v>
      </c>
      <c r="P233" s="3">
        <v>0.2</v>
      </c>
      <c r="Q233" s="3">
        <v>136.69</v>
      </c>
      <c r="R233" s="3">
        <v>24.25</v>
      </c>
      <c r="S233" s="3">
        <f>VLOOKUP(C233,[1]page!$C$2:$M$3071,11,0)</f>
        <v>130.01</v>
      </c>
      <c r="T233" s="6">
        <f t="shared" si="3"/>
        <v>-1.999999999998181E-2</v>
      </c>
    </row>
    <row r="234" spans="1:20" x14ac:dyDescent="0.2">
      <c r="A234" t="s">
        <v>692</v>
      </c>
      <c r="B234" t="s">
        <v>768</v>
      </c>
      <c r="C234" t="s">
        <v>769</v>
      </c>
      <c r="D234" t="s">
        <v>770</v>
      </c>
      <c r="E234" t="s">
        <v>771</v>
      </c>
      <c r="F234" t="s">
        <v>23</v>
      </c>
      <c r="G234" s="1">
        <v>40</v>
      </c>
      <c r="H234" s="1">
        <v>12</v>
      </c>
      <c r="I234" t="s">
        <v>62</v>
      </c>
      <c r="L234" s="1">
        <v>1</v>
      </c>
      <c r="M234" s="3">
        <v>58.67</v>
      </c>
      <c r="N234" s="3">
        <v>2.93</v>
      </c>
      <c r="O234" s="3">
        <v>0</v>
      </c>
      <c r="P234" s="3">
        <v>0.2</v>
      </c>
      <c r="Q234" s="3">
        <v>61.8</v>
      </c>
      <c r="R234" s="3">
        <v>24.25</v>
      </c>
      <c r="S234" s="3">
        <f>VLOOKUP(C234,[1]page!$C$2:$M$3071,11,0)</f>
        <v>72.23</v>
      </c>
      <c r="T234" s="6">
        <f t="shared" si="3"/>
        <v>-13.560000000000002</v>
      </c>
    </row>
    <row r="235" spans="1:20" x14ac:dyDescent="0.2">
      <c r="A235" t="s">
        <v>692</v>
      </c>
      <c r="B235" t="s">
        <v>772</v>
      </c>
      <c r="C235" t="s">
        <v>773</v>
      </c>
      <c r="D235" t="s">
        <v>774</v>
      </c>
      <c r="E235" t="s">
        <v>771</v>
      </c>
      <c r="F235" t="s">
        <v>23</v>
      </c>
      <c r="G235" s="1">
        <v>48</v>
      </c>
      <c r="H235" s="1">
        <v>6</v>
      </c>
      <c r="I235" t="s">
        <v>62</v>
      </c>
      <c r="L235" s="1">
        <v>1</v>
      </c>
      <c r="M235" s="3">
        <v>65.5</v>
      </c>
      <c r="N235" s="3">
        <v>3.28</v>
      </c>
      <c r="O235" s="3">
        <v>0</v>
      </c>
      <c r="P235" s="3">
        <v>0.2</v>
      </c>
      <c r="Q235" s="3">
        <v>68.98</v>
      </c>
      <c r="R235" s="3">
        <v>30.35</v>
      </c>
      <c r="S235" s="3">
        <f>VLOOKUP(C235,[1]page!$C$2:$M$3071,11,0)</f>
        <v>78.650000000000006</v>
      </c>
      <c r="T235" s="6">
        <f t="shared" si="3"/>
        <v>-13.150000000000006</v>
      </c>
    </row>
    <row r="236" spans="1:20" x14ac:dyDescent="0.2">
      <c r="A236" t="s">
        <v>692</v>
      </c>
      <c r="B236" t="s">
        <v>775</v>
      </c>
      <c r="C236" t="s">
        <v>776</v>
      </c>
      <c r="D236" t="s">
        <v>777</v>
      </c>
      <c r="E236" t="s">
        <v>677</v>
      </c>
      <c r="F236" t="s">
        <v>23</v>
      </c>
      <c r="G236" s="1">
        <v>40</v>
      </c>
      <c r="H236" s="1">
        <v>6</v>
      </c>
      <c r="I236" t="s">
        <v>62</v>
      </c>
      <c r="L236" s="1">
        <v>1</v>
      </c>
      <c r="M236" s="3">
        <v>42.94</v>
      </c>
      <c r="N236" s="3">
        <v>2.15</v>
      </c>
      <c r="O236" s="3">
        <v>0</v>
      </c>
      <c r="P236" s="3">
        <v>0.2</v>
      </c>
      <c r="Q236" s="3">
        <v>45.29</v>
      </c>
      <c r="R236" s="3">
        <v>24.25</v>
      </c>
      <c r="S236" s="3">
        <f>VLOOKUP(C236,[1]page!$C$2:$M$3071,11,0)</f>
        <v>58.15</v>
      </c>
      <c r="T236" s="6">
        <f t="shared" si="3"/>
        <v>-15.21</v>
      </c>
    </row>
    <row r="237" spans="1:20" x14ac:dyDescent="0.2">
      <c r="A237" t="s">
        <v>692</v>
      </c>
      <c r="B237" t="s">
        <v>778</v>
      </c>
      <c r="C237" t="s">
        <v>779</v>
      </c>
      <c r="D237" t="s">
        <v>780</v>
      </c>
      <c r="E237" t="s">
        <v>781</v>
      </c>
      <c r="F237" t="s">
        <v>23</v>
      </c>
      <c r="G237" s="1">
        <v>43</v>
      </c>
      <c r="H237" s="1">
        <v>6</v>
      </c>
      <c r="I237" t="s">
        <v>24</v>
      </c>
      <c r="L237" s="1">
        <v>1</v>
      </c>
      <c r="M237" s="3">
        <v>129.99</v>
      </c>
      <c r="N237" s="3">
        <v>6.5</v>
      </c>
      <c r="O237" s="3">
        <v>0</v>
      </c>
      <c r="P237" s="3">
        <v>0.2</v>
      </c>
      <c r="Q237" s="3">
        <v>136.69</v>
      </c>
      <c r="R237" s="3">
        <v>24.25</v>
      </c>
      <c r="S237" s="3">
        <f>VLOOKUP(C237,[1]page!$C$2:$M$3071,11,0)</f>
        <v>130.01</v>
      </c>
      <c r="T237" s="6">
        <f t="shared" si="3"/>
        <v>-1.999999999998181E-2</v>
      </c>
    </row>
    <row r="238" spans="1:20" x14ac:dyDescent="0.2">
      <c r="A238" t="s">
        <v>692</v>
      </c>
      <c r="B238" t="s">
        <v>782</v>
      </c>
      <c r="C238" t="s">
        <v>783</v>
      </c>
      <c r="D238" t="s">
        <v>784</v>
      </c>
      <c r="E238" t="s">
        <v>700</v>
      </c>
      <c r="F238" t="s">
        <v>23</v>
      </c>
      <c r="G238" s="1">
        <v>40</v>
      </c>
      <c r="H238" s="1">
        <v>6</v>
      </c>
      <c r="I238" t="s">
        <v>449</v>
      </c>
      <c r="L238" s="1">
        <v>1</v>
      </c>
      <c r="M238" s="3">
        <v>58.23</v>
      </c>
      <c r="N238" s="3">
        <v>2.91</v>
      </c>
      <c r="O238" s="3">
        <v>0</v>
      </c>
      <c r="P238" s="3">
        <v>0.2</v>
      </c>
      <c r="Q238" s="3">
        <v>61.34</v>
      </c>
      <c r="R238" s="3">
        <v>24.25</v>
      </c>
      <c r="S238" s="3">
        <f>VLOOKUP(C238,[1]page!$C$2:$M$3071,11,0)</f>
        <v>58.1</v>
      </c>
      <c r="T238" s="6">
        <f t="shared" si="3"/>
        <v>0.12999999999999545</v>
      </c>
    </row>
    <row r="239" spans="1:20" x14ac:dyDescent="0.2">
      <c r="A239" t="s">
        <v>692</v>
      </c>
      <c r="B239" t="s">
        <v>785</v>
      </c>
      <c r="C239" t="s">
        <v>786</v>
      </c>
      <c r="D239" t="s">
        <v>787</v>
      </c>
      <c r="E239" t="s">
        <v>788</v>
      </c>
      <c r="F239" t="s">
        <v>23</v>
      </c>
      <c r="G239" s="1">
        <v>40</v>
      </c>
      <c r="H239" s="1">
        <v>6</v>
      </c>
      <c r="I239" t="s">
        <v>24</v>
      </c>
      <c r="L239" s="1">
        <v>1</v>
      </c>
      <c r="M239" s="3">
        <v>46.99</v>
      </c>
      <c r="N239" s="3">
        <v>2.35</v>
      </c>
      <c r="O239" s="3">
        <v>0</v>
      </c>
      <c r="P239" s="3">
        <v>0.2</v>
      </c>
      <c r="Q239" s="3">
        <v>49.54</v>
      </c>
      <c r="R239" s="3">
        <v>24.25</v>
      </c>
      <c r="S239" s="3">
        <f>VLOOKUP(C239,[1]page!$C$2:$M$3071,11,0)</f>
        <v>47</v>
      </c>
      <c r="T239" s="6">
        <f t="shared" si="3"/>
        <v>-9.9999999999980105E-3</v>
      </c>
    </row>
    <row r="240" spans="1:20" x14ac:dyDescent="0.2">
      <c r="A240" t="s">
        <v>789</v>
      </c>
      <c r="B240" t="s">
        <v>790</v>
      </c>
      <c r="C240" t="s">
        <v>791</v>
      </c>
      <c r="D240" t="s">
        <v>792</v>
      </c>
      <c r="E240" t="s">
        <v>173</v>
      </c>
      <c r="F240" t="s">
        <v>396</v>
      </c>
      <c r="G240" s="1">
        <v>40</v>
      </c>
      <c r="H240" s="1">
        <v>6</v>
      </c>
      <c r="I240" t="s">
        <v>62</v>
      </c>
      <c r="L240" s="1">
        <v>1</v>
      </c>
      <c r="M240" s="3">
        <v>77.39</v>
      </c>
      <c r="N240" s="3">
        <v>3.87</v>
      </c>
      <c r="O240" s="3">
        <v>0</v>
      </c>
      <c r="P240" s="3">
        <v>0.2</v>
      </c>
      <c r="Q240" s="3">
        <v>81.459999999999994</v>
      </c>
      <c r="R240" s="3">
        <v>22.65</v>
      </c>
      <c r="S240" s="3">
        <f>VLOOKUP(C240,[1]page!$C$2:$M$3071,11,0)</f>
        <v>77.290000000000006</v>
      </c>
      <c r="T240" s="6">
        <f t="shared" si="3"/>
        <v>9.9999999999994316E-2</v>
      </c>
    </row>
    <row r="241" spans="1:20" x14ac:dyDescent="0.2">
      <c r="A241" t="s">
        <v>789</v>
      </c>
      <c r="B241" t="s">
        <v>793</v>
      </c>
      <c r="C241" t="s">
        <v>794</v>
      </c>
      <c r="D241" t="s">
        <v>795</v>
      </c>
      <c r="E241" t="s">
        <v>796</v>
      </c>
      <c r="F241" t="s">
        <v>23</v>
      </c>
      <c r="G241" s="1">
        <v>40</v>
      </c>
      <c r="H241" s="1">
        <v>12</v>
      </c>
      <c r="I241" t="s">
        <v>188</v>
      </c>
      <c r="L241" s="1">
        <v>1</v>
      </c>
      <c r="M241" s="3">
        <v>35.74</v>
      </c>
      <c r="N241" s="3">
        <v>1.79</v>
      </c>
      <c r="O241" s="3">
        <v>0</v>
      </c>
      <c r="P241" s="3">
        <v>0.2</v>
      </c>
      <c r="Q241" s="3">
        <v>37.729999999999997</v>
      </c>
      <c r="R241" s="3">
        <v>24.25</v>
      </c>
      <c r="S241" s="3">
        <f>VLOOKUP(C241,[1]page!$C$2:$M$3071,11,0)</f>
        <v>35.54</v>
      </c>
      <c r="T241" s="6">
        <f t="shared" si="3"/>
        <v>0.20000000000000284</v>
      </c>
    </row>
    <row r="242" spans="1:20" x14ac:dyDescent="0.2">
      <c r="A242" t="s">
        <v>789</v>
      </c>
      <c r="B242" t="s">
        <v>797</v>
      </c>
      <c r="C242" t="s">
        <v>798</v>
      </c>
      <c r="D242" t="s">
        <v>799</v>
      </c>
      <c r="E242" t="s">
        <v>753</v>
      </c>
      <c r="F242" t="s">
        <v>23</v>
      </c>
      <c r="G242" s="1">
        <v>40</v>
      </c>
      <c r="H242" s="1">
        <v>12</v>
      </c>
      <c r="I242" t="s">
        <v>24</v>
      </c>
      <c r="L242" s="1">
        <v>1</v>
      </c>
      <c r="M242" s="3">
        <v>28.29</v>
      </c>
      <c r="N242" s="3">
        <v>1.41</v>
      </c>
      <c r="O242" s="3">
        <v>0</v>
      </c>
      <c r="P242" s="3">
        <v>0.2</v>
      </c>
      <c r="Q242" s="3">
        <v>29.9</v>
      </c>
      <c r="R242" s="3">
        <v>24.25</v>
      </c>
      <c r="S242" s="3">
        <f>VLOOKUP(C242,[1]page!$C$2:$M$3071,11,0)</f>
        <v>28.02</v>
      </c>
      <c r="T242" s="6">
        <f t="shared" si="3"/>
        <v>0.26999999999999957</v>
      </c>
    </row>
    <row r="243" spans="1:20" x14ac:dyDescent="0.2">
      <c r="A243" t="s">
        <v>789</v>
      </c>
      <c r="B243" t="s">
        <v>800</v>
      </c>
      <c r="C243" t="s">
        <v>801</v>
      </c>
      <c r="D243" t="s">
        <v>799</v>
      </c>
      <c r="E243" t="s">
        <v>753</v>
      </c>
      <c r="F243" t="s">
        <v>65</v>
      </c>
      <c r="G243" s="1">
        <v>40</v>
      </c>
      <c r="H243" s="1">
        <v>6</v>
      </c>
      <c r="I243" t="s">
        <v>24</v>
      </c>
      <c r="L243" s="1">
        <v>1</v>
      </c>
      <c r="M243" s="3">
        <v>37.79</v>
      </c>
      <c r="N243" s="3">
        <v>1.89</v>
      </c>
      <c r="O243" s="3">
        <v>0</v>
      </c>
      <c r="P243" s="3">
        <v>0.4</v>
      </c>
      <c r="Q243" s="3">
        <v>40.08</v>
      </c>
      <c r="R243" s="3">
        <v>35.75</v>
      </c>
      <c r="S243" s="3">
        <f>VLOOKUP(C243,[1]page!$C$2:$M$3071,11,0)</f>
        <v>37.53</v>
      </c>
      <c r="T243" s="6">
        <f t="shared" si="3"/>
        <v>0.25999999999999801</v>
      </c>
    </row>
    <row r="244" spans="1:20" x14ac:dyDescent="0.2">
      <c r="A244" t="s">
        <v>789</v>
      </c>
      <c r="B244" t="s">
        <v>802</v>
      </c>
      <c r="C244" t="s">
        <v>803</v>
      </c>
      <c r="D244" t="s">
        <v>799</v>
      </c>
      <c r="E244" t="s">
        <v>669</v>
      </c>
      <c r="F244" t="s">
        <v>84</v>
      </c>
      <c r="G244" s="1">
        <v>40</v>
      </c>
      <c r="H244" s="1">
        <v>6</v>
      </c>
      <c r="I244" t="s">
        <v>24</v>
      </c>
      <c r="L244" s="1">
        <v>1</v>
      </c>
      <c r="M244" s="3">
        <v>55.99</v>
      </c>
      <c r="N244" s="3">
        <v>2.8</v>
      </c>
      <c r="O244" s="3">
        <v>0</v>
      </c>
      <c r="P244" s="3">
        <v>0.4</v>
      </c>
      <c r="Q244" s="3">
        <v>59.19</v>
      </c>
      <c r="R244" s="3">
        <v>53.75</v>
      </c>
      <c r="S244" s="3">
        <f>VLOOKUP(C244,[1]page!$C$2:$M$3071,11,0)</f>
        <v>56.04</v>
      </c>
      <c r="T244" s="6">
        <f t="shared" si="3"/>
        <v>-4.9999999999997158E-2</v>
      </c>
    </row>
    <row r="245" spans="1:20" x14ac:dyDescent="0.2">
      <c r="A245" t="s">
        <v>804</v>
      </c>
      <c r="B245" t="s">
        <v>805</v>
      </c>
      <c r="C245" t="s">
        <v>806</v>
      </c>
      <c r="D245" t="s">
        <v>807</v>
      </c>
      <c r="E245" t="s">
        <v>808</v>
      </c>
      <c r="F245" t="s">
        <v>77</v>
      </c>
      <c r="G245" s="1">
        <v>40</v>
      </c>
      <c r="H245" s="1">
        <v>24</v>
      </c>
      <c r="I245" t="s">
        <v>39</v>
      </c>
      <c r="L245" s="1">
        <v>1</v>
      </c>
      <c r="M245" s="3">
        <v>15.7</v>
      </c>
      <c r="N245" s="3">
        <v>0.79</v>
      </c>
      <c r="O245" s="3">
        <v>0</v>
      </c>
      <c r="P245" s="3">
        <v>0.2</v>
      </c>
      <c r="Q245" s="3">
        <v>16.690000000000001</v>
      </c>
      <c r="R245" s="3">
        <v>13.7</v>
      </c>
      <c r="S245" s="3">
        <f>VLOOKUP(C245,[1]page!$C$2:$M$3071,11,0)</f>
        <v>15.61</v>
      </c>
      <c r="T245" s="6">
        <f t="shared" si="3"/>
        <v>8.9999999999999858E-2</v>
      </c>
    </row>
    <row r="246" spans="1:20" x14ac:dyDescent="0.2">
      <c r="A246" t="s">
        <v>804</v>
      </c>
      <c r="B246" t="s">
        <v>809</v>
      </c>
      <c r="C246" t="s">
        <v>810</v>
      </c>
      <c r="D246" t="s">
        <v>807</v>
      </c>
      <c r="E246" t="s">
        <v>808</v>
      </c>
      <c r="F246" t="s">
        <v>23</v>
      </c>
      <c r="G246" s="1">
        <v>40</v>
      </c>
      <c r="H246" s="1">
        <v>12</v>
      </c>
      <c r="I246" t="s">
        <v>39</v>
      </c>
      <c r="L246" s="1">
        <v>1</v>
      </c>
      <c r="M246" s="3">
        <v>28.52</v>
      </c>
      <c r="N246" s="3">
        <v>1.43</v>
      </c>
      <c r="O246" s="3">
        <v>0</v>
      </c>
      <c r="P246" s="3">
        <v>0.2</v>
      </c>
      <c r="Q246" s="3">
        <v>30.15</v>
      </c>
      <c r="R246" s="3">
        <v>24.25</v>
      </c>
      <c r="S246" s="3">
        <f>VLOOKUP(C246,[1]page!$C$2:$M$3071,11,0)</f>
        <v>28.32</v>
      </c>
      <c r="T246" s="6">
        <f t="shared" si="3"/>
        <v>0.19999999999999929</v>
      </c>
    </row>
    <row r="247" spans="1:20" x14ac:dyDescent="0.2">
      <c r="A247" t="s">
        <v>804</v>
      </c>
      <c r="B247" t="s">
        <v>811</v>
      </c>
      <c r="C247" t="s">
        <v>812</v>
      </c>
      <c r="D247" t="s">
        <v>807</v>
      </c>
      <c r="E247" t="s">
        <v>808</v>
      </c>
      <c r="F247" t="s">
        <v>65</v>
      </c>
      <c r="G247" s="1">
        <v>40</v>
      </c>
      <c r="H247" s="1">
        <v>6</v>
      </c>
      <c r="I247" t="s">
        <v>39</v>
      </c>
      <c r="L247" s="1">
        <v>1</v>
      </c>
      <c r="M247" s="3">
        <v>38.33</v>
      </c>
      <c r="N247" s="3">
        <v>1.92</v>
      </c>
      <c r="O247" s="3">
        <v>0</v>
      </c>
      <c r="P247" s="3">
        <v>0.4</v>
      </c>
      <c r="Q247" s="3">
        <v>40.65</v>
      </c>
      <c r="R247" s="3">
        <v>35.75</v>
      </c>
      <c r="S247" s="3">
        <f>VLOOKUP(C247,[1]page!$C$2:$M$3071,11,0)</f>
        <v>38.04</v>
      </c>
      <c r="T247" s="6">
        <f t="shared" si="3"/>
        <v>0.28999999999999915</v>
      </c>
    </row>
    <row r="248" spans="1:20" x14ac:dyDescent="0.2">
      <c r="A248" t="s">
        <v>804</v>
      </c>
      <c r="B248" t="s">
        <v>813</v>
      </c>
      <c r="C248" t="s">
        <v>814</v>
      </c>
      <c r="D248" t="s">
        <v>815</v>
      </c>
      <c r="E248" t="s">
        <v>700</v>
      </c>
      <c r="F248" t="s">
        <v>65</v>
      </c>
      <c r="G248" s="1">
        <v>40</v>
      </c>
      <c r="H248" s="1">
        <v>6</v>
      </c>
      <c r="I248" t="s">
        <v>449</v>
      </c>
      <c r="L248" s="1">
        <v>1</v>
      </c>
      <c r="M248" s="3">
        <v>37.22</v>
      </c>
      <c r="N248" s="3">
        <v>1.86</v>
      </c>
      <c r="O248" s="3">
        <v>0</v>
      </c>
      <c r="P248" s="3">
        <v>0.4</v>
      </c>
      <c r="Q248" s="3">
        <v>39.479999999999997</v>
      </c>
      <c r="R248" s="3">
        <v>35.75</v>
      </c>
      <c r="S248" s="3">
        <f>VLOOKUP(C248,[1]page!$C$2:$M$3071,11,0)</f>
        <v>36.93</v>
      </c>
      <c r="T248" s="6">
        <f t="shared" si="3"/>
        <v>0.28999999999999915</v>
      </c>
    </row>
    <row r="249" spans="1:20" x14ac:dyDescent="0.2">
      <c r="A249" t="s">
        <v>804</v>
      </c>
      <c r="B249" t="s">
        <v>816</v>
      </c>
      <c r="C249" t="s">
        <v>817</v>
      </c>
      <c r="D249" t="s">
        <v>818</v>
      </c>
      <c r="E249" t="s">
        <v>696</v>
      </c>
      <c r="F249" t="s">
        <v>23</v>
      </c>
      <c r="G249" s="1">
        <v>40</v>
      </c>
      <c r="H249" s="1">
        <v>12</v>
      </c>
      <c r="I249" t="s">
        <v>444</v>
      </c>
      <c r="L249" s="1">
        <v>1</v>
      </c>
      <c r="M249" s="3">
        <v>26</v>
      </c>
      <c r="N249" s="3">
        <v>1.3</v>
      </c>
      <c r="O249" s="3">
        <v>0</v>
      </c>
      <c r="P249" s="3">
        <v>0.2</v>
      </c>
      <c r="Q249" s="3">
        <v>27.5</v>
      </c>
      <c r="R249" s="3">
        <v>24.25</v>
      </c>
      <c r="S249" s="3">
        <f>VLOOKUP(C249,[1]page!$C$2:$M$3071,11,0)</f>
        <v>26</v>
      </c>
      <c r="T249" s="6">
        <f t="shared" si="3"/>
        <v>0</v>
      </c>
    </row>
    <row r="250" spans="1:20" x14ac:dyDescent="0.2">
      <c r="A250" t="s">
        <v>804</v>
      </c>
      <c r="B250" t="s">
        <v>819</v>
      </c>
      <c r="C250" t="s">
        <v>820</v>
      </c>
      <c r="D250" t="s">
        <v>818</v>
      </c>
      <c r="E250" t="s">
        <v>696</v>
      </c>
      <c r="F250" t="s">
        <v>65</v>
      </c>
      <c r="G250" s="1">
        <v>40</v>
      </c>
      <c r="H250" s="1">
        <v>6</v>
      </c>
      <c r="I250" t="s">
        <v>444</v>
      </c>
      <c r="L250" s="1">
        <v>1</v>
      </c>
      <c r="M250" s="3">
        <v>37</v>
      </c>
      <c r="N250" s="3">
        <v>1.85</v>
      </c>
      <c r="O250" s="3">
        <v>0</v>
      </c>
      <c r="P250" s="3">
        <v>0.4</v>
      </c>
      <c r="Q250" s="3">
        <v>39.25</v>
      </c>
      <c r="R250" s="3">
        <v>35.75</v>
      </c>
      <c r="S250" s="3">
        <f>VLOOKUP(C250,[1]page!$C$2:$M$3071,11,0)</f>
        <v>37</v>
      </c>
      <c r="T250" s="6">
        <f t="shared" si="3"/>
        <v>0</v>
      </c>
    </row>
    <row r="251" spans="1:20" x14ac:dyDescent="0.2">
      <c r="A251" t="s">
        <v>804</v>
      </c>
      <c r="B251" t="s">
        <v>821</v>
      </c>
      <c r="C251" t="s">
        <v>822</v>
      </c>
      <c r="D251" t="s">
        <v>823</v>
      </c>
      <c r="E251" t="s">
        <v>707</v>
      </c>
      <c r="F251" t="s">
        <v>23</v>
      </c>
      <c r="G251" s="1">
        <v>40</v>
      </c>
      <c r="H251" s="1">
        <v>12</v>
      </c>
      <c r="I251" t="s">
        <v>34</v>
      </c>
      <c r="L251" s="1">
        <v>1</v>
      </c>
      <c r="M251" s="3">
        <v>26.16</v>
      </c>
      <c r="N251" s="3">
        <v>1.31</v>
      </c>
      <c r="O251" s="3">
        <v>0</v>
      </c>
      <c r="P251" s="3">
        <v>0.2</v>
      </c>
      <c r="Q251" s="3">
        <v>27.67</v>
      </c>
      <c r="R251" s="3">
        <v>24.25</v>
      </c>
      <c r="S251" s="3">
        <f>VLOOKUP(C251,[1]page!$C$2:$M$3071,11,0)</f>
        <v>25.97</v>
      </c>
      <c r="T251" s="6">
        <f t="shared" si="3"/>
        <v>0.19000000000000128</v>
      </c>
    </row>
    <row r="252" spans="1:20" x14ac:dyDescent="0.2">
      <c r="A252" t="s">
        <v>804</v>
      </c>
      <c r="B252" t="s">
        <v>824</v>
      </c>
      <c r="C252" t="s">
        <v>825</v>
      </c>
      <c r="D252" t="s">
        <v>823</v>
      </c>
      <c r="E252" t="s">
        <v>707</v>
      </c>
      <c r="F252" t="s">
        <v>65</v>
      </c>
      <c r="G252" s="1">
        <v>40</v>
      </c>
      <c r="H252" s="1">
        <v>6</v>
      </c>
      <c r="I252" t="s">
        <v>34</v>
      </c>
      <c r="L252" s="1">
        <v>1</v>
      </c>
      <c r="M252" s="3">
        <v>37.46</v>
      </c>
      <c r="N252" s="3">
        <v>1.87</v>
      </c>
      <c r="O252" s="3">
        <v>0</v>
      </c>
      <c r="P252" s="3">
        <v>0.4</v>
      </c>
      <c r="Q252" s="3">
        <v>39.729999999999997</v>
      </c>
      <c r="R252" s="3">
        <v>35.75</v>
      </c>
      <c r="S252" s="3">
        <f>VLOOKUP(C252,[1]page!$C$2:$M$3071,11,0)</f>
        <v>37.17</v>
      </c>
      <c r="T252" s="6">
        <f t="shared" si="3"/>
        <v>0.28999999999999915</v>
      </c>
    </row>
    <row r="253" spans="1:20" x14ac:dyDescent="0.2">
      <c r="A253" t="s">
        <v>804</v>
      </c>
      <c r="B253" t="s">
        <v>826</v>
      </c>
      <c r="C253" t="s">
        <v>827</v>
      </c>
      <c r="D253" t="s">
        <v>828</v>
      </c>
      <c r="E253" t="s">
        <v>96</v>
      </c>
      <c r="F253" t="s">
        <v>23</v>
      </c>
      <c r="G253" s="1">
        <v>40</v>
      </c>
      <c r="H253" s="1">
        <v>12</v>
      </c>
      <c r="I253" t="s">
        <v>24</v>
      </c>
      <c r="L253" s="1">
        <v>1</v>
      </c>
      <c r="M253" s="3">
        <v>25.29</v>
      </c>
      <c r="N253" s="3">
        <v>1.26</v>
      </c>
      <c r="O253" s="3">
        <v>0</v>
      </c>
      <c r="P253" s="3">
        <v>0.2</v>
      </c>
      <c r="Q253" s="3">
        <v>26.75</v>
      </c>
      <c r="R253" s="3">
        <v>24.25</v>
      </c>
      <c r="S253" s="3">
        <f>VLOOKUP(C253,[1]page!$C$2:$M$3071,11,0)</f>
        <v>25.01</v>
      </c>
      <c r="T253" s="6">
        <f t="shared" si="3"/>
        <v>0.27999999999999758</v>
      </c>
    </row>
    <row r="254" spans="1:20" x14ac:dyDescent="0.2">
      <c r="A254" t="s">
        <v>804</v>
      </c>
      <c r="B254" t="s">
        <v>829</v>
      </c>
      <c r="C254" t="s">
        <v>830</v>
      </c>
      <c r="D254" t="s">
        <v>828</v>
      </c>
      <c r="E254" t="s">
        <v>96</v>
      </c>
      <c r="F254" t="s">
        <v>65</v>
      </c>
      <c r="G254" s="1">
        <v>40</v>
      </c>
      <c r="H254" s="1">
        <v>6</v>
      </c>
      <c r="I254" t="s">
        <v>24</v>
      </c>
      <c r="L254" s="1">
        <v>1</v>
      </c>
      <c r="M254" s="3">
        <v>35.29</v>
      </c>
      <c r="N254" s="3">
        <v>1.76</v>
      </c>
      <c r="O254" s="3">
        <v>0</v>
      </c>
      <c r="P254" s="3">
        <v>0.4</v>
      </c>
      <c r="Q254" s="3">
        <v>37.450000000000003</v>
      </c>
      <c r="R254" s="3">
        <v>35.75</v>
      </c>
      <c r="S254" s="3">
        <f>VLOOKUP(C254,[1]page!$C$2:$M$3071,11,0)</f>
        <v>35</v>
      </c>
      <c r="T254" s="6">
        <f t="shared" si="3"/>
        <v>0.28999999999999915</v>
      </c>
    </row>
    <row r="255" spans="1:20" x14ac:dyDescent="0.2">
      <c r="A255" t="s">
        <v>673</v>
      </c>
      <c r="B255" t="s">
        <v>831</v>
      </c>
      <c r="C255" t="s">
        <v>832</v>
      </c>
      <c r="D255" t="s">
        <v>833</v>
      </c>
      <c r="E255" t="s">
        <v>677</v>
      </c>
      <c r="F255" t="s">
        <v>23</v>
      </c>
      <c r="G255" s="1">
        <v>43</v>
      </c>
      <c r="H255" s="1">
        <v>6</v>
      </c>
      <c r="I255" t="s">
        <v>62</v>
      </c>
      <c r="L255" s="1">
        <v>1</v>
      </c>
      <c r="M255" s="3">
        <v>45.95</v>
      </c>
      <c r="N255" s="3">
        <v>2.2999999999999998</v>
      </c>
      <c r="O255" s="3">
        <v>0</v>
      </c>
      <c r="P255" s="3">
        <v>0.2</v>
      </c>
      <c r="Q255" s="3">
        <v>48.45</v>
      </c>
      <c r="R255" s="3">
        <v>24.25</v>
      </c>
      <c r="S255" s="3">
        <f>VLOOKUP(C255,[1]page!$C$2:$M$3071,11,0)</f>
        <v>69.430000000000007</v>
      </c>
      <c r="T255" s="6">
        <f t="shared" si="3"/>
        <v>-23.480000000000004</v>
      </c>
    </row>
    <row r="256" spans="1:20" x14ac:dyDescent="0.2">
      <c r="A256" t="s">
        <v>673</v>
      </c>
      <c r="B256" t="s">
        <v>834</v>
      </c>
      <c r="C256" t="s">
        <v>835</v>
      </c>
      <c r="D256" t="s">
        <v>836</v>
      </c>
      <c r="E256" t="s">
        <v>837</v>
      </c>
      <c r="F256" t="s">
        <v>23</v>
      </c>
      <c r="G256" s="1">
        <v>40</v>
      </c>
      <c r="H256" s="1">
        <v>6</v>
      </c>
      <c r="I256" t="s">
        <v>70</v>
      </c>
      <c r="L256" s="1">
        <v>1</v>
      </c>
      <c r="M256" s="3">
        <v>65.09</v>
      </c>
      <c r="N256" s="3">
        <v>3.25</v>
      </c>
      <c r="O256" s="3">
        <v>0</v>
      </c>
      <c r="P256" s="3">
        <v>0.2</v>
      </c>
      <c r="Q256" s="3">
        <v>68.540000000000006</v>
      </c>
      <c r="R256" s="3">
        <v>24.25</v>
      </c>
      <c r="S256" s="3">
        <f>VLOOKUP(C256,[1]page!$C$2:$M$3071,11,0)</f>
        <v>64.989999999999995</v>
      </c>
      <c r="T256" s="6">
        <f t="shared" si="3"/>
        <v>0.10000000000000853</v>
      </c>
    </row>
    <row r="257" spans="1:20" x14ac:dyDescent="0.2">
      <c r="A257" t="s">
        <v>673</v>
      </c>
      <c r="B257" t="s">
        <v>838</v>
      </c>
      <c r="C257" t="s">
        <v>839</v>
      </c>
      <c r="D257" t="s">
        <v>840</v>
      </c>
      <c r="E257" t="s">
        <v>841</v>
      </c>
      <c r="F257" t="s">
        <v>23</v>
      </c>
      <c r="G257" s="1">
        <v>43</v>
      </c>
      <c r="H257" s="1">
        <v>12</v>
      </c>
      <c r="I257" t="s">
        <v>62</v>
      </c>
      <c r="L257" s="1">
        <v>1</v>
      </c>
      <c r="M257" s="3">
        <v>101</v>
      </c>
      <c r="N257" s="3">
        <v>5.05</v>
      </c>
      <c r="O257" s="3">
        <v>0</v>
      </c>
      <c r="P257" s="3">
        <v>0.2</v>
      </c>
      <c r="Q257" s="3">
        <v>106.25</v>
      </c>
      <c r="R257" s="3">
        <v>24.25</v>
      </c>
      <c r="S257" s="3">
        <f>VLOOKUP(C257,[1]page!$C$2:$M$3071,11,0)</f>
        <v>100.88</v>
      </c>
      <c r="T257" s="6">
        <f t="shared" ref="T257:T319" si="4">SUM(M257-S257)</f>
        <v>0.12000000000000455</v>
      </c>
    </row>
    <row r="258" spans="1:20" x14ac:dyDescent="0.2">
      <c r="A258" t="s">
        <v>673</v>
      </c>
      <c r="B258" t="s">
        <v>842</v>
      </c>
      <c r="C258" t="s">
        <v>843</v>
      </c>
      <c r="D258" t="s">
        <v>844</v>
      </c>
      <c r="E258" t="s">
        <v>677</v>
      </c>
      <c r="F258" t="s">
        <v>23</v>
      </c>
      <c r="G258" s="1">
        <v>40</v>
      </c>
      <c r="H258" s="1">
        <v>12</v>
      </c>
      <c r="I258" t="s">
        <v>62</v>
      </c>
      <c r="L258" s="1">
        <v>1</v>
      </c>
      <c r="M258" s="3">
        <v>37.4</v>
      </c>
      <c r="N258" s="3">
        <v>1.87</v>
      </c>
      <c r="O258" s="3">
        <v>0</v>
      </c>
      <c r="P258" s="3">
        <v>0.2</v>
      </c>
      <c r="Q258" s="3">
        <v>39.47</v>
      </c>
      <c r="R258" s="3">
        <v>24.25</v>
      </c>
      <c r="S258" s="3">
        <f>VLOOKUP(C258,[1]page!$C$2:$M$3071,11,0)</f>
        <v>37.21</v>
      </c>
      <c r="T258" s="6">
        <f t="shared" si="4"/>
        <v>0.18999999999999773</v>
      </c>
    </row>
    <row r="259" spans="1:20" x14ac:dyDescent="0.2">
      <c r="A259" t="s">
        <v>673</v>
      </c>
      <c r="B259" t="s">
        <v>845</v>
      </c>
      <c r="C259" t="s">
        <v>846</v>
      </c>
      <c r="D259" t="s">
        <v>847</v>
      </c>
      <c r="E259" t="s">
        <v>410</v>
      </c>
      <c r="F259" t="s">
        <v>23</v>
      </c>
      <c r="G259" s="1">
        <v>40</v>
      </c>
      <c r="H259" s="1">
        <v>6</v>
      </c>
      <c r="I259" t="s">
        <v>39</v>
      </c>
      <c r="L259" s="1">
        <v>1</v>
      </c>
      <c r="M259" s="3">
        <v>54.5</v>
      </c>
      <c r="N259" s="3">
        <v>2.73</v>
      </c>
      <c r="O259" s="3">
        <v>0</v>
      </c>
      <c r="P259" s="3">
        <v>0.2</v>
      </c>
      <c r="Q259" s="3">
        <v>57.43</v>
      </c>
      <c r="R259" s="3">
        <v>24.25</v>
      </c>
      <c r="S259" s="3">
        <f>VLOOKUP(C259,[1]page!$C$2:$M$3071,11,0)</f>
        <v>54.5</v>
      </c>
      <c r="T259" s="6">
        <f t="shared" si="4"/>
        <v>0</v>
      </c>
    </row>
    <row r="260" spans="1:20" x14ac:dyDescent="0.2">
      <c r="A260" t="s">
        <v>678</v>
      </c>
      <c r="B260" t="s">
        <v>848</v>
      </c>
      <c r="C260" t="s">
        <v>849</v>
      </c>
      <c r="D260" t="s">
        <v>850</v>
      </c>
      <c r="E260" t="s">
        <v>851</v>
      </c>
      <c r="F260" t="s">
        <v>23</v>
      </c>
      <c r="G260" s="2">
        <v>46.3</v>
      </c>
      <c r="H260" s="1">
        <v>6</v>
      </c>
      <c r="I260" t="s">
        <v>34</v>
      </c>
      <c r="L260" s="1">
        <v>1</v>
      </c>
      <c r="M260" s="3">
        <v>49.09</v>
      </c>
      <c r="N260" s="3">
        <v>2.4500000000000002</v>
      </c>
      <c r="O260" s="3">
        <v>0</v>
      </c>
      <c r="P260" s="3">
        <v>0.2</v>
      </c>
      <c r="Q260" s="3">
        <v>51.74</v>
      </c>
      <c r="R260" s="3">
        <v>30.35</v>
      </c>
      <c r="S260" s="3">
        <f>VLOOKUP(C260,[1]page!$C$2:$M$3071,11,0)</f>
        <v>48.93</v>
      </c>
      <c r="T260" s="6">
        <f t="shared" si="4"/>
        <v>0.16000000000000369</v>
      </c>
    </row>
    <row r="261" spans="1:20" x14ac:dyDescent="0.2">
      <c r="A261" t="s">
        <v>678</v>
      </c>
      <c r="B261" t="s">
        <v>852</v>
      </c>
      <c r="C261" t="s">
        <v>853</v>
      </c>
      <c r="D261" t="s">
        <v>854</v>
      </c>
      <c r="E261" t="s">
        <v>707</v>
      </c>
      <c r="F261" t="s">
        <v>23</v>
      </c>
      <c r="G261" s="1">
        <v>40</v>
      </c>
      <c r="H261" s="1">
        <v>6</v>
      </c>
      <c r="I261" t="s">
        <v>34</v>
      </c>
      <c r="L261" s="1">
        <v>1</v>
      </c>
      <c r="M261" s="3">
        <v>150.69999999999999</v>
      </c>
      <c r="N261" s="3">
        <v>7.54</v>
      </c>
      <c r="O261" s="3">
        <v>0</v>
      </c>
      <c r="P261" s="3">
        <v>0.2</v>
      </c>
      <c r="Q261" s="3">
        <v>158.44</v>
      </c>
      <c r="R261" s="3">
        <v>24.25</v>
      </c>
      <c r="S261" s="3">
        <f>VLOOKUP(C261,[1]page!$C$2:$M$3071,11,0)</f>
        <v>150.59</v>
      </c>
      <c r="T261" s="6">
        <f t="shared" si="4"/>
        <v>0.10999999999998522</v>
      </c>
    </row>
    <row r="262" spans="1:20" x14ac:dyDescent="0.2">
      <c r="A262" t="s">
        <v>678</v>
      </c>
      <c r="B262" t="s">
        <v>855</v>
      </c>
      <c r="C262" t="s">
        <v>856</v>
      </c>
      <c r="D262" t="s">
        <v>857</v>
      </c>
      <c r="E262" t="s">
        <v>837</v>
      </c>
      <c r="F262" t="s">
        <v>23</v>
      </c>
      <c r="G262" s="1">
        <v>46</v>
      </c>
      <c r="H262" s="1">
        <v>6</v>
      </c>
      <c r="I262" t="s">
        <v>70</v>
      </c>
      <c r="L262" s="1">
        <v>1</v>
      </c>
      <c r="M262" s="3">
        <v>98.12</v>
      </c>
      <c r="N262" s="3">
        <v>4.91</v>
      </c>
      <c r="O262" s="3">
        <v>0</v>
      </c>
      <c r="P262" s="3">
        <v>0.2</v>
      </c>
      <c r="Q262" s="3">
        <v>103.23</v>
      </c>
      <c r="R262" s="3">
        <v>30.35</v>
      </c>
      <c r="S262" s="3">
        <f>VLOOKUP(C262,[1]page!$C$2:$M$3071,11,0)</f>
        <v>97.99</v>
      </c>
      <c r="T262" s="6">
        <f t="shared" si="4"/>
        <v>0.13000000000000966</v>
      </c>
    </row>
    <row r="263" spans="1:20" x14ac:dyDescent="0.2">
      <c r="A263" t="s">
        <v>678</v>
      </c>
      <c r="B263" t="s">
        <v>858</v>
      </c>
      <c r="C263" t="s">
        <v>859</v>
      </c>
      <c r="D263" t="s">
        <v>860</v>
      </c>
      <c r="E263" t="s">
        <v>96</v>
      </c>
      <c r="F263" t="s">
        <v>23</v>
      </c>
      <c r="G263" s="2">
        <v>57.5</v>
      </c>
      <c r="H263" s="1">
        <v>6</v>
      </c>
      <c r="I263" t="s">
        <v>24</v>
      </c>
      <c r="L263" s="1">
        <v>1</v>
      </c>
      <c r="M263" s="3">
        <v>337.12</v>
      </c>
      <c r="N263" s="3">
        <v>16.86</v>
      </c>
      <c r="O263" s="3">
        <v>0</v>
      </c>
      <c r="P263" s="3">
        <v>0.2</v>
      </c>
      <c r="Q263" s="3">
        <v>354.18</v>
      </c>
      <c r="R263" s="3">
        <v>36.4</v>
      </c>
      <c r="S263" s="3">
        <f>VLOOKUP(C263,[1]page!$C$2:$M$3071,11,0)</f>
        <v>336.97</v>
      </c>
      <c r="T263" s="6">
        <f t="shared" si="4"/>
        <v>0.14999999999997726</v>
      </c>
    </row>
    <row r="264" spans="1:20" x14ac:dyDescent="0.2">
      <c r="A264" t="s">
        <v>678</v>
      </c>
      <c r="B264" t="s">
        <v>861</v>
      </c>
      <c r="C264" t="s">
        <v>862</v>
      </c>
      <c r="D264" t="s">
        <v>863</v>
      </c>
      <c r="E264" t="s">
        <v>410</v>
      </c>
      <c r="F264" t="s">
        <v>84</v>
      </c>
      <c r="G264" s="1">
        <v>40</v>
      </c>
      <c r="H264" s="1">
        <v>6</v>
      </c>
      <c r="I264" t="s">
        <v>39</v>
      </c>
      <c r="L264" s="1">
        <v>1</v>
      </c>
      <c r="M264" s="3">
        <v>119.33</v>
      </c>
      <c r="N264" s="3">
        <v>5.97</v>
      </c>
      <c r="O264" s="3">
        <v>0</v>
      </c>
      <c r="P264" s="3">
        <v>0.4</v>
      </c>
      <c r="Q264" s="3">
        <v>125.7</v>
      </c>
      <c r="R264" s="3">
        <v>53.75</v>
      </c>
      <c r="S264" s="3">
        <f>VLOOKUP(C264,[1]page!$C$2:$M$3071,11,0)</f>
        <v>119.33</v>
      </c>
      <c r="T264" s="6">
        <f t="shared" si="4"/>
        <v>0</v>
      </c>
    </row>
    <row r="265" spans="1:20" x14ac:dyDescent="0.2">
      <c r="A265" t="s">
        <v>692</v>
      </c>
      <c r="B265" t="s">
        <v>864</v>
      </c>
      <c r="C265" t="s">
        <v>865</v>
      </c>
      <c r="D265" t="s">
        <v>866</v>
      </c>
      <c r="E265" t="s">
        <v>707</v>
      </c>
      <c r="F265" t="s">
        <v>23</v>
      </c>
      <c r="G265" s="1">
        <v>43</v>
      </c>
      <c r="H265" s="1">
        <v>6</v>
      </c>
      <c r="I265" t="s">
        <v>34</v>
      </c>
      <c r="L265" s="1">
        <v>1</v>
      </c>
      <c r="M265" s="3">
        <v>64.540000000000006</v>
      </c>
      <c r="N265" s="3">
        <v>3.23</v>
      </c>
      <c r="O265" s="3">
        <v>0</v>
      </c>
      <c r="P265" s="3">
        <v>0.2</v>
      </c>
      <c r="Q265" s="3">
        <v>67.97</v>
      </c>
      <c r="R265" s="3">
        <v>24.25</v>
      </c>
      <c r="S265" s="3">
        <f>VLOOKUP(C265,[1]page!$C$2:$M$3071,11,0)</f>
        <v>64.430000000000007</v>
      </c>
      <c r="T265" s="6">
        <f t="shared" si="4"/>
        <v>0.10999999999999943</v>
      </c>
    </row>
    <row r="266" spans="1:20" x14ac:dyDescent="0.2">
      <c r="A266" t="s">
        <v>692</v>
      </c>
      <c r="B266" t="s">
        <v>867</v>
      </c>
      <c r="C266" t="s">
        <v>868</v>
      </c>
      <c r="D266" t="s">
        <v>869</v>
      </c>
      <c r="E266" t="s">
        <v>707</v>
      </c>
      <c r="F266" t="s">
        <v>23</v>
      </c>
      <c r="G266" s="1">
        <v>47</v>
      </c>
      <c r="H266" s="1">
        <v>6</v>
      </c>
      <c r="I266" t="s">
        <v>34</v>
      </c>
      <c r="L266" s="1">
        <v>1</v>
      </c>
      <c r="M266" s="3">
        <v>77.459999999999994</v>
      </c>
      <c r="N266" s="3">
        <v>3.87</v>
      </c>
      <c r="O266" s="3">
        <v>0</v>
      </c>
      <c r="P266" s="3">
        <v>0.2</v>
      </c>
      <c r="Q266" s="3">
        <v>81.53</v>
      </c>
      <c r="R266" s="3">
        <v>30.35</v>
      </c>
      <c r="S266" s="3">
        <f>VLOOKUP(C266,[1]page!$C$2:$M$3071,11,0)</f>
        <v>77.33</v>
      </c>
      <c r="T266" s="6">
        <f t="shared" si="4"/>
        <v>0.12999999999999545</v>
      </c>
    </row>
    <row r="267" spans="1:20" x14ac:dyDescent="0.2">
      <c r="A267" t="s">
        <v>692</v>
      </c>
      <c r="B267" t="s">
        <v>870</v>
      </c>
      <c r="C267" t="s">
        <v>871</v>
      </c>
      <c r="D267" t="s">
        <v>872</v>
      </c>
      <c r="E267" t="s">
        <v>669</v>
      </c>
      <c r="F267" t="s">
        <v>23</v>
      </c>
      <c r="G267" s="1">
        <v>48</v>
      </c>
      <c r="H267" s="1">
        <v>6</v>
      </c>
      <c r="I267" t="s">
        <v>24</v>
      </c>
      <c r="L267" s="1">
        <v>1</v>
      </c>
      <c r="M267" s="3">
        <v>80.989999999999995</v>
      </c>
      <c r="N267" s="3">
        <v>4.05</v>
      </c>
      <c r="O267" s="3">
        <v>0</v>
      </c>
      <c r="P267" s="3">
        <v>0.2</v>
      </c>
      <c r="Q267" s="3">
        <v>85.24</v>
      </c>
      <c r="R267" s="3">
        <v>30.35</v>
      </c>
      <c r="S267" s="3">
        <f>VLOOKUP(C267,[1]page!$C$2:$M$3071,11,0)</f>
        <v>81.010000000000005</v>
      </c>
      <c r="T267" s="6">
        <f t="shared" si="4"/>
        <v>-2.0000000000010232E-2</v>
      </c>
    </row>
    <row r="268" spans="1:20" x14ac:dyDescent="0.2">
      <c r="A268" t="s">
        <v>692</v>
      </c>
      <c r="B268" t="s">
        <v>873</v>
      </c>
      <c r="C268" t="s">
        <v>874</v>
      </c>
      <c r="D268" t="s">
        <v>875</v>
      </c>
      <c r="E268" t="s">
        <v>452</v>
      </c>
      <c r="F268" t="s">
        <v>23</v>
      </c>
      <c r="G268" s="2">
        <v>45.8</v>
      </c>
      <c r="H268" s="1">
        <v>6</v>
      </c>
      <c r="I268" t="s">
        <v>24</v>
      </c>
      <c r="L268" s="1">
        <v>1</v>
      </c>
      <c r="M268" s="3">
        <v>80.989999999999995</v>
      </c>
      <c r="N268" s="3">
        <v>4.05</v>
      </c>
      <c r="O268" s="3">
        <v>0</v>
      </c>
      <c r="P268" s="3">
        <v>0.2</v>
      </c>
      <c r="Q268" s="3">
        <v>85.24</v>
      </c>
      <c r="R268" s="3">
        <v>30.35</v>
      </c>
      <c r="S268" s="3">
        <f>VLOOKUP(C268,[1]page!$C$2:$M$3071,11,0)</f>
        <v>80.989999999999995</v>
      </c>
      <c r="T268" s="6">
        <f t="shared" si="4"/>
        <v>0</v>
      </c>
    </row>
    <row r="269" spans="1:20" x14ac:dyDescent="0.2">
      <c r="A269" t="s">
        <v>692</v>
      </c>
      <c r="B269" t="s">
        <v>876</v>
      </c>
      <c r="C269" t="s">
        <v>877</v>
      </c>
      <c r="D269" t="s">
        <v>863</v>
      </c>
      <c r="E269" t="s">
        <v>410</v>
      </c>
      <c r="F269" t="s">
        <v>23</v>
      </c>
      <c r="G269" s="1">
        <v>40</v>
      </c>
      <c r="H269" s="1">
        <v>12</v>
      </c>
      <c r="I269" t="s">
        <v>39</v>
      </c>
      <c r="L269" s="1">
        <v>1</v>
      </c>
      <c r="M269" s="3">
        <v>59.33</v>
      </c>
      <c r="N269" s="3">
        <v>2.97</v>
      </c>
      <c r="O269" s="3">
        <v>0</v>
      </c>
      <c r="P269" s="3">
        <v>0.2</v>
      </c>
      <c r="Q269" s="3">
        <v>62.5</v>
      </c>
      <c r="R269" s="3">
        <v>24.25</v>
      </c>
      <c r="S269" s="3">
        <f>VLOOKUP(C269,[1]page!$C$2:$M$3071,11,0)</f>
        <v>59.33</v>
      </c>
      <c r="T269" s="6">
        <f t="shared" si="4"/>
        <v>0</v>
      </c>
    </row>
    <row r="270" spans="1:20" x14ac:dyDescent="0.2">
      <c r="A270" t="s">
        <v>692</v>
      </c>
      <c r="B270" t="s">
        <v>878</v>
      </c>
      <c r="C270" t="s">
        <v>879</v>
      </c>
      <c r="D270" t="s">
        <v>863</v>
      </c>
      <c r="E270" t="s">
        <v>410</v>
      </c>
      <c r="F270" t="s">
        <v>65</v>
      </c>
      <c r="G270" s="1">
        <v>40</v>
      </c>
      <c r="H270" s="1">
        <v>6</v>
      </c>
      <c r="I270" t="s">
        <v>39</v>
      </c>
      <c r="L270" s="1">
        <v>1</v>
      </c>
      <c r="M270" s="3">
        <v>81.540000000000006</v>
      </c>
      <c r="N270" s="3">
        <v>4.08</v>
      </c>
      <c r="O270" s="3">
        <v>0</v>
      </c>
      <c r="P270" s="3">
        <v>0.4</v>
      </c>
      <c r="Q270" s="3">
        <v>86.02</v>
      </c>
      <c r="R270" s="3">
        <v>35.75</v>
      </c>
      <c r="S270" s="3">
        <f>VLOOKUP(C270,[1]page!$C$2:$M$3071,11,0)</f>
        <v>81.540000000000006</v>
      </c>
      <c r="T270" s="6">
        <f t="shared" si="4"/>
        <v>0</v>
      </c>
    </row>
    <row r="271" spans="1:20" x14ac:dyDescent="0.2">
      <c r="A271" t="s">
        <v>789</v>
      </c>
      <c r="B271" t="s">
        <v>880</v>
      </c>
      <c r="C271" t="s">
        <v>881</v>
      </c>
      <c r="D271" t="s">
        <v>882</v>
      </c>
      <c r="E271" t="s">
        <v>883</v>
      </c>
      <c r="F271" t="s">
        <v>23</v>
      </c>
      <c r="G271" s="1">
        <v>40</v>
      </c>
      <c r="H271" s="1">
        <v>6</v>
      </c>
      <c r="I271" t="s">
        <v>62</v>
      </c>
      <c r="L271" s="1">
        <v>1</v>
      </c>
      <c r="M271" s="3">
        <v>38.39</v>
      </c>
      <c r="N271" s="3">
        <v>1.92</v>
      </c>
      <c r="O271" s="3">
        <v>0</v>
      </c>
      <c r="P271" s="3">
        <v>0.2</v>
      </c>
      <c r="Q271" s="3">
        <v>40.51</v>
      </c>
      <c r="R271" s="3">
        <v>24.25</v>
      </c>
      <c r="S271" s="3">
        <f>VLOOKUP(C271,[1]page!$C$2:$M$3071,11,0)</f>
        <v>38.200000000000003</v>
      </c>
      <c r="T271" s="6">
        <f t="shared" si="4"/>
        <v>0.18999999999999773</v>
      </c>
    </row>
    <row r="272" spans="1:20" x14ac:dyDescent="0.2">
      <c r="A272" t="s">
        <v>678</v>
      </c>
      <c r="B272" t="s">
        <v>884</v>
      </c>
      <c r="C272" t="s">
        <v>885</v>
      </c>
      <c r="D272" t="s">
        <v>886</v>
      </c>
      <c r="E272" t="s">
        <v>96</v>
      </c>
      <c r="F272" t="s">
        <v>23</v>
      </c>
      <c r="G272" s="1">
        <v>43</v>
      </c>
      <c r="H272" s="1">
        <v>3</v>
      </c>
      <c r="I272" t="s">
        <v>24</v>
      </c>
      <c r="L272" s="1">
        <v>1</v>
      </c>
      <c r="M272" s="3">
        <v>500.1</v>
      </c>
      <c r="N272" s="3">
        <v>25.01</v>
      </c>
      <c r="O272" s="3">
        <v>0</v>
      </c>
      <c r="P272" s="3">
        <v>0.2</v>
      </c>
      <c r="Q272" s="3">
        <v>525.30999999999995</v>
      </c>
      <c r="R272" s="3">
        <v>24.25</v>
      </c>
      <c r="S272" s="3">
        <f>VLOOKUP(C272,[1]page!$C$2:$M$3071,11,0)</f>
        <v>499.99</v>
      </c>
      <c r="T272" s="6">
        <f t="shared" si="4"/>
        <v>0.11000000000001364</v>
      </c>
    </row>
    <row r="273" spans="1:20" x14ac:dyDescent="0.2">
      <c r="A273" t="s">
        <v>678</v>
      </c>
      <c r="B273" t="s">
        <v>887</v>
      </c>
      <c r="C273" t="s">
        <v>888</v>
      </c>
      <c r="D273" t="s">
        <v>889</v>
      </c>
      <c r="E273" t="s">
        <v>96</v>
      </c>
      <c r="F273" t="s">
        <v>23</v>
      </c>
      <c r="G273" s="1">
        <v>46</v>
      </c>
      <c r="H273" s="1">
        <v>4</v>
      </c>
      <c r="I273" t="s">
        <v>24</v>
      </c>
      <c r="L273" s="1">
        <v>1</v>
      </c>
      <c r="M273" s="3">
        <v>321.58999999999997</v>
      </c>
      <c r="N273" s="3">
        <v>16.079999999999998</v>
      </c>
      <c r="O273" s="3">
        <v>0</v>
      </c>
      <c r="P273" s="3">
        <v>0.2</v>
      </c>
      <c r="Q273" s="3">
        <v>337.87</v>
      </c>
      <c r="R273" s="3">
        <v>30.35</v>
      </c>
      <c r="S273" s="3">
        <f>VLOOKUP(C273,[1]page!$C$2:$M$3071,11,0)</f>
        <v>321.45999999999998</v>
      </c>
      <c r="T273" s="6">
        <f t="shared" si="4"/>
        <v>0.12999999999999545</v>
      </c>
    </row>
    <row r="274" spans="1:20" x14ac:dyDescent="0.2">
      <c r="A274" t="s">
        <v>692</v>
      </c>
      <c r="B274" t="s">
        <v>890</v>
      </c>
      <c r="C274" t="s">
        <v>891</v>
      </c>
      <c r="D274" t="s">
        <v>668</v>
      </c>
      <c r="E274" t="s">
        <v>669</v>
      </c>
      <c r="F274" t="s">
        <v>84</v>
      </c>
      <c r="G274" s="1">
        <v>40</v>
      </c>
      <c r="H274" s="1">
        <v>6</v>
      </c>
      <c r="I274" t="s">
        <v>24</v>
      </c>
      <c r="L274" s="1">
        <v>1</v>
      </c>
      <c r="M274" s="3">
        <v>85.69</v>
      </c>
      <c r="N274" s="3">
        <v>4.28</v>
      </c>
      <c r="O274" s="3">
        <v>0</v>
      </c>
      <c r="P274" s="3">
        <v>0.4</v>
      </c>
      <c r="Q274" s="3">
        <v>90.37</v>
      </c>
      <c r="R274" s="3">
        <v>53.75</v>
      </c>
      <c r="S274" s="3">
        <f>VLOOKUP(C274,[1]page!$C$2:$M$3071,11,0)</f>
        <v>85.54</v>
      </c>
      <c r="T274" s="6">
        <f t="shared" si="4"/>
        <v>0.14999999999999147</v>
      </c>
    </row>
    <row r="275" spans="1:20" x14ac:dyDescent="0.2">
      <c r="A275" t="s">
        <v>789</v>
      </c>
      <c r="B275" t="s">
        <v>892</v>
      </c>
      <c r="C275" t="s">
        <v>893</v>
      </c>
      <c r="D275" t="s">
        <v>818</v>
      </c>
      <c r="E275" t="s">
        <v>696</v>
      </c>
      <c r="F275" t="s">
        <v>84</v>
      </c>
      <c r="G275" s="1">
        <v>40</v>
      </c>
      <c r="H275" s="1">
        <v>6</v>
      </c>
      <c r="I275" t="s">
        <v>444</v>
      </c>
      <c r="L275" s="1">
        <v>1</v>
      </c>
      <c r="M275" s="3">
        <v>52.5</v>
      </c>
      <c r="N275" s="3">
        <v>2.63</v>
      </c>
      <c r="O275" s="3">
        <v>0</v>
      </c>
      <c r="P275" s="3">
        <v>0.4</v>
      </c>
      <c r="Q275" s="3">
        <v>55.53</v>
      </c>
      <c r="R275" s="3">
        <v>53.75</v>
      </c>
      <c r="S275" s="3">
        <f>VLOOKUP(C275,[1]page!$C$2:$M$3071,11,0)</f>
        <v>52.5</v>
      </c>
      <c r="T275" s="6">
        <f t="shared" si="4"/>
        <v>0</v>
      </c>
    </row>
    <row r="276" spans="1:20" x14ac:dyDescent="0.2">
      <c r="A276" t="s">
        <v>789</v>
      </c>
      <c r="B276" t="s">
        <v>894</v>
      </c>
      <c r="C276" t="s">
        <v>895</v>
      </c>
      <c r="D276" t="s">
        <v>896</v>
      </c>
      <c r="E276" t="s">
        <v>707</v>
      </c>
      <c r="F276" t="s">
        <v>23</v>
      </c>
      <c r="G276" s="1">
        <v>40</v>
      </c>
      <c r="H276" s="1">
        <v>6</v>
      </c>
      <c r="I276" t="s">
        <v>34</v>
      </c>
      <c r="L276" s="1">
        <v>1</v>
      </c>
      <c r="M276" s="3">
        <v>46.44</v>
      </c>
      <c r="N276" s="3">
        <v>2.3199999999999998</v>
      </c>
      <c r="O276" s="3">
        <v>0</v>
      </c>
      <c r="P276" s="3">
        <v>0.2</v>
      </c>
      <c r="Q276" s="3">
        <v>48.96</v>
      </c>
      <c r="R276" s="3">
        <v>24.25</v>
      </c>
      <c r="S276" s="3">
        <f>VLOOKUP(C276,[1]page!$C$2:$M$3071,11,0)</f>
        <v>46.3</v>
      </c>
      <c r="T276" s="6">
        <f t="shared" si="4"/>
        <v>0.14000000000000057</v>
      </c>
    </row>
    <row r="277" spans="1:20" x14ac:dyDescent="0.2">
      <c r="A277" t="s">
        <v>789</v>
      </c>
      <c r="B277" t="s">
        <v>897</v>
      </c>
      <c r="C277" t="s">
        <v>898</v>
      </c>
      <c r="D277" t="s">
        <v>899</v>
      </c>
      <c r="E277" t="s">
        <v>707</v>
      </c>
      <c r="F277" t="s">
        <v>23</v>
      </c>
      <c r="G277" s="1">
        <v>40</v>
      </c>
      <c r="H277" s="1">
        <v>12</v>
      </c>
      <c r="I277" t="s">
        <v>34</v>
      </c>
      <c r="L277" s="1">
        <v>1</v>
      </c>
      <c r="M277" s="3">
        <v>37.86</v>
      </c>
      <c r="N277" s="3">
        <v>1.89</v>
      </c>
      <c r="O277" s="3">
        <v>0</v>
      </c>
      <c r="P277" s="3">
        <v>0.2</v>
      </c>
      <c r="Q277" s="3">
        <v>39.950000000000003</v>
      </c>
      <c r="R277" s="3">
        <v>24.25</v>
      </c>
      <c r="S277" s="3">
        <f>VLOOKUP(C277,[1]page!$C$2:$M$3071,11,0)</f>
        <v>37.67</v>
      </c>
      <c r="T277" s="6">
        <f t="shared" si="4"/>
        <v>0.18999999999999773</v>
      </c>
    </row>
    <row r="278" spans="1:20" x14ac:dyDescent="0.2">
      <c r="A278" t="s">
        <v>789</v>
      </c>
      <c r="B278" t="s">
        <v>900</v>
      </c>
      <c r="C278" t="s">
        <v>901</v>
      </c>
      <c r="D278" t="s">
        <v>902</v>
      </c>
      <c r="E278" t="s">
        <v>707</v>
      </c>
      <c r="F278" t="s">
        <v>23</v>
      </c>
      <c r="G278" s="1">
        <v>43</v>
      </c>
      <c r="H278" s="1">
        <v>6</v>
      </c>
      <c r="I278" t="s">
        <v>34</v>
      </c>
      <c r="L278" s="1">
        <v>1</v>
      </c>
      <c r="M278" s="3">
        <v>44.45</v>
      </c>
      <c r="N278" s="3">
        <v>2.2200000000000002</v>
      </c>
      <c r="O278" s="3">
        <v>0</v>
      </c>
      <c r="P278" s="3">
        <v>0.2</v>
      </c>
      <c r="Q278" s="3">
        <v>46.87</v>
      </c>
      <c r="R278" s="3">
        <v>24.25</v>
      </c>
      <c r="S278" s="3">
        <f>VLOOKUP(C278,[1]page!$C$2:$M$3071,11,0)</f>
        <v>44.31</v>
      </c>
      <c r="T278" s="6">
        <f t="shared" si="4"/>
        <v>0.14000000000000057</v>
      </c>
    </row>
    <row r="279" spans="1:20" x14ac:dyDescent="0.2">
      <c r="A279" t="s">
        <v>789</v>
      </c>
      <c r="B279" t="s">
        <v>903</v>
      </c>
      <c r="C279" t="s">
        <v>904</v>
      </c>
      <c r="D279" t="s">
        <v>905</v>
      </c>
      <c r="E279" t="s">
        <v>749</v>
      </c>
      <c r="F279" t="s">
        <v>23</v>
      </c>
      <c r="G279" s="1">
        <v>40</v>
      </c>
      <c r="H279" s="1">
        <v>12</v>
      </c>
      <c r="I279" t="s">
        <v>34</v>
      </c>
      <c r="L279" s="1">
        <v>1</v>
      </c>
      <c r="M279" s="3">
        <v>30.03</v>
      </c>
      <c r="N279" s="3">
        <v>1.5</v>
      </c>
      <c r="O279" s="3">
        <v>0</v>
      </c>
      <c r="P279" s="3">
        <v>0.2</v>
      </c>
      <c r="Q279" s="3">
        <v>31.73</v>
      </c>
      <c r="R279" s="3">
        <v>24.25</v>
      </c>
      <c r="S279" s="3">
        <f>VLOOKUP(C279,[1]page!$C$2:$M$3071,11,0)</f>
        <v>29.84</v>
      </c>
      <c r="T279" s="6">
        <f t="shared" si="4"/>
        <v>0.19000000000000128</v>
      </c>
    </row>
    <row r="280" spans="1:20" x14ac:dyDescent="0.2">
      <c r="A280" t="s">
        <v>804</v>
      </c>
      <c r="B280" t="s">
        <v>906</v>
      </c>
      <c r="C280" t="s">
        <v>907</v>
      </c>
      <c r="D280" t="s">
        <v>908</v>
      </c>
      <c r="E280" t="s">
        <v>749</v>
      </c>
      <c r="F280" t="s">
        <v>23</v>
      </c>
      <c r="G280" s="1">
        <v>40</v>
      </c>
      <c r="H280" s="1">
        <v>12</v>
      </c>
      <c r="I280" t="s">
        <v>34</v>
      </c>
      <c r="L280" s="1">
        <v>1</v>
      </c>
      <c r="M280" s="3">
        <v>27.53</v>
      </c>
      <c r="N280" s="3">
        <v>1.38</v>
      </c>
      <c r="O280" s="3">
        <v>0</v>
      </c>
      <c r="P280" s="3">
        <v>0.2</v>
      </c>
      <c r="Q280" s="3">
        <v>29.11</v>
      </c>
      <c r="R280" s="3">
        <v>24.25</v>
      </c>
      <c r="S280" s="3">
        <f>VLOOKUP(C280,[1]page!$C$2:$M$3071,11,0)</f>
        <v>27.34</v>
      </c>
      <c r="T280" s="6">
        <f t="shared" si="4"/>
        <v>0.19000000000000128</v>
      </c>
    </row>
    <row r="281" spans="1:20" x14ac:dyDescent="0.2">
      <c r="A281" t="s">
        <v>909</v>
      </c>
      <c r="B281" t="s">
        <v>910</v>
      </c>
      <c r="C281" t="s">
        <v>911</v>
      </c>
      <c r="D281" t="s">
        <v>912</v>
      </c>
      <c r="E281" t="s">
        <v>43</v>
      </c>
      <c r="F281" t="s">
        <v>77</v>
      </c>
      <c r="G281" s="1">
        <v>40</v>
      </c>
      <c r="H281" s="1">
        <v>24</v>
      </c>
      <c r="I281" t="s">
        <v>183</v>
      </c>
      <c r="L281" s="1">
        <v>1</v>
      </c>
      <c r="M281" s="3">
        <v>11.66</v>
      </c>
      <c r="N281" s="3">
        <v>0.57999999999999996</v>
      </c>
      <c r="O281" s="3">
        <v>0</v>
      </c>
      <c r="P281" s="3">
        <v>0.1</v>
      </c>
      <c r="Q281" s="3">
        <v>12.34</v>
      </c>
      <c r="R281" s="3">
        <v>13.7</v>
      </c>
      <c r="S281" s="3">
        <f>VLOOKUP(C281,[1]page!$C$2:$M$3071,11,0)</f>
        <v>11.57</v>
      </c>
      <c r="T281" s="6">
        <f t="shared" si="4"/>
        <v>8.9999999999999858E-2</v>
      </c>
    </row>
    <row r="282" spans="1:20" x14ac:dyDescent="0.2">
      <c r="A282" t="s">
        <v>909</v>
      </c>
      <c r="B282" t="s">
        <v>913</v>
      </c>
      <c r="C282" t="s">
        <v>914</v>
      </c>
      <c r="D282" t="s">
        <v>912</v>
      </c>
      <c r="E282" t="s">
        <v>43</v>
      </c>
      <c r="F282" t="s">
        <v>23</v>
      </c>
      <c r="G282" s="1">
        <v>40</v>
      </c>
      <c r="H282" s="1">
        <v>12</v>
      </c>
      <c r="I282" t="s">
        <v>183</v>
      </c>
      <c r="L282" s="1">
        <v>1</v>
      </c>
      <c r="M282" s="3">
        <v>22.39</v>
      </c>
      <c r="N282" s="3">
        <v>1.1200000000000001</v>
      </c>
      <c r="O282" s="3">
        <v>0</v>
      </c>
      <c r="P282" s="3">
        <v>0.2</v>
      </c>
      <c r="Q282" s="3">
        <v>23.71</v>
      </c>
      <c r="R282" s="3">
        <v>24.25</v>
      </c>
      <c r="S282" s="3">
        <f>VLOOKUP(C282,[1]page!$C$2:$M$3071,11,0)</f>
        <v>22.2</v>
      </c>
      <c r="T282" s="6">
        <f t="shared" si="4"/>
        <v>0.19000000000000128</v>
      </c>
    </row>
    <row r="283" spans="1:20" x14ac:dyDescent="0.2">
      <c r="A283" t="s">
        <v>909</v>
      </c>
      <c r="B283" t="s">
        <v>915</v>
      </c>
      <c r="C283" t="s">
        <v>916</v>
      </c>
      <c r="D283" t="s">
        <v>912</v>
      </c>
      <c r="E283" t="s">
        <v>43</v>
      </c>
      <c r="F283" t="s">
        <v>65</v>
      </c>
      <c r="G283" s="1">
        <v>40</v>
      </c>
      <c r="H283" s="1">
        <v>8</v>
      </c>
      <c r="I283" t="s">
        <v>70</v>
      </c>
      <c r="L283" s="1">
        <v>1</v>
      </c>
      <c r="M283" s="3">
        <v>32.61</v>
      </c>
      <c r="N283" s="3">
        <v>1.63</v>
      </c>
      <c r="O283" s="3">
        <v>0</v>
      </c>
      <c r="P283" s="3">
        <v>0.4</v>
      </c>
      <c r="Q283" s="3">
        <v>34.64</v>
      </c>
      <c r="R283" s="3">
        <v>35.75</v>
      </c>
      <c r="S283" s="3">
        <f>VLOOKUP(C283,[1]page!$C$2:$M$3071,11,0)</f>
        <v>32.32</v>
      </c>
      <c r="T283" s="6">
        <f t="shared" si="4"/>
        <v>0.28999999999999915</v>
      </c>
    </row>
    <row r="284" spans="1:20" x14ac:dyDescent="0.2">
      <c r="A284" t="s">
        <v>917</v>
      </c>
      <c r="B284" t="s">
        <v>918</v>
      </c>
      <c r="C284" t="s">
        <v>919</v>
      </c>
      <c r="D284" t="s">
        <v>920</v>
      </c>
      <c r="E284" t="s">
        <v>921</v>
      </c>
      <c r="F284" t="s">
        <v>23</v>
      </c>
      <c r="G284" s="1">
        <v>40</v>
      </c>
      <c r="H284" s="1">
        <v>12</v>
      </c>
      <c r="I284" t="s">
        <v>178</v>
      </c>
      <c r="L284" s="1">
        <v>1</v>
      </c>
      <c r="M284" s="3">
        <v>34.94</v>
      </c>
      <c r="N284" s="3">
        <v>1.75</v>
      </c>
      <c r="O284" s="3">
        <v>0</v>
      </c>
      <c r="P284" s="3">
        <v>0.2</v>
      </c>
      <c r="Q284" s="3">
        <v>36.89</v>
      </c>
      <c r="R284" s="3">
        <v>24.25</v>
      </c>
      <c r="S284" s="3">
        <f>VLOOKUP(C284,[1]page!$C$2:$M$3071,11,0)</f>
        <v>34.75</v>
      </c>
      <c r="T284" s="6">
        <f t="shared" si="4"/>
        <v>0.18999999999999773</v>
      </c>
    </row>
    <row r="285" spans="1:20" x14ac:dyDescent="0.2">
      <c r="A285" t="s">
        <v>922</v>
      </c>
      <c r="B285" t="s">
        <v>923</v>
      </c>
      <c r="C285" t="s">
        <v>924</v>
      </c>
      <c r="D285" t="s">
        <v>925</v>
      </c>
      <c r="E285" t="s">
        <v>926</v>
      </c>
      <c r="F285" t="s">
        <v>77</v>
      </c>
      <c r="G285" s="1">
        <v>40</v>
      </c>
      <c r="H285" s="1">
        <v>12</v>
      </c>
      <c r="I285" t="s">
        <v>444</v>
      </c>
      <c r="L285" s="1">
        <v>1</v>
      </c>
      <c r="M285" s="3">
        <v>39.01</v>
      </c>
      <c r="N285" s="3">
        <v>1.95</v>
      </c>
      <c r="O285" s="3">
        <v>0</v>
      </c>
      <c r="P285" s="3">
        <v>0.2</v>
      </c>
      <c r="Q285" s="3">
        <v>41.16</v>
      </c>
      <c r="R285" s="3">
        <v>13.7</v>
      </c>
      <c r="S285" s="3">
        <f>VLOOKUP(C285,[1]page!$C$2:$M$3071,11,0)</f>
        <v>39.01</v>
      </c>
      <c r="T285" s="6">
        <f t="shared" si="4"/>
        <v>0</v>
      </c>
    </row>
    <row r="286" spans="1:20" x14ac:dyDescent="0.2">
      <c r="A286" t="s">
        <v>922</v>
      </c>
      <c r="B286" t="s">
        <v>927</v>
      </c>
      <c r="C286" t="s">
        <v>928</v>
      </c>
      <c r="D286" t="s">
        <v>929</v>
      </c>
      <c r="E286" t="s">
        <v>921</v>
      </c>
      <c r="F286" t="s">
        <v>77</v>
      </c>
      <c r="G286" s="1">
        <v>40</v>
      </c>
      <c r="H286" s="1">
        <v>24</v>
      </c>
      <c r="I286" t="s">
        <v>178</v>
      </c>
      <c r="L286" s="1">
        <v>1</v>
      </c>
      <c r="M286" s="3">
        <v>15.44</v>
      </c>
      <c r="N286" s="3">
        <v>0.77</v>
      </c>
      <c r="O286" s="3">
        <v>0</v>
      </c>
      <c r="P286" s="3">
        <v>0.2</v>
      </c>
      <c r="Q286" s="3">
        <v>16.41</v>
      </c>
      <c r="R286" s="3">
        <v>13.7</v>
      </c>
      <c r="S286" s="3">
        <f>VLOOKUP(C286,[1]page!$C$2:$M$3071,11,0)</f>
        <v>15.34</v>
      </c>
      <c r="T286" s="6">
        <f t="shared" si="4"/>
        <v>9.9999999999999645E-2</v>
      </c>
    </row>
    <row r="287" spans="1:20" x14ac:dyDescent="0.2">
      <c r="A287" t="s">
        <v>922</v>
      </c>
      <c r="B287" t="s">
        <v>930</v>
      </c>
      <c r="C287" t="s">
        <v>931</v>
      </c>
      <c r="D287" t="s">
        <v>929</v>
      </c>
      <c r="E287" t="s">
        <v>921</v>
      </c>
      <c r="F287" t="s">
        <v>23</v>
      </c>
      <c r="G287" s="1">
        <v>40</v>
      </c>
      <c r="H287" s="1">
        <v>12</v>
      </c>
      <c r="I287" t="s">
        <v>178</v>
      </c>
      <c r="L287" s="1">
        <v>1</v>
      </c>
      <c r="M287" s="3">
        <v>25.47</v>
      </c>
      <c r="N287" s="3">
        <v>1.27</v>
      </c>
      <c r="O287" s="3">
        <v>0</v>
      </c>
      <c r="P287" s="3">
        <v>0.2</v>
      </c>
      <c r="Q287" s="3">
        <v>26.94</v>
      </c>
      <c r="R287" s="3">
        <v>24.25</v>
      </c>
      <c r="S287" s="3">
        <f>VLOOKUP(C287,[1]page!$C$2:$M$3071,11,0)</f>
        <v>25.28</v>
      </c>
      <c r="T287" s="6">
        <f t="shared" si="4"/>
        <v>0.18999999999999773</v>
      </c>
    </row>
    <row r="288" spans="1:20" x14ac:dyDescent="0.2">
      <c r="A288" t="s">
        <v>932</v>
      </c>
      <c r="B288" t="s">
        <v>933</v>
      </c>
      <c r="C288" t="s">
        <v>934</v>
      </c>
      <c r="D288" t="s">
        <v>935</v>
      </c>
      <c r="E288" t="s">
        <v>936</v>
      </c>
      <c r="F288" t="s">
        <v>23</v>
      </c>
      <c r="G288" s="2">
        <v>39.9</v>
      </c>
      <c r="H288" s="1">
        <v>12</v>
      </c>
      <c r="I288" t="s">
        <v>34</v>
      </c>
      <c r="L288" s="1">
        <v>1</v>
      </c>
      <c r="M288" s="3">
        <v>22.51</v>
      </c>
      <c r="N288" s="3">
        <v>1.1299999999999999</v>
      </c>
      <c r="O288" s="3">
        <v>0</v>
      </c>
      <c r="P288" s="3">
        <v>0.2</v>
      </c>
      <c r="Q288" s="3">
        <v>23.84</v>
      </c>
      <c r="R288" s="3">
        <v>24.25</v>
      </c>
      <c r="S288" s="3">
        <f>VLOOKUP(C288,[1]page!$C$2:$M$3071,11,0)</f>
        <v>22.32</v>
      </c>
      <c r="T288" s="6">
        <f t="shared" si="4"/>
        <v>0.19000000000000128</v>
      </c>
    </row>
    <row r="289" spans="1:20" x14ac:dyDescent="0.2">
      <c r="A289" t="s">
        <v>937</v>
      </c>
      <c r="B289" t="s">
        <v>938</v>
      </c>
      <c r="C289" t="s">
        <v>939</v>
      </c>
      <c r="D289" t="s">
        <v>940</v>
      </c>
      <c r="E289" t="s">
        <v>921</v>
      </c>
      <c r="F289" t="s">
        <v>396</v>
      </c>
      <c r="G289" s="1">
        <v>40</v>
      </c>
      <c r="H289" s="1">
        <v>12</v>
      </c>
      <c r="I289" t="s">
        <v>178</v>
      </c>
      <c r="L289" s="1">
        <v>1</v>
      </c>
      <c r="M289" s="3">
        <v>26.72</v>
      </c>
      <c r="N289" s="3">
        <v>1.34</v>
      </c>
      <c r="O289" s="3">
        <v>0</v>
      </c>
      <c r="P289" s="3">
        <v>0.2</v>
      </c>
      <c r="Q289" s="3">
        <v>28.26</v>
      </c>
      <c r="R289" s="3">
        <v>22.65</v>
      </c>
      <c r="S289" s="3">
        <f>VLOOKUP(C289,[1]page!$C$2:$M$3071,11,0)</f>
        <v>26.54</v>
      </c>
      <c r="T289" s="6">
        <f t="shared" si="4"/>
        <v>0.17999999999999972</v>
      </c>
    </row>
    <row r="290" spans="1:20" x14ac:dyDescent="0.2">
      <c r="A290" t="s">
        <v>941</v>
      </c>
      <c r="B290" t="s">
        <v>942</v>
      </c>
      <c r="C290" t="s">
        <v>943</v>
      </c>
      <c r="D290" t="s">
        <v>944</v>
      </c>
      <c r="E290" t="s">
        <v>945</v>
      </c>
      <c r="F290" t="s">
        <v>23</v>
      </c>
      <c r="G290" s="1">
        <v>40</v>
      </c>
      <c r="H290" s="1">
        <v>12</v>
      </c>
      <c r="I290" t="s">
        <v>178</v>
      </c>
      <c r="L290" s="1">
        <v>1</v>
      </c>
      <c r="M290" s="3">
        <v>36.36</v>
      </c>
      <c r="N290" s="3">
        <v>1.82</v>
      </c>
      <c r="O290" s="3">
        <v>0</v>
      </c>
      <c r="P290" s="3">
        <v>0.2</v>
      </c>
      <c r="Q290" s="3">
        <v>38.380000000000003</v>
      </c>
      <c r="R290" s="3">
        <v>24.25</v>
      </c>
      <c r="S290" s="3">
        <f>VLOOKUP(C290,[1]page!$C$2:$M$3071,11,0)</f>
        <v>35.96</v>
      </c>
      <c r="T290" s="6">
        <f t="shared" si="4"/>
        <v>0.39999999999999858</v>
      </c>
    </row>
    <row r="291" spans="1:20" x14ac:dyDescent="0.2">
      <c r="A291" t="s">
        <v>946</v>
      </c>
      <c r="B291" t="s">
        <v>947</v>
      </c>
      <c r="C291" t="s">
        <v>948</v>
      </c>
      <c r="D291" t="s">
        <v>949</v>
      </c>
      <c r="E291" t="s">
        <v>950</v>
      </c>
      <c r="F291" t="s">
        <v>23</v>
      </c>
      <c r="G291" s="1">
        <v>40</v>
      </c>
      <c r="H291" s="1">
        <v>12</v>
      </c>
      <c r="I291" t="s">
        <v>183</v>
      </c>
      <c r="L291" s="1">
        <v>1</v>
      </c>
      <c r="M291" s="3">
        <v>28.64</v>
      </c>
      <c r="N291" s="3">
        <v>1.43</v>
      </c>
      <c r="O291" s="3">
        <v>0</v>
      </c>
      <c r="P291" s="3">
        <v>0.2</v>
      </c>
      <c r="Q291" s="3">
        <v>30.27</v>
      </c>
      <c r="R291" s="3">
        <v>24.25</v>
      </c>
      <c r="S291" s="3">
        <f>VLOOKUP(C291,[1]page!$C$2:$M$3071,11,0)</f>
        <v>28.45</v>
      </c>
      <c r="T291" s="6">
        <f t="shared" si="4"/>
        <v>0.19000000000000128</v>
      </c>
    </row>
    <row r="292" spans="1:20" x14ac:dyDescent="0.2">
      <c r="A292" t="s">
        <v>951</v>
      </c>
      <c r="B292" t="s">
        <v>952</v>
      </c>
      <c r="C292" t="s">
        <v>953</v>
      </c>
      <c r="D292" t="s">
        <v>954</v>
      </c>
      <c r="E292" t="s">
        <v>955</v>
      </c>
      <c r="F292" t="s">
        <v>23</v>
      </c>
      <c r="G292" s="1">
        <v>40</v>
      </c>
      <c r="H292" s="1">
        <v>12</v>
      </c>
      <c r="I292" t="s">
        <v>29</v>
      </c>
      <c r="L292" s="1">
        <v>1</v>
      </c>
      <c r="M292" s="3">
        <v>57.46</v>
      </c>
      <c r="N292" s="3">
        <v>2.87</v>
      </c>
      <c r="O292" s="3">
        <v>0</v>
      </c>
      <c r="P292" s="3">
        <v>0.2</v>
      </c>
      <c r="Q292" s="3">
        <v>60.53</v>
      </c>
      <c r="R292" s="3">
        <v>24.25</v>
      </c>
      <c r="S292" s="3">
        <f>VLOOKUP(C292,[1]page!$C$2:$M$3071,11,0)</f>
        <v>57.32</v>
      </c>
      <c r="T292" s="6">
        <f t="shared" si="4"/>
        <v>0.14000000000000057</v>
      </c>
    </row>
    <row r="293" spans="1:20" x14ac:dyDescent="0.2">
      <c r="A293" t="s">
        <v>951</v>
      </c>
      <c r="B293" t="s">
        <v>956</v>
      </c>
      <c r="C293" t="s">
        <v>957</v>
      </c>
      <c r="D293" t="s">
        <v>925</v>
      </c>
      <c r="E293" t="s">
        <v>926</v>
      </c>
      <c r="F293" t="s">
        <v>23</v>
      </c>
      <c r="G293" s="1">
        <v>40</v>
      </c>
      <c r="H293" s="1">
        <v>6</v>
      </c>
      <c r="I293" t="s">
        <v>444</v>
      </c>
      <c r="L293" s="1">
        <v>1</v>
      </c>
      <c r="M293" s="3">
        <v>71.260000000000005</v>
      </c>
      <c r="N293" s="3">
        <v>3.56</v>
      </c>
      <c r="O293" s="3">
        <v>0</v>
      </c>
      <c r="P293" s="3">
        <v>0.2</v>
      </c>
      <c r="Q293" s="3">
        <v>75.02</v>
      </c>
      <c r="R293" s="3">
        <v>24.25</v>
      </c>
      <c r="S293" s="3">
        <f>VLOOKUP(C293,[1]page!$C$2:$M$3071,11,0)</f>
        <v>71.25</v>
      </c>
      <c r="T293" s="6">
        <f t="shared" si="4"/>
        <v>1.0000000000005116E-2</v>
      </c>
    </row>
    <row r="294" spans="1:20" x14ac:dyDescent="0.2">
      <c r="A294" t="s">
        <v>951</v>
      </c>
      <c r="B294" t="s">
        <v>958</v>
      </c>
      <c r="C294" t="s">
        <v>959</v>
      </c>
      <c r="D294" t="s">
        <v>960</v>
      </c>
      <c r="E294" t="s">
        <v>961</v>
      </c>
      <c r="F294" t="s">
        <v>77</v>
      </c>
      <c r="G294" s="1">
        <v>40</v>
      </c>
      <c r="H294" s="1">
        <v>12</v>
      </c>
      <c r="I294" t="s">
        <v>70</v>
      </c>
      <c r="L294" s="1">
        <v>1</v>
      </c>
      <c r="M294" s="3">
        <v>35.049999999999997</v>
      </c>
      <c r="N294" s="3">
        <v>1.75</v>
      </c>
      <c r="O294" s="3">
        <v>0</v>
      </c>
      <c r="P294" s="3">
        <v>0.2</v>
      </c>
      <c r="Q294" s="3">
        <v>37</v>
      </c>
      <c r="R294" s="3">
        <v>13.7</v>
      </c>
      <c r="S294" s="3">
        <f>VLOOKUP(C294,[1]page!$C$2:$M$3071,11,0)</f>
        <v>35</v>
      </c>
      <c r="T294" s="6">
        <f t="shared" si="4"/>
        <v>4.9999999999997158E-2</v>
      </c>
    </row>
    <row r="295" spans="1:20" x14ac:dyDescent="0.2">
      <c r="A295" t="s">
        <v>951</v>
      </c>
      <c r="B295" t="s">
        <v>962</v>
      </c>
      <c r="C295" t="s">
        <v>963</v>
      </c>
      <c r="D295" t="s">
        <v>960</v>
      </c>
      <c r="E295" t="s">
        <v>961</v>
      </c>
      <c r="F295" t="s">
        <v>23</v>
      </c>
      <c r="G295" s="1">
        <v>40</v>
      </c>
      <c r="H295" s="1">
        <v>12</v>
      </c>
      <c r="I295" t="s">
        <v>70</v>
      </c>
      <c r="L295" s="1">
        <v>1</v>
      </c>
      <c r="M295" s="3">
        <v>63.1</v>
      </c>
      <c r="N295" s="3">
        <v>3.16</v>
      </c>
      <c r="O295" s="3">
        <v>0</v>
      </c>
      <c r="P295" s="3">
        <v>0.2</v>
      </c>
      <c r="Q295" s="3">
        <v>66.459999999999994</v>
      </c>
      <c r="R295" s="3">
        <v>24.25</v>
      </c>
      <c r="S295" s="3">
        <f>VLOOKUP(C295,[1]page!$C$2:$M$3071,11,0)</f>
        <v>62.99</v>
      </c>
      <c r="T295" s="6">
        <f t="shared" si="4"/>
        <v>0.10999999999999943</v>
      </c>
    </row>
    <row r="296" spans="1:20" x14ac:dyDescent="0.2">
      <c r="A296" t="s">
        <v>951</v>
      </c>
      <c r="B296" t="s">
        <v>964</v>
      </c>
      <c r="C296" t="s">
        <v>965</v>
      </c>
      <c r="D296" t="s">
        <v>966</v>
      </c>
      <c r="E296" t="s">
        <v>961</v>
      </c>
      <c r="F296" t="s">
        <v>23</v>
      </c>
      <c r="G296" s="1">
        <v>40</v>
      </c>
      <c r="H296" s="1">
        <v>6</v>
      </c>
      <c r="I296" t="s">
        <v>70</v>
      </c>
      <c r="L296" s="1">
        <v>1</v>
      </c>
      <c r="M296" s="3">
        <v>275.5</v>
      </c>
      <c r="N296" s="3">
        <v>13.78</v>
      </c>
      <c r="O296" s="3">
        <v>0</v>
      </c>
      <c r="P296" s="3">
        <v>0.2</v>
      </c>
      <c r="Q296" s="3">
        <v>289.48</v>
      </c>
      <c r="R296" s="3">
        <v>24.25</v>
      </c>
      <c r="S296" s="3">
        <f>VLOOKUP(C296,[1]page!$C$2:$M$3071,11,0)</f>
        <v>275.39</v>
      </c>
      <c r="T296" s="6">
        <f t="shared" si="4"/>
        <v>0.11000000000001364</v>
      </c>
    </row>
    <row r="297" spans="1:20" x14ac:dyDescent="0.2">
      <c r="A297" t="s">
        <v>951</v>
      </c>
      <c r="B297" t="s">
        <v>967</v>
      </c>
      <c r="C297" t="s">
        <v>968</v>
      </c>
      <c r="D297" t="s">
        <v>969</v>
      </c>
      <c r="E297" t="s">
        <v>921</v>
      </c>
      <c r="F297" t="s">
        <v>23</v>
      </c>
      <c r="G297" s="1">
        <v>40</v>
      </c>
      <c r="H297" s="1">
        <v>12</v>
      </c>
      <c r="I297" t="s">
        <v>178</v>
      </c>
      <c r="L297" s="1">
        <v>1</v>
      </c>
      <c r="M297" s="3">
        <v>84.82</v>
      </c>
      <c r="N297" s="3">
        <v>4.24</v>
      </c>
      <c r="O297" s="3">
        <v>0</v>
      </c>
      <c r="P297" s="3">
        <v>0.2</v>
      </c>
      <c r="Q297" s="3">
        <v>89.26</v>
      </c>
      <c r="R297" s="3">
        <v>24.25</v>
      </c>
      <c r="S297" s="3">
        <f>VLOOKUP(C297,[1]page!$C$2:$M$3071,11,0)</f>
        <v>84.71</v>
      </c>
      <c r="T297" s="6">
        <f t="shared" si="4"/>
        <v>0.10999999999999943</v>
      </c>
    </row>
    <row r="298" spans="1:20" x14ac:dyDescent="0.2">
      <c r="A298" t="s">
        <v>951</v>
      </c>
      <c r="B298" t="s">
        <v>970</v>
      </c>
      <c r="C298" t="s">
        <v>971</v>
      </c>
      <c r="D298" t="s">
        <v>972</v>
      </c>
      <c r="E298" t="s">
        <v>921</v>
      </c>
      <c r="F298" t="s">
        <v>23</v>
      </c>
      <c r="G298" s="1">
        <v>40</v>
      </c>
      <c r="H298" s="1">
        <v>6</v>
      </c>
      <c r="I298" t="s">
        <v>178</v>
      </c>
      <c r="L298" s="1">
        <v>1</v>
      </c>
      <c r="M298" s="3">
        <v>262.31</v>
      </c>
      <c r="N298" s="3">
        <v>13.12</v>
      </c>
      <c r="O298" s="3">
        <v>0</v>
      </c>
      <c r="P298" s="3">
        <v>0.2</v>
      </c>
      <c r="Q298" s="3">
        <v>275.63</v>
      </c>
      <c r="R298" s="3">
        <v>24.25</v>
      </c>
      <c r="S298" s="3">
        <f>VLOOKUP(C298,[1]page!$C$2:$M$3071,11,0)</f>
        <v>262.2</v>
      </c>
      <c r="T298" s="6">
        <f t="shared" si="4"/>
        <v>0.11000000000001364</v>
      </c>
    </row>
    <row r="299" spans="1:20" x14ac:dyDescent="0.2">
      <c r="A299" t="s">
        <v>973</v>
      </c>
      <c r="B299" t="s">
        <v>974</v>
      </c>
      <c r="C299" t="s">
        <v>975</v>
      </c>
      <c r="D299" t="s">
        <v>976</v>
      </c>
      <c r="E299" t="s">
        <v>977</v>
      </c>
      <c r="F299" t="s">
        <v>23</v>
      </c>
      <c r="G299" s="2">
        <v>42.5</v>
      </c>
      <c r="H299" s="1">
        <v>6</v>
      </c>
      <c r="I299" t="s">
        <v>600</v>
      </c>
      <c r="L299" s="1">
        <v>1</v>
      </c>
      <c r="M299" s="3">
        <v>42.25</v>
      </c>
      <c r="N299" s="3">
        <v>2.11</v>
      </c>
      <c r="O299" s="3">
        <v>0</v>
      </c>
      <c r="P299" s="3">
        <v>0.2</v>
      </c>
      <c r="Q299" s="3">
        <v>44.56</v>
      </c>
      <c r="R299" s="3">
        <v>24.25</v>
      </c>
      <c r="S299" s="3">
        <f>VLOOKUP(C299,[1]page!$C$2:$M$3071,11,0)</f>
        <v>42.05</v>
      </c>
      <c r="T299" s="6">
        <f t="shared" si="4"/>
        <v>0.20000000000000284</v>
      </c>
    </row>
    <row r="300" spans="1:20" x14ac:dyDescent="0.2">
      <c r="A300" t="s">
        <v>973</v>
      </c>
      <c r="B300" t="s">
        <v>978</v>
      </c>
      <c r="C300" t="s">
        <v>979</v>
      </c>
      <c r="D300" t="s">
        <v>980</v>
      </c>
      <c r="E300" t="s">
        <v>981</v>
      </c>
      <c r="F300" t="s">
        <v>23</v>
      </c>
      <c r="G300" s="2">
        <v>43.1</v>
      </c>
      <c r="H300" s="1">
        <v>6</v>
      </c>
      <c r="I300" t="s">
        <v>39</v>
      </c>
      <c r="L300" s="1">
        <v>1</v>
      </c>
      <c r="M300" s="3">
        <v>32.01</v>
      </c>
      <c r="N300" s="3">
        <v>1.6</v>
      </c>
      <c r="O300" s="3">
        <v>0</v>
      </c>
      <c r="P300" s="3">
        <v>0.2</v>
      </c>
      <c r="Q300" s="3">
        <v>33.81</v>
      </c>
      <c r="R300" s="3">
        <v>24.25</v>
      </c>
      <c r="S300" s="3">
        <f>VLOOKUP(C300,[1]page!$C$2:$M$3071,11,0)</f>
        <v>31.8</v>
      </c>
      <c r="T300" s="6">
        <f t="shared" si="4"/>
        <v>0.2099999999999973</v>
      </c>
    </row>
    <row r="301" spans="1:20" x14ac:dyDescent="0.2">
      <c r="A301" t="s">
        <v>982</v>
      </c>
      <c r="B301" t="s">
        <v>983</v>
      </c>
      <c r="C301" t="s">
        <v>984</v>
      </c>
      <c r="D301" t="s">
        <v>985</v>
      </c>
      <c r="E301" t="s">
        <v>986</v>
      </c>
      <c r="F301" t="s">
        <v>23</v>
      </c>
      <c r="G301" s="1">
        <v>40</v>
      </c>
      <c r="H301" s="1">
        <v>6</v>
      </c>
      <c r="I301" t="s">
        <v>444</v>
      </c>
      <c r="L301" s="1">
        <v>1</v>
      </c>
      <c r="M301" s="3">
        <v>25.5</v>
      </c>
      <c r="N301" s="3">
        <v>1.28</v>
      </c>
      <c r="O301" s="3">
        <v>0</v>
      </c>
      <c r="P301" s="3">
        <v>0.2</v>
      </c>
      <c r="Q301" s="3">
        <v>26.98</v>
      </c>
      <c r="R301" s="3">
        <v>24.25</v>
      </c>
      <c r="S301" s="3">
        <f>VLOOKUP(C301,[1]page!$C$2:$M$3071,11,0)</f>
        <v>25.5</v>
      </c>
      <c r="T301" s="6">
        <f t="shared" si="4"/>
        <v>0</v>
      </c>
    </row>
    <row r="302" spans="1:20" x14ac:dyDescent="0.2">
      <c r="A302" t="s">
        <v>982</v>
      </c>
      <c r="B302" t="s">
        <v>987</v>
      </c>
      <c r="C302" t="s">
        <v>988</v>
      </c>
      <c r="D302" t="s">
        <v>989</v>
      </c>
      <c r="E302" t="s">
        <v>977</v>
      </c>
      <c r="F302" t="s">
        <v>77</v>
      </c>
      <c r="G302" s="2">
        <v>42.5</v>
      </c>
      <c r="H302" s="1">
        <v>12</v>
      </c>
      <c r="I302" t="s">
        <v>600</v>
      </c>
      <c r="L302" s="1">
        <v>1</v>
      </c>
      <c r="M302" s="3">
        <v>22.79</v>
      </c>
      <c r="N302" s="3">
        <v>1.1399999999999999</v>
      </c>
      <c r="O302" s="3">
        <v>0</v>
      </c>
      <c r="P302" s="3">
        <v>0.2</v>
      </c>
      <c r="Q302" s="3">
        <v>24.13</v>
      </c>
      <c r="R302" s="3">
        <v>13.7</v>
      </c>
      <c r="S302" s="3">
        <f>VLOOKUP(C302,[1]page!$C$2:$M$3071,11,0)</f>
        <v>22.72</v>
      </c>
      <c r="T302" s="6">
        <f t="shared" si="4"/>
        <v>7.0000000000000284E-2</v>
      </c>
    </row>
    <row r="303" spans="1:20" x14ac:dyDescent="0.2">
      <c r="A303" t="s">
        <v>982</v>
      </c>
      <c r="B303" t="s">
        <v>990</v>
      </c>
      <c r="C303" t="s">
        <v>991</v>
      </c>
      <c r="D303" t="s">
        <v>992</v>
      </c>
      <c r="E303" t="s">
        <v>452</v>
      </c>
      <c r="F303" t="s">
        <v>65</v>
      </c>
      <c r="G303" s="1">
        <v>40</v>
      </c>
      <c r="H303" s="1">
        <v>9</v>
      </c>
      <c r="I303" t="s">
        <v>24</v>
      </c>
      <c r="L303" s="1">
        <v>1</v>
      </c>
      <c r="M303" s="3">
        <v>33.69</v>
      </c>
      <c r="N303" s="3">
        <v>1.68</v>
      </c>
      <c r="O303" s="3">
        <v>0</v>
      </c>
      <c r="P303" s="3">
        <v>0.4</v>
      </c>
      <c r="Q303" s="3">
        <v>35.770000000000003</v>
      </c>
      <c r="R303" s="3">
        <v>35.75</v>
      </c>
      <c r="S303" s="3">
        <f>VLOOKUP(C303,[1]page!$C$2:$M$3071,11,0)</f>
        <v>33</v>
      </c>
      <c r="T303" s="6">
        <f t="shared" si="4"/>
        <v>0.68999999999999773</v>
      </c>
    </row>
    <row r="304" spans="1:20" x14ac:dyDescent="0.2">
      <c r="A304" t="s">
        <v>993</v>
      </c>
      <c r="B304" t="s">
        <v>994</v>
      </c>
      <c r="C304" t="s">
        <v>995</v>
      </c>
      <c r="D304" t="s">
        <v>996</v>
      </c>
      <c r="E304" t="s">
        <v>997</v>
      </c>
      <c r="F304" t="s">
        <v>23</v>
      </c>
      <c r="G304" s="1">
        <v>40</v>
      </c>
      <c r="H304" s="1">
        <v>12</v>
      </c>
      <c r="I304" t="s">
        <v>24</v>
      </c>
      <c r="L304" s="1">
        <v>1</v>
      </c>
      <c r="M304" s="3">
        <v>22.19</v>
      </c>
      <c r="N304" s="3">
        <v>1.1100000000000001</v>
      </c>
      <c r="O304" s="3">
        <v>0</v>
      </c>
      <c r="P304" s="3">
        <v>0.2</v>
      </c>
      <c r="Q304" s="3">
        <v>23.5</v>
      </c>
      <c r="R304" s="3">
        <v>24.25</v>
      </c>
      <c r="S304" s="3">
        <f>VLOOKUP(C304,[1]page!$C$2:$M$3071,11,0)</f>
        <v>22</v>
      </c>
      <c r="T304" s="6">
        <f t="shared" si="4"/>
        <v>0.19000000000000128</v>
      </c>
    </row>
    <row r="305" spans="1:20" x14ac:dyDescent="0.2">
      <c r="A305" t="s">
        <v>993</v>
      </c>
      <c r="B305" t="s">
        <v>998</v>
      </c>
      <c r="C305" t="s">
        <v>999</v>
      </c>
      <c r="D305" t="s">
        <v>1000</v>
      </c>
      <c r="E305" t="s">
        <v>103</v>
      </c>
      <c r="F305" t="s">
        <v>65</v>
      </c>
      <c r="G305" s="1">
        <v>40</v>
      </c>
      <c r="H305" s="1">
        <v>12</v>
      </c>
      <c r="I305" t="s">
        <v>51</v>
      </c>
      <c r="L305" s="1">
        <v>1</v>
      </c>
      <c r="M305" s="3">
        <v>31.99</v>
      </c>
      <c r="N305" s="3">
        <v>1.6</v>
      </c>
      <c r="O305" s="3">
        <v>0</v>
      </c>
      <c r="P305" s="3">
        <v>0.25</v>
      </c>
      <c r="Q305" s="3">
        <v>33.840000000000003</v>
      </c>
      <c r="R305" s="3">
        <v>35.75</v>
      </c>
      <c r="S305" s="3">
        <f>VLOOKUP(C305,[1]page!$C$2:$M$3071,11,0)</f>
        <v>31.53</v>
      </c>
      <c r="T305" s="6">
        <f t="shared" si="4"/>
        <v>0.4599999999999973</v>
      </c>
    </row>
    <row r="306" spans="1:20" x14ac:dyDescent="0.2">
      <c r="A306" t="s">
        <v>1001</v>
      </c>
      <c r="B306" t="s">
        <v>1002</v>
      </c>
      <c r="C306" t="s">
        <v>1003</v>
      </c>
      <c r="D306" t="s">
        <v>1004</v>
      </c>
      <c r="E306" t="s">
        <v>1005</v>
      </c>
      <c r="F306" t="s">
        <v>23</v>
      </c>
      <c r="G306" s="1">
        <v>43</v>
      </c>
      <c r="H306" s="1">
        <v>6</v>
      </c>
      <c r="I306" t="s">
        <v>1006</v>
      </c>
      <c r="L306" s="1">
        <v>1</v>
      </c>
      <c r="M306" s="3">
        <v>43.81</v>
      </c>
      <c r="N306" s="3">
        <v>2.19</v>
      </c>
      <c r="O306" s="3">
        <v>0</v>
      </c>
      <c r="P306" s="3">
        <v>0.2</v>
      </c>
      <c r="Q306" s="3">
        <v>46.2</v>
      </c>
      <c r="R306" s="3">
        <v>24.25</v>
      </c>
      <c r="S306" s="3">
        <f>VLOOKUP(C306,[1]page!$C$2:$M$3071,11,0)</f>
        <v>43.67</v>
      </c>
      <c r="T306" s="6">
        <f t="shared" si="4"/>
        <v>0.14000000000000057</v>
      </c>
    </row>
    <row r="307" spans="1:20" x14ac:dyDescent="0.2">
      <c r="A307" t="s">
        <v>1007</v>
      </c>
      <c r="B307" t="s">
        <v>1008</v>
      </c>
      <c r="C307" t="s">
        <v>1009</v>
      </c>
      <c r="D307" t="s">
        <v>1010</v>
      </c>
      <c r="E307" t="s">
        <v>1011</v>
      </c>
      <c r="F307" t="s">
        <v>23</v>
      </c>
      <c r="G307" s="1">
        <v>43</v>
      </c>
      <c r="H307" s="1">
        <v>6</v>
      </c>
      <c r="I307" t="s">
        <v>62</v>
      </c>
      <c r="L307" s="1">
        <v>1</v>
      </c>
      <c r="M307" s="3">
        <v>40.21</v>
      </c>
      <c r="N307" s="3">
        <v>2.0099999999999998</v>
      </c>
      <c r="O307" s="3">
        <v>0</v>
      </c>
      <c r="P307" s="3">
        <v>0.2</v>
      </c>
      <c r="Q307" s="3">
        <v>42.42</v>
      </c>
      <c r="R307" s="3">
        <v>24.25</v>
      </c>
      <c r="S307" s="3">
        <f>VLOOKUP(C307,[1]page!$C$2:$M$3071,11,0)</f>
        <v>40.01</v>
      </c>
      <c r="T307" s="6">
        <f t="shared" si="4"/>
        <v>0.20000000000000284</v>
      </c>
    </row>
    <row r="308" spans="1:20" x14ac:dyDescent="0.2">
      <c r="A308" t="s">
        <v>1012</v>
      </c>
      <c r="B308" t="s">
        <v>1013</v>
      </c>
      <c r="C308" t="s">
        <v>1014</v>
      </c>
      <c r="D308" t="s">
        <v>1015</v>
      </c>
      <c r="E308" t="s">
        <v>1016</v>
      </c>
      <c r="F308" t="s">
        <v>396</v>
      </c>
      <c r="G308" s="1">
        <v>43</v>
      </c>
      <c r="H308" s="1">
        <v>6</v>
      </c>
      <c r="I308" t="s">
        <v>62</v>
      </c>
      <c r="L308" s="1">
        <v>1</v>
      </c>
      <c r="M308" s="3">
        <v>44.15</v>
      </c>
      <c r="N308" s="3">
        <v>2.21</v>
      </c>
      <c r="O308" s="3">
        <v>0</v>
      </c>
      <c r="P308" s="3">
        <v>0.2</v>
      </c>
      <c r="Q308" s="3">
        <v>46.56</v>
      </c>
      <c r="R308" s="3">
        <v>22.65</v>
      </c>
      <c r="S308" s="3">
        <f>VLOOKUP(C308,[1]page!$C$2:$M$3071,11,0)</f>
        <v>44.01</v>
      </c>
      <c r="T308" s="6">
        <f t="shared" si="4"/>
        <v>0.14000000000000057</v>
      </c>
    </row>
    <row r="309" spans="1:20" x14ac:dyDescent="0.2">
      <c r="A309" t="s">
        <v>1017</v>
      </c>
      <c r="B309" t="s">
        <v>1018</v>
      </c>
      <c r="C309" t="s">
        <v>1019</v>
      </c>
      <c r="D309" t="s">
        <v>1020</v>
      </c>
      <c r="E309" t="s">
        <v>707</v>
      </c>
      <c r="F309" t="s">
        <v>23</v>
      </c>
      <c r="G309" s="1">
        <v>44</v>
      </c>
      <c r="H309" s="1">
        <v>12</v>
      </c>
      <c r="I309" t="s">
        <v>34</v>
      </c>
      <c r="L309" s="1">
        <v>1</v>
      </c>
      <c r="M309" s="3">
        <v>42.63</v>
      </c>
      <c r="N309" s="3">
        <v>2.13</v>
      </c>
      <c r="O309" s="3">
        <v>0</v>
      </c>
      <c r="P309" s="3">
        <v>0.2</v>
      </c>
      <c r="Q309" s="3">
        <v>44.96</v>
      </c>
      <c r="R309" s="3">
        <v>24.25</v>
      </c>
      <c r="S309" s="3">
        <f>VLOOKUP(C309,[1]page!$C$2:$M$3071,11,0)</f>
        <v>42.42</v>
      </c>
      <c r="T309" s="6">
        <f t="shared" si="4"/>
        <v>0.21000000000000085</v>
      </c>
    </row>
    <row r="310" spans="1:20" x14ac:dyDescent="0.2">
      <c r="A310" t="s">
        <v>1017</v>
      </c>
      <c r="B310" t="s">
        <v>1021</v>
      </c>
      <c r="C310" t="s">
        <v>1022</v>
      </c>
      <c r="D310" t="s">
        <v>1023</v>
      </c>
      <c r="E310" t="s">
        <v>788</v>
      </c>
      <c r="F310" t="s">
        <v>23</v>
      </c>
      <c r="G310" s="2">
        <v>47.3</v>
      </c>
      <c r="H310" s="1">
        <v>12</v>
      </c>
      <c r="I310" t="s">
        <v>24</v>
      </c>
      <c r="L310" s="1">
        <v>1</v>
      </c>
      <c r="M310" s="3">
        <v>40.99</v>
      </c>
      <c r="N310" s="3">
        <v>2.0499999999999998</v>
      </c>
      <c r="O310" s="3">
        <v>0</v>
      </c>
      <c r="P310" s="3">
        <v>0.2</v>
      </c>
      <c r="Q310" s="3">
        <v>43.24</v>
      </c>
      <c r="R310" s="3">
        <v>30.35</v>
      </c>
      <c r="S310" s="3">
        <f>VLOOKUP(C310,[1]page!$C$2:$M$3071,11,0)</f>
        <v>40.96</v>
      </c>
      <c r="T310" s="6">
        <f t="shared" si="4"/>
        <v>3.0000000000001137E-2</v>
      </c>
    </row>
    <row r="311" spans="1:20" x14ac:dyDescent="0.2">
      <c r="A311" t="s">
        <v>1024</v>
      </c>
      <c r="B311" t="s">
        <v>1025</v>
      </c>
      <c r="C311" t="s">
        <v>1026</v>
      </c>
      <c r="D311" t="s">
        <v>1027</v>
      </c>
      <c r="E311" t="s">
        <v>1028</v>
      </c>
      <c r="F311" t="s">
        <v>23</v>
      </c>
      <c r="G311" s="1">
        <v>40</v>
      </c>
      <c r="H311" s="1">
        <v>12</v>
      </c>
      <c r="I311" t="s">
        <v>39</v>
      </c>
      <c r="L311" s="1">
        <v>1</v>
      </c>
      <c r="M311" s="3">
        <v>24</v>
      </c>
      <c r="N311" s="3">
        <v>1.2</v>
      </c>
      <c r="O311" s="3">
        <v>0</v>
      </c>
      <c r="P311" s="3">
        <v>0.2</v>
      </c>
      <c r="Q311" s="3">
        <v>25.4</v>
      </c>
      <c r="R311" s="3">
        <v>24.25</v>
      </c>
      <c r="S311" s="3">
        <f>VLOOKUP(C311,[1]page!$C$2:$M$3071,11,0)</f>
        <v>23.8</v>
      </c>
      <c r="T311" s="6">
        <f t="shared" si="4"/>
        <v>0.19999999999999929</v>
      </c>
    </row>
    <row r="312" spans="1:20" x14ac:dyDescent="0.2">
      <c r="A312" t="s">
        <v>1024</v>
      </c>
      <c r="B312" t="s">
        <v>1029</v>
      </c>
      <c r="C312" t="s">
        <v>1030</v>
      </c>
      <c r="D312" t="s">
        <v>1027</v>
      </c>
      <c r="E312" t="s">
        <v>1028</v>
      </c>
      <c r="F312" t="s">
        <v>65</v>
      </c>
      <c r="G312" s="1">
        <v>40</v>
      </c>
      <c r="H312" s="1">
        <v>6</v>
      </c>
      <c r="I312" t="s">
        <v>39</v>
      </c>
      <c r="L312" s="1">
        <v>1</v>
      </c>
      <c r="M312" s="3">
        <v>35.5</v>
      </c>
      <c r="N312" s="3">
        <v>1.78</v>
      </c>
      <c r="O312" s="3">
        <v>0</v>
      </c>
      <c r="P312" s="3">
        <v>0.4</v>
      </c>
      <c r="Q312" s="3">
        <v>37.68</v>
      </c>
      <c r="R312" s="3">
        <v>35.75</v>
      </c>
      <c r="S312" s="3">
        <f>VLOOKUP(C312,[1]page!$C$2:$M$3071,11,0)</f>
        <v>35.21</v>
      </c>
      <c r="T312" s="6">
        <f t="shared" si="4"/>
        <v>0.28999999999999915</v>
      </c>
    </row>
    <row r="313" spans="1:20" x14ac:dyDescent="0.2">
      <c r="A313" t="s">
        <v>1024</v>
      </c>
      <c r="B313" t="s">
        <v>1031</v>
      </c>
      <c r="C313" t="s">
        <v>1032</v>
      </c>
      <c r="D313" t="s">
        <v>1033</v>
      </c>
      <c r="E313" t="s">
        <v>986</v>
      </c>
      <c r="F313" t="s">
        <v>23</v>
      </c>
      <c r="G313" s="1">
        <v>43</v>
      </c>
      <c r="H313" s="1">
        <v>6</v>
      </c>
      <c r="I313" t="s">
        <v>444</v>
      </c>
      <c r="L313" s="1">
        <v>1</v>
      </c>
      <c r="M313" s="3">
        <v>25.5</v>
      </c>
      <c r="N313" s="3">
        <v>1.28</v>
      </c>
      <c r="O313" s="3">
        <v>0</v>
      </c>
      <c r="P313" s="3">
        <v>0.2</v>
      </c>
      <c r="Q313" s="3">
        <v>26.98</v>
      </c>
      <c r="R313" s="3">
        <v>24.25</v>
      </c>
      <c r="S313" s="3">
        <f>VLOOKUP(C313,[1]page!$C$2:$M$3071,11,0)</f>
        <v>25.5</v>
      </c>
      <c r="T313" s="6">
        <f t="shared" si="4"/>
        <v>0</v>
      </c>
    </row>
    <row r="314" spans="1:20" x14ac:dyDescent="0.2">
      <c r="A314" t="s">
        <v>1024</v>
      </c>
      <c r="B314" t="s">
        <v>1034</v>
      </c>
      <c r="C314" t="s">
        <v>1035</v>
      </c>
      <c r="D314" t="s">
        <v>1036</v>
      </c>
      <c r="E314" t="s">
        <v>1037</v>
      </c>
      <c r="F314" t="s">
        <v>77</v>
      </c>
      <c r="G314" s="1">
        <v>40</v>
      </c>
      <c r="H314" s="1">
        <v>12</v>
      </c>
      <c r="I314" t="s">
        <v>444</v>
      </c>
      <c r="L314" s="1">
        <v>1</v>
      </c>
      <c r="M314" s="3">
        <v>13.5</v>
      </c>
      <c r="N314" s="3">
        <v>0.68</v>
      </c>
      <c r="O314" s="3">
        <v>0</v>
      </c>
      <c r="P314" s="3">
        <v>0.2</v>
      </c>
      <c r="Q314" s="3">
        <v>14.38</v>
      </c>
      <c r="R314" s="3">
        <v>13.7</v>
      </c>
      <c r="S314" s="3">
        <f>VLOOKUP(C314,[1]page!$C$2:$M$3071,11,0)</f>
        <v>13.5</v>
      </c>
      <c r="T314" s="6">
        <f t="shared" si="4"/>
        <v>0</v>
      </c>
    </row>
    <row r="315" spans="1:20" x14ac:dyDescent="0.2">
      <c r="A315" t="s">
        <v>1024</v>
      </c>
      <c r="B315" t="s">
        <v>1038</v>
      </c>
      <c r="C315" t="s">
        <v>1039</v>
      </c>
      <c r="D315" t="s">
        <v>1036</v>
      </c>
      <c r="E315" t="s">
        <v>1037</v>
      </c>
      <c r="F315" t="s">
        <v>23</v>
      </c>
      <c r="G315" s="1">
        <v>40</v>
      </c>
      <c r="H315" s="1">
        <v>12</v>
      </c>
      <c r="I315" t="s">
        <v>444</v>
      </c>
      <c r="L315" s="1">
        <v>1</v>
      </c>
      <c r="M315" s="3">
        <v>25</v>
      </c>
      <c r="N315" s="3">
        <v>1.25</v>
      </c>
      <c r="O315" s="3">
        <v>0</v>
      </c>
      <c r="P315" s="3">
        <v>0.2</v>
      </c>
      <c r="Q315" s="3">
        <v>26.45</v>
      </c>
      <c r="R315" s="3">
        <v>24.25</v>
      </c>
      <c r="S315" s="3">
        <f>VLOOKUP(C315,[1]page!$C$2:$M$3071,11,0)</f>
        <v>25</v>
      </c>
      <c r="T315" s="6">
        <f t="shared" si="4"/>
        <v>0</v>
      </c>
    </row>
    <row r="316" spans="1:20" x14ac:dyDescent="0.2">
      <c r="A316" t="s">
        <v>1024</v>
      </c>
      <c r="B316" t="s">
        <v>1040</v>
      </c>
      <c r="C316" t="s">
        <v>1041</v>
      </c>
      <c r="D316" t="s">
        <v>1036</v>
      </c>
      <c r="E316" t="s">
        <v>1037</v>
      </c>
      <c r="F316" t="s">
        <v>65</v>
      </c>
      <c r="G316" s="1">
        <v>40</v>
      </c>
      <c r="H316" s="1">
        <v>6</v>
      </c>
      <c r="I316" t="s">
        <v>444</v>
      </c>
      <c r="L316" s="1">
        <v>1</v>
      </c>
      <c r="M316" s="3">
        <v>37.25</v>
      </c>
      <c r="N316" s="3">
        <v>1.86</v>
      </c>
      <c r="O316" s="3">
        <v>0</v>
      </c>
      <c r="P316" s="3">
        <v>0.4</v>
      </c>
      <c r="Q316" s="3">
        <v>39.51</v>
      </c>
      <c r="R316" s="3">
        <v>35.75</v>
      </c>
      <c r="S316" s="3">
        <f>VLOOKUP(C316,[1]page!$C$2:$M$3071,11,0)</f>
        <v>37.25</v>
      </c>
      <c r="T316" s="6">
        <f t="shared" si="4"/>
        <v>0</v>
      </c>
    </row>
    <row r="317" spans="1:20" x14ac:dyDescent="0.2">
      <c r="A317" t="s">
        <v>1024</v>
      </c>
      <c r="B317" t="s">
        <v>1042</v>
      </c>
      <c r="C317" t="s">
        <v>1043</v>
      </c>
      <c r="D317" t="s">
        <v>1036</v>
      </c>
      <c r="E317" t="s">
        <v>1037</v>
      </c>
      <c r="F317" t="s">
        <v>84</v>
      </c>
      <c r="G317" s="1">
        <v>40</v>
      </c>
      <c r="H317" s="1">
        <v>6</v>
      </c>
      <c r="I317" t="s">
        <v>444</v>
      </c>
      <c r="L317" s="1">
        <v>1</v>
      </c>
      <c r="M317" s="3">
        <v>52.75</v>
      </c>
      <c r="N317" s="3">
        <v>2.64</v>
      </c>
      <c r="O317" s="3">
        <v>0</v>
      </c>
      <c r="P317" s="3">
        <v>0.4</v>
      </c>
      <c r="Q317" s="3">
        <v>55.79</v>
      </c>
      <c r="R317" s="3">
        <v>53.75</v>
      </c>
      <c r="S317" s="3">
        <f>VLOOKUP(C317,[1]page!$C$2:$M$3071,11,0)</f>
        <v>52.75</v>
      </c>
      <c r="T317" s="6">
        <f t="shared" si="4"/>
        <v>0</v>
      </c>
    </row>
    <row r="318" spans="1:20" x14ac:dyDescent="0.2">
      <c r="A318" t="s">
        <v>1024</v>
      </c>
      <c r="B318" t="s">
        <v>1044</v>
      </c>
      <c r="C318" t="s">
        <v>1045</v>
      </c>
      <c r="D318" t="s">
        <v>1046</v>
      </c>
      <c r="E318" t="s">
        <v>1047</v>
      </c>
      <c r="F318" t="s">
        <v>23</v>
      </c>
      <c r="G318" s="2">
        <v>45.2</v>
      </c>
      <c r="H318" s="1">
        <v>12</v>
      </c>
      <c r="I318" t="s">
        <v>156</v>
      </c>
      <c r="L318" s="1">
        <v>1</v>
      </c>
      <c r="M318" s="3">
        <v>23.99</v>
      </c>
      <c r="N318" s="3">
        <v>1.2</v>
      </c>
      <c r="O318" s="3">
        <v>0</v>
      </c>
      <c r="P318" s="3">
        <v>0.2</v>
      </c>
      <c r="Q318" s="3">
        <v>25.39</v>
      </c>
      <c r="R318" s="3">
        <v>30.35</v>
      </c>
      <c r="S318" s="3">
        <f>VLOOKUP(C318,[1]page!$C$2:$M$3071,11,0)</f>
        <v>23.61</v>
      </c>
      <c r="T318" s="6">
        <f t="shared" si="4"/>
        <v>0.37999999999999901</v>
      </c>
    </row>
    <row r="319" spans="1:20" x14ac:dyDescent="0.2">
      <c r="A319" t="s">
        <v>1024</v>
      </c>
      <c r="B319" t="s">
        <v>1048</v>
      </c>
      <c r="C319" t="s">
        <v>1049</v>
      </c>
      <c r="D319" t="s">
        <v>1050</v>
      </c>
      <c r="E319" t="s">
        <v>452</v>
      </c>
      <c r="F319" t="s">
        <v>23</v>
      </c>
      <c r="G319" s="2">
        <v>41.3</v>
      </c>
      <c r="H319" s="1">
        <v>12</v>
      </c>
      <c r="I319" t="s">
        <v>24</v>
      </c>
      <c r="L319" s="1">
        <v>1</v>
      </c>
      <c r="M319" s="3">
        <v>25.49</v>
      </c>
      <c r="N319" s="3">
        <v>1.27</v>
      </c>
      <c r="O319" s="3">
        <v>0</v>
      </c>
      <c r="P319" s="3">
        <v>0.2</v>
      </c>
      <c r="Q319" s="3">
        <v>26.96</v>
      </c>
      <c r="R319" s="3">
        <v>24.25</v>
      </c>
      <c r="S319" s="3">
        <f>VLOOKUP(C319,[1]page!$C$2:$M$3071,11,0)</f>
        <v>24.99</v>
      </c>
      <c r="T319" s="6">
        <f t="shared" si="4"/>
        <v>0.5</v>
      </c>
    </row>
    <row r="320" spans="1:20" x14ac:dyDescent="0.2">
      <c r="A320" t="s">
        <v>1024</v>
      </c>
      <c r="B320" t="s">
        <v>1051</v>
      </c>
      <c r="C320" t="s">
        <v>1052</v>
      </c>
      <c r="D320" t="s">
        <v>1053</v>
      </c>
      <c r="E320" t="s">
        <v>788</v>
      </c>
      <c r="F320" t="s">
        <v>77</v>
      </c>
      <c r="G320" s="1">
        <v>40</v>
      </c>
      <c r="H320" s="1">
        <v>24</v>
      </c>
      <c r="I320" t="s">
        <v>24</v>
      </c>
      <c r="L320" s="1">
        <v>1</v>
      </c>
      <c r="M320" s="3">
        <v>12.99</v>
      </c>
      <c r="N320" s="3">
        <v>0.65</v>
      </c>
      <c r="O320" s="3">
        <v>0</v>
      </c>
      <c r="P320" s="3">
        <v>0.2</v>
      </c>
      <c r="Q320" s="3">
        <v>13.84</v>
      </c>
      <c r="R320" s="3">
        <v>13.7</v>
      </c>
      <c r="S320" s="3">
        <f>VLOOKUP(C320,[1]page!$C$2:$M$3071,11,0)</f>
        <v>13</v>
      </c>
      <c r="T320" s="6">
        <f t="shared" ref="T320:T382" si="5">SUM(M320-S320)</f>
        <v>-9.9999999999997868E-3</v>
      </c>
    </row>
    <row r="321" spans="1:20" x14ac:dyDescent="0.2">
      <c r="A321" t="s">
        <v>1024</v>
      </c>
      <c r="B321" t="s">
        <v>1054</v>
      </c>
      <c r="C321" t="s">
        <v>1055</v>
      </c>
      <c r="D321" t="s">
        <v>1053</v>
      </c>
      <c r="E321" t="s">
        <v>788</v>
      </c>
      <c r="F321" t="s">
        <v>23</v>
      </c>
      <c r="G321" s="1">
        <v>40</v>
      </c>
      <c r="H321" s="1">
        <v>12</v>
      </c>
      <c r="I321" t="s">
        <v>24</v>
      </c>
      <c r="L321" s="1">
        <v>1</v>
      </c>
      <c r="M321" s="3">
        <v>24.99</v>
      </c>
      <c r="N321" s="3">
        <v>1.25</v>
      </c>
      <c r="O321" s="3">
        <v>0</v>
      </c>
      <c r="P321" s="3">
        <v>0.2</v>
      </c>
      <c r="Q321" s="3">
        <v>26.44</v>
      </c>
      <c r="R321" s="3">
        <v>24.25</v>
      </c>
      <c r="S321" s="3">
        <f>VLOOKUP(C321,[1]page!$C$2:$M$3071,11,0)</f>
        <v>24.48</v>
      </c>
      <c r="T321" s="6">
        <f t="shared" si="5"/>
        <v>0.50999999999999801</v>
      </c>
    </row>
    <row r="322" spans="1:20" x14ac:dyDescent="0.2">
      <c r="A322" t="s">
        <v>1024</v>
      </c>
      <c r="B322" t="s">
        <v>1056</v>
      </c>
      <c r="C322" t="s">
        <v>1057</v>
      </c>
      <c r="D322" t="s">
        <v>1053</v>
      </c>
      <c r="E322" t="s">
        <v>788</v>
      </c>
      <c r="F322" t="s">
        <v>65</v>
      </c>
      <c r="G322" s="1">
        <v>40</v>
      </c>
      <c r="H322" s="1">
        <v>6</v>
      </c>
      <c r="I322" t="s">
        <v>24</v>
      </c>
      <c r="L322" s="1">
        <v>1</v>
      </c>
      <c r="M322" s="3">
        <v>36.99</v>
      </c>
      <c r="N322" s="3">
        <v>1.85</v>
      </c>
      <c r="O322" s="3">
        <v>0</v>
      </c>
      <c r="P322" s="3">
        <v>0.4</v>
      </c>
      <c r="Q322" s="3">
        <v>39.24</v>
      </c>
      <c r="R322" s="3">
        <v>35.75</v>
      </c>
      <c r="S322" s="3">
        <f>VLOOKUP(C322,[1]page!$C$2:$M$3071,11,0)</f>
        <v>36.450000000000003</v>
      </c>
      <c r="T322" s="6">
        <f t="shared" si="5"/>
        <v>0.53999999999999915</v>
      </c>
    </row>
    <row r="323" spans="1:20" x14ac:dyDescent="0.2">
      <c r="A323" t="s">
        <v>1024</v>
      </c>
      <c r="B323" t="s">
        <v>1058</v>
      </c>
      <c r="C323" t="s">
        <v>1059</v>
      </c>
      <c r="D323" t="s">
        <v>1053</v>
      </c>
      <c r="E323" t="s">
        <v>788</v>
      </c>
      <c r="F323" t="s">
        <v>84</v>
      </c>
      <c r="G323" s="1">
        <v>40</v>
      </c>
      <c r="H323" s="1">
        <v>6</v>
      </c>
      <c r="I323" t="s">
        <v>24</v>
      </c>
      <c r="L323" s="1">
        <v>1</v>
      </c>
      <c r="M323" s="3">
        <v>51.99</v>
      </c>
      <c r="N323" s="3">
        <v>2.6</v>
      </c>
      <c r="O323" s="3">
        <v>0</v>
      </c>
      <c r="P323" s="3">
        <v>0.4</v>
      </c>
      <c r="Q323" s="3">
        <v>54.99</v>
      </c>
      <c r="R323" s="3">
        <v>53.75</v>
      </c>
      <c r="S323" s="3">
        <f>VLOOKUP(C323,[1]page!$C$2:$M$3071,11,0)</f>
        <v>52.01</v>
      </c>
      <c r="T323" s="6">
        <f t="shared" si="5"/>
        <v>-1.9999999999996021E-2</v>
      </c>
    </row>
    <row r="324" spans="1:20" x14ac:dyDescent="0.2">
      <c r="A324" t="s">
        <v>1024</v>
      </c>
      <c r="B324" t="s">
        <v>1060</v>
      </c>
      <c r="C324" t="s">
        <v>1061</v>
      </c>
      <c r="D324" t="s">
        <v>1062</v>
      </c>
      <c r="E324" t="s">
        <v>788</v>
      </c>
      <c r="F324" t="s">
        <v>23</v>
      </c>
      <c r="G324" s="2">
        <v>41.3</v>
      </c>
      <c r="H324" s="1">
        <v>12</v>
      </c>
      <c r="I324" t="s">
        <v>24</v>
      </c>
      <c r="L324" s="1">
        <v>1</v>
      </c>
      <c r="M324" s="3">
        <v>25.49</v>
      </c>
      <c r="N324" s="3">
        <v>1.27</v>
      </c>
      <c r="O324" s="3">
        <v>0</v>
      </c>
      <c r="P324" s="3">
        <v>0.2</v>
      </c>
      <c r="Q324" s="3">
        <v>26.96</v>
      </c>
      <c r="R324" s="3">
        <v>24.25</v>
      </c>
      <c r="S324" s="3">
        <f>VLOOKUP(C324,[1]page!$C$2:$M$3071,11,0)</f>
        <v>24.96</v>
      </c>
      <c r="T324" s="6">
        <f t="shared" si="5"/>
        <v>0.52999999999999758</v>
      </c>
    </row>
    <row r="325" spans="1:20" x14ac:dyDescent="0.2">
      <c r="A325" t="s">
        <v>1024</v>
      </c>
      <c r="B325" t="s">
        <v>1063</v>
      </c>
      <c r="C325" t="s">
        <v>1064</v>
      </c>
      <c r="D325" t="s">
        <v>1065</v>
      </c>
      <c r="E325" t="s">
        <v>921</v>
      </c>
      <c r="F325" t="s">
        <v>396</v>
      </c>
      <c r="G325" s="1">
        <v>46</v>
      </c>
      <c r="H325" s="1">
        <v>6</v>
      </c>
      <c r="I325" t="s">
        <v>178</v>
      </c>
      <c r="L325" s="1">
        <v>1</v>
      </c>
      <c r="M325" s="3">
        <v>55.86</v>
      </c>
      <c r="N325" s="3">
        <v>2.79</v>
      </c>
      <c r="O325" s="3">
        <v>0</v>
      </c>
      <c r="P325" s="3">
        <v>0.2</v>
      </c>
      <c r="Q325" s="3">
        <v>58.85</v>
      </c>
      <c r="R325" s="3">
        <v>28.35</v>
      </c>
      <c r="S325" s="3">
        <f>VLOOKUP(C325,[1]page!$C$2:$M$3071,11,0)</f>
        <v>55.75</v>
      </c>
      <c r="T325" s="6">
        <f t="shared" si="5"/>
        <v>0.10999999999999943</v>
      </c>
    </row>
    <row r="326" spans="1:20" x14ac:dyDescent="0.2">
      <c r="A326" t="s">
        <v>1066</v>
      </c>
      <c r="B326" t="s">
        <v>1067</v>
      </c>
      <c r="C326" t="s">
        <v>1068</v>
      </c>
      <c r="D326" t="s">
        <v>1069</v>
      </c>
      <c r="E326" t="s">
        <v>1069</v>
      </c>
      <c r="F326" t="s">
        <v>23</v>
      </c>
      <c r="G326" s="1">
        <v>42</v>
      </c>
      <c r="H326" s="1">
        <v>6</v>
      </c>
      <c r="I326" t="s">
        <v>24</v>
      </c>
      <c r="L326" s="1">
        <v>1</v>
      </c>
      <c r="M326" s="3">
        <v>34.49</v>
      </c>
      <c r="N326" s="3">
        <v>1.72</v>
      </c>
      <c r="O326" s="3">
        <v>0</v>
      </c>
      <c r="P326" s="3">
        <v>0.2</v>
      </c>
      <c r="Q326" s="3">
        <v>36.409999999999997</v>
      </c>
      <c r="R326" s="3">
        <v>24.25</v>
      </c>
      <c r="S326" s="3">
        <f>VLOOKUP(C326,[1]page!$C$2:$M$3071,11,0)</f>
        <v>39.76</v>
      </c>
      <c r="T326" s="6">
        <f t="shared" si="5"/>
        <v>-5.269999999999996</v>
      </c>
    </row>
    <row r="327" spans="1:20" x14ac:dyDescent="0.2">
      <c r="A327" t="s">
        <v>982</v>
      </c>
      <c r="B327" t="s">
        <v>1070</v>
      </c>
      <c r="C327" t="s">
        <v>1071</v>
      </c>
      <c r="D327" t="s">
        <v>1072</v>
      </c>
      <c r="E327" t="s">
        <v>1073</v>
      </c>
      <c r="F327" t="s">
        <v>23</v>
      </c>
      <c r="G327" s="1">
        <v>40</v>
      </c>
      <c r="H327" s="1">
        <v>6</v>
      </c>
      <c r="I327" t="s">
        <v>1074</v>
      </c>
      <c r="L327" s="1">
        <v>1</v>
      </c>
      <c r="M327" s="3">
        <v>31.44</v>
      </c>
      <c r="N327" s="3">
        <v>1.57</v>
      </c>
      <c r="O327" s="3">
        <v>0</v>
      </c>
      <c r="P327" s="3">
        <v>0.2</v>
      </c>
      <c r="Q327" s="3">
        <v>33.21</v>
      </c>
      <c r="R327" s="3">
        <v>24.25</v>
      </c>
      <c r="S327" s="3">
        <f>VLOOKUP(C327,[1]page!$C$2:$M$3071,11,0)</f>
        <v>31.25</v>
      </c>
      <c r="T327" s="6">
        <f t="shared" si="5"/>
        <v>0.19000000000000128</v>
      </c>
    </row>
    <row r="328" spans="1:20" x14ac:dyDescent="0.2">
      <c r="A328" t="s">
        <v>982</v>
      </c>
      <c r="B328" t="s">
        <v>1075</v>
      </c>
      <c r="C328" t="s">
        <v>1076</v>
      </c>
      <c r="D328" t="s">
        <v>1077</v>
      </c>
      <c r="E328" t="s">
        <v>1073</v>
      </c>
      <c r="F328" t="s">
        <v>23</v>
      </c>
      <c r="G328" s="1">
        <v>40</v>
      </c>
      <c r="H328" s="1">
        <v>6</v>
      </c>
      <c r="I328" t="s">
        <v>1074</v>
      </c>
      <c r="L328" s="1">
        <v>1</v>
      </c>
      <c r="M328" s="3">
        <v>31.44</v>
      </c>
      <c r="N328" s="3">
        <v>1.57</v>
      </c>
      <c r="O328" s="3">
        <v>0</v>
      </c>
      <c r="P328" s="3">
        <v>0.2</v>
      </c>
      <c r="Q328" s="3">
        <v>33.21</v>
      </c>
      <c r="R328" s="3">
        <v>24.25</v>
      </c>
      <c r="S328" s="3">
        <f>VLOOKUP(C328,[1]page!$C$2:$M$3071,11,0)</f>
        <v>31.25</v>
      </c>
      <c r="T328" s="6">
        <f t="shared" si="5"/>
        <v>0.19000000000000128</v>
      </c>
    </row>
    <row r="329" spans="1:20" x14ac:dyDescent="0.2">
      <c r="A329" t="s">
        <v>982</v>
      </c>
      <c r="B329" t="s">
        <v>1078</v>
      </c>
      <c r="C329" t="s">
        <v>1079</v>
      </c>
      <c r="D329" t="s">
        <v>1080</v>
      </c>
      <c r="E329" t="s">
        <v>977</v>
      </c>
      <c r="F329" t="s">
        <v>23</v>
      </c>
      <c r="G329" s="2">
        <v>42.5</v>
      </c>
      <c r="H329" s="1">
        <v>6</v>
      </c>
      <c r="I329" t="s">
        <v>600</v>
      </c>
      <c r="L329" s="1">
        <v>1</v>
      </c>
      <c r="M329" s="3">
        <v>42.25</v>
      </c>
      <c r="N329" s="3">
        <v>2.11</v>
      </c>
      <c r="O329" s="3">
        <v>0</v>
      </c>
      <c r="P329" s="3">
        <v>0.2</v>
      </c>
      <c r="Q329" s="3">
        <v>44.56</v>
      </c>
      <c r="R329" s="3">
        <v>24.25</v>
      </c>
      <c r="S329" s="3">
        <f>VLOOKUP(C329,[1]page!$C$2:$M$3071,11,0)</f>
        <v>42.05</v>
      </c>
      <c r="T329" s="6">
        <f t="shared" si="5"/>
        <v>0.20000000000000284</v>
      </c>
    </row>
    <row r="330" spans="1:20" x14ac:dyDescent="0.2">
      <c r="A330" t="s">
        <v>982</v>
      </c>
      <c r="B330" t="s">
        <v>1081</v>
      </c>
      <c r="C330" t="s">
        <v>1082</v>
      </c>
      <c r="D330" t="s">
        <v>1083</v>
      </c>
      <c r="E330" t="s">
        <v>977</v>
      </c>
      <c r="F330" t="s">
        <v>23</v>
      </c>
      <c r="G330" s="2">
        <v>42.5</v>
      </c>
      <c r="H330" s="1">
        <v>6</v>
      </c>
      <c r="I330" t="s">
        <v>600</v>
      </c>
      <c r="L330" s="1">
        <v>1</v>
      </c>
      <c r="M330" s="3">
        <v>42.25</v>
      </c>
      <c r="N330" s="3">
        <v>2.11</v>
      </c>
      <c r="O330" s="3">
        <v>0</v>
      </c>
      <c r="P330" s="3">
        <v>0.2</v>
      </c>
      <c r="Q330" s="3">
        <v>44.56</v>
      </c>
      <c r="R330" s="3">
        <v>24.25</v>
      </c>
      <c r="S330" s="3">
        <f>VLOOKUP(C330,[1]page!$C$2:$M$3071,11,0)</f>
        <v>42.05</v>
      </c>
      <c r="T330" s="6">
        <f t="shared" si="5"/>
        <v>0.20000000000000284</v>
      </c>
    </row>
    <row r="331" spans="1:20" x14ac:dyDescent="0.2">
      <c r="A331" t="s">
        <v>982</v>
      </c>
      <c r="B331" t="s">
        <v>1084</v>
      </c>
      <c r="C331" t="s">
        <v>1085</v>
      </c>
      <c r="D331" t="s">
        <v>1086</v>
      </c>
      <c r="E331" t="s">
        <v>452</v>
      </c>
      <c r="F331" t="s">
        <v>23</v>
      </c>
      <c r="G331" s="2">
        <v>37.5</v>
      </c>
      <c r="H331" s="1">
        <v>12</v>
      </c>
      <c r="I331" t="s">
        <v>24</v>
      </c>
      <c r="L331" s="1">
        <v>1</v>
      </c>
      <c r="M331" s="3">
        <v>22.39</v>
      </c>
      <c r="N331" s="3">
        <v>1.1200000000000001</v>
      </c>
      <c r="O331" s="3">
        <v>0</v>
      </c>
      <c r="P331" s="3">
        <v>0.2</v>
      </c>
      <c r="Q331" s="3">
        <v>23.71</v>
      </c>
      <c r="R331" s="3">
        <v>24.25</v>
      </c>
      <c r="S331" s="3">
        <f>VLOOKUP(C331,[1]page!$C$2:$M$3071,11,0)</f>
        <v>22</v>
      </c>
      <c r="T331" s="6">
        <f t="shared" si="5"/>
        <v>0.39000000000000057</v>
      </c>
    </row>
    <row r="332" spans="1:20" x14ac:dyDescent="0.2">
      <c r="A332" t="s">
        <v>1087</v>
      </c>
      <c r="B332" t="s">
        <v>1088</v>
      </c>
      <c r="C332" t="s">
        <v>1089</v>
      </c>
      <c r="D332" t="s">
        <v>1090</v>
      </c>
      <c r="E332" t="s">
        <v>1005</v>
      </c>
      <c r="F332" t="s">
        <v>396</v>
      </c>
      <c r="G332" s="1">
        <v>43</v>
      </c>
      <c r="H332" s="1">
        <v>6</v>
      </c>
      <c r="I332" t="s">
        <v>607</v>
      </c>
      <c r="L332" s="1">
        <v>1</v>
      </c>
      <c r="M332" s="3">
        <v>43.79</v>
      </c>
      <c r="N332" s="3">
        <v>2.19</v>
      </c>
      <c r="O332" s="3">
        <v>0</v>
      </c>
      <c r="P332" s="3">
        <v>0.2</v>
      </c>
      <c r="Q332" s="3">
        <v>46.18</v>
      </c>
      <c r="R332" s="3">
        <v>22.65</v>
      </c>
      <c r="S332" s="3">
        <f>VLOOKUP(C332,[1]page!$C$2:$M$3071,11,0)</f>
        <v>43.66</v>
      </c>
      <c r="T332" s="6">
        <f t="shared" si="5"/>
        <v>0.13000000000000256</v>
      </c>
    </row>
    <row r="333" spans="1:20" x14ac:dyDescent="0.2">
      <c r="A333" t="s">
        <v>1024</v>
      </c>
      <c r="B333" t="s">
        <v>1091</v>
      </c>
      <c r="C333" t="s">
        <v>1092</v>
      </c>
      <c r="D333" t="s">
        <v>1093</v>
      </c>
      <c r="E333" t="s">
        <v>410</v>
      </c>
      <c r="F333" t="s">
        <v>23</v>
      </c>
      <c r="G333" s="2">
        <v>37.5</v>
      </c>
      <c r="H333" s="1">
        <v>12</v>
      </c>
      <c r="I333" t="s">
        <v>39</v>
      </c>
      <c r="L333" s="1">
        <v>1</v>
      </c>
      <c r="M333" s="3">
        <v>23.98</v>
      </c>
      <c r="N333" s="3">
        <v>1.2</v>
      </c>
      <c r="O333" s="3">
        <v>0</v>
      </c>
      <c r="P333" s="3">
        <v>0.2</v>
      </c>
      <c r="Q333" s="3">
        <v>25.38</v>
      </c>
      <c r="R333" s="3">
        <v>24.25</v>
      </c>
      <c r="S333" s="3">
        <f>VLOOKUP(C333,[1]page!$C$2:$M$3071,11,0)</f>
        <v>23.8</v>
      </c>
      <c r="T333" s="6">
        <f t="shared" si="5"/>
        <v>0.17999999999999972</v>
      </c>
    </row>
    <row r="334" spans="1:20" x14ac:dyDescent="0.2">
      <c r="A334" t="s">
        <v>1024</v>
      </c>
      <c r="B334" t="s">
        <v>1094</v>
      </c>
      <c r="C334" t="s">
        <v>1095</v>
      </c>
      <c r="D334" t="s">
        <v>1096</v>
      </c>
      <c r="E334" t="s">
        <v>986</v>
      </c>
      <c r="F334" t="s">
        <v>23</v>
      </c>
      <c r="G334" s="1">
        <v>43</v>
      </c>
      <c r="H334" s="1">
        <v>6</v>
      </c>
      <c r="I334" t="s">
        <v>444</v>
      </c>
      <c r="L334" s="1">
        <v>1</v>
      </c>
      <c r="M334" s="3">
        <v>25.49</v>
      </c>
      <c r="N334" s="3">
        <v>1.27</v>
      </c>
      <c r="O334" s="3">
        <v>0</v>
      </c>
      <c r="P334" s="3">
        <v>0.2</v>
      </c>
      <c r="Q334" s="3">
        <v>26.96</v>
      </c>
      <c r="R334" s="3">
        <v>24.25</v>
      </c>
      <c r="S334" s="3">
        <f>VLOOKUP(C334,[1]page!$C$2:$M$3071,11,0)</f>
        <v>25.49</v>
      </c>
      <c r="T334" s="6">
        <f t="shared" si="5"/>
        <v>0</v>
      </c>
    </row>
    <row r="335" spans="1:20" x14ac:dyDescent="0.2">
      <c r="A335" t="s">
        <v>1097</v>
      </c>
      <c r="B335" t="s">
        <v>1098</v>
      </c>
      <c r="C335" t="s">
        <v>1099</v>
      </c>
      <c r="D335" t="s">
        <v>1100</v>
      </c>
      <c r="E335" t="s">
        <v>707</v>
      </c>
      <c r="F335" t="s">
        <v>23</v>
      </c>
      <c r="G335" s="2">
        <v>43.4</v>
      </c>
      <c r="H335" s="1">
        <v>6</v>
      </c>
      <c r="I335" t="s">
        <v>34</v>
      </c>
      <c r="L335" s="1">
        <v>1</v>
      </c>
      <c r="M335" s="3">
        <v>44.64</v>
      </c>
      <c r="N335" s="3">
        <v>2.23</v>
      </c>
      <c r="O335" s="3">
        <v>0</v>
      </c>
      <c r="P335" s="3">
        <v>0.2</v>
      </c>
      <c r="Q335" s="3">
        <v>47.07</v>
      </c>
      <c r="R335" s="3">
        <v>24.25</v>
      </c>
      <c r="S335" s="3">
        <f>VLOOKUP(C335,[1]page!$C$2:$M$3071,11,0)</f>
        <v>44.5</v>
      </c>
      <c r="T335" s="6">
        <f t="shared" si="5"/>
        <v>0.14000000000000057</v>
      </c>
    </row>
    <row r="336" spans="1:20" x14ac:dyDescent="0.2">
      <c r="A336" t="s">
        <v>1097</v>
      </c>
      <c r="B336" t="s">
        <v>1101</v>
      </c>
      <c r="C336" t="s">
        <v>1102</v>
      </c>
      <c r="D336" t="s">
        <v>1103</v>
      </c>
      <c r="E336" t="s">
        <v>1104</v>
      </c>
      <c r="F336" t="s">
        <v>23</v>
      </c>
      <c r="G336" s="1">
        <v>43</v>
      </c>
      <c r="H336" s="1">
        <v>6</v>
      </c>
      <c r="I336" t="s">
        <v>178</v>
      </c>
      <c r="L336" s="1">
        <v>1</v>
      </c>
      <c r="M336" s="3">
        <v>43.83</v>
      </c>
      <c r="N336" s="3">
        <v>2.19</v>
      </c>
      <c r="O336" s="3">
        <v>0</v>
      </c>
      <c r="P336" s="3">
        <v>0.2</v>
      </c>
      <c r="Q336" s="3">
        <v>46.22</v>
      </c>
      <c r="R336" s="3">
        <v>24.25</v>
      </c>
      <c r="S336" s="3">
        <f>VLOOKUP(C336,[1]page!$C$2:$M$3071,11,0)</f>
        <v>43.68</v>
      </c>
      <c r="T336" s="6">
        <f t="shared" si="5"/>
        <v>0.14999999999999858</v>
      </c>
    </row>
    <row r="337" spans="1:20" x14ac:dyDescent="0.2">
      <c r="A337" t="s">
        <v>1105</v>
      </c>
      <c r="B337" t="s">
        <v>1106</v>
      </c>
      <c r="C337" t="s">
        <v>1107</v>
      </c>
      <c r="D337" t="s">
        <v>1108</v>
      </c>
      <c r="E337" t="s">
        <v>28</v>
      </c>
      <c r="F337" t="s">
        <v>23</v>
      </c>
      <c r="G337" s="1">
        <v>43</v>
      </c>
      <c r="H337" s="1">
        <v>6</v>
      </c>
      <c r="I337" t="s">
        <v>29</v>
      </c>
      <c r="L337" s="1">
        <v>1</v>
      </c>
      <c r="M337" s="3">
        <v>55.87</v>
      </c>
      <c r="N337" s="3">
        <v>2.79</v>
      </c>
      <c r="O337" s="3">
        <v>0</v>
      </c>
      <c r="P337" s="3">
        <v>0.2</v>
      </c>
      <c r="Q337" s="3">
        <v>58.86</v>
      </c>
      <c r="R337" s="3">
        <v>24.25</v>
      </c>
      <c r="S337" s="3">
        <f>VLOOKUP(C337,[1]page!$C$2:$M$3071,11,0)</f>
        <v>55.72</v>
      </c>
      <c r="T337" s="6">
        <f t="shared" si="5"/>
        <v>0.14999999999999858</v>
      </c>
    </row>
    <row r="338" spans="1:20" x14ac:dyDescent="0.2">
      <c r="A338" t="s">
        <v>1105</v>
      </c>
      <c r="B338" t="s">
        <v>1109</v>
      </c>
      <c r="C338" t="s">
        <v>1110</v>
      </c>
      <c r="D338" t="s">
        <v>1111</v>
      </c>
      <c r="E338" t="s">
        <v>33</v>
      </c>
      <c r="F338" t="s">
        <v>84</v>
      </c>
      <c r="G338" s="1">
        <v>40</v>
      </c>
      <c r="H338" s="1">
        <v>6</v>
      </c>
      <c r="I338" t="s">
        <v>24</v>
      </c>
      <c r="L338" s="1">
        <v>1</v>
      </c>
      <c r="M338" s="3">
        <v>42.99</v>
      </c>
      <c r="N338" s="3">
        <v>2.15</v>
      </c>
      <c r="O338" s="3">
        <v>0</v>
      </c>
      <c r="P338" s="3">
        <v>0.25</v>
      </c>
      <c r="Q338" s="3">
        <v>45.39</v>
      </c>
      <c r="R338" s="3">
        <v>53.75</v>
      </c>
      <c r="S338" s="3">
        <f>VLOOKUP(C338,[1]page!$C$2:$M$3071,11,0)</f>
        <v>42.55</v>
      </c>
      <c r="T338" s="6">
        <f t="shared" si="5"/>
        <v>0.44000000000000483</v>
      </c>
    </row>
    <row r="339" spans="1:20" x14ac:dyDescent="0.2">
      <c r="A339" t="s">
        <v>1112</v>
      </c>
      <c r="B339" t="s">
        <v>1113</v>
      </c>
      <c r="C339" t="s">
        <v>1114</v>
      </c>
      <c r="D339" t="s">
        <v>1115</v>
      </c>
      <c r="E339" t="s">
        <v>1116</v>
      </c>
      <c r="F339" t="s">
        <v>74</v>
      </c>
      <c r="G339" s="1">
        <v>40</v>
      </c>
      <c r="H339" s="1">
        <v>120</v>
      </c>
      <c r="I339" t="s">
        <v>444</v>
      </c>
      <c r="L339" s="1">
        <v>1</v>
      </c>
      <c r="M339" s="3">
        <v>3.26</v>
      </c>
      <c r="N339" s="3">
        <v>0.16</v>
      </c>
      <c r="O339" s="3">
        <v>0</v>
      </c>
      <c r="P339" s="3">
        <v>0.1</v>
      </c>
      <c r="Q339" s="3">
        <v>3.52</v>
      </c>
      <c r="R339" s="3">
        <v>2.6</v>
      </c>
      <c r="S339" s="3">
        <f>VLOOKUP(C339,[1]page!$C$2:$M$3071,11,0)</f>
        <v>3.25</v>
      </c>
      <c r="T339" s="6">
        <f t="shared" si="5"/>
        <v>9.9999999999997868E-3</v>
      </c>
    </row>
    <row r="340" spans="1:20" x14ac:dyDescent="0.2">
      <c r="A340" t="s">
        <v>1112</v>
      </c>
      <c r="B340" t="s">
        <v>1117</v>
      </c>
      <c r="C340" t="s">
        <v>1118</v>
      </c>
      <c r="D340" t="s">
        <v>1115</v>
      </c>
      <c r="E340" t="s">
        <v>1116</v>
      </c>
      <c r="F340" t="s">
        <v>77</v>
      </c>
      <c r="G340" s="1">
        <v>40</v>
      </c>
      <c r="H340" s="1">
        <v>24</v>
      </c>
      <c r="I340" t="s">
        <v>444</v>
      </c>
      <c r="L340" s="1">
        <v>1</v>
      </c>
      <c r="M340" s="3">
        <v>14.5</v>
      </c>
      <c r="N340" s="3">
        <v>0.73</v>
      </c>
      <c r="O340" s="3">
        <v>0</v>
      </c>
      <c r="P340" s="3">
        <v>0.1</v>
      </c>
      <c r="Q340" s="3">
        <v>15.33</v>
      </c>
      <c r="R340" s="3">
        <v>13.7</v>
      </c>
      <c r="S340" s="3">
        <f>VLOOKUP(C340,[1]page!$C$2:$M$3071,11,0)</f>
        <v>14.5</v>
      </c>
      <c r="T340" s="6">
        <f t="shared" si="5"/>
        <v>0</v>
      </c>
    </row>
    <row r="341" spans="1:20" x14ac:dyDescent="0.2">
      <c r="A341" t="s">
        <v>1112</v>
      </c>
      <c r="B341" t="s">
        <v>1119</v>
      </c>
      <c r="C341" t="s">
        <v>1120</v>
      </c>
      <c r="D341" t="s">
        <v>1115</v>
      </c>
      <c r="E341" t="s">
        <v>1116</v>
      </c>
      <c r="F341" t="s">
        <v>65</v>
      </c>
      <c r="G341" s="1">
        <v>40</v>
      </c>
      <c r="H341" s="1">
        <v>12</v>
      </c>
      <c r="I341" t="s">
        <v>444</v>
      </c>
      <c r="L341" s="1">
        <v>1</v>
      </c>
      <c r="M341" s="3">
        <v>32</v>
      </c>
      <c r="N341" s="3">
        <v>1.6</v>
      </c>
      <c r="O341" s="3">
        <v>0</v>
      </c>
      <c r="P341" s="3">
        <v>0.25</v>
      </c>
      <c r="Q341" s="3">
        <v>33.85</v>
      </c>
      <c r="R341" s="3">
        <v>35.75</v>
      </c>
      <c r="S341" s="3">
        <f>VLOOKUP(C341,[1]page!$C$2:$M$3071,11,0)</f>
        <v>32</v>
      </c>
      <c r="T341" s="6">
        <f t="shared" si="5"/>
        <v>0</v>
      </c>
    </row>
    <row r="342" spans="1:20" x14ac:dyDescent="0.2">
      <c r="A342" t="s">
        <v>1112</v>
      </c>
      <c r="B342" t="s">
        <v>1121</v>
      </c>
      <c r="C342" t="s">
        <v>1122</v>
      </c>
      <c r="D342" t="s">
        <v>1123</v>
      </c>
      <c r="E342" t="s">
        <v>1124</v>
      </c>
      <c r="F342" t="s">
        <v>23</v>
      </c>
      <c r="G342" s="1">
        <v>40</v>
      </c>
      <c r="H342" s="1">
        <v>12</v>
      </c>
      <c r="I342" t="s">
        <v>444</v>
      </c>
      <c r="L342" s="1">
        <v>1</v>
      </c>
      <c r="M342" s="3">
        <v>23</v>
      </c>
      <c r="N342" s="3">
        <v>1.1499999999999999</v>
      </c>
      <c r="O342" s="3">
        <v>0</v>
      </c>
      <c r="P342" s="3">
        <v>0.2</v>
      </c>
      <c r="Q342" s="3">
        <v>24.35</v>
      </c>
      <c r="R342" s="3">
        <v>24.25</v>
      </c>
      <c r="S342" s="3">
        <f>VLOOKUP(C342,[1]page!$C$2:$M$3071,11,0)</f>
        <v>23</v>
      </c>
      <c r="T342" s="6">
        <f t="shared" si="5"/>
        <v>0</v>
      </c>
    </row>
    <row r="343" spans="1:20" x14ac:dyDescent="0.2">
      <c r="A343" t="s">
        <v>1112</v>
      </c>
      <c r="B343" t="s">
        <v>1125</v>
      </c>
      <c r="C343" t="s">
        <v>1126</v>
      </c>
      <c r="D343" t="s">
        <v>1127</v>
      </c>
      <c r="E343" t="s">
        <v>305</v>
      </c>
      <c r="F343" t="s">
        <v>77</v>
      </c>
      <c r="G343" s="1">
        <v>40</v>
      </c>
      <c r="H343" s="1">
        <v>24</v>
      </c>
      <c r="I343" t="s">
        <v>24</v>
      </c>
      <c r="L343" s="1">
        <v>1</v>
      </c>
      <c r="M343" s="3">
        <v>12.69</v>
      </c>
      <c r="N343" s="3">
        <v>0.63</v>
      </c>
      <c r="O343" s="3">
        <v>0</v>
      </c>
      <c r="P343" s="3">
        <v>0.1</v>
      </c>
      <c r="Q343" s="3">
        <v>13.42</v>
      </c>
      <c r="R343" s="3">
        <v>13.7</v>
      </c>
      <c r="S343" s="3">
        <f>VLOOKUP(C343,[1]page!$C$2:$M$3071,11,0)</f>
        <v>12.49</v>
      </c>
      <c r="T343" s="6">
        <f t="shared" si="5"/>
        <v>0.19999999999999929</v>
      </c>
    </row>
    <row r="344" spans="1:20" x14ac:dyDescent="0.2">
      <c r="A344" t="s">
        <v>1112</v>
      </c>
      <c r="B344" t="s">
        <v>1128</v>
      </c>
      <c r="C344" t="s">
        <v>1129</v>
      </c>
      <c r="D344" t="s">
        <v>1127</v>
      </c>
      <c r="E344" t="s">
        <v>305</v>
      </c>
      <c r="F344" t="s">
        <v>23</v>
      </c>
      <c r="G344" s="1">
        <v>40</v>
      </c>
      <c r="H344" s="1">
        <v>12</v>
      </c>
      <c r="I344" t="s">
        <v>24</v>
      </c>
      <c r="L344" s="1">
        <v>1</v>
      </c>
      <c r="M344" s="3">
        <v>22.39</v>
      </c>
      <c r="N344" s="3">
        <v>1.1200000000000001</v>
      </c>
      <c r="O344" s="3">
        <v>0</v>
      </c>
      <c r="P344" s="3">
        <v>0.2</v>
      </c>
      <c r="Q344" s="3">
        <v>23.71</v>
      </c>
      <c r="R344" s="3">
        <v>24.25</v>
      </c>
      <c r="S344" s="3">
        <f>VLOOKUP(C344,[1]page!$C$2:$M$3071,11,0)</f>
        <v>22</v>
      </c>
      <c r="T344" s="6">
        <f t="shared" si="5"/>
        <v>0.39000000000000057</v>
      </c>
    </row>
    <row r="345" spans="1:20" x14ac:dyDescent="0.2">
      <c r="A345" t="s">
        <v>1112</v>
      </c>
      <c r="B345" t="s">
        <v>1130</v>
      </c>
      <c r="C345" t="s">
        <v>1131</v>
      </c>
      <c r="D345" t="s">
        <v>1127</v>
      </c>
      <c r="E345" t="s">
        <v>305</v>
      </c>
      <c r="F345" t="s">
        <v>65</v>
      </c>
      <c r="G345" s="1">
        <v>40</v>
      </c>
      <c r="H345" s="1">
        <v>8</v>
      </c>
      <c r="I345" t="s">
        <v>24</v>
      </c>
      <c r="L345" s="1">
        <v>1</v>
      </c>
      <c r="M345" s="3">
        <v>30.99</v>
      </c>
      <c r="N345" s="3">
        <v>1.55</v>
      </c>
      <c r="O345" s="3">
        <v>0</v>
      </c>
      <c r="P345" s="3">
        <v>0.4</v>
      </c>
      <c r="Q345" s="3">
        <v>32.94</v>
      </c>
      <c r="R345" s="3">
        <v>35.75</v>
      </c>
      <c r="S345" s="3">
        <f>VLOOKUP(C345,[1]page!$C$2:$M$3071,11,0)</f>
        <v>30.5</v>
      </c>
      <c r="T345" s="6">
        <f t="shared" si="5"/>
        <v>0.48999999999999844</v>
      </c>
    </row>
    <row r="346" spans="1:20" x14ac:dyDescent="0.2">
      <c r="A346" t="s">
        <v>1112</v>
      </c>
      <c r="B346" t="s">
        <v>1132</v>
      </c>
      <c r="C346" t="s">
        <v>1133</v>
      </c>
      <c r="D346" t="s">
        <v>1127</v>
      </c>
      <c r="E346" t="s">
        <v>305</v>
      </c>
      <c r="F346" t="s">
        <v>84</v>
      </c>
      <c r="G346" s="1">
        <v>40</v>
      </c>
      <c r="H346" s="1">
        <v>6</v>
      </c>
      <c r="I346" t="s">
        <v>24</v>
      </c>
      <c r="L346" s="1">
        <v>1</v>
      </c>
      <c r="M346" s="3">
        <v>45.49</v>
      </c>
      <c r="N346" s="3">
        <v>2.27</v>
      </c>
      <c r="O346" s="3">
        <v>0</v>
      </c>
      <c r="P346" s="3">
        <v>0.25</v>
      </c>
      <c r="Q346" s="3">
        <v>48.01</v>
      </c>
      <c r="R346" s="3">
        <v>53.75</v>
      </c>
      <c r="S346" s="3">
        <f>VLOOKUP(C346,[1]page!$C$2:$M$3071,11,0)</f>
        <v>45.01</v>
      </c>
      <c r="T346" s="6">
        <f t="shared" si="5"/>
        <v>0.48000000000000398</v>
      </c>
    </row>
    <row r="347" spans="1:20" x14ac:dyDescent="0.2">
      <c r="A347" t="s">
        <v>1112</v>
      </c>
      <c r="B347" t="s">
        <v>1134</v>
      </c>
      <c r="C347" t="s">
        <v>1135</v>
      </c>
      <c r="D347" t="s">
        <v>1136</v>
      </c>
      <c r="E347" t="s">
        <v>305</v>
      </c>
      <c r="F347" t="s">
        <v>23</v>
      </c>
      <c r="G347" s="1">
        <v>40</v>
      </c>
      <c r="H347" s="1">
        <v>12</v>
      </c>
      <c r="I347" t="s">
        <v>24</v>
      </c>
      <c r="L347" s="1">
        <v>1</v>
      </c>
      <c r="M347" s="3">
        <v>23.18</v>
      </c>
      <c r="N347" s="3">
        <v>1.1599999999999999</v>
      </c>
      <c r="O347" s="3">
        <v>0</v>
      </c>
      <c r="P347" s="3">
        <v>0.2</v>
      </c>
      <c r="Q347" s="3">
        <v>24.54</v>
      </c>
      <c r="R347" s="3">
        <v>24.25</v>
      </c>
      <c r="S347" s="3">
        <f>VLOOKUP(C347,[1]page!$C$2:$M$3071,11,0)</f>
        <v>22.99</v>
      </c>
      <c r="T347" s="6">
        <f t="shared" si="5"/>
        <v>0.19000000000000128</v>
      </c>
    </row>
    <row r="348" spans="1:20" x14ac:dyDescent="0.2">
      <c r="A348" t="s">
        <v>1112</v>
      </c>
      <c r="B348" t="s">
        <v>1137</v>
      </c>
      <c r="C348" t="s">
        <v>1138</v>
      </c>
      <c r="D348" t="s">
        <v>1139</v>
      </c>
      <c r="E348" t="s">
        <v>305</v>
      </c>
      <c r="F348" t="s">
        <v>23</v>
      </c>
      <c r="G348" s="1">
        <v>40</v>
      </c>
      <c r="H348" s="1">
        <v>12</v>
      </c>
      <c r="I348" t="s">
        <v>24</v>
      </c>
      <c r="L348" s="1">
        <v>1</v>
      </c>
      <c r="M348" s="3">
        <v>22.39</v>
      </c>
      <c r="N348" s="3">
        <v>1.1200000000000001</v>
      </c>
      <c r="O348" s="3">
        <v>0</v>
      </c>
      <c r="P348" s="3">
        <v>0.2</v>
      </c>
      <c r="Q348" s="3">
        <v>23.71</v>
      </c>
      <c r="R348" s="3">
        <v>24.25</v>
      </c>
      <c r="S348" s="3">
        <f>VLOOKUP(C348,[1]page!$C$2:$M$3071,11,0)</f>
        <v>22</v>
      </c>
      <c r="T348" s="6">
        <f t="shared" si="5"/>
        <v>0.39000000000000057</v>
      </c>
    </row>
    <row r="349" spans="1:20" x14ac:dyDescent="0.2">
      <c r="A349" t="s">
        <v>1112</v>
      </c>
      <c r="B349" t="s">
        <v>1140</v>
      </c>
      <c r="C349" t="s">
        <v>1141</v>
      </c>
      <c r="D349" t="s">
        <v>1139</v>
      </c>
      <c r="E349" t="s">
        <v>305</v>
      </c>
      <c r="F349" t="s">
        <v>65</v>
      </c>
      <c r="G349" s="1">
        <v>40</v>
      </c>
      <c r="H349" s="1">
        <v>8</v>
      </c>
      <c r="I349" t="s">
        <v>24</v>
      </c>
      <c r="L349" s="1">
        <v>1</v>
      </c>
      <c r="M349" s="3">
        <v>30.99</v>
      </c>
      <c r="N349" s="3">
        <v>1.55</v>
      </c>
      <c r="O349" s="3">
        <v>0</v>
      </c>
      <c r="P349" s="3">
        <v>0.4</v>
      </c>
      <c r="Q349" s="3">
        <v>32.94</v>
      </c>
      <c r="R349" s="3">
        <v>35.75</v>
      </c>
      <c r="S349" s="3">
        <f>VLOOKUP(C349,[1]page!$C$2:$M$3071,11,0)</f>
        <v>30.5</v>
      </c>
      <c r="T349" s="6">
        <f t="shared" si="5"/>
        <v>0.48999999999999844</v>
      </c>
    </row>
    <row r="350" spans="1:20" x14ac:dyDescent="0.2">
      <c r="A350" t="s">
        <v>1112</v>
      </c>
      <c r="B350" t="s">
        <v>1142</v>
      </c>
      <c r="C350" t="s">
        <v>1143</v>
      </c>
      <c r="D350" t="s">
        <v>1139</v>
      </c>
      <c r="E350" t="s">
        <v>305</v>
      </c>
      <c r="F350" t="s">
        <v>84</v>
      </c>
      <c r="G350" s="1">
        <v>40</v>
      </c>
      <c r="H350" s="1">
        <v>6</v>
      </c>
      <c r="I350" t="s">
        <v>24</v>
      </c>
      <c r="L350" s="1">
        <v>1</v>
      </c>
      <c r="M350" s="3">
        <v>45.49</v>
      </c>
      <c r="N350" s="3">
        <v>2.27</v>
      </c>
      <c r="O350" s="3">
        <v>0</v>
      </c>
      <c r="P350" s="3">
        <v>0.25</v>
      </c>
      <c r="Q350" s="3">
        <v>48.01</v>
      </c>
      <c r="R350" s="3">
        <v>53.75</v>
      </c>
      <c r="S350" s="3">
        <f>VLOOKUP(C350,[1]page!$C$2:$M$3071,11,0)</f>
        <v>45</v>
      </c>
      <c r="T350" s="6">
        <f t="shared" si="5"/>
        <v>0.49000000000000199</v>
      </c>
    </row>
    <row r="351" spans="1:20" x14ac:dyDescent="0.2">
      <c r="A351" t="s">
        <v>1112</v>
      </c>
      <c r="B351" t="s">
        <v>1144</v>
      </c>
      <c r="C351" t="s">
        <v>1145</v>
      </c>
      <c r="D351" t="s">
        <v>1146</v>
      </c>
      <c r="E351" t="s">
        <v>305</v>
      </c>
      <c r="F351" t="s">
        <v>77</v>
      </c>
      <c r="G351" s="1">
        <v>40</v>
      </c>
      <c r="H351" s="1">
        <v>24</v>
      </c>
      <c r="I351" t="s">
        <v>24</v>
      </c>
      <c r="L351" s="1">
        <v>1</v>
      </c>
      <c r="M351" s="3">
        <v>12.69</v>
      </c>
      <c r="N351" s="3">
        <v>0.63</v>
      </c>
      <c r="O351" s="3">
        <v>0</v>
      </c>
      <c r="P351" s="3">
        <v>0.1</v>
      </c>
      <c r="Q351" s="3">
        <v>13.42</v>
      </c>
      <c r="R351" s="3">
        <v>13.7</v>
      </c>
      <c r="S351" s="3">
        <f>VLOOKUP(C351,[1]page!$C$2:$M$3071,11,0)</f>
        <v>12.5</v>
      </c>
      <c r="T351" s="6">
        <f t="shared" si="5"/>
        <v>0.1899999999999995</v>
      </c>
    </row>
    <row r="352" spans="1:20" x14ac:dyDescent="0.2">
      <c r="A352" t="s">
        <v>1112</v>
      </c>
      <c r="B352" t="s">
        <v>1147</v>
      </c>
      <c r="C352" t="s">
        <v>1148</v>
      </c>
      <c r="D352" t="s">
        <v>1146</v>
      </c>
      <c r="E352" t="s">
        <v>305</v>
      </c>
      <c r="F352" t="s">
        <v>23</v>
      </c>
      <c r="G352" s="1">
        <v>40</v>
      </c>
      <c r="H352" s="1">
        <v>12</v>
      </c>
      <c r="I352" t="s">
        <v>24</v>
      </c>
      <c r="L352" s="1">
        <v>1</v>
      </c>
      <c r="M352" s="3">
        <v>22.39</v>
      </c>
      <c r="N352" s="3">
        <v>1.1200000000000001</v>
      </c>
      <c r="O352" s="3">
        <v>0</v>
      </c>
      <c r="P352" s="3">
        <v>0.2</v>
      </c>
      <c r="Q352" s="3">
        <v>23.71</v>
      </c>
      <c r="R352" s="3">
        <v>24.25</v>
      </c>
      <c r="S352" s="3">
        <f>VLOOKUP(C352,[1]page!$C$2:$M$3071,11,0)</f>
        <v>22.01</v>
      </c>
      <c r="T352" s="6">
        <f t="shared" si="5"/>
        <v>0.37999999999999901</v>
      </c>
    </row>
    <row r="353" spans="1:20" x14ac:dyDescent="0.2">
      <c r="A353" t="s">
        <v>1112</v>
      </c>
      <c r="B353" t="s">
        <v>1149</v>
      </c>
      <c r="C353" t="s">
        <v>1150</v>
      </c>
      <c r="D353" t="s">
        <v>1146</v>
      </c>
      <c r="E353" t="s">
        <v>305</v>
      </c>
      <c r="F353" t="s">
        <v>65</v>
      </c>
      <c r="G353" s="1">
        <v>40</v>
      </c>
      <c r="H353" s="1">
        <v>8</v>
      </c>
      <c r="I353" t="s">
        <v>24</v>
      </c>
      <c r="L353" s="1">
        <v>1</v>
      </c>
      <c r="M353" s="3">
        <v>30.99</v>
      </c>
      <c r="N353" s="3">
        <v>1.55</v>
      </c>
      <c r="O353" s="3">
        <v>0</v>
      </c>
      <c r="P353" s="3">
        <v>0.4</v>
      </c>
      <c r="Q353" s="3">
        <v>32.94</v>
      </c>
      <c r="R353" s="3">
        <v>35.75</v>
      </c>
      <c r="S353" s="3">
        <f>VLOOKUP(C353,[1]page!$C$2:$M$3071,11,0)</f>
        <v>30.5</v>
      </c>
      <c r="T353" s="6">
        <f t="shared" si="5"/>
        <v>0.48999999999999844</v>
      </c>
    </row>
    <row r="354" spans="1:20" x14ac:dyDescent="0.2">
      <c r="A354" t="s">
        <v>1112</v>
      </c>
      <c r="B354" t="s">
        <v>1151</v>
      </c>
      <c r="C354" t="s">
        <v>1152</v>
      </c>
      <c r="D354" t="s">
        <v>1146</v>
      </c>
      <c r="E354" t="s">
        <v>305</v>
      </c>
      <c r="F354" t="s">
        <v>84</v>
      </c>
      <c r="G354" s="1">
        <v>40</v>
      </c>
      <c r="H354" s="1">
        <v>6</v>
      </c>
      <c r="I354" t="s">
        <v>24</v>
      </c>
      <c r="L354" s="1">
        <v>1</v>
      </c>
      <c r="M354" s="3">
        <v>43.99</v>
      </c>
      <c r="N354" s="3">
        <v>2.2000000000000002</v>
      </c>
      <c r="O354" s="3">
        <v>0</v>
      </c>
      <c r="P354" s="3">
        <v>0.25</v>
      </c>
      <c r="Q354" s="3">
        <v>46.44</v>
      </c>
      <c r="R354" s="3">
        <v>53.75</v>
      </c>
      <c r="S354" s="3">
        <f>VLOOKUP(C354,[1]page!$C$2:$M$3071,11,0)</f>
        <v>43.61</v>
      </c>
      <c r="T354" s="6">
        <f t="shared" si="5"/>
        <v>0.38000000000000256</v>
      </c>
    </row>
    <row r="355" spans="1:20" x14ac:dyDescent="0.2">
      <c r="A355" t="s">
        <v>1112</v>
      </c>
      <c r="B355" t="s">
        <v>1153</v>
      </c>
      <c r="C355" t="s">
        <v>1154</v>
      </c>
      <c r="D355" t="s">
        <v>1155</v>
      </c>
      <c r="E355" t="s">
        <v>1156</v>
      </c>
      <c r="F355" t="s">
        <v>23</v>
      </c>
      <c r="G355" s="1">
        <v>40</v>
      </c>
      <c r="H355" s="1">
        <v>12</v>
      </c>
      <c r="I355" t="s">
        <v>34</v>
      </c>
      <c r="L355" s="1">
        <v>1</v>
      </c>
      <c r="M355" s="3">
        <v>25.01</v>
      </c>
      <c r="N355" s="3">
        <v>1.25</v>
      </c>
      <c r="O355" s="3">
        <v>0</v>
      </c>
      <c r="P355" s="3">
        <v>0.2</v>
      </c>
      <c r="Q355" s="3">
        <v>26.46</v>
      </c>
      <c r="R355" s="3">
        <v>24.25</v>
      </c>
      <c r="S355" s="3">
        <f>VLOOKUP(C355,[1]page!$C$2:$M$3071,11,0)</f>
        <v>24.82</v>
      </c>
      <c r="T355" s="6">
        <f t="shared" si="5"/>
        <v>0.19000000000000128</v>
      </c>
    </row>
    <row r="356" spans="1:20" x14ac:dyDescent="0.2">
      <c r="A356" t="s">
        <v>1112</v>
      </c>
      <c r="B356" t="s">
        <v>1157</v>
      </c>
      <c r="C356" t="s">
        <v>1158</v>
      </c>
      <c r="D356" t="s">
        <v>1159</v>
      </c>
      <c r="E356" t="s">
        <v>43</v>
      </c>
      <c r="F356" t="s">
        <v>23</v>
      </c>
      <c r="G356" s="1">
        <v>40</v>
      </c>
      <c r="H356" s="1">
        <v>12</v>
      </c>
      <c r="I356" t="s">
        <v>39</v>
      </c>
      <c r="L356" s="1">
        <v>1</v>
      </c>
      <c r="M356" s="3">
        <v>26.19</v>
      </c>
      <c r="N356" s="3">
        <v>1.31</v>
      </c>
      <c r="O356" s="3">
        <v>0</v>
      </c>
      <c r="P356" s="3">
        <v>0.2</v>
      </c>
      <c r="Q356" s="3">
        <v>27.7</v>
      </c>
      <c r="R356" s="3">
        <v>24.25</v>
      </c>
      <c r="S356" s="3">
        <f>VLOOKUP(C356,[1]page!$C$2:$M$3071,11,0)</f>
        <v>26</v>
      </c>
      <c r="T356" s="6">
        <f t="shared" si="5"/>
        <v>0.19000000000000128</v>
      </c>
    </row>
    <row r="357" spans="1:20" x14ac:dyDescent="0.2">
      <c r="A357" t="s">
        <v>1112</v>
      </c>
      <c r="B357" t="s">
        <v>1160</v>
      </c>
      <c r="C357" t="s">
        <v>1161</v>
      </c>
      <c r="D357" t="s">
        <v>1162</v>
      </c>
      <c r="E357" t="s">
        <v>38</v>
      </c>
      <c r="F357" t="s">
        <v>77</v>
      </c>
      <c r="G357" s="1">
        <v>40</v>
      </c>
      <c r="H357" s="1">
        <v>24</v>
      </c>
      <c r="I357" t="s">
        <v>39</v>
      </c>
      <c r="L357" s="1">
        <v>1</v>
      </c>
      <c r="M357" s="3">
        <v>13.49</v>
      </c>
      <c r="N357" s="3">
        <v>0.67</v>
      </c>
      <c r="O357" s="3">
        <v>0</v>
      </c>
      <c r="P357" s="3">
        <v>0.1</v>
      </c>
      <c r="Q357" s="3">
        <v>14.26</v>
      </c>
      <c r="R357" s="3">
        <v>13.7</v>
      </c>
      <c r="S357" s="3">
        <f>VLOOKUP(C357,[1]page!$C$2:$M$3071,11,0)</f>
        <v>13.4</v>
      </c>
      <c r="T357" s="6">
        <f t="shared" si="5"/>
        <v>8.9999999999999858E-2</v>
      </c>
    </row>
    <row r="358" spans="1:20" x14ac:dyDescent="0.2">
      <c r="A358" t="s">
        <v>1112</v>
      </c>
      <c r="B358" t="s">
        <v>1163</v>
      </c>
      <c r="C358" t="s">
        <v>1164</v>
      </c>
      <c r="D358" t="s">
        <v>1162</v>
      </c>
      <c r="E358" t="s">
        <v>38</v>
      </c>
      <c r="F358" t="s">
        <v>23</v>
      </c>
      <c r="G358" s="1">
        <v>40</v>
      </c>
      <c r="H358" s="1">
        <v>12</v>
      </c>
      <c r="I358" t="s">
        <v>39</v>
      </c>
      <c r="L358" s="1">
        <v>1</v>
      </c>
      <c r="M358" s="3">
        <v>23.69</v>
      </c>
      <c r="N358" s="3">
        <v>1.18</v>
      </c>
      <c r="O358" s="3">
        <v>0</v>
      </c>
      <c r="P358" s="3">
        <v>0.2</v>
      </c>
      <c r="Q358" s="3">
        <v>25.07</v>
      </c>
      <c r="R358" s="3">
        <v>24.25</v>
      </c>
      <c r="S358" s="3">
        <f>VLOOKUP(C358,[1]page!$C$2:$M$3071,11,0)</f>
        <v>23.5</v>
      </c>
      <c r="T358" s="6">
        <f t="shared" si="5"/>
        <v>0.19000000000000128</v>
      </c>
    </row>
    <row r="359" spans="1:20" x14ac:dyDescent="0.2">
      <c r="A359" t="s">
        <v>1112</v>
      </c>
      <c r="B359" t="s">
        <v>1165</v>
      </c>
      <c r="C359" t="s">
        <v>1166</v>
      </c>
      <c r="D359" t="s">
        <v>1162</v>
      </c>
      <c r="E359" t="s">
        <v>38</v>
      </c>
      <c r="F359" t="s">
        <v>65</v>
      </c>
      <c r="G359" s="1">
        <v>40</v>
      </c>
      <c r="H359" s="1">
        <v>12</v>
      </c>
      <c r="I359" t="s">
        <v>39</v>
      </c>
      <c r="L359" s="1">
        <v>1</v>
      </c>
      <c r="M359" s="3">
        <v>33.61</v>
      </c>
      <c r="N359" s="3">
        <v>1.68</v>
      </c>
      <c r="O359" s="3">
        <v>0</v>
      </c>
      <c r="P359" s="3">
        <v>0.25</v>
      </c>
      <c r="Q359" s="3">
        <v>35.54</v>
      </c>
      <c r="R359" s="3">
        <v>35.75</v>
      </c>
      <c r="S359" s="3">
        <f>VLOOKUP(C359,[1]page!$C$2:$M$3071,11,0)</f>
        <v>33.32</v>
      </c>
      <c r="T359" s="6">
        <f t="shared" si="5"/>
        <v>0.28999999999999915</v>
      </c>
    </row>
    <row r="360" spans="1:20" x14ac:dyDescent="0.2">
      <c r="A360" t="s">
        <v>1112</v>
      </c>
      <c r="B360" t="s">
        <v>1167</v>
      </c>
      <c r="C360" t="s">
        <v>1168</v>
      </c>
      <c r="D360" t="s">
        <v>1162</v>
      </c>
      <c r="E360" t="s">
        <v>38</v>
      </c>
      <c r="F360" t="s">
        <v>84</v>
      </c>
      <c r="G360" s="1">
        <v>40</v>
      </c>
      <c r="H360" s="1">
        <v>6</v>
      </c>
      <c r="I360" t="s">
        <v>39</v>
      </c>
      <c r="L360" s="1">
        <v>1</v>
      </c>
      <c r="M360" s="3">
        <v>49.27</v>
      </c>
      <c r="N360" s="3">
        <v>2.46</v>
      </c>
      <c r="O360" s="3">
        <v>0</v>
      </c>
      <c r="P360" s="3">
        <v>0.25</v>
      </c>
      <c r="Q360" s="3">
        <v>51.98</v>
      </c>
      <c r="R360" s="3">
        <v>53.75</v>
      </c>
      <c r="S360" s="3">
        <f>VLOOKUP(C360,[1]page!$C$2:$M$3071,11,0)</f>
        <v>48.82</v>
      </c>
      <c r="T360" s="6">
        <f t="shared" si="5"/>
        <v>0.45000000000000284</v>
      </c>
    </row>
    <row r="361" spans="1:20" x14ac:dyDescent="0.2">
      <c r="A361" t="s">
        <v>1112</v>
      </c>
      <c r="B361" t="s">
        <v>1169</v>
      </c>
      <c r="C361" t="s">
        <v>1170</v>
      </c>
      <c r="D361" t="s">
        <v>1171</v>
      </c>
      <c r="E361" t="s">
        <v>38</v>
      </c>
      <c r="F361" t="s">
        <v>77</v>
      </c>
      <c r="G361" s="1">
        <v>40</v>
      </c>
      <c r="H361" s="1">
        <v>24</v>
      </c>
      <c r="I361" t="s">
        <v>39</v>
      </c>
      <c r="L361" s="1">
        <v>1</v>
      </c>
      <c r="M361" s="3">
        <v>13.49</v>
      </c>
      <c r="N361" s="3">
        <v>0.67</v>
      </c>
      <c r="O361" s="3">
        <v>0</v>
      </c>
      <c r="P361" s="3">
        <v>0.1</v>
      </c>
      <c r="Q361" s="3">
        <v>14.26</v>
      </c>
      <c r="R361" s="3">
        <v>13.7</v>
      </c>
      <c r="S361" s="3">
        <f>VLOOKUP(C361,[1]page!$C$2:$M$3071,11,0)</f>
        <v>13.4</v>
      </c>
      <c r="T361" s="6">
        <f t="shared" si="5"/>
        <v>8.9999999999999858E-2</v>
      </c>
    </row>
    <row r="362" spans="1:20" x14ac:dyDescent="0.2">
      <c r="A362" t="s">
        <v>1112</v>
      </c>
      <c r="B362" t="s">
        <v>1172</v>
      </c>
      <c r="C362" t="s">
        <v>1173</v>
      </c>
      <c r="D362" t="s">
        <v>1171</v>
      </c>
      <c r="E362" t="s">
        <v>38</v>
      </c>
      <c r="F362" t="s">
        <v>23</v>
      </c>
      <c r="G362" s="1">
        <v>40</v>
      </c>
      <c r="H362" s="1">
        <v>12</v>
      </c>
      <c r="I362" t="s">
        <v>39</v>
      </c>
      <c r="L362" s="1">
        <v>1</v>
      </c>
      <c r="M362" s="3">
        <v>22.89</v>
      </c>
      <c r="N362" s="3">
        <v>1.1399999999999999</v>
      </c>
      <c r="O362" s="3">
        <v>0</v>
      </c>
      <c r="P362" s="3">
        <v>0.2</v>
      </c>
      <c r="Q362" s="3">
        <v>24.23</v>
      </c>
      <c r="R362" s="3">
        <v>24.25</v>
      </c>
      <c r="S362" s="3">
        <f>VLOOKUP(C362,[1]page!$C$2:$M$3071,11,0)</f>
        <v>22.7</v>
      </c>
      <c r="T362" s="6">
        <f t="shared" si="5"/>
        <v>0.19000000000000128</v>
      </c>
    </row>
    <row r="363" spans="1:20" x14ac:dyDescent="0.2">
      <c r="A363" t="s">
        <v>1112</v>
      </c>
      <c r="B363" t="s">
        <v>1174</v>
      </c>
      <c r="C363" t="s">
        <v>1175</v>
      </c>
      <c r="D363" t="s">
        <v>1171</v>
      </c>
      <c r="E363" t="s">
        <v>38</v>
      </c>
      <c r="F363" t="s">
        <v>65</v>
      </c>
      <c r="G363" s="1">
        <v>40</v>
      </c>
      <c r="H363" s="1">
        <v>12</v>
      </c>
      <c r="I363" t="s">
        <v>39</v>
      </c>
      <c r="L363" s="1">
        <v>1</v>
      </c>
      <c r="M363" s="3">
        <v>33.61</v>
      </c>
      <c r="N363" s="3">
        <v>1.68</v>
      </c>
      <c r="O363" s="3">
        <v>0</v>
      </c>
      <c r="P363" s="3">
        <v>0.25</v>
      </c>
      <c r="Q363" s="3">
        <v>35.54</v>
      </c>
      <c r="R363" s="3">
        <v>35.75</v>
      </c>
      <c r="S363" s="3">
        <f>VLOOKUP(C363,[1]page!$C$2:$M$3071,11,0)</f>
        <v>33.32</v>
      </c>
      <c r="T363" s="6">
        <f t="shared" si="5"/>
        <v>0.28999999999999915</v>
      </c>
    </row>
    <row r="364" spans="1:20" x14ac:dyDescent="0.2">
      <c r="A364" t="s">
        <v>1112</v>
      </c>
      <c r="B364" t="s">
        <v>1176</v>
      </c>
      <c r="C364" t="s">
        <v>1177</v>
      </c>
      <c r="D364" t="s">
        <v>1171</v>
      </c>
      <c r="E364" t="s">
        <v>38</v>
      </c>
      <c r="F364" t="s">
        <v>84</v>
      </c>
      <c r="G364" s="1">
        <v>40</v>
      </c>
      <c r="H364" s="1">
        <v>6</v>
      </c>
      <c r="I364" t="s">
        <v>39</v>
      </c>
      <c r="L364" s="1">
        <v>1</v>
      </c>
      <c r="M364" s="3">
        <v>49.27</v>
      </c>
      <c r="N364" s="3">
        <v>2.46</v>
      </c>
      <c r="O364" s="3">
        <v>0</v>
      </c>
      <c r="P364" s="3">
        <v>0.25</v>
      </c>
      <c r="Q364" s="3">
        <v>51.98</v>
      </c>
      <c r="R364" s="3">
        <v>53.75</v>
      </c>
      <c r="S364" s="3">
        <f>VLOOKUP(C364,[1]page!$C$2:$M$3071,11,0)</f>
        <v>48.82</v>
      </c>
      <c r="T364" s="6">
        <f t="shared" si="5"/>
        <v>0.45000000000000284</v>
      </c>
    </row>
    <row r="365" spans="1:20" x14ac:dyDescent="0.2">
      <c r="A365" t="s">
        <v>1112</v>
      </c>
      <c r="B365" t="s">
        <v>1178</v>
      </c>
      <c r="C365" t="s">
        <v>1179</v>
      </c>
      <c r="D365" t="s">
        <v>1180</v>
      </c>
      <c r="E365" t="s">
        <v>1181</v>
      </c>
      <c r="F365" t="s">
        <v>23</v>
      </c>
      <c r="G365" s="1">
        <v>40</v>
      </c>
      <c r="H365" s="1">
        <v>12</v>
      </c>
      <c r="I365" t="s">
        <v>600</v>
      </c>
      <c r="L365" s="1">
        <v>1</v>
      </c>
      <c r="M365" s="3">
        <v>23.7</v>
      </c>
      <c r="N365" s="3">
        <v>1.19</v>
      </c>
      <c r="O365" s="3">
        <v>0</v>
      </c>
      <c r="P365" s="3">
        <v>0.2</v>
      </c>
      <c r="Q365" s="3">
        <v>25.09</v>
      </c>
      <c r="R365" s="3">
        <v>24.25</v>
      </c>
      <c r="S365" s="3">
        <f>VLOOKUP(C365,[1]page!$C$2:$M$3071,11,0)</f>
        <v>23.5</v>
      </c>
      <c r="T365" s="6">
        <f t="shared" si="5"/>
        <v>0.19999999999999929</v>
      </c>
    </row>
    <row r="366" spans="1:20" x14ac:dyDescent="0.2">
      <c r="A366" t="s">
        <v>1112</v>
      </c>
      <c r="B366" t="s">
        <v>1182</v>
      </c>
      <c r="C366" t="s">
        <v>1183</v>
      </c>
      <c r="D366" t="s">
        <v>1184</v>
      </c>
      <c r="E366" t="s">
        <v>103</v>
      </c>
      <c r="F366" t="s">
        <v>65</v>
      </c>
      <c r="G366" s="1">
        <v>35</v>
      </c>
      <c r="H366" s="1">
        <v>12</v>
      </c>
      <c r="I366" t="s">
        <v>51</v>
      </c>
      <c r="L366" s="1">
        <v>1</v>
      </c>
      <c r="M366" s="3">
        <v>32.99</v>
      </c>
      <c r="N366" s="3">
        <v>1.65</v>
      </c>
      <c r="O366" s="3">
        <v>0</v>
      </c>
      <c r="P366" s="3">
        <v>0.25</v>
      </c>
      <c r="Q366" s="3">
        <v>34.89</v>
      </c>
      <c r="R366" s="3">
        <v>35.75</v>
      </c>
      <c r="S366" s="3">
        <f>VLOOKUP(C366,[1]page!$C$2:$M$3071,11,0)</f>
        <v>32.53</v>
      </c>
      <c r="T366" s="6">
        <f t="shared" si="5"/>
        <v>0.46000000000000085</v>
      </c>
    </row>
    <row r="367" spans="1:20" x14ac:dyDescent="0.2">
      <c r="A367" t="s">
        <v>1185</v>
      </c>
      <c r="B367" t="s">
        <v>1186</v>
      </c>
      <c r="C367" t="s">
        <v>1187</v>
      </c>
      <c r="D367" t="s">
        <v>1188</v>
      </c>
      <c r="E367" t="s">
        <v>43</v>
      </c>
      <c r="F367" t="s">
        <v>23</v>
      </c>
      <c r="G367" s="1">
        <v>40</v>
      </c>
      <c r="H367" s="1">
        <v>12</v>
      </c>
      <c r="I367" t="s">
        <v>39</v>
      </c>
      <c r="L367" s="1">
        <v>1</v>
      </c>
      <c r="M367" s="3">
        <v>22.49</v>
      </c>
      <c r="N367" s="3">
        <v>1.1200000000000001</v>
      </c>
      <c r="O367" s="3">
        <v>0</v>
      </c>
      <c r="P367" s="3">
        <v>0.1</v>
      </c>
      <c r="Q367" s="3">
        <v>23.71</v>
      </c>
      <c r="R367" s="3">
        <v>24.25</v>
      </c>
      <c r="S367" s="3">
        <f>VLOOKUP(C367,[1]page!$C$2:$M$3071,11,0)</f>
        <v>22.3</v>
      </c>
      <c r="T367" s="6">
        <f t="shared" si="5"/>
        <v>0.18999999999999773</v>
      </c>
    </row>
    <row r="368" spans="1:20" x14ac:dyDescent="0.2">
      <c r="A368" t="s">
        <v>1185</v>
      </c>
      <c r="B368" t="s">
        <v>1189</v>
      </c>
      <c r="C368" t="s">
        <v>1190</v>
      </c>
      <c r="D368" t="s">
        <v>1188</v>
      </c>
      <c r="E368" t="s">
        <v>38</v>
      </c>
      <c r="F368" t="s">
        <v>65</v>
      </c>
      <c r="G368" s="1">
        <v>40</v>
      </c>
      <c r="H368" s="1">
        <v>12</v>
      </c>
      <c r="I368" t="s">
        <v>39</v>
      </c>
      <c r="L368" s="1">
        <v>1</v>
      </c>
      <c r="M368" s="3">
        <v>32.409999999999997</v>
      </c>
      <c r="N368" s="3">
        <v>1.62</v>
      </c>
      <c r="O368" s="3">
        <v>0</v>
      </c>
      <c r="P368" s="3">
        <v>0.25</v>
      </c>
      <c r="Q368" s="3">
        <v>34.28</v>
      </c>
      <c r="R368" s="3">
        <v>35.75</v>
      </c>
      <c r="S368" s="3">
        <f>VLOOKUP(C368,[1]page!$C$2:$M$3071,11,0)</f>
        <v>32.119999999999997</v>
      </c>
      <c r="T368" s="6">
        <f t="shared" si="5"/>
        <v>0.28999999999999915</v>
      </c>
    </row>
    <row r="369" spans="1:20" x14ac:dyDescent="0.2">
      <c r="A369" t="s">
        <v>1185</v>
      </c>
      <c r="B369" t="s">
        <v>1191</v>
      </c>
      <c r="C369" t="s">
        <v>1192</v>
      </c>
      <c r="D369" t="s">
        <v>1188</v>
      </c>
      <c r="E369" t="s">
        <v>38</v>
      </c>
      <c r="F369" t="s">
        <v>84</v>
      </c>
      <c r="G369" s="1">
        <v>40</v>
      </c>
      <c r="H369" s="1">
        <v>6</v>
      </c>
      <c r="I369" t="s">
        <v>39</v>
      </c>
      <c r="L369" s="1">
        <v>1</v>
      </c>
      <c r="M369" s="3">
        <v>47.97</v>
      </c>
      <c r="N369" s="3">
        <v>2.4</v>
      </c>
      <c r="O369" s="3">
        <v>0</v>
      </c>
      <c r="P369" s="3">
        <v>0.25</v>
      </c>
      <c r="Q369" s="3">
        <v>50.62</v>
      </c>
      <c r="R369" s="3">
        <v>53.75</v>
      </c>
      <c r="S369" s="3">
        <f>VLOOKUP(C369,[1]page!$C$2:$M$3071,11,0)</f>
        <v>47.52</v>
      </c>
      <c r="T369" s="6">
        <f t="shared" si="5"/>
        <v>0.44999999999999574</v>
      </c>
    </row>
    <row r="370" spans="1:20" x14ac:dyDescent="0.2">
      <c r="A370" t="s">
        <v>1193</v>
      </c>
      <c r="B370" t="s">
        <v>1194</v>
      </c>
      <c r="C370" t="s">
        <v>1195</v>
      </c>
      <c r="D370" t="s">
        <v>1196</v>
      </c>
      <c r="E370" t="s">
        <v>1197</v>
      </c>
      <c r="F370" t="s">
        <v>23</v>
      </c>
      <c r="G370" s="1">
        <v>35</v>
      </c>
      <c r="H370" s="1">
        <v>6</v>
      </c>
      <c r="I370" t="s">
        <v>39</v>
      </c>
      <c r="L370" s="1">
        <v>1</v>
      </c>
      <c r="M370" s="3">
        <v>47.09</v>
      </c>
      <c r="N370" s="3">
        <v>2.35</v>
      </c>
      <c r="O370" s="3">
        <v>0</v>
      </c>
      <c r="P370" s="3">
        <v>0.2</v>
      </c>
      <c r="Q370" s="3">
        <v>49.64</v>
      </c>
      <c r="R370" s="3">
        <v>24.25</v>
      </c>
      <c r="S370" s="3">
        <f>VLOOKUP(C370,[1]page!$C$2:$M$3071,11,0)</f>
        <v>46.97</v>
      </c>
      <c r="T370" s="6">
        <f t="shared" si="5"/>
        <v>0.12000000000000455</v>
      </c>
    </row>
    <row r="371" spans="1:20" x14ac:dyDescent="0.2">
      <c r="A371" t="s">
        <v>1193</v>
      </c>
      <c r="B371" t="s">
        <v>1198</v>
      </c>
      <c r="C371" t="s">
        <v>1199</v>
      </c>
      <c r="D371" t="s">
        <v>1200</v>
      </c>
      <c r="E371" t="s">
        <v>1201</v>
      </c>
      <c r="F371" t="s">
        <v>23</v>
      </c>
      <c r="G371" s="1">
        <v>40</v>
      </c>
      <c r="H371" s="1">
        <v>12</v>
      </c>
      <c r="I371" t="s">
        <v>1202</v>
      </c>
      <c r="L371" s="1">
        <v>1</v>
      </c>
      <c r="M371" s="3">
        <v>33.08</v>
      </c>
      <c r="N371" s="3">
        <v>1.65</v>
      </c>
      <c r="O371" s="3">
        <v>0</v>
      </c>
      <c r="P371" s="3">
        <v>0.2</v>
      </c>
      <c r="Q371" s="3">
        <v>34.93</v>
      </c>
      <c r="R371" s="3">
        <v>24.25</v>
      </c>
      <c r="S371" s="3">
        <f>VLOOKUP(C371,[1]page!$C$2:$M$3071,11,0)</f>
        <v>32.89</v>
      </c>
      <c r="T371" s="6">
        <f t="shared" si="5"/>
        <v>0.18999999999999773</v>
      </c>
    </row>
    <row r="372" spans="1:20" x14ac:dyDescent="0.2">
      <c r="A372" t="s">
        <v>1203</v>
      </c>
      <c r="B372" t="s">
        <v>1204</v>
      </c>
      <c r="C372" t="s">
        <v>1205</v>
      </c>
      <c r="D372" t="s">
        <v>1196</v>
      </c>
      <c r="E372" t="s">
        <v>1197</v>
      </c>
      <c r="F372" t="s">
        <v>77</v>
      </c>
      <c r="G372" s="1">
        <v>35</v>
      </c>
      <c r="H372" s="1">
        <v>12</v>
      </c>
      <c r="I372" t="s">
        <v>39</v>
      </c>
      <c r="L372" s="1">
        <v>1</v>
      </c>
      <c r="M372" s="3">
        <v>25.57</v>
      </c>
      <c r="N372" s="3">
        <v>1.28</v>
      </c>
      <c r="O372" s="3">
        <v>0</v>
      </c>
      <c r="P372" s="3">
        <v>0.2</v>
      </c>
      <c r="Q372" s="3">
        <v>27.05</v>
      </c>
      <c r="R372" s="3">
        <v>13.7</v>
      </c>
      <c r="S372" s="3">
        <f>VLOOKUP(C372,[1]page!$C$2:$M$3071,11,0)</f>
        <v>25.51</v>
      </c>
      <c r="T372" s="6">
        <f t="shared" si="5"/>
        <v>5.9999999999998721E-2</v>
      </c>
    </row>
    <row r="373" spans="1:20" x14ac:dyDescent="0.2">
      <c r="A373" t="s">
        <v>1203</v>
      </c>
      <c r="B373" t="s">
        <v>1206</v>
      </c>
      <c r="C373" t="s">
        <v>1207</v>
      </c>
      <c r="D373" t="s">
        <v>1208</v>
      </c>
      <c r="E373" t="s">
        <v>1209</v>
      </c>
      <c r="F373" t="s">
        <v>23</v>
      </c>
      <c r="G373" s="1">
        <v>40</v>
      </c>
      <c r="H373" s="1">
        <v>12</v>
      </c>
      <c r="I373" t="s">
        <v>178</v>
      </c>
      <c r="L373" s="1">
        <v>1</v>
      </c>
      <c r="M373" s="3">
        <v>27.89</v>
      </c>
      <c r="N373" s="3">
        <v>1.39</v>
      </c>
      <c r="O373" s="3">
        <v>0</v>
      </c>
      <c r="P373" s="3">
        <v>0.2</v>
      </c>
      <c r="Q373" s="3">
        <v>29.48</v>
      </c>
      <c r="R373" s="3">
        <v>24.25</v>
      </c>
      <c r="S373" s="3">
        <f>VLOOKUP(C373,[1]page!$C$2:$M$3071,11,0)</f>
        <v>27.7</v>
      </c>
      <c r="T373" s="6">
        <f t="shared" si="5"/>
        <v>0.19000000000000128</v>
      </c>
    </row>
    <row r="374" spans="1:20" x14ac:dyDescent="0.2">
      <c r="A374" t="s">
        <v>1210</v>
      </c>
      <c r="B374" t="s">
        <v>1211</v>
      </c>
      <c r="C374" t="s">
        <v>1212</v>
      </c>
      <c r="D374" t="s">
        <v>1213</v>
      </c>
      <c r="E374" t="s">
        <v>1214</v>
      </c>
      <c r="F374" t="s">
        <v>23</v>
      </c>
      <c r="G374" s="1">
        <v>40</v>
      </c>
      <c r="H374" s="1">
        <v>12</v>
      </c>
      <c r="I374" t="s">
        <v>39</v>
      </c>
      <c r="L374" s="1">
        <v>1</v>
      </c>
      <c r="M374" s="3">
        <v>31.39</v>
      </c>
      <c r="N374" s="3">
        <v>1.57</v>
      </c>
      <c r="O374" s="3">
        <v>0</v>
      </c>
      <c r="P374" s="3">
        <v>0.2</v>
      </c>
      <c r="Q374" s="3">
        <v>33.159999999999997</v>
      </c>
      <c r="R374" s="3">
        <v>24.25</v>
      </c>
      <c r="S374" s="3">
        <f>VLOOKUP(C374,[1]page!$C$2:$M$3071,11,0)</f>
        <v>31.2</v>
      </c>
      <c r="T374" s="6">
        <f t="shared" si="5"/>
        <v>0.19000000000000128</v>
      </c>
    </row>
    <row r="375" spans="1:20" x14ac:dyDescent="0.2">
      <c r="A375" t="s">
        <v>1215</v>
      </c>
      <c r="B375" t="s">
        <v>1216</v>
      </c>
      <c r="C375" t="s">
        <v>1217</v>
      </c>
      <c r="D375" t="s">
        <v>1218</v>
      </c>
      <c r="E375" t="s">
        <v>1214</v>
      </c>
      <c r="F375" t="s">
        <v>23</v>
      </c>
      <c r="G375" s="1">
        <v>40</v>
      </c>
      <c r="H375" s="1">
        <v>12</v>
      </c>
      <c r="I375" t="s">
        <v>39</v>
      </c>
      <c r="L375" s="1">
        <v>1</v>
      </c>
      <c r="M375" s="3">
        <v>27.2</v>
      </c>
      <c r="N375" s="3">
        <v>1.36</v>
      </c>
      <c r="O375" s="3">
        <v>0</v>
      </c>
      <c r="P375" s="3">
        <v>0.2</v>
      </c>
      <c r="Q375" s="3">
        <v>28.76</v>
      </c>
      <c r="R375" s="3">
        <v>24.25</v>
      </c>
      <c r="S375" s="3">
        <f>VLOOKUP(C375,[1]page!$C$2:$M$3071,11,0)</f>
        <v>27.2</v>
      </c>
      <c r="T375" s="6">
        <f t="shared" si="5"/>
        <v>0</v>
      </c>
    </row>
    <row r="376" spans="1:20" x14ac:dyDescent="0.2">
      <c r="A376" t="s">
        <v>1215</v>
      </c>
      <c r="B376" t="s">
        <v>1219</v>
      </c>
      <c r="C376" t="s">
        <v>1220</v>
      </c>
      <c r="D376" t="s">
        <v>1221</v>
      </c>
      <c r="E376" t="s">
        <v>1214</v>
      </c>
      <c r="F376" t="s">
        <v>23</v>
      </c>
      <c r="G376" s="1">
        <v>40</v>
      </c>
      <c r="H376" s="1">
        <v>12</v>
      </c>
      <c r="I376" t="s">
        <v>39</v>
      </c>
      <c r="L376" s="1">
        <v>1</v>
      </c>
      <c r="M376" s="3">
        <v>28.9</v>
      </c>
      <c r="N376" s="3">
        <v>1.45</v>
      </c>
      <c r="O376" s="3">
        <v>0</v>
      </c>
      <c r="P376" s="3">
        <v>0.2</v>
      </c>
      <c r="Q376" s="3">
        <v>30.55</v>
      </c>
      <c r="R376" s="3">
        <v>24.25</v>
      </c>
      <c r="S376" s="3">
        <f>VLOOKUP(C376,[1]page!$C$2:$M$3071,11,0)</f>
        <v>28.7</v>
      </c>
      <c r="T376" s="6">
        <f t="shared" si="5"/>
        <v>0.19999999999999929</v>
      </c>
    </row>
    <row r="377" spans="1:20" x14ac:dyDescent="0.2">
      <c r="A377" t="s">
        <v>1215</v>
      </c>
      <c r="B377" t="s">
        <v>1222</v>
      </c>
      <c r="C377" t="s">
        <v>1223</v>
      </c>
      <c r="D377" t="s">
        <v>1224</v>
      </c>
      <c r="E377" t="s">
        <v>43</v>
      </c>
      <c r="F377" t="s">
        <v>23</v>
      </c>
      <c r="G377" s="2">
        <v>37.5</v>
      </c>
      <c r="H377" s="1">
        <v>12</v>
      </c>
      <c r="I377" t="s">
        <v>39</v>
      </c>
      <c r="L377" s="1">
        <v>1</v>
      </c>
      <c r="M377" s="3">
        <v>30.17</v>
      </c>
      <c r="N377" s="3">
        <v>1.51</v>
      </c>
      <c r="O377" s="3">
        <v>0</v>
      </c>
      <c r="P377" s="3">
        <v>0.2</v>
      </c>
      <c r="Q377" s="3">
        <v>31.88</v>
      </c>
      <c r="R377" s="3">
        <v>24.25</v>
      </c>
      <c r="S377" s="3">
        <f>VLOOKUP(C377,[1]page!$C$2:$M$3071,11,0)</f>
        <v>29.99</v>
      </c>
      <c r="T377" s="6">
        <f t="shared" si="5"/>
        <v>0.18000000000000327</v>
      </c>
    </row>
    <row r="378" spans="1:20" x14ac:dyDescent="0.2">
      <c r="A378" t="s">
        <v>1225</v>
      </c>
      <c r="B378" t="s">
        <v>1226</v>
      </c>
      <c r="C378" t="s">
        <v>1227</v>
      </c>
      <c r="D378" t="s">
        <v>1228</v>
      </c>
      <c r="E378" t="s">
        <v>1229</v>
      </c>
      <c r="F378" t="s">
        <v>23</v>
      </c>
      <c r="G378" s="1">
        <v>40</v>
      </c>
      <c r="H378" s="1">
        <v>6</v>
      </c>
      <c r="I378" t="s">
        <v>156</v>
      </c>
      <c r="L378" s="1">
        <v>1</v>
      </c>
      <c r="M378" s="3">
        <v>31.49</v>
      </c>
      <c r="N378" s="3">
        <v>1.57</v>
      </c>
      <c r="O378" s="3">
        <v>0</v>
      </c>
      <c r="P378" s="3">
        <v>0.2</v>
      </c>
      <c r="Q378" s="3">
        <v>33.26</v>
      </c>
      <c r="R378" s="3">
        <v>24.25</v>
      </c>
      <c r="S378" s="3">
        <f>VLOOKUP(C378,[1]page!$C$2:$M$3071,11,0)</f>
        <v>31.21</v>
      </c>
      <c r="T378" s="6">
        <f t="shared" si="5"/>
        <v>0.27999999999999758</v>
      </c>
    </row>
    <row r="379" spans="1:20" x14ac:dyDescent="0.2">
      <c r="A379" t="s">
        <v>1230</v>
      </c>
      <c r="B379" t="s">
        <v>1231</v>
      </c>
      <c r="C379" t="s">
        <v>1232</v>
      </c>
      <c r="D379" t="s">
        <v>1233</v>
      </c>
      <c r="E379" t="s">
        <v>1234</v>
      </c>
      <c r="F379" t="s">
        <v>23</v>
      </c>
      <c r="G379" s="1">
        <v>40</v>
      </c>
      <c r="H379" s="1">
        <v>12</v>
      </c>
      <c r="I379" t="s">
        <v>62</v>
      </c>
      <c r="L379" s="1">
        <v>1</v>
      </c>
      <c r="M379" s="3">
        <v>22.41</v>
      </c>
      <c r="N379" s="3">
        <v>1.1200000000000001</v>
      </c>
      <c r="O379" s="3">
        <v>0</v>
      </c>
      <c r="P379" s="3">
        <v>0.2</v>
      </c>
      <c r="Q379" s="3">
        <v>23.73</v>
      </c>
      <c r="R379" s="3">
        <v>24.25</v>
      </c>
      <c r="S379" s="3">
        <f>VLOOKUP(C379,[1]page!$C$2:$M$3071,11,0)</f>
        <v>22.22</v>
      </c>
      <c r="T379" s="6">
        <f t="shared" si="5"/>
        <v>0.19000000000000128</v>
      </c>
    </row>
    <row r="380" spans="1:20" x14ac:dyDescent="0.2">
      <c r="A380" t="s">
        <v>1235</v>
      </c>
      <c r="B380" t="s">
        <v>1236</v>
      </c>
      <c r="C380" t="s">
        <v>1237</v>
      </c>
      <c r="D380" t="s">
        <v>1115</v>
      </c>
      <c r="E380" t="s">
        <v>1116</v>
      </c>
      <c r="F380" t="s">
        <v>87</v>
      </c>
      <c r="G380" s="1">
        <v>40</v>
      </c>
      <c r="H380" s="1">
        <v>1</v>
      </c>
      <c r="I380" t="s">
        <v>444</v>
      </c>
      <c r="L380" s="1">
        <v>1</v>
      </c>
      <c r="M380" s="3">
        <v>94.99</v>
      </c>
      <c r="N380" s="3">
        <v>4.75</v>
      </c>
      <c r="O380" s="3">
        <v>0</v>
      </c>
      <c r="P380" s="3">
        <v>0.4</v>
      </c>
      <c r="Q380" s="3">
        <v>100.14</v>
      </c>
      <c r="R380" s="3">
        <v>90.2</v>
      </c>
      <c r="S380" s="3">
        <f>VLOOKUP(C380,[1]page!$C$2:$M$3071,11,0)</f>
        <v>94.99</v>
      </c>
      <c r="T380" s="6">
        <f t="shared" si="5"/>
        <v>0</v>
      </c>
    </row>
    <row r="381" spans="1:20" x14ac:dyDescent="0.2">
      <c r="A381" t="s">
        <v>1238</v>
      </c>
      <c r="B381" t="s">
        <v>1239</v>
      </c>
      <c r="C381" t="s">
        <v>1240</v>
      </c>
      <c r="D381" t="s">
        <v>1241</v>
      </c>
      <c r="E381" t="s">
        <v>305</v>
      </c>
      <c r="F381" t="s">
        <v>23</v>
      </c>
      <c r="G381" s="1">
        <v>40</v>
      </c>
      <c r="H381" s="1">
        <v>6</v>
      </c>
      <c r="I381" t="s">
        <v>24</v>
      </c>
      <c r="L381" s="1">
        <v>1</v>
      </c>
      <c r="M381" s="3">
        <v>63.01</v>
      </c>
      <c r="N381" s="3">
        <v>3.15</v>
      </c>
      <c r="O381" s="3">
        <v>0</v>
      </c>
      <c r="P381" s="3">
        <v>0.2</v>
      </c>
      <c r="Q381" s="3">
        <v>66.36</v>
      </c>
      <c r="R381" s="3">
        <v>24.25</v>
      </c>
      <c r="S381" s="3">
        <f>VLOOKUP(C381,[1]page!$C$2:$M$3071,11,0)</f>
        <v>63</v>
      </c>
      <c r="T381" s="6">
        <f t="shared" si="5"/>
        <v>9.9999999999980105E-3</v>
      </c>
    </row>
    <row r="382" spans="1:20" x14ac:dyDescent="0.2">
      <c r="A382" t="s">
        <v>1242</v>
      </c>
      <c r="B382" t="s">
        <v>1243</v>
      </c>
      <c r="C382" t="s">
        <v>1244</v>
      </c>
      <c r="D382" t="s">
        <v>1245</v>
      </c>
      <c r="E382" t="s">
        <v>1246</v>
      </c>
      <c r="F382" t="s">
        <v>23</v>
      </c>
      <c r="G382" s="1">
        <v>40</v>
      </c>
      <c r="H382" s="1">
        <v>6</v>
      </c>
      <c r="I382" t="s">
        <v>1247</v>
      </c>
      <c r="L382" s="1">
        <v>1</v>
      </c>
      <c r="M382" s="3">
        <v>36.590000000000003</v>
      </c>
      <c r="N382" s="3">
        <v>1.83</v>
      </c>
      <c r="O382" s="3">
        <v>0</v>
      </c>
      <c r="P382" s="3">
        <v>0.2</v>
      </c>
      <c r="Q382" s="3">
        <v>38.619999999999997</v>
      </c>
      <c r="R382" s="3">
        <v>24.25</v>
      </c>
      <c r="S382" s="3">
        <f>VLOOKUP(C382,[1]page!$C$2:$M$3071,11,0)</f>
        <v>36.4</v>
      </c>
      <c r="T382" s="6">
        <f t="shared" si="5"/>
        <v>0.19000000000000483</v>
      </c>
    </row>
    <row r="383" spans="1:20" x14ac:dyDescent="0.2">
      <c r="A383" t="s">
        <v>1248</v>
      </c>
      <c r="B383" t="s">
        <v>1249</v>
      </c>
      <c r="C383" t="s">
        <v>1250</v>
      </c>
      <c r="D383" t="s">
        <v>1251</v>
      </c>
      <c r="E383" t="s">
        <v>1181</v>
      </c>
      <c r="F383" t="s">
        <v>23</v>
      </c>
      <c r="G383" s="1">
        <v>40</v>
      </c>
      <c r="H383" s="1">
        <v>12</v>
      </c>
      <c r="I383" t="s">
        <v>1252</v>
      </c>
      <c r="L383" s="1">
        <v>1</v>
      </c>
      <c r="M383" s="3">
        <v>26.52</v>
      </c>
      <c r="N383" s="3">
        <v>1.33</v>
      </c>
      <c r="O383" s="3">
        <v>0</v>
      </c>
      <c r="P383" s="3">
        <v>0.2</v>
      </c>
      <c r="Q383" s="3">
        <v>28.05</v>
      </c>
      <c r="R383" s="3">
        <v>24.25</v>
      </c>
      <c r="S383" s="3">
        <f>VLOOKUP(C383,[1]page!$C$2:$M$3071,11,0)</f>
        <v>26.33</v>
      </c>
      <c r="T383" s="6">
        <f t="shared" ref="T383:T445" si="6">SUM(M383-S383)</f>
        <v>0.19000000000000128</v>
      </c>
    </row>
    <row r="384" spans="1:20" x14ac:dyDescent="0.2">
      <c r="A384" t="s">
        <v>1248</v>
      </c>
      <c r="B384" t="s">
        <v>1253</v>
      </c>
      <c r="C384" t="s">
        <v>1254</v>
      </c>
      <c r="D384" t="s">
        <v>1251</v>
      </c>
      <c r="E384" t="s">
        <v>1181</v>
      </c>
      <c r="F384" t="s">
        <v>65</v>
      </c>
      <c r="G384" s="1">
        <v>40</v>
      </c>
      <c r="H384" s="1">
        <v>10</v>
      </c>
      <c r="I384" t="s">
        <v>1252</v>
      </c>
      <c r="L384" s="1">
        <v>1</v>
      </c>
      <c r="M384" s="3">
        <v>37.54</v>
      </c>
      <c r="N384" s="3">
        <v>1.88</v>
      </c>
      <c r="O384" s="3">
        <v>0</v>
      </c>
      <c r="P384" s="3">
        <v>0.4</v>
      </c>
      <c r="Q384" s="3">
        <v>39.82</v>
      </c>
      <c r="R384" s="3">
        <v>35.75</v>
      </c>
      <c r="S384" s="3">
        <f>VLOOKUP(C384,[1]page!$C$2:$M$3071,11,0)</f>
        <v>37.25</v>
      </c>
      <c r="T384" s="6">
        <f t="shared" si="6"/>
        <v>0.28999999999999915</v>
      </c>
    </row>
    <row r="385" spans="1:20" x14ac:dyDescent="0.2">
      <c r="A385" t="s">
        <v>1248</v>
      </c>
      <c r="B385" t="s">
        <v>1255</v>
      </c>
      <c r="C385" t="s">
        <v>1256</v>
      </c>
      <c r="D385" t="s">
        <v>1251</v>
      </c>
      <c r="E385" t="s">
        <v>1181</v>
      </c>
      <c r="F385" t="s">
        <v>84</v>
      </c>
      <c r="G385" s="1">
        <v>40</v>
      </c>
      <c r="H385" s="1">
        <v>6</v>
      </c>
      <c r="I385" t="s">
        <v>1252</v>
      </c>
      <c r="L385" s="1">
        <v>1</v>
      </c>
      <c r="M385" s="3">
        <v>56.51</v>
      </c>
      <c r="N385" s="3">
        <v>2.83</v>
      </c>
      <c r="O385" s="3">
        <v>0</v>
      </c>
      <c r="P385" s="3">
        <v>0.25</v>
      </c>
      <c r="Q385" s="3">
        <v>59.59</v>
      </c>
      <c r="R385" s="3">
        <v>53.75</v>
      </c>
      <c r="S385" s="3">
        <f>VLOOKUP(C385,[1]page!$C$2:$M$3071,11,0)</f>
        <v>56.07</v>
      </c>
      <c r="T385" s="6">
        <f t="shared" si="6"/>
        <v>0.43999999999999773</v>
      </c>
    </row>
    <row r="386" spans="1:20" x14ac:dyDescent="0.2">
      <c r="A386" t="s">
        <v>1257</v>
      </c>
      <c r="B386" t="s">
        <v>1258</v>
      </c>
      <c r="C386" t="s">
        <v>1259</v>
      </c>
      <c r="D386" t="s">
        <v>1260</v>
      </c>
      <c r="E386" t="s">
        <v>1261</v>
      </c>
      <c r="F386" t="s">
        <v>23</v>
      </c>
      <c r="G386" s="1">
        <v>43</v>
      </c>
      <c r="H386" s="1">
        <v>6</v>
      </c>
      <c r="I386" t="s">
        <v>29</v>
      </c>
      <c r="L386" s="1">
        <v>1</v>
      </c>
      <c r="M386" s="3">
        <v>140.11000000000001</v>
      </c>
      <c r="N386" s="3">
        <v>7.01</v>
      </c>
      <c r="O386" s="3">
        <v>0</v>
      </c>
      <c r="P386" s="3">
        <v>0.2</v>
      </c>
      <c r="Q386" s="3">
        <v>147.32</v>
      </c>
      <c r="R386" s="3">
        <v>24.25</v>
      </c>
      <c r="S386" s="3">
        <f>VLOOKUP(C386,[1]page!$C$2:$M$3071,11,0)</f>
        <v>139.99</v>
      </c>
      <c r="T386" s="6">
        <f t="shared" si="6"/>
        <v>0.12000000000000455</v>
      </c>
    </row>
    <row r="387" spans="1:20" x14ac:dyDescent="0.2">
      <c r="A387" t="s">
        <v>1257</v>
      </c>
      <c r="B387" t="s">
        <v>1262</v>
      </c>
      <c r="C387" t="s">
        <v>1263</v>
      </c>
      <c r="D387" t="s">
        <v>1264</v>
      </c>
      <c r="E387" t="s">
        <v>1261</v>
      </c>
      <c r="F387" t="s">
        <v>23</v>
      </c>
      <c r="G387" s="1">
        <v>43</v>
      </c>
      <c r="H387" s="1">
        <v>6</v>
      </c>
      <c r="I387" t="s">
        <v>29</v>
      </c>
      <c r="L387" s="1">
        <v>1</v>
      </c>
      <c r="M387" s="3">
        <v>41.43</v>
      </c>
      <c r="N387" s="3">
        <v>2.0699999999999998</v>
      </c>
      <c r="O387" s="3">
        <v>0</v>
      </c>
      <c r="P387" s="3">
        <v>0.2</v>
      </c>
      <c r="Q387" s="3">
        <v>43.7</v>
      </c>
      <c r="R387" s="3">
        <v>24.25</v>
      </c>
      <c r="S387" s="3">
        <f>VLOOKUP(C387,[1]page!$C$2:$M$3071,11,0)</f>
        <v>41.23</v>
      </c>
      <c r="T387" s="6">
        <f t="shared" si="6"/>
        <v>0.20000000000000284</v>
      </c>
    </row>
    <row r="388" spans="1:20" x14ac:dyDescent="0.2">
      <c r="A388" t="s">
        <v>1257</v>
      </c>
      <c r="B388" t="s">
        <v>1265</v>
      </c>
      <c r="C388" t="s">
        <v>1266</v>
      </c>
      <c r="D388" t="s">
        <v>1267</v>
      </c>
      <c r="E388" t="s">
        <v>1268</v>
      </c>
      <c r="F388" t="s">
        <v>23</v>
      </c>
      <c r="G388" s="1">
        <v>63</v>
      </c>
      <c r="H388" s="1">
        <v>12</v>
      </c>
      <c r="I388" t="s">
        <v>29</v>
      </c>
      <c r="L388" s="1">
        <v>1</v>
      </c>
      <c r="M388" s="3">
        <v>35.64</v>
      </c>
      <c r="N388" s="3">
        <v>1.78</v>
      </c>
      <c r="O388" s="3">
        <v>0</v>
      </c>
      <c r="P388" s="3">
        <v>0.2</v>
      </c>
      <c r="Q388" s="3">
        <v>37.619999999999997</v>
      </c>
      <c r="R388" s="3">
        <v>36.4</v>
      </c>
      <c r="S388" s="3">
        <f>VLOOKUP(C388,[1]page!$C$2:$M$3071,11,0)</f>
        <v>35.340000000000003</v>
      </c>
      <c r="T388" s="6">
        <f t="shared" si="6"/>
        <v>0.29999999999999716</v>
      </c>
    </row>
    <row r="389" spans="1:20" x14ac:dyDescent="0.2">
      <c r="A389" t="s">
        <v>1269</v>
      </c>
      <c r="B389" t="s">
        <v>1270</v>
      </c>
      <c r="C389" t="s">
        <v>1271</v>
      </c>
      <c r="D389" t="s">
        <v>1272</v>
      </c>
      <c r="E389" t="s">
        <v>1261</v>
      </c>
      <c r="F389" t="s">
        <v>23</v>
      </c>
      <c r="G389" s="1">
        <v>43</v>
      </c>
      <c r="H389" s="1">
        <v>12</v>
      </c>
      <c r="I389" t="s">
        <v>29</v>
      </c>
      <c r="L389" s="1">
        <v>1</v>
      </c>
      <c r="M389" s="3">
        <v>42.74</v>
      </c>
      <c r="N389" s="3">
        <v>2.14</v>
      </c>
      <c r="O389" s="3">
        <v>0</v>
      </c>
      <c r="P389" s="3">
        <v>0.2</v>
      </c>
      <c r="Q389" s="3">
        <v>45.08</v>
      </c>
      <c r="R389" s="3">
        <v>24.25</v>
      </c>
      <c r="S389" s="3">
        <f>VLOOKUP(C389,[1]page!$C$2:$M$3071,11,0)</f>
        <v>42.53</v>
      </c>
      <c r="T389" s="6">
        <f t="shared" si="6"/>
        <v>0.21000000000000085</v>
      </c>
    </row>
    <row r="390" spans="1:20" x14ac:dyDescent="0.2">
      <c r="A390" t="s">
        <v>1269</v>
      </c>
      <c r="B390" t="s">
        <v>1273</v>
      </c>
      <c r="C390" t="s">
        <v>1274</v>
      </c>
      <c r="D390" t="s">
        <v>1275</v>
      </c>
      <c r="E390" t="s">
        <v>1261</v>
      </c>
      <c r="F390" t="s">
        <v>23</v>
      </c>
      <c r="G390" s="1">
        <v>43</v>
      </c>
      <c r="H390" s="1">
        <v>12</v>
      </c>
      <c r="I390" t="s">
        <v>29</v>
      </c>
      <c r="L390" s="1">
        <v>1</v>
      </c>
      <c r="M390" s="3">
        <v>33.5</v>
      </c>
      <c r="N390" s="3">
        <v>1.68</v>
      </c>
      <c r="O390" s="3">
        <v>0</v>
      </c>
      <c r="P390" s="3">
        <v>0.2</v>
      </c>
      <c r="Q390" s="3">
        <v>35.380000000000003</v>
      </c>
      <c r="R390" s="3">
        <v>24.25</v>
      </c>
      <c r="S390" s="3">
        <f>VLOOKUP(C390,[1]page!$C$2:$M$3071,11,0)</f>
        <v>33.29</v>
      </c>
      <c r="T390" s="6">
        <f t="shared" si="6"/>
        <v>0.21000000000000085</v>
      </c>
    </row>
    <row r="391" spans="1:20" x14ac:dyDescent="0.2">
      <c r="A391" t="s">
        <v>1269</v>
      </c>
      <c r="B391" t="s">
        <v>1276</v>
      </c>
      <c r="C391" t="s">
        <v>1277</v>
      </c>
      <c r="D391" t="s">
        <v>1278</v>
      </c>
      <c r="E391" t="s">
        <v>1261</v>
      </c>
      <c r="F391" t="s">
        <v>77</v>
      </c>
      <c r="G391" s="1">
        <v>40</v>
      </c>
      <c r="H391" s="1">
        <v>20</v>
      </c>
      <c r="I391" t="s">
        <v>29</v>
      </c>
      <c r="L391" s="1">
        <v>1</v>
      </c>
      <c r="M391" s="3">
        <v>15.09</v>
      </c>
      <c r="N391" s="3">
        <v>0.75</v>
      </c>
      <c r="O391" s="3">
        <v>0</v>
      </c>
      <c r="P391" s="3">
        <v>0.2</v>
      </c>
      <c r="Q391" s="3">
        <v>16.04</v>
      </c>
      <c r="R391" s="3">
        <v>13.7</v>
      </c>
      <c r="S391" s="3">
        <f>VLOOKUP(C391,[1]page!$C$2:$M$3071,11,0)</f>
        <v>15</v>
      </c>
      <c r="T391" s="6">
        <f t="shared" si="6"/>
        <v>8.9999999999999858E-2</v>
      </c>
    </row>
    <row r="392" spans="1:20" x14ac:dyDescent="0.2">
      <c r="A392" t="s">
        <v>1269</v>
      </c>
      <c r="B392" t="s">
        <v>1279</v>
      </c>
      <c r="C392" t="s">
        <v>1280</v>
      </c>
      <c r="D392" t="s">
        <v>1278</v>
      </c>
      <c r="E392" t="s">
        <v>1261</v>
      </c>
      <c r="F392" t="s">
        <v>23</v>
      </c>
      <c r="G392" s="1">
        <v>40</v>
      </c>
      <c r="H392" s="1">
        <v>12</v>
      </c>
      <c r="I392" t="s">
        <v>29</v>
      </c>
      <c r="L392" s="1">
        <v>1</v>
      </c>
      <c r="M392" s="3">
        <v>25.19</v>
      </c>
      <c r="N392" s="3">
        <v>1.26</v>
      </c>
      <c r="O392" s="3">
        <v>0</v>
      </c>
      <c r="P392" s="3">
        <v>0.2</v>
      </c>
      <c r="Q392" s="3">
        <v>26.65</v>
      </c>
      <c r="R392" s="3">
        <v>24.25</v>
      </c>
      <c r="S392" s="3">
        <f>VLOOKUP(C392,[1]page!$C$2:$M$3071,11,0)</f>
        <v>25</v>
      </c>
      <c r="T392" s="6">
        <f t="shared" si="6"/>
        <v>0.19000000000000128</v>
      </c>
    </row>
    <row r="393" spans="1:20" x14ac:dyDescent="0.2">
      <c r="A393" t="s">
        <v>1269</v>
      </c>
      <c r="B393" t="s">
        <v>1281</v>
      </c>
      <c r="C393" t="s">
        <v>1282</v>
      </c>
      <c r="D393" t="s">
        <v>1278</v>
      </c>
      <c r="E393" t="s">
        <v>1261</v>
      </c>
      <c r="F393" t="s">
        <v>65</v>
      </c>
      <c r="G393" s="1">
        <v>40</v>
      </c>
      <c r="H393" s="1">
        <v>6</v>
      </c>
      <c r="I393" t="s">
        <v>29</v>
      </c>
      <c r="L393" s="1">
        <v>1</v>
      </c>
      <c r="M393" s="3">
        <v>35.299999999999997</v>
      </c>
      <c r="N393" s="3">
        <v>1.77</v>
      </c>
      <c r="O393" s="3">
        <v>0</v>
      </c>
      <c r="P393" s="3">
        <v>0.4</v>
      </c>
      <c r="Q393" s="3">
        <v>37.47</v>
      </c>
      <c r="R393" s="3">
        <v>35.75</v>
      </c>
      <c r="S393" s="3">
        <f>VLOOKUP(C393,[1]page!$C$2:$M$3071,11,0)</f>
        <v>35.01</v>
      </c>
      <c r="T393" s="6">
        <f t="shared" si="6"/>
        <v>0.28999999999999915</v>
      </c>
    </row>
    <row r="394" spans="1:20" x14ac:dyDescent="0.2">
      <c r="A394" t="s">
        <v>1269</v>
      </c>
      <c r="B394" t="s">
        <v>1283</v>
      </c>
      <c r="C394" t="s">
        <v>1284</v>
      </c>
      <c r="D394" t="s">
        <v>1278</v>
      </c>
      <c r="E394" t="s">
        <v>1261</v>
      </c>
      <c r="F394" t="s">
        <v>84</v>
      </c>
      <c r="G394" s="1">
        <v>40</v>
      </c>
      <c r="H394" s="1">
        <v>6</v>
      </c>
      <c r="I394" t="s">
        <v>29</v>
      </c>
      <c r="L394" s="1">
        <v>1</v>
      </c>
      <c r="M394" s="3">
        <v>50.97</v>
      </c>
      <c r="N394" s="3">
        <v>2.5499999999999998</v>
      </c>
      <c r="O394" s="3">
        <v>0</v>
      </c>
      <c r="P394" s="3">
        <v>0.4</v>
      </c>
      <c r="Q394" s="3">
        <v>53.92</v>
      </c>
      <c r="R394" s="3">
        <v>53.75</v>
      </c>
      <c r="S394" s="3">
        <f>VLOOKUP(C394,[1]page!$C$2:$M$3071,11,0)</f>
        <v>50.52</v>
      </c>
      <c r="T394" s="6">
        <f t="shared" si="6"/>
        <v>0.44999999999999574</v>
      </c>
    </row>
    <row r="395" spans="1:20" x14ac:dyDescent="0.2">
      <c r="A395" t="s">
        <v>1269</v>
      </c>
      <c r="B395" t="s">
        <v>1285</v>
      </c>
      <c r="C395" t="s">
        <v>1286</v>
      </c>
      <c r="D395" t="s">
        <v>1287</v>
      </c>
      <c r="E395" t="s">
        <v>1047</v>
      </c>
      <c r="F395" t="s">
        <v>23</v>
      </c>
      <c r="G395" s="1">
        <v>57</v>
      </c>
      <c r="H395" s="1">
        <v>12</v>
      </c>
      <c r="I395" t="s">
        <v>57</v>
      </c>
      <c r="L395" s="1">
        <v>1</v>
      </c>
      <c r="M395" s="3">
        <v>46.23</v>
      </c>
      <c r="N395" s="3">
        <v>2.31</v>
      </c>
      <c r="O395" s="3">
        <v>0</v>
      </c>
      <c r="P395" s="3">
        <v>0.2</v>
      </c>
      <c r="Q395" s="3">
        <v>48.74</v>
      </c>
      <c r="R395" s="3">
        <v>36.4</v>
      </c>
      <c r="S395" s="3">
        <f>VLOOKUP(C395,[1]page!$C$2:$M$3071,11,0)</f>
        <v>46.04</v>
      </c>
      <c r="T395" s="6">
        <f t="shared" si="6"/>
        <v>0.18999999999999773</v>
      </c>
    </row>
    <row r="396" spans="1:20" x14ac:dyDescent="0.2">
      <c r="A396" t="s">
        <v>1288</v>
      </c>
      <c r="B396" t="s">
        <v>1289</v>
      </c>
      <c r="C396" t="s">
        <v>1290</v>
      </c>
      <c r="D396" t="s">
        <v>1291</v>
      </c>
      <c r="E396" t="s">
        <v>1292</v>
      </c>
      <c r="F396" t="s">
        <v>23</v>
      </c>
      <c r="G396" s="1">
        <v>40</v>
      </c>
      <c r="H396" s="1">
        <v>12</v>
      </c>
      <c r="I396" t="s">
        <v>57</v>
      </c>
      <c r="L396" s="1">
        <v>1</v>
      </c>
      <c r="M396" s="3">
        <v>35.21</v>
      </c>
      <c r="N396" s="3">
        <v>1.76</v>
      </c>
      <c r="O396" s="3">
        <v>0</v>
      </c>
      <c r="P396" s="3">
        <v>0.2</v>
      </c>
      <c r="Q396" s="3">
        <v>37.17</v>
      </c>
      <c r="R396" s="3">
        <v>24.25</v>
      </c>
      <c r="S396" s="3">
        <f>VLOOKUP(C396,[1]page!$C$2:$M$3071,11,0)</f>
        <v>35.020000000000003</v>
      </c>
      <c r="T396" s="6">
        <f t="shared" si="6"/>
        <v>0.18999999999999773</v>
      </c>
    </row>
    <row r="397" spans="1:20" x14ac:dyDescent="0.2">
      <c r="A397" t="s">
        <v>1288</v>
      </c>
      <c r="B397" t="s">
        <v>1293</v>
      </c>
      <c r="C397" t="s">
        <v>1294</v>
      </c>
      <c r="D397" t="s">
        <v>1295</v>
      </c>
      <c r="E397" t="s">
        <v>1292</v>
      </c>
      <c r="F397" t="s">
        <v>23</v>
      </c>
      <c r="G397" s="1">
        <v>40</v>
      </c>
      <c r="H397" s="1">
        <v>6</v>
      </c>
      <c r="I397" t="s">
        <v>57</v>
      </c>
      <c r="L397" s="1">
        <v>1</v>
      </c>
      <c r="M397" s="3">
        <v>62.23</v>
      </c>
      <c r="N397" s="3">
        <v>3.11</v>
      </c>
      <c r="O397" s="3">
        <v>0</v>
      </c>
      <c r="P397" s="3">
        <v>0.2</v>
      </c>
      <c r="Q397" s="3">
        <v>65.540000000000006</v>
      </c>
      <c r="R397" s="3">
        <v>24.25</v>
      </c>
      <c r="S397" s="3">
        <f>VLOOKUP(C397,[1]page!$C$2:$M$3071,11,0)</f>
        <v>62.12</v>
      </c>
      <c r="T397" s="6">
        <f t="shared" si="6"/>
        <v>0.10999999999999943</v>
      </c>
    </row>
    <row r="398" spans="1:20" x14ac:dyDescent="0.2">
      <c r="A398" t="s">
        <v>1288</v>
      </c>
      <c r="B398" t="s">
        <v>1296</v>
      </c>
      <c r="C398" t="s">
        <v>1297</v>
      </c>
      <c r="D398" t="s">
        <v>1298</v>
      </c>
      <c r="E398" t="s">
        <v>1292</v>
      </c>
      <c r="F398" t="s">
        <v>23</v>
      </c>
      <c r="G398" s="1">
        <v>40</v>
      </c>
      <c r="H398" s="1">
        <v>12</v>
      </c>
      <c r="I398" t="s">
        <v>57</v>
      </c>
      <c r="L398" s="1">
        <v>1</v>
      </c>
      <c r="M398" s="3">
        <v>30.2</v>
      </c>
      <c r="N398" s="3">
        <v>1.51</v>
      </c>
      <c r="O398" s="3">
        <v>0</v>
      </c>
      <c r="P398" s="3">
        <v>0.2</v>
      </c>
      <c r="Q398" s="3">
        <v>31.91</v>
      </c>
      <c r="R398" s="3">
        <v>24.25</v>
      </c>
      <c r="S398" s="3">
        <f>VLOOKUP(C398,[1]page!$C$2:$M$3071,11,0)</f>
        <v>30.01</v>
      </c>
      <c r="T398" s="6">
        <f t="shared" si="6"/>
        <v>0.18999999999999773</v>
      </c>
    </row>
    <row r="399" spans="1:20" x14ac:dyDescent="0.2">
      <c r="A399" t="s">
        <v>1299</v>
      </c>
      <c r="B399" t="s">
        <v>1300</v>
      </c>
      <c r="C399" t="s">
        <v>1301</v>
      </c>
      <c r="D399" t="s">
        <v>1302</v>
      </c>
      <c r="E399" t="s">
        <v>1292</v>
      </c>
      <c r="F399" t="s">
        <v>23</v>
      </c>
      <c r="G399" s="1">
        <v>40</v>
      </c>
      <c r="H399" s="1">
        <v>12</v>
      </c>
      <c r="I399" t="s">
        <v>57</v>
      </c>
      <c r="L399" s="1">
        <v>1</v>
      </c>
      <c r="M399" s="3">
        <v>24.2</v>
      </c>
      <c r="N399" s="3">
        <v>1.21</v>
      </c>
      <c r="O399" s="3">
        <v>0</v>
      </c>
      <c r="P399" s="3">
        <v>0.2</v>
      </c>
      <c r="Q399" s="3">
        <v>25.61</v>
      </c>
      <c r="R399" s="3">
        <v>24.25</v>
      </c>
      <c r="S399" s="3">
        <f>VLOOKUP(C399,[1]page!$C$2:$M$3071,11,0)</f>
        <v>24.01</v>
      </c>
      <c r="T399" s="6">
        <f t="shared" si="6"/>
        <v>0.18999999999999773</v>
      </c>
    </row>
    <row r="400" spans="1:20" x14ac:dyDescent="0.2">
      <c r="A400" t="s">
        <v>1303</v>
      </c>
      <c r="B400" t="s">
        <v>1304</v>
      </c>
      <c r="C400" t="s">
        <v>1305</v>
      </c>
      <c r="D400" t="s">
        <v>1306</v>
      </c>
      <c r="E400" t="s">
        <v>1197</v>
      </c>
      <c r="F400" t="s">
        <v>23</v>
      </c>
      <c r="G400" s="1">
        <v>40</v>
      </c>
      <c r="H400" s="1">
        <v>6</v>
      </c>
      <c r="I400" t="s">
        <v>39</v>
      </c>
      <c r="L400" s="1">
        <v>1</v>
      </c>
      <c r="M400" s="3">
        <v>56.1</v>
      </c>
      <c r="N400" s="3">
        <v>2.81</v>
      </c>
      <c r="O400" s="3">
        <v>0</v>
      </c>
      <c r="P400" s="3">
        <v>0.2</v>
      </c>
      <c r="Q400" s="3">
        <v>59.11</v>
      </c>
      <c r="R400" s="3">
        <v>24.25</v>
      </c>
      <c r="S400" s="3">
        <f>VLOOKUP(C400,[1]page!$C$2:$M$3071,11,0)</f>
        <v>55.97</v>
      </c>
      <c r="T400" s="6">
        <f t="shared" si="6"/>
        <v>0.13000000000000256</v>
      </c>
    </row>
    <row r="401" spans="1:20" x14ac:dyDescent="0.2">
      <c r="A401" t="s">
        <v>1307</v>
      </c>
      <c r="B401" t="s">
        <v>1308</v>
      </c>
      <c r="C401" t="s">
        <v>1309</v>
      </c>
      <c r="D401" t="s">
        <v>1310</v>
      </c>
      <c r="E401" t="s">
        <v>1311</v>
      </c>
      <c r="F401" t="s">
        <v>396</v>
      </c>
      <c r="G401" s="1">
        <v>40</v>
      </c>
      <c r="H401" s="1">
        <v>6</v>
      </c>
      <c r="I401" t="s">
        <v>607</v>
      </c>
      <c r="L401" s="1">
        <v>1</v>
      </c>
      <c r="M401" s="3">
        <v>45.63</v>
      </c>
      <c r="N401" s="3">
        <v>2.2799999999999998</v>
      </c>
      <c r="O401" s="3">
        <v>0</v>
      </c>
      <c r="P401" s="3">
        <v>0.2</v>
      </c>
      <c r="Q401" s="3">
        <v>48.11</v>
      </c>
      <c r="R401" s="3">
        <v>22.65</v>
      </c>
      <c r="S401" s="3">
        <f>VLOOKUP(C401,[1]page!$C$2:$M$3071,11,0)</f>
        <v>45.5</v>
      </c>
      <c r="T401" s="6">
        <f t="shared" si="6"/>
        <v>0.13000000000000256</v>
      </c>
    </row>
    <row r="402" spans="1:20" x14ac:dyDescent="0.2">
      <c r="A402" t="s">
        <v>1312</v>
      </c>
      <c r="B402" t="s">
        <v>1313</v>
      </c>
      <c r="C402" t="s">
        <v>1314</v>
      </c>
      <c r="D402" t="s">
        <v>1315</v>
      </c>
      <c r="E402" t="s">
        <v>1316</v>
      </c>
      <c r="F402" t="s">
        <v>23</v>
      </c>
      <c r="G402" s="1">
        <v>40</v>
      </c>
      <c r="H402" s="1">
        <v>12</v>
      </c>
      <c r="I402" t="s">
        <v>24</v>
      </c>
      <c r="L402" s="1">
        <v>1</v>
      </c>
      <c r="M402" s="3">
        <v>36.99</v>
      </c>
      <c r="N402" s="3">
        <v>1.85</v>
      </c>
      <c r="O402" s="3">
        <v>0</v>
      </c>
      <c r="P402" s="3">
        <v>0.2</v>
      </c>
      <c r="Q402" s="3">
        <v>39.04</v>
      </c>
      <c r="R402" s="3">
        <v>24.25</v>
      </c>
      <c r="S402" s="3">
        <f>VLOOKUP(C402,[1]page!$C$2:$M$3071,11,0)</f>
        <v>36.75</v>
      </c>
      <c r="T402" s="6">
        <f t="shared" si="6"/>
        <v>0.24000000000000199</v>
      </c>
    </row>
    <row r="403" spans="1:20" x14ac:dyDescent="0.2">
      <c r="A403" t="s">
        <v>1317</v>
      </c>
      <c r="B403" t="s">
        <v>1318</v>
      </c>
      <c r="C403" t="s">
        <v>1319</v>
      </c>
      <c r="D403" t="s">
        <v>1320</v>
      </c>
      <c r="E403" t="s">
        <v>1116</v>
      </c>
      <c r="F403" t="s">
        <v>23</v>
      </c>
      <c r="G403" s="1">
        <v>40</v>
      </c>
      <c r="H403" s="1">
        <v>12</v>
      </c>
      <c r="I403" t="s">
        <v>444</v>
      </c>
      <c r="L403" s="1">
        <v>1</v>
      </c>
      <c r="M403" s="3">
        <v>33.5</v>
      </c>
      <c r="N403" s="3">
        <v>1.68</v>
      </c>
      <c r="O403" s="3">
        <v>0</v>
      </c>
      <c r="P403" s="3">
        <v>0.2</v>
      </c>
      <c r="Q403" s="3">
        <v>35.380000000000003</v>
      </c>
      <c r="R403" s="3">
        <v>24.25</v>
      </c>
      <c r="S403" s="3">
        <f>VLOOKUP(C403,[1]page!$C$2:$M$3071,11,0)</f>
        <v>33.5</v>
      </c>
      <c r="T403" s="6">
        <f t="shared" si="6"/>
        <v>0</v>
      </c>
    </row>
    <row r="404" spans="1:20" x14ac:dyDescent="0.2">
      <c r="A404" t="s">
        <v>1317</v>
      </c>
      <c r="B404" t="s">
        <v>1321</v>
      </c>
      <c r="C404" t="s">
        <v>1322</v>
      </c>
      <c r="D404" t="s">
        <v>1323</v>
      </c>
      <c r="E404" t="s">
        <v>1124</v>
      </c>
      <c r="F404" t="s">
        <v>396</v>
      </c>
      <c r="G404" s="1">
        <v>40</v>
      </c>
      <c r="H404" s="1">
        <v>6</v>
      </c>
      <c r="I404" t="s">
        <v>444</v>
      </c>
      <c r="L404" s="1">
        <v>1</v>
      </c>
      <c r="M404" s="3">
        <v>29.86</v>
      </c>
      <c r="N404" s="3">
        <v>1.49</v>
      </c>
      <c r="O404" s="3">
        <v>0</v>
      </c>
      <c r="P404" s="3">
        <v>0.2</v>
      </c>
      <c r="Q404" s="3">
        <v>31.55</v>
      </c>
      <c r="R404" s="3">
        <v>22.65</v>
      </c>
      <c r="S404" s="3">
        <f>VLOOKUP(C404,[1]page!$C$2:$M$3071,11,0)</f>
        <v>29.86</v>
      </c>
      <c r="T404" s="6">
        <f t="shared" si="6"/>
        <v>0</v>
      </c>
    </row>
    <row r="405" spans="1:20" x14ac:dyDescent="0.2">
      <c r="A405" t="s">
        <v>1317</v>
      </c>
      <c r="B405" t="s">
        <v>1324</v>
      </c>
      <c r="C405" t="s">
        <v>1325</v>
      </c>
      <c r="D405" t="s">
        <v>1326</v>
      </c>
      <c r="E405" t="s">
        <v>1124</v>
      </c>
      <c r="F405" t="s">
        <v>77</v>
      </c>
      <c r="G405" s="1">
        <v>40</v>
      </c>
      <c r="H405" s="1">
        <v>24</v>
      </c>
      <c r="I405" t="s">
        <v>444</v>
      </c>
      <c r="L405" s="1">
        <v>1</v>
      </c>
      <c r="M405" s="3">
        <v>14.5</v>
      </c>
      <c r="N405" s="3">
        <v>0.73</v>
      </c>
      <c r="O405" s="3">
        <v>0</v>
      </c>
      <c r="P405" s="3">
        <v>0.1</v>
      </c>
      <c r="Q405" s="3">
        <v>15.33</v>
      </c>
      <c r="R405" s="3">
        <v>13.7</v>
      </c>
      <c r="S405" s="3">
        <f>VLOOKUP(C405,[1]page!$C$2:$M$3071,11,0)</f>
        <v>14.5</v>
      </c>
      <c r="T405" s="6">
        <f t="shared" si="6"/>
        <v>0</v>
      </c>
    </row>
    <row r="406" spans="1:20" x14ac:dyDescent="0.2">
      <c r="A406" t="s">
        <v>1327</v>
      </c>
      <c r="B406" t="s">
        <v>1328</v>
      </c>
      <c r="C406" t="s">
        <v>1329</v>
      </c>
      <c r="D406" t="s">
        <v>1330</v>
      </c>
      <c r="E406" t="s">
        <v>353</v>
      </c>
      <c r="F406" t="s">
        <v>23</v>
      </c>
      <c r="G406" s="1">
        <v>35</v>
      </c>
      <c r="H406" s="1">
        <v>12</v>
      </c>
      <c r="I406" t="s">
        <v>156</v>
      </c>
      <c r="L406" s="1">
        <v>1</v>
      </c>
      <c r="M406" s="3">
        <v>26.59</v>
      </c>
      <c r="N406" s="3">
        <v>1.33</v>
      </c>
      <c r="O406" s="3">
        <v>0</v>
      </c>
      <c r="P406" s="3">
        <v>0.2</v>
      </c>
      <c r="Q406" s="3">
        <v>28.12</v>
      </c>
      <c r="R406" s="3">
        <v>24.25</v>
      </c>
      <c r="S406" s="3">
        <f>VLOOKUP(C406,[1]page!$C$2:$M$3071,11,0)</f>
        <v>26.31</v>
      </c>
      <c r="T406" s="6">
        <f t="shared" si="6"/>
        <v>0.28000000000000114</v>
      </c>
    </row>
    <row r="407" spans="1:20" x14ac:dyDescent="0.2">
      <c r="A407" t="s">
        <v>1331</v>
      </c>
      <c r="B407" t="s">
        <v>1332</v>
      </c>
      <c r="C407" t="s">
        <v>1333</v>
      </c>
      <c r="D407" t="s">
        <v>1334</v>
      </c>
      <c r="E407" t="s">
        <v>1104</v>
      </c>
      <c r="F407" t="s">
        <v>23</v>
      </c>
      <c r="G407" s="1">
        <v>43</v>
      </c>
      <c r="H407" s="1">
        <v>6</v>
      </c>
      <c r="I407" t="s">
        <v>178</v>
      </c>
      <c r="L407" s="1">
        <v>1</v>
      </c>
      <c r="M407" s="3">
        <v>31.46</v>
      </c>
      <c r="N407" s="3">
        <v>1.57</v>
      </c>
      <c r="O407" s="3">
        <v>0</v>
      </c>
      <c r="P407" s="3">
        <v>0.2</v>
      </c>
      <c r="Q407" s="3">
        <v>33.229999999999997</v>
      </c>
      <c r="R407" s="3">
        <v>24.25</v>
      </c>
      <c r="S407" s="3">
        <f>VLOOKUP(C407,[1]page!$C$2:$M$3071,11,0)</f>
        <v>31.25</v>
      </c>
      <c r="T407" s="6">
        <f t="shared" si="6"/>
        <v>0.21000000000000085</v>
      </c>
    </row>
    <row r="408" spans="1:20" x14ac:dyDescent="0.2">
      <c r="A408" t="s">
        <v>1335</v>
      </c>
      <c r="B408" t="s">
        <v>1336</v>
      </c>
      <c r="C408" t="s">
        <v>1337</v>
      </c>
      <c r="D408" t="s">
        <v>1338</v>
      </c>
      <c r="E408" t="s">
        <v>1124</v>
      </c>
      <c r="F408" t="s">
        <v>23</v>
      </c>
      <c r="G408" s="1">
        <v>40</v>
      </c>
      <c r="H408" s="1">
        <v>12</v>
      </c>
      <c r="I408" t="s">
        <v>444</v>
      </c>
      <c r="L408" s="1">
        <v>1</v>
      </c>
      <c r="M408" s="3">
        <v>23</v>
      </c>
      <c r="N408" s="3">
        <v>1.1499999999999999</v>
      </c>
      <c r="O408" s="3">
        <v>0</v>
      </c>
      <c r="P408" s="3">
        <v>0.2</v>
      </c>
      <c r="Q408" s="3">
        <v>24.35</v>
      </c>
      <c r="R408" s="3">
        <v>24.25</v>
      </c>
      <c r="S408" s="3">
        <f>VLOOKUP(C408,[1]page!$C$2:$M$3071,11,0)</f>
        <v>23</v>
      </c>
      <c r="T408" s="6">
        <f t="shared" si="6"/>
        <v>0</v>
      </c>
    </row>
    <row r="409" spans="1:20" x14ac:dyDescent="0.2">
      <c r="A409" t="s">
        <v>1335</v>
      </c>
      <c r="B409" t="s">
        <v>1339</v>
      </c>
      <c r="C409" t="s">
        <v>1340</v>
      </c>
      <c r="D409" t="s">
        <v>1338</v>
      </c>
      <c r="E409" t="s">
        <v>1124</v>
      </c>
      <c r="F409" t="s">
        <v>65</v>
      </c>
      <c r="G409" s="1">
        <v>40</v>
      </c>
      <c r="H409" s="1">
        <v>6</v>
      </c>
      <c r="I409" t="s">
        <v>444</v>
      </c>
      <c r="L409" s="1">
        <v>1</v>
      </c>
      <c r="M409" s="3">
        <v>32</v>
      </c>
      <c r="N409" s="3">
        <v>1.6</v>
      </c>
      <c r="O409" s="3">
        <v>0</v>
      </c>
      <c r="P409" s="3">
        <v>0.4</v>
      </c>
      <c r="Q409" s="3">
        <v>34</v>
      </c>
      <c r="R409" s="3">
        <v>35.75</v>
      </c>
      <c r="S409" s="3">
        <f>VLOOKUP(C409,[1]page!$C$2:$M$3071,11,0)</f>
        <v>32</v>
      </c>
      <c r="T409" s="6">
        <f t="shared" si="6"/>
        <v>0</v>
      </c>
    </row>
    <row r="410" spans="1:20" x14ac:dyDescent="0.2">
      <c r="A410" t="s">
        <v>1335</v>
      </c>
      <c r="B410" t="s">
        <v>1341</v>
      </c>
      <c r="C410" t="s">
        <v>1342</v>
      </c>
      <c r="D410" t="s">
        <v>1343</v>
      </c>
      <c r="E410" t="s">
        <v>1124</v>
      </c>
      <c r="F410" t="s">
        <v>23</v>
      </c>
      <c r="G410" s="1">
        <v>40</v>
      </c>
      <c r="H410" s="1">
        <v>12</v>
      </c>
      <c r="I410" t="s">
        <v>444</v>
      </c>
      <c r="L410" s="1">
        <v>1</v>
      </c>
      <c r="M410" s="3">
        <v>23</v>
      </c>
      <c r="N410" s="3">
        <v>1.1499999999999999</v>
      </c>
      <c r="O410" s="3">
        <v>0</v>
      </c>
      <c r="P410" s="3">
        <v>0.2</v>
      </c>
      <c r="Q410" s="3">
        <v>24.35</v>
      </c>
      <c r="R410" s="3">
        <v>24.25</v>
      </c>
      <c r="S410" s="3">
        <f>VLOOKUP(C410,[1]page!$C$2:$M$3071,11,0)</f>
        <v>23</v>
      </c>
      <c r="T410" s="6">
        <f t="shared" si="6"/>
        <v>0</v>
      </c>
    </row>
    <row r="411" spans="1:20" x14ac:dyDescent="0.2">
      <c r="A411" t="s">
        <v>1335</v>
      </c>
      <c r="B411" t="s">
        <v>1344</v>
      </c>
      <c r="C411" t="s">
        <v>1345</v>
      </c>
      <c r="D411" t="s">
        <v>1343</v>
      </c>
      <c r="E411" t="s">
        <v>1124</v>
      </c>
      <c r="F411" t="s">
        <v>65</v>
      </c>
      <c r="G411" s="1">
        <v>40</v>
      </c>
      <c r="H411" s="1">
        <v>6</v>
      </c>
      <c r="I411" t="s">
        <v>444</v>
      </c>
      <c r="L411" s="1">
        <v>1</v>
      </c>
      <c r="M411" s="3">
        <v>32</v>
      </c>
      <c r="N411" s="3">
        <v>1.6</v>
      </c>
      <c r="O411" s="3">
        <v>0</v>
      </c>
      <c r="P411" s="3">
        <v>0.4</v>
      </c>
      <c r="Q411" s="3">
        <v>34</v>
      </c>
      <c r="R411" s="3">
        <v>35.75</v>
      </c>
      <c r="S411" s="3">
        <f>VLOOKUP(C411,[1]page!$C$2:$M$3071,11,0)</f>
        <v>32</v>
      </c>
      <c r="T411" s="6">
        <f t="shared" si="6"/>
        <v>0</v>
      </c>
    </row>
    <row r="412" spans="1:20" x14ac:dyDescent="0.2">
      <c r="A412" t="s">
        <v>1335</v>
      </c>
      <c r="B412" t="s">
        <v>1346</v>
      </c>
      <c r="C412" t="s">
        <v>1347</v>
      </c>
      <c r="D412" t="s">
        <v>1343</v>
      </c>
      <c r="E412" t="s">
        <v>1124</v>
      </c>
      <c r="F412" t="s">
        <v>84</v>
      </c>
      <c r="G412" s="1">
        <v>40</v>
      </c>
      <c r="H412" s="1">
        <v>6</v>
      </c>
      <c r="I412" t="s">
        <v>444</v>
      </c>
      <c r="L412" s="1">
        <v>1</v>
      </c>
      <c r="M412" s="3">
        <v>46.5</v>
      </c>
      <c r="N412" s="3">
        <v>2.33</v>
      </c>
      <c r="O412" s="3">
        <v>0</v>
      </c>
      <c r="P412" s="3">
        <v>0.25</v>
      </c>
      <c r="Q412" s="3">
        <v>49.08</v>
      </c>
      <c r="R412" s="3">
        <v>53.75</v>
      </c>
      <c r="S412" s="3">
        <f>VLOOKUP(C412,[1]page!$C$2:$M$3071,11,0)</f>
        <v>46.5</v>
      </c>
      <c r="T412" s="6">
        <f t="shared" si="6"/>
        <v>0</v>
      </c>
    </row>
    <row r="413" spans="1:20" x14ac:dyDescent="0.2">
      <c r="A413" t="s">
        <v>1335</v>
      </c>
      <c r="B413" t="s">
        <v>1348</v>
      </c>
      <c r="C413" t="s">
        <v>1349</v>
      </c>
      <c r="D413" t="s">
        <v>1123</v>
      </c>
      <c r="E413" t="s">
        <v>1124</v>
      </c>
      <c r="F413" t="s">
        <v>65</v>
      </c>
      <c r="G413" s="1">
        <v>40</v>
      </c>
      <c r="H413" s="1">
        <v>6</v>
      </c>
      <c r="I413" t="s">
        <v>444</v>
      </c>
      <c r="L413" s="1">
        <v>1</v>
      </c>
      <c r="M413" s="3">
        <v>32</v>
      </c>
      <c r="N413" s="3">
        <v>1.6</v>
      </c>
      <c r="O413" s="3">
        <v>0</v>
      </c>
      <c r="P413" s="3">
        <v>0.4</v>
      </c>
      <c r="Q413" s="3">
        <v>34</v>
      </c>
      <c r="R413" s="3">
        <v>35.75</v>
      </c>
      <c r="S413" s="3">
        <f>VLOOKUP(C413,[1]page!$C$2:$M$3071,11,0)</f>
        <v>32</v>
      </c>
      <c r="T413" s="6">
        <f t="shared" si="6"/>
        <v>0</v>
      </c>
    </row>
    <row r="414" spans="1:20" x14ac:dyDescent="0.2">
      <c r="A414" t="s">
        <v>1335</v>
      </c>
      <c r="B414" t="s">
        <v>1350</v>
      </c>
      <c r="C414" t="s">
        <v>1351</v>
      </c>
      <c r="D414" t="s">
        <v>1123</v>
      </c>
      <c r="E414" t="s">
        <v>1124</v>
      </c>
      <c r="F414" t="s">
        <v>84</v>
      </c>
      <c r="G414" s="1">
        <v>40</v>
      </c>
      <c r="H414" s="1">
        <v>6</v>
      </c>
      <c r="I414" t="s">
        <v>444</v>
      </c>
      <c r="L414" s="1">
        <v>1</v>
      </c>
      <c r="M414" s="3">
        <v>46.5</v>
      </c>
      <c r="N414" s="3">
        <v>2.33</v>
      </c>
      <c r="O414" s="3">
        <v>0</v>
      </c>
      <c r="P414" s="3">
        <v>0.25</v>
      </c>
      <c r="Q414" s="3">
        <v>49.08</v>
      </c>
      <c r="R414" s="3">
        <v>53.75</v>
      </c>
      <c r="S414" s="3">
        <f>VLOOKUP(C414,[1]page!$C$2:$M$3071,11,0)</f>
        <v>46.5</v>
      </c>
      <c r="T414" s="6">
        <f t="shared" si="6"/>
        <v>0</v>
      </c>
    </row>
    <row r="415" spans="1:20" x14ac:dyDescent="0.2">
      <c r="A415" t="s">
        <v>1352</v>
      </c>
      <c r="B415" t="s">
        <v>1353</v>
      </c>
      <c r="C415" t="s">
        <v>1354</v>
      </c>
      <c r="D415" t="s">
        <v>1355</v>
      </c>
      <c r="E415" t="s">
        <v>1356</v>
      </c>
      <c r="F415" t="s">
        <v>23</v>
      </c>
      <c r="G415" s="1">
        <v>40</v>
      </c>
      <c r="H415" s="1">
        <v>6</v>
      </c>
      <c r="I415" t="s">
        <v>420</v>
      </c>
      <c r="L415" s="1">
        <v>1</v>
      </c>
      <c r="M415" s="3">
        <v>41.76</v>
      </c>
      <c r="N415" s="3">
        <v>2.09</v>
      </c>
      <c r="O415" s="3">
        <v>0</v>
      </c>
      <c r="P415" s="3">
        <v>0.2</v>
      </c>
      <c r="Q415" s="3">
        <v>44.05</v>
      </c>
      <c r="R415" s="3">
        <v>24.25</v>
      </c>
      <c r="S415" s="3">
        <f>VLOOKUP(C415,[1]page!$C$2:$M$3071,11,0)</f>
        <v>41.57</v>
      </c>
      <c r="T415" s="6">
        <f t="shared" si="6"/>
        <v>0.18999999999999773</v>
      </c>
    </row>
    <row r="416" spans="1:20" x14ac:dyDescent="0.2">
      <c r="A416" t="s">
        <v>1352</v>
      </c>
      <c r="B416" t="s">
        <v>1357</v>
      </c>
      <c r="C416" t="s">
        <v>1358</v>
      </c>
      <c r="D416" t="s">
        <v>1359</v>
      </c>
      <c r="E416" t="s">
        <v>1356</v>
      </c>
      <c r="F416" t="s">
        <v>23</v>
      </c>
      <c r="G416" s="1">
        <v>40</v>
      </c>
      <c r="H416" s="1">
        <v>6</v>
      </c>
      <c r="I416" t="s">
        <v>420</v>
      </c>
      <c r="L416" s="1">
        <v>1</v>
      </c>
      <c r="M416" s="3">
        <v>55.68</v>
      </c>
      <c r="N416" s="3">
        <v>2.78</v>
      </c>
      <c r="O416" s="3">
        <v>0</v>
      </c>
      <c r="P416" s="3">
        <v>0.2</v>
      </c>
      <c r="Q416" s="3">
        <v>58.66</v>
      </c>
      <c r="R416" s="3">
        <v>24.25</v>
      </c>
      <c r="S416" s="3">
        <f>VLOOKUP(C416,[1]page!$C$2:$M$3071,11,0)</f>
        <v>55.55</v>
      </c>
      <c r="T416" s="6">
        <f t="shared" si="6"/>
        <v>0.13000000000000256</v>
      </c>
    </row>
    <row r="417" spans="1:20" x14ac:dyDescent="0.2">
      <c r="A417" t="s">
        <v>1360</v>
      </c>
      <c r="B417" t="s">
        <v>1361</v>
      </c>
      <c r="C417" t="s">
        <v>1362</v>
      </c>
      <c r="D417" t="s">
        <v>1363</v>
      </c>
      <c r="E417" t="s">
        <v>1364</v>
      </c>
      <c r="F417" t="s">
        <v>23</v>
      </c>
      <c r="G417" s="1">
        <v>40</v>
      </c>
      <c r="H417" s="1">
        <v>6</v>
      </c>
      <c r="I417" t="s">
        <v>62</v>
      </c>
      <c r="L417" s="1">
        <v>1</v>
      </c>
      <c r="M417" s="3">
        <v>33.9</v>
      </c>
      <c r="N417" s="3">
        <v>1.7</v>
      </c>
      <c r="O417" s="3">
        <v>0</v>
      </c>
      <c r="P417" s="3">
        <v>0.2</v>
      </c>
      <c r="Q417" s="3">
        <v>35.799999999999997</v>
      </c>
      <c r="R417" s="3">
        <v>24.25</v>
      </c>
      <c r="S417" s="3">
        <f>VLOOKUP(C417,[1]page!$C$2:$M$3071,11,0)</f>
        <v>33.71</v>
      </c>
      <c r="T417" s="6">
        <f t="shared" si="6"/>
        <v>0.18999999999999773</v>
      </c>
    </row>
    <row r="418" spans="1:20" x14ac:dyDescent="0.2">
      <c r="A418" t="s">
        <v>1112</v>
      </c>
      <c r="B418" t="s">
        <v>1365</v>
      </c>
      <c r="C418" t="s">
        <v>1366</v>
      </c>
      <c r="D418" t="s">
        <v>1367</v>
      </c>
      <c r="E418" t="s">
        <v>305</v>
      </c>
      <c r="F418" t="s">
        <v>23</v>
      </c>
      <c r="G418" s="1">
        <v>50</v>
      </c>
      <c r="H418" s="1">
        <v>12</v>
      </c>
      <c r="I418" t="s">
        <v>24</v>
      </c>
      <c r="L418" s="1">
        <v>1</v>
      </c>
      <c r="M418" s="3">
        <v>25.47</v>
      </c>
      <c r="N418" s="3">
        <v>1.27</v>
      </c>
      <c r="O418" s="3">
        <v>0</v>
      </c>
      <c r="P418" s="3">
        <v>0.2</v>
      </c>
      <c r="Q418" s="3">
        <v>26.94</v>
      </c>
      <c r="R418" s="3">
        <v>30.35</v>
      </c>
      <c r="S418" s="3">
        <f>VLOOKUP(C418,[1]page!$C$2:$M$3071,11,0)</f>
        <v>24.97</v>
      </c>
      <c r="T418" s="6">
        <f t="shared" si="6"/>
        <v>0.5</v>
      </c>
    </row>
    <row r="419" spans="1:20" x14ac:dyDescent="0.2">
      <c r="A419" t="s">
        <v>1112</v>
      </c>
      <c r="B419" t="s">
        <v>1368</v>
      </c>
      <c r="C419" t="s">
        <v>1369</v>
      </c>
      <c r="D419" t="s">
        <v>1370</v>
      </c>
      <c r="E419" t="s">
        <v>305</v>
      </c>
      <c r="F419" t="s">
        <v>23</v>
      </c>
      <c r="G419" s="1">
        <v>35</v>
      </c>
      <c r="H419" s="1">
        <v>12</v>
      </c>
      <c r="I419" t="s">
        <v>24</v>
      </c>
      <c r="L419" s="1">
        <v>1</v>
      </c>
      <c r="M419" s="3">
        <v>22.89</v>
      </c>
      <c r="N419" s="3">
        <v>1.1399999999999999</v>
      </c>
      <c r="O419" s="3">
        <v>0</v>
      </c>
      <c r="P419" s="3">
        <v>0.2</v>
      </c>
      <c r="Q419" s="3">
        <v>24.23</v>
      </c>
      <c r="R419" s="3">
        <v>24.25</v>
      </c>
      <c r="S419" s="3">
        <f>VLOOKUP(C419,[1]page!$C$2:$M$3071,11,0)</f>
        <v>22.49</v>
      </c>
      <c r="T419" s="6">
        <f t="shared" si="6"/>
        <v>0.40000000000000213</v>
      </c>
    </row>
    <row r="420" spans="1:20" x14ac:dyDescent="0.2">
      <c r="A420" t="s">
        <v>1112</v>
      </c>
      <c r="B420" t="s">
        <v>1371</v>
      </c>
      <c r="C420" t="s">
        <v>1372</v>
      </c>
      <c r="D420" t="s">
        <v>1373</v>
      </c>
      <c r="E420" t="s">
        <v>452</v>
      </c>
      <c r="F420" t="s">
        <v>209</v>
      </c>
      <c r="G420" s="1">
        <v>35</v>
      </c>
      <c r="H420" s="1">
        <v>48</v>
      </c>
      <c r="I420" t="s">
        <v>24</v>
      </c>
      <c r="L420" s="1">
        <v>1</v>
      </c>
      <c r="M420" s="3">
        <v>8.09</v>
      </c>
      <c r="N420" s="3">
        <v>0.4</v>
      </c>
      <c r="O420" s="3">
        <v>0</v>
      </c>
      <c r="P420" s="3">
        <v>0.1</v>
      </c>
      <c r="Q420" s="3">
        <v>8.59</v>
      </c>
      <c r="R420" s="3">
        <v>13.7</v>
      </c>
      <c r="S420" s="3">
        <f>VLOOKUP(C420,[1]page!$C$2:$M$3071,11,0)</f>
        <v>7.99</v>
      </c>
      <c r="T420" s="6">
        <f t="shared" si="6"/>
        <v>9.9999999999999645E-2</v>
      </c>
    </row>
    <row r="421" spans="1:20" x14ac:dyDescent="0.2">
      <c r="A421" t="s">
        <v>1112</v>
      </c>
      <c r="B421" t="s">
        <v>1374</v>
      </c>
      <c r="C421" t="s">
        <v>1375</v>
      </c>
      <c r="D421" t="s">
        <v>1376</v>
      </c>
      <c r="E421" t="s">
        <v>305</v>
      </c>
      <c r="F421" t="s">
        <v>23</v>
      </c>
      <c r="G421" s="1">
        <v>35</v>
      </c>
      <c r="H421" s="1">
        <v>12</v>
      </c>
      <c r="I421" t="s">
        <v>24</v>
      </c>
      <c r="L421" s="1">
        <v>1</v>
      </c>
      <c r="M421" s="3">
        <v>22.89</v>
      </c>
      <c r="N421" s="3">
        <v>1.1399999999999999</v>
      </c>
      <c r="O421" s="3">
        <v>0</v>
      </c>
      <c r="P421" s="3">
        <v>0.2</v>
      </c>
      <c r="Q421" s="3">
        <v>24.23</v>
      </c>
      <c r="R421" s="3">
        <v>24.25</v>
      </c>
      <c r="S421" s="3">
        <f>VLOOKUP(C421,[1]page!$C$2:$M$3071,11,0)</f>
        <v>22.49</v>
      </c>
      <c r="T421" s="6">
        <f t="shared" si="6"/>
        <v>0.40000000000000213</v>
      </c>
    </row>
    <row r="422" spans="1:20" x14ac:dyDescent="0.2">
      <c r="A422" t="s">
        <v>1112</v>
      </c>
      <c r="B422" t="s">
        <v>1377</v>
      </c>
      <c r="C422" t="s">
        <v>1378</v>
      </c>
      <c r="D422" t="s">
        <v>1379</v>
      </c>
      <c r="E422" t="s">
        <v>305</v>
      </c>
      <c r="F422" t="s">
        <v>23</v>
      </c>
      <c r="G422" s="1">
        <v>35</v>
      </c>
      <c r="H422" s="1">
        <v>12</v>
      </c>
      <c r="I422" t="s">
        <v>24</v>
      </c>
      <c r="L422" s="1">
        <v>1</v>
      </c>
      <c r="M422" s="3">
        <v>25.77</v>
      </c>
      <c r="N422" s="3">
        <v>1.29</v>
      </c>
      <c r="O422" s="3">
        <v>0</v>
      </c>
      <c r="P422" s="3">
        <v>0.2</v>
      </c>
      <c r="Q422" s="3">
        <v>27.26</v>
      </c>
      <c r="R422" s="3">
        <v>24.25</v>
      </c>
      <c r="S422" s="3">
        <f>VLOOKUP(C422,[1]page!$C$2:$M$3071,11,0)</f>
        <v>25.61</v>
      </c>
      <c r="T422" s="6">
        <f t="shared" si="6"/>
        <v>0.16000000000000014</v>
      </c>
    </row>
    <row r="423" spans="1:20" x14ac:dyDescent="0.2">
      <c r="A423" t="s">
        <v>1112</v>
      </c>
      <c r="B423" t="s">
        <v>1380</v>
      </c>
      <c r="C423" t="s">
        <v>1381</v>
      </c>
      <c r="D423" t="s">
        <v>1382</v>
      </c>
      <c r="E423" t="s">
        <v>305</v>
      </c>
      <c r="F423" t="s">
        <v>74</v>
      </c>
      <c r="G423" s="1">
        <v>35</v>
      </c>
      <c r="H423" s="1">
        <v>120</v>
      </c>
      <c r="I423" t="s">
        <v>24</v>
      </c>
      <c r="L423" s="1">
        <v>1</v>
      </c>
      <c r="M423" s="3">
        <v>3.89</v>
      </c>
      <c r="N423" s="3">
        <v>0.19</v>
      </c>
      <c r="O423" s="3">
        <v>0</v>
      </c>
      <c r="P423" s="3">
        <v>0.1</v>
      </c>
      <c r="Q423" s="3">
        <v>4.18</v>
      </c>
      <c r="R423" s="3">
        <v>2.6</v>
      </c>
      <c r="S423" s="3">
        <f>VLOOKUP(C423,[1]page!$C$2:$M$3071,11,0)</f>
        <v>3.79</v>
      </c>
      <c r="T423" s="6">
        <f t="shared" si="6"/>
        <v>0.10000000000000009</v>
      </c>
    </row>
    <row r="424" spans="1:20" x14ac:dyDescent="0.2">
      <c r="A424" t="s">
        <v>1112</v>
      </c>
      <c r="B424" t="s">
        <v>1383</v>
      </c>
      <c r="C424" t="s">
        <v>1384</v>
      </c>
      <c r="D424" t="s">
        <v>1382</v>
      </c>
      <c r="E424" t="s">
        <v>305</v>
      </c>
      <c r="F424" t="s">
        <v>77</v>
      </c>
      <c r="G424" s="1">
        <v>35</v>
      </c>
      <c r="H424" s="1">
        <v>24</v>
      </c>
      <c r="I424" t="s">
        <v>24</v>
      </c>
      <c r="L424" s="1">
        <v>1</v>
      </c>
      <c r="M424" s="3">
        <v>14.79</v>
      </c>
      <c r="N424" s="3">
        <v>0.74</v>
      </c>
      <c r="O424" s="3">
        <v>0</v>
      </c>
      <c r="P424" s="3">
        <v>0.1</v>
      </c>
      <c r="Q424" s="3">
        <v>15.63</v>
      </c>
      <c r="R424" s="3">
        <v>13.7</v>
      </c>
      <c r="S424" s="3">
        <f>VLOOKUP(C424,[1]page!$C$2:$M$3071,11,0)</f>
        <v>14.6</v>
      </c>
      <c r="T424" s="6">
        <f t="shared" si="6"/>
        <v>0.1899999999999995</v>
      </c>
    </row>
    <row r="425" spans="1:20" x14ac:dyDescent="0.2">
      <c r="A425" t="s">
        <v>1112</v>
      </c>
      <c r="B425" t="s">
        <v>1385</v>
      </c>
      <c r="C425" t="s">
        <v>1386</v>
      </c>
      <c r="D425" t="s">
        <v>1382</v>
      </c>
      <c r="E425" t="s">
        <v>305</v>
      </c>
      <c r="F425" t="s">
        <v>23</v>
      </c>
      <c r="G425" s="1">
        <v>35</v>
      </c>
      <c r="H425" s="1">
        <v>12</v>
      </c>
      <c r="I425" t="s">
        <v>24</v>
      </c>
      <c r="L425" s="1">
        <v>1</v>
      </c>
      <c r="M425" s="3">
        <v>25.99</v>
      </c>
      <c r="N425" s="3">
        <v>1.3</v>
      </c>
      <c r="O425" s="3">
        <v>0</v>
      </c>
      <c r="P425" s="3">
        <v>0.2</v>
      </c>
      <c r="Q425" s="3">
        <v>27.49</v>
      </c>
      <c r="R425" s="3">
        <v>24.25</v>
      </c>
      <c r="S425" s="3">
        <f>VLOOKUP(C425,[1]page!$C$2:$M$3071,11,0)</f>
        <v>25.71</v>
      </c>
      <c r="T425" s="6">
        <f t="shared" si="6"/>
        <v>0.27999999999999758</v>
      </c>
    </row>
    <row r="426" spans="1:20" x14ac:dyDescent="0.2">
      <c r="A426" t="s">
        <v>1112</v>
      </c>
      <c r="B426" t="s">
        <v>1387</v>
      </c>
      <c r="C426" t="s">
        <v>1388</v>
      </c>
      <c r="D426" t="s">
        <v>1382</v>
      </c>
      <c r="E426" t="s">
        <v>305</v>
      </c>
      <c r="F426" t="s">
        <v>65</v>
      </c>
      <c r="G426" s="1">
        <v>35</v>
      </c>
      <c r="H426" s="1">
        <v>8</v>
      </c>
      <c r="I426" t="s">
        <v>24</v>
      </c>
      <c r="L426" s="1">
        <v>1</v>
      </c>
      <c r="M426" s="3">
        <v>36.5</v>
      </c>
      <c r="N426" s="3">
        <v>1.83</v>
      </c>
      <c r="O426" s="3">
        <v>0</v>
      </c>
      <c r="P426" s="3">
        <v>0.4</v>
      </c>
      <c r="Q426" s="3">
        <v>38.729999999999997</v>
      </c>
      <c r="R426" s="3">
        <v>35.75</v>
      </c>
      <c r="S426" s="3">
        <f>VLOOKUP(C426,[1]page!$C$2:$M$3071,11,0)</f>
        <v>36.03</v>
      </c>
      <c r="T426" s="6">
        <f t="shared" si="6"/>
        <v>0.46999999999999886</v>
      </c>
    </row>
    <row r="427" spans="1:20" x14ac:dyDescent="0.2">
      <c r="A427" t="s">
        <v>1112</v>
      </c>
      <c r="B427" t="s">
        <v>1389</v>
      </c>
      <c r="C427" t="s">
        <v>1390</v>
      </c>
      <c r="D427" t="s">
        <v>1382</v>
      </c>
      <c r="E427" t="s">
        <v>305</v>
      </c>
      <c r="F427" t="s">
        <v>84</v>
      </c>
      <c r="G427" s="1">
        <v>35</v>
      </c>
      <c r="H427" s="1">
        <v>6</v>
      </c>
      <c r="I427" t="s">
        <v>24</v>
      </c>
      <c r="L427" s="1">
        <v>1</v>
      </c>
      <c r="M427" s="3">
        <v>50.38</v>
      </c>
      <c r="N427" s="3">
        <v>2.52</v>
      </c>
      <c r="O427" s="3">
        <v>0</v>
      </c>
      <c r="P427" s="3">
        <v>0.25</v>
      </c>
      <c r="Q427" s="3">
        <v>53.15</v>
      </c>
      <c r="R427" s="3">
        <v>53.75</v>
      </c>
      <c r="S427" s="3">
        <f>VLOOKUP(C427,[1]page!$C$2:$M$3071,11,0)</f>
        <v>50.01</v>
      </c>
      <c r="T427" s="6">
        <f t="shared" si="6"/>
        <v>0.37000000000000455</v>
      </c>
    </row>
    <row r="428" spans="1:20" x14ac:dyDescent="0.2">
      <c r="A428" t="s">
        <v>1112</v>
      </c>
      <c r="B428" t="s">
        <v>1391</v>
      </c>
      <c r="C428" t="s">
        <v>1392</v>
      </c>
      <c r="D428" t="s">
        <v>1393</v>
      </c>
      <c r="E428" t="s">
        <v>305</v>
      </c>
      <c r="F428" t="s">
        <v>23</v>
      </c>
      <c r="G428" s="1">
        <v>35</v>
      </c>
      <c r="H428" s="1">
        <v>12</v>
      </c>
      <c r="I428" t="s">
        <v>24</v>
      </c>
      <c r="L428" s="1">
        <v>1</v>
      </c>
      <c r="M428" s="3">
        <v>25.99</v>
      </c>
      <c r="N428" s="3">
        <v>1.3</v>
      </c>
      <c r="O428" s="3">
        <v>0</v>
      </c>
      <c r="P428" s="3">
        <v>0.1</v>
      </c>
      <c r="Q428" s="3">
        <v>27.39</v>
      </c>
      <c r="R428" s="3">
        <v>24.25</v>
      </c>
      <c r="S428" s="3">
        <f>VLOOKUP(C428,[1]page!$C$2:$M$3071,11,0)</f>
        <v>25.69</v>
      </c>
      <c r="T428" s="6">
        <f t="shared" si="6"/>
        <v>0.29999999999999716</v>
      </c>
    </row>
    <row r="429" spans="1:20" x14ac:dyDescent="0.2">
      <c r="A429" t="s">
        <v>1112</v>
      </c>
      <c r="B429" t="s">
        <v>1394</v>
      </c>
      <c r="C429" t="s">
        <v>1395</v>
      </c>
      <c r="D429" t="s">
        <v>1393</v>
      </c>
      <c r="E429" t="s">
        <v>452</v>
      </c>
      <c r="F429" t="s">
        <v>65</v>
      </c>
      <c r="G429" s="1">
        <v>35</v>
      </c>
      <c r="H429" s="1">
        <v>12</v>
      </c>
      <c r="I429" t="s">
        <v>24</v>
      </c>
      <c r="L429" s="1">
        <v>1</v>
      </c>
      <c r="M429" s="3">
        <v>36.49</v>
      </c>
      <c r="N429" s="3">
        <v>1.82</v>
      </c>
      <c r="O429" s="3">
        <v>0</v>
      </c>
      <c r="P429" s="3">
        <v>0.25</v>
      </c>
      <c r="Q429" s="3">
        <v>38.56</v>
      </c>
      <c r="R429" s="3">
        <v>35.75</v>
      </c>
      <c r="S429" s="3">
        <f>VLOOKUP(C429,[1]page!$C$2:$M$3071,11,0)</f>
        <v>36.020000000000003</v>
      </c>
      <c r="T429" s="6">
        <f t="shared" si="6"/>
        <v>0.46999999999999886</v>
      </c>
    </row>
    <row r="430" spans="1:20" x14ac:dyDescent="0.2">
      <c r="A430" t="s">
        <v>1112</v>
      </c>
      <c r="B430" t="s">
        <v>1396</v>
      </c>
      <c r="C430" t="s">
        <v>1397</v>
      </c>
      <c r="D430" t="s">
        <v>1398</v>
      </c>
      <c r="E430" t="s">
        <v>452</v>
      </c>
      <c r="F430" t="s">
        <v>23</v>
      </c>
      <c r="G430" s="1">
        <v>35</v>
      </c>
      <c r="H430" s="1">
        <v>12</v>
      </c>
      <c r="I430" t="s">
        <v>24</v>
      </c>
      <c r="L430" s="1">
        <v>1</v>
      </c>
      <c r="M430" s="3">
        <v>24.89</v>
      </c>
      <c r="N430" s="3">
        <v>1.24</v>
      </c>
      <c r="O430" s="3">
        <v>0</v>
      </c>
      <c r="P430" s="3">
        <v>0.2</v>
      </c>
      <c r="Q430" s="3">
        <v>26.33</v>
      </c>
      <c r="R430" s="3">
        <v>24.25</v>
      </c>
      <c r="S430" s="3">
        <f>VLOOKUP(C430,[1]page!$C$2:$M$3071,11,0)</f>
        <v>24.51</v>
      </c>
      <c r="T430" s="6">
        <f t="shared" si="6"/>
        <v>0.37999999999999901</v>
      </c>
    </row>
    <row r="431" spans="1:20" x14ac:dyDescent="0.2">
      <c r="A431" t="s">
        <v>1112</v>
      </c>
      <c r="B431" t="s">
        <v>1399</v>
      </c>
      <c r="C431" t="s">
        <v>1400</v>
      </c>
      <c r="D431" t="s">
        <v>1401</v>
      </c>
      <c r="E431" t="s">
        <v>43</v>
      </c>
      <c r="F431" t="s">
        <v>23</v>
      </c>
      <c r="G431" s="1">
        <v>35</v>
      </c>
      <c r="H431" s="1">
        <v>12</v>
      </c>
      <c r="I431" t="s">
        <v>39</v>
      </c>
      <c r="L431" s="1">
        <v>1</v>
      </c>
      <c r="M431" s="3">
        <v>23.87</v>
      </c>
      <c r="N431" s="3">
        <v>1.19</v>
      </c>
      <c r="O431" s="3">
        <v>0</v>
      </c>
      <c r="P431" s="3">
        <v>0.2</v>
      </c>
      <c r="Q431" s="3">
        <v>25.26</v>
      </c>
      <c r="R431" s="3">
        <v>24.25</v>
      </c>
      <c r="S431" s="3">
        <f>VLOOKUP(C431,[1]page!$C$2:$M$3071,11,0)</f>
        <v>23.7</v>
      </c>
      <c r="T431" s="6">
        <f t="shared" si="6"/>
        <v>0.17000000000000171</v>
      </c>
    </row>
    <row r="432" spans="1:20" x14ac:dyDescent="0.2">
      <c r="A432" t="s">
        <v>1112</v>
      </c>
      <c r="B432" t="s">
        <v>1402</v>
      </c>
      <c r="C432" t="s">
        <v>1403</v>
      </c>
      <c r="D432" t="s">
        <v>1401</v>
      </c>
      <c r="E432" t="s">
        <v>43</v>
      </c>
      <c r="F432" t="s">
        <v>65</v>
      </c>
      <c r="G432" s="1">
        <v>35</v>
      </c>
      <c r="H432" s="1">
        <v>12</v>
      </c>
      <c r="I432" t="s">
        <v>39</v>
      </c>
      <c r="L432" s="1">
        <v>1</v>
      </c>
      <c r="M432" s="3">
        <v>35.86</v>
      </c>
      <c r="N432" s="3">
        <v>1.79</v>
      </c>
      <c r="O432" s="3">
        <v>0</v>
      </c>
      <c r="P432" s="3">
        <v>0.25</v>
      </c>
      <c r="Q432" s="3">
        <v>37.9</v>
      </c>
      <c r="R432" s="3">
        <v>35.75</v>
      </c>
      <c r="S432" s="3">
        <f>VLOOKUP(C432,[1]page!$C$2:$M$3071,11,0)</f>
        <v>35.61</v>
      </c>
      <c r="T432" s="6">
        <f t="shared" si="6"/>
        <v>0.25</v>
      </c>
    </row>
    <row r="433" spans="1:20" x14ac:dyDescent="0.2">
      <c r="A433" t="s">
        <v>1185</v>
      </c>
      <c r="B433" t="s">
        <v>1404</v>
      </c>
      <c r="C433" t="s">
        <v>1405</v>
      </c>
      <c r="D433" t="s">
        <v>1406</v>
      </c>
      <c r="E433" t="s">
        <v>1407</v>
      </c>
      <c r="F433" t="s">
        <v>396</v>
      </c>
      <c r="G433" s="1">
        <v>35</v>
      </c>
      <c r="H433" s="1">
        <v>12</v>
      </c>
      <c r="I433" t="s">
        <v>169</v>
      </c>
      <c r="L433" s="1">
        <v>1</v>
      </c>
      <c r="M433" s="3">
        <v>37.42</v>
      </c>
      <c r="N433" s="3">
        <v>1.87</v>
      </c>
      <c r="O433" s="3">
        <v>0</v>
      </c>
      <c r="P433" s="3">
        <v>0.2</v>
      </c>
      <c r="Q433" s="3">
        <v>39.49</v>
      </c>
      <c r="R433" s="3">
        <v>22.65</v>
      </c>
      <c r="S433" s="3">
        <f>VLOOKUP(C433,[1]page!$C$2:$M$3071,11,0)</f>
        <v>37.42</v>
      </c>
      <c r="T433" s="6">
        <f t="shared" si="6"/>
        <v>0</v>
      </c>
    </row>
    <row r="434" spans="1:20" x14ac:dyDescent="0.2">
      <c r="A434" t="s">
        <v>1408</v>
      </c>
      <c r="B434" t="s">
        <v>1409</v>
      </c>
      <c r="C434" t="s">
        <v>1410</v>
      </c>
      <c r="D434" t="s">
        <v>1398</v>
      </c>
      <c r="E434" t="s">
        <v>96</v>
      </c>
      <c r="F434" t="s">
        <v>65</v>
      </c>
      <c r="G434" s="1">
        <v>35</v>
      </c>
      <c r="H434" s="1">
        <v>8</v>
      </c>
      <c r="I434" t="s">
        <v>24</v>
      </c>
      <c r="L434" s="1">
        <v>1</v>
      </c>
      <c r="M434" s="3">
        <v>33.49</v>
      </c>
      <c r="N434" s="3">
        <v>1.67</v>
      </c>
      <c r="O434" s="3">
        <v>0</v>
      </c>
      <c r="P434" s="3">
        <v>0.4</v>
      </c>
      <c r="Q434" s="3">
        <v>35.56</v>
      </c>
      <c r="R434" s="3">
        <v>35.75</v>
      </c>
      <c r="S434" s="3">
        <f>VLOOKUP(C434,[1]page!$C$2:$M$3071,11,0)</f>
        <v>33</v>
      </c>
      <c r="T434" s="6">
        <f t="shared" si="6"/>
        <v>0.49000000000000199</v>
      </c>
    </row>
    <row r="435" spans="1:20" x14ac:dyDescent="0.2">
      <c r="A435" t="s">
        <v>1248</v>
      </c>
      <c r="B435" t="s">
        <v>1411</v>
      </c>
      <c r="C435" t="s">
        <v>1412</v>
      </c>
      <c r="D435" t="s">
        <v>1413</v>
      </c>
      <c r="E435" t="s">
        <v>1181</v>
      </c>
      <c r="F435" t="s">
        <v>23</v>
      </c>
      <c r="G435" s="1">
        <v>43</v>
      </c>
      <c r="H435" s="1">
        <v>12</v>
      </c>
      <c r="I435" t="s">
        <v>1252</v>
      </c>
      <c r="L435" s="1">
        <v>1</v>
      </c>
      <c r="M435" s="3">
        <v>29.67</v>
      </c>
      <c r="N435" s="3">
        <v>1.48</v>
      </c>
      <c r="O435" s="3">
        <v>0</v>
      </c>
      <c r="P435" s="3">
        <v>0.2</v>
      </c>
      <c r="Q435" s="3">
        <v>31.35</v>
      </c>
      <c r="R435" s="3">
        <v>24.25</v>
      </c>
      <c r="S435" s="3">
        <f>VLOOKUP(C435,[1]page!$C$2:$M$3071,11,0)</f>
        <v>29.47</v>
      </c>
      <c r="T435" s="6">
        <f t="shared" si="6"/>
        <v>0.20000000000000284</v>
      </c>
    </row>
    <row r="436" spans="1:20" x14ac:dyDescent="0.2">
      <c r="A436" t="s">
        <v>1317</v>
      </c>
      <c r="B436" t="s">
        <v>1414</v>
      </c>
      <c r="C436" t="s">
        <v>1415</v>
      </c>
      <c r="D436" t="s">
        <v>1416</v>
      </c>
      <c r="E436" t="s">
        <v>1124</v>
      </c>
      <c r="F436" t="s">
        <v>84</v>
      </c>
      <c r="G436" s="1">
        <v>35</v>
      </c>
      <c r="H436" s="1">
        <v>6</v>
      </c>
      <c r="I436" t="s">
        <v>444</v>
      </c>
      <c r="L436" s="1">
        <v>1</v>
      </c>
      <c r="M436" s="3">
        <v>49.5</v>
      </c>
      <c r="N436" s="3">
        <v>2.48</v>
      </c>
      <c r="O436" s="3">
        <v>0</v>
      </c>
      <c r="P436" s="3">
        <v>0.4</v>
      </c>
      <c r="Q436" s="3">
        <v>52.38</v>
      </c>
      <c r="R436" s="3">
        <v>53.75</v>
      </c>
      <c r="S436" s="3">
        <f>VLOOKUP(C436,[1]page!$C$2:$M$3071,11,0)</f>
        <v>49.5</v>
      </c>
      <c r="T436" s="6">
        <f t="shared" si="6"/>
        <v>0</v>
      </c>
    </row>
    <row r="437" spans="1:20" x14ac:dyDescent="0.2">
      <c r="A437" t="s">
        <v>1327</v>
      </c>
      <c r="B437" t="s">
        <v>1417</v>
      </c>
      <c r="C437" t="s">
        <v>1418</v>
      </c>
      <c r="D437" t="s">
        <v>1419</v>
      </c>
      <c r="E437" t="s">
        <v>353</v>
      </c>
      <c r="F437" t="s">
        <v>74</v>
      </c>
      <c r="G437" s="1">
        <v>47</v>
      </c>
      <c r="H437" s="1">
        <v>60</v>
      </c>
      <c r="I437" t="s">
        <v>156</v>
      </c>
      <c r="L437" s="1">
        <v>1</v>
      </c>
      <c r="M437" s="3">
        <v>4.01</v>
      </c>
      <c r="N437" s="3">
        <v>0.2</v>
      </c>
      <c r="O437" s="3">
        <v>0</v>
      </c>
      <c r="P437" s="3">
        <v>0.1</v>
      </c>
      <c r="Q437" s="3">
        <v>4.3099999999999996</v>
      </c>
      <c r="R437" s="3">
        <v>3.25</v>
      </c>
      <c r="S437" s="3">
        <f>VLOOKUP(C437,[1]page!$C$2:$M$3071,11,0)</f>
        <v>4</v>
      </c>
      <c r="T437" s="6">
        <f t="shared" si="6"/>
        <v>9.9999999999997868E-3</v>
      </c>
    </row>
    <row r="438" spans="1:20" x14ac:dyDescent="0.2">
      <c r="A438" t="s">
        <v>1327</v>
      </c>
      <c r="B438" t="s">
        <v>1420</v>
      </c>
      <c r="C438" t="s">
        <v>1421</v>
      </c>
      <c r="D438" t="s">
        <v>1419</v>
      </c>
      <c r="E438" t="s">
        <v>353</v>
      </c>
      <c r="F438" t="s">
        <v>77</v>
      </c>
      <c r="G438" s="1">
        <v>47</v>
      </c>
      <c r="H438" s="1">
        <v>12</v>
      </c>
      <c r="I438" t="s">
        <v>156</v>
      </c>
      <c r="L438" s="1">
        <v>1</v>
      </c>
      <c r="M438" s="3">
        <v>15.59</v>
      </c>
      <c r="N438" s="3">
        <v>0.78</v>
      </c>
      <c r="O438" s="3">
        <v>0</v>
      </c>
      <c r="P438" s="3">
        <v>0.2</v>
      </c>
      <c r="Q438" s="3">
        <v>16.57</v>
      </c>
      <c r="R438" s="3">
        <v>17.149999999999999</v>
      </c>
      <c r="S438" s="3">
        <f>VLOOKUP(C438,[1]page!$C$2:$M$3071,11,0)</f>
        <v>15.4</v>
      </c>
      <c r="T438" s="6">
        <f t="shared" si="6"/>
        <v>0.1899999999999995</v>
      </c>
    </row>
    <row r="439" spans="1:20" x14ac:dyDescent="0.2">
      <c r="A439" t="s">
        <v>1327</v>
      </c>
      <c r="B439" t="s">
        <v>1422</v>
      </c>
      <c r="C439" t="s">
        <v>1423</v>
      </c>
      <c r="D439" t="s">
        <v>1419</v>
      </c>
      <c r="E439" t="s">
        <v>353</v>
      </c>
      <c r="F439" t="s">
        <v>23</v>
      </c>
      <c r="G439" s="1">
        <v>47</v>
      </c>
      <c r="H439" s="1">
        <v>12</v>
      </c>
      <c r="I439" t="s">
        <v>156</v>
      </c>
      <c r="L439" s="1">
        <v>1</v>
      </c>
      <c r="M439" s="3">
        <v>27.59</v>
      </c>
      <c r="N439" s="3">
        <v>1.38</v>
      </c>
      <c r="O439" s="3">
        <v>0</v>
      </c>
      <c r="P439" s="3">
        <v>0.2</v>
      </c>
      <c r="Q439" s="3">
        <v>29.17</v>
      </c>
      <c r="R439" s="3">
        <v>30.35</v>
      </c>
      <c r="S439" s="3">
        <f>VLOOKUP(C439,[1]page!$C$2:$M$3071,11,0)</f>
        <v>27.3</v>
      </c>
      <c r="T439" s="6">
        <f t="shared" si="6"/>
        <v>0.28999999999999915</v>
      </c>
    </row>
    <row r="440" spans="1:20" x14ac:dyDescent="0.2">
      <c r="A440" t="s">
        <v>1327</v>
      </c>
      <c r="B440" t="s">
        <v>1424</v>
      </c>
      <c r="C440" t="s">
        <v>1425</v>
      </c>
      <c r="D440" t="s">
        <v>1419</v>
      </c>
      <c r="E440" t="s">
        <v>353</v>
      </c>
      <c r="F440" t="s">
        <v>65</v>
      </c>
      <c r="G440" s="1">
        <v>47</v>
      </c>
      <c r="H440" s="1">
        <v>6</v>
      </c>
      <c r="I440" t="s">
        <v>156</v>
      </c>
      <c r="L440" s="1">
        <v>1</v>
      </c>
      <c r="M440" s="3">
        <v>37.79</v>
      </c>
      <c r="N440" s="3">
        <v>1.89</v>
      </c>
      <c r="O440" s="3">
        <v>0</v>
      </c>
      <c r="P440" s="3">
        <v>0.4</v>
      </c>
      <c r="Q440" s="3">
        <v>40.08</v>
      </c>
      <c r="R440" s="3">
        <v>44.75</v>
      </c>
      <c r="S440" s="3">
        <f>VLOOKUP(C440,[1]page!$C$2:$M$3071,11,0)</f>
        <v>37.409999999999997</v>
      </c>
      <c r="T440" s="6">
        <f t="shared" si="6"/>
        <v>0.38000000000000256</v>
      </c>
    </row>
    <row r="441" spans="1:20" x14ac:dyDescent="0.2">
      <c r="A441" t="s">
        <v>1327</v>
      </c>
      <c r="B441" t="s">
        <v>1426</v>
      </c>
      <c r="C441" t="s">
        <v>1427</v>
      </c>
      <c r="D441" t="s">
        <v>1419</v>
      </c>
      <c r="E441" t="s">
        <v>353</v>
      </c>
      <c r="F441" t="s">
        <v>84</v>
      </c>
      <c r="G441" s="1">
        <v>47</v>
      </c>
      <c r="H441" s="1">
        <v>6</v>
      </c>
      <c r="I441" t="s">
        <v>156</v>
      </c>
      <c r="L441" s="1">
        <v>1</v>
      </c>
      <c r="M441" s="3">
        <v>51.99</v>
      </c>
      <c r="N441" s="3">
        <v>2.6</v>
      </c>
      <c r="O441" s="3">
        <v>0</v>
      </c>
      <c r="P441" s="3">
        <v>0.4</v>
      </c>
      <c r="Q441" s="3">
        <v>54.99</v>
      </c>
      <c r="R441" s="3">
        <v>67.3</v>
      </c>
      <c r="S441" s="3">
        <f>VLOOKUP(C441,[1]page!$C$2:$M$3071,11,0)</f>
        <v>51.03</v>
      </c>
      <c r="T441" s="6">
        <f t="shared" si="6"/>
        <v>0.96000000000000085</v>
      </c>
    </row>
    <row r="442" spans="1:20" x14ac:dyDescent="0.2">
      <c r="A442" t="s">
        <v>1428</v>
      </c>
      <c r="B442" t="s">
        <v>1429</v>
      </c>
      <c r="C442" t="s">
        <v>1430</v>
      </c>
      <c r="D442" t="s">
        <v>1431</v>
      </c>
      <c r="E442" t="s">
        <v>1104</v>
      </c>
      <c r="F442" t="s">
        <v>23</v>
      </c>
      <c r="G442" s="1">
        <v>43</v>
      </c>
      <c r="H442" s="1">
        <v>6</v>
      </c>
      <c r="I442" t="s">
        <v>178</v>
      </c>
      <c r="L442" s="1">
        <v>1</v>
      </c>
      <c r="M442" s="3">
        <v>31.46</v>
      </c>
      <c r="N442" s="3">
        <v>1.57</v>
      </c>
      <c r="O442" s="3">
        <v>0</v>
      </c>
      <c r="P442" s="3">
        <v>0.2</v>
      </c>
      <c r="Q442" s="3">
        <v>33.229999999999997</v>
      </c>
      <c r="R442" s="3">
        <v>24.25</v>
      </c>
      <c r="S442" s="3">
        <f>VLOOKUP(C442,[1]page!$C$2:$M$3071,11,0)</f>
        <v>31.26</v>
      </c>
      <c r="T442" s="6">
        <f t="shared" si="6"/>
        <v>0.19999999999999929</v>
      </c>
    </row>
    <row r="443" spans="1:20" x14ac:dyDescent="0.2">
      <c r="A443" t="s">
        <v>1432</v>
      </c>
      <c r="B443" t="s">
        <v>1433</v>
      </c>
      <c r="C443" t="s">
        <v>1434</v>
      </c>
      <c r="D443" t="s">
        <v>1435</v>
      </c>
      <c r="E443" t="s">
        <v>1436</v>
      </c>
      <c r="F443" t="s">
        <v>23</v>
      </c>
      <c r="G443" s="1">
        <v>46</v>
      </c>
      <c r="H443" s="1">
        <v>12</v>
      </c>
      <c r="I443" t="s">
        <v>34</v>
      </c>
      <c r="L443" s="1">
        <v>1</v>
      </c>
      <c r="M443" s="3">
        <v>26.19</v>
      </c>
      <c r="N443" s="3">
        <v>1.31</v>
      </c>
      <c r="O443" s="3">
        <v>0</v>
      </c>
      <c r="P443" s="3">
        <v>0.2</v>
      </c>
      <c r="Q443" s="3">
        <v>27.7</v>
      </c>
      <c r="R443" s="3">
        <v>30.35</v>
      </c>
      <c r="S443" s="3">
        <f>VLOOKUP(C443,[1]page!$C$2:$M$3071,11,0)</f>
        <v>25.97</v>
      </c>
      <c r="T443" s="6">
        <f t="shared" si="6"/>
        <v>0.22000000000000242</v>
      </c>
    </row>
    <row r="444" spans="1:20" x14ac:dyDescent="0.2">
      <c r="A444" t="s">
        <v>1432</v>
      </c>
      <c r="B444" t="s">
        <v>1437</v>
      </c>
      <c r="C444" t="s">
        <v>1438</v>
      </c>
      <c r="D444" t="s">
        <v>1435</v>
      </c>
      <c r="E444" t="s">
        <v>1436</v>
      </c>
      <c r="F444" t="s">
        <v>65</v>
      </c>
      <c r="G444" s="1">
        <v>46</v>
      </c>
      <c r="H444" s="1">
        <v>8</v>
      </c>
      <c r="I444" t="s">
        <v>34</v>
      </c>
      <c r="L444" s="1">
        <v>1</v>
      </c>
      <c r="M444" s="3">
        <v>37.11</v>
      </c>
      <c r="N444" s="3">
        <v>1.86</v>
      </c>
      <c r="O444" s="3">
        <v>0</v>
      </c>
      <c r="P444" s="3">
        <v>0.4</v>
      </c>
      <c r="Q444" s="3">
        <v>39.369999999999997</v>
      </c>
      <c r="R444" s="3">
        <v>44.75</v>
      </c>
      <c r="S444" s="3">
        <f>VLOOKUP(C444,[1]page!$C$2:$M$3071,11,0)</f>
        <v>36.78</v>
      </c>
      <c r="T444" s="6">
        <f t="shared" si="6"/>
        <v>0.32999999999999829</v>
      </c>
    </row>
    <row r="445" spans="1:20" x14ac:dyDescent="0.2">
      <c r="A445" t="s">
        <v>1432</v>
      </c>
      <c r="B445" t="s">
        <v>1439</v>
      </c>
      <c r="C445" t="s">
        <v>1440</v>
      </c>
      <c r="D445" t="s">
        <v>1441</v>
      </c>
      <c r="E445" t="s">
        <v>1436</v>
      </c>
      <c r="F445" t="s">
        <v>84</v>
      </c>
      <c r="G445" s="1">
        <v>46</v>
      </c>
      <c r="H445" s="1">
        <v>6</v>
      </c>
      <c r="I445" t="s">
        <v>34</v>
      </c>
      <c r="L445" s="1">
        <v>1</v>
      </c>
      <c r="M445" s="3">
        <v>62.48</v>
      </c>
      <c r="N445" s="3">
        <v>3.12</v>
      </c>
      <c r="O445" s="3">
        <v>0</v>
      </c>
      <c r="P445" s="3">
        <v>0.25</v>
      </c>
      <c r="Q445" s="3">
        <v>65.849999999999994</v>
      </c>
      <c r="R445" s="3">
        <v>67.3</v>
      </c>
      <c r="S445" s="3">
        <f>VLOOKUP(C445,[1]page!$C$2:$M$3071,11,0)</f>
        <v>61.96</v>
      </c>
      <c r="T445" s="6">
        <f t="shared" si="6"/>
        <v>0.51999999999999602</v>
      </c>
    </row>
    <row r="446" spans="1:20" x14ac:dyDescent="0.2">
      <c r="A446" t="s">
        <v>1335</v>
      </c>
      <c r="B446" t="s">
        <v>1442</v>
      </c>
      <c r="C446" t="s">
        <v>1443</v>
      </c>
      <c r="D446" t="s">
        <v>1444</v>
      </c>
      <c r="E446" t="s">
        <v>1116</v>
      </c>
      <c r="F446" t="s">
        <v>23</v>
      </c>
      <c r="G446" s="1">
        <v>35</v>
      </c>
      <c r="H446" s="1">
        <v>12</v>
      </c>
      <c r="I446" t="s">
        <v>444</v>
      </c>
      <c r="L446" s="1">
        <v>1</v>
      </c>
      <c r="M446" s="3">
        <v>23</v>
      </c>
      <c r="N446" s="3">
        <v>1.1499999999999999</v>
      </c>
      <c r="O446" s="3">
        <v>0</v>
      </c>
      <c r="P446" s="3">
        <v>0.2</v>
      </c>
      <c r="Q446" s="3">
        <v>24.35</v>
      </c>
      <c r="R446" s="3">
        <v>24.25</v>
      </c>
      <c r="S446" s="3">
        <f>VLOOKUP(C446,[1]page!$C$2:$M$3071,11,0)</f>
        <v>23</v>
      </c>
      <c r="T446" s="6">
        <f t="shared" ref="T446:T506" si="7">SUM(M446-S446)</f>
        <v>0</v>
      </c>
    </row>
    <row r="447" spans="1:20" x14ac:dyDescent="0.2">
      <c r="A447" t="s">
        <v>1335</v>
      </c>
      <c r="B447" t="s">
        <v>1445</v>
      </c>
      <c r="C447" t="s">
        <v>1446</v>
      </c>
      <c r="D447" t="s">
        <v>1447</v>
      </c>
      <c r="E447" t="s">
        <v>1124</v>
      </c>
      <c r="F447" t="s">
        <v>23</v>
      </c>
      <c r="G447" s="1">
        <v>35</v>
      </c>
      <c r="H447" s="1">
        <v>12</v>
      </c>
      <c r="I447" t="s">
        <v>444</v>
      </c>
      <c r="L447" s="1">
        <v>1</v>
      </c>
      <c r="M447" s="3">
        <v>23</v>
      </c>
      <c r="N447" s="3">
        <v>1.1499999999999999</v>
      </c>
      <c r="O447" s="3">
        <v>0</v>
      </c>
      <c r="P447" s="3">
        <v>0.2</v>
      </c>
      <c r="Q447" s="3">
        <v>24.35</v>
      </c>
      <c r="R447" s="3">
        <v>24.25</v>
      </c>
      <c r="S447" s="3">
        <f>VLOOKUP(C447,[1]page!$C$2:$M$3071,11,0)</f>
        <v>23</v>
      </c>
      <c r="T447" s="6">
        <f t="shared" si="7"/>
        <v>0</v>
      </c>
    </row>
    <row r="448" spans="1:20" x14ac:dyDescent="0.2">
      <c r="A448" t="s">
        <v>1335</v>
      </c>
      <c r="B448" t="s">
        <v>1448</v>
      </c>
      <c r="C448" t="s">
        <v>1449</v>
      </c>
      <c r="D448" t="s">
        <v>1450</v>
      </c>
      <c r="E448" t="s">
        <v>1116</v>
      </c>
      <c r="F448" t="s">
        <v>23</v>
      </c>
      <c r="G448" s="1">
        <v>35</v>
      </c>
      <c r="H448" s="1">
        <v>12</v>
      </c>
      <c r="I448" t="s">
        <v>444</v>
      </c>
      <c r="L448" s="1">
        <v>1</v>
      </c>
      <c r="M448" s="3">
        <v>23</v>
      </c>
      <c r="N448" s="3">
        <v>1.1499999999999999</v>
      </c>
      <c r="O448" s="3">
        <v>0</v>
      </c>
      <c r="P448" s="3">
        <v>0.2</v>
      </c>
      <c r="Q448" s="3">
        <v>24.35</v>
      </c>
      <c r="R448" s="3">
        <v>24.25</v>
      </c>
      <c r="S448" s="3">
        <f>VLOOKUP(C448,[1]page!$C$2:$M$3071,11,0)</f>
        <v>23</v>
      </c>
      <c r="T448" s="6">
        <f t="shared" si="7"/>
        <v>0</v>
      </c>
    </row>
    <row r="449" spans="1:20" x14ac:dyDescent="0.2">
      <c r="A449" t="s">
        <v>1335</v>
      </c>
      <c r="B449" t="s">
        <v>1451</v>
      </c>
      <c r="C449" t="s">
        <v>1452</v>
      </c>
      <c r="D449" t="s">
        <v>1416</v>
      </c>
      <c r="E449" t="s">
        <v>1124</v>
      </c>
      <c r="F449" t="s">
        <v>77</v>
      </c>
      <c r="G449" s="1">
        <v>35</v>
      </c>
      <c r="H449" s="1">
        <v>24</v>
      </c>
      <c r="I449" t="s">
        <v>444</v>
      </c>
      <c r="L449" s="1">
        <v>1</v>
      </c>
      <c r="M449" s="3">
        <v>14.75</v>
      </c>
      <c r="N449" s="3">
        <v>0.74</v>
      </c>
      <c r="O449" s="3">
        <v>0</v>
      </c>
      <c r="P449" s="3">
        <v>0.1</v>
      </c>
      <c r="Q449" s="3">
        <v>15.59</v>
      </c>
      <c r="R449" s="3">
        <v>13.7</v>
      </c>
      <c r="S449" s="3">
        <f>VLOOKUP(C449,[1]page!$C$2:$M$3071,11,0)</f>
        <v>14.75</v>
      </c>
      <c r="T449" s="6">
        <f t="shared" si="7"/>
        <v>0</v>
      </c>
    </row>
    <row r="450" spans="1:20" x14ac:dyDescent="0.2">
      <c r="A450" t="s">
        <v>1335</v>
      </c>
      <c r="B450" t="s">
        <v>1453</v>
      </c>
      <c r="C450" t="s">
        <v>1454</v>
      </c>
      <c r="D450" t="s">
        <v>1416</v>
      </c>
      <c r="E450" t="s">
        <v>1124</v>
      </c>
      <c r="F450" t="s">
        <v>23</v>
      </c>
      <c r="G450" s="1">
        <v>35</v>
      </c>
      <c r="H450" s="1">
        <v>12</v>
      </c>
      <c r="I450" t="s">
        <v>444</v>
      </c>
      <c r="L450" s="1">
        <v>1</v>
      </c>
      <c r="M450" s="3">
        <v>25</v>
      </c>
      <c r="N450" s="3">
        <v>1.25</v>
      </c>
      <c r="O450" s="3">
        <v>0</v>
      </c>
      <c r="P450" s="3">
        <v>0.2</v>
      </c>
      <c r="Q450" s="3">
        <v>26.45</v>
      </c>
      <c r="R450" s="3">
        <v>24.25</v>
      </c>
      <c r="S450" s="3">
        <f>VLOOKUP(C450,[1]page!$C$2:$M$3071,11,0)</f>
        <v>25</v>
      </c>
      <c r="T450" s="6">
        <f t="shared" si="7"/>
        <v>0</v>
      </c>
    </row>
    <row r="451" spans="1:20" x14ac:dyDescent="0.2">
      <c r="A451" t="s">
        <v>1335</v>
      </c>
      <c r="B451" t="s">
        <v>1455</v>
      </c>
      <c r="C451" t="s">
        <v>1456</v>
      </c>
      <c r="D451" t="s">
        <v>1416</v>
      </c>
      <c r="E451" t="s">
        <v>1124</v>
      </c>
      <c r="F451" t="s">
        <v>65</v>
      </c>
      <c r="G451" s="1">
        <v>35</v>
      </c>
      <c r="H451" s="1">
        <v>6</v>
      </c>
      <c r="I451" t="s">
        <v>444</v>
      </c>
      <c r="L451" s="1">
        <v>1</v>
      </c>
      <c r="M451" s="3">
        <v>35</v>
      </c>
      <c r="N451" s="3">
        <v>1.75</v>
      </c>
      <c r="O451" s="3">
        <v>0</v>
      </c>
      <c r="P451" s="3">
        <v>0.4</v>
      </c>
      <c r="Q451" s="3">
        <v>37.15</v>
      </c>
      <c r="R451" s="3">
        <v>35.75</v>
      </c>
      <c r="S451" s="3">
        <f>VLOOKUP(C451,[1]page!$C$2:$M$3071,11,0)</f>
        <v>35</v>
      </c>
      <c r="T451" s="6">
        <f t="shared" si="7"/>
        <v>0</v>
      </c>
    </row>
    <row r="452" spans="1:20" x14ac:dyDescent="0.2">
      <c r="A452" t="s">
        <v>1335</v>
      </c>
      <c r="B452" t="s">
        <v>1457</v>
      </c>
      <c r="C452" t="s">
        <v>1458</v>
      </c>
      <c r="D452" t="s">
        <v>1459</v>
      </c>
      <c r="E452" t="s">
        <v>1460</v>
      </c>
      <c r="F452" t="s">
        <v>23</v>
      </c>
      <c r="G452" s="1">
        <v>35</v>
      </c>
      <c r="H452" s="1">
        <v>6</v>
      </c>
      <c r="I452" t="s">
        <v>318</v>
      </c>
      <c r="L452" s="1">
        <v>1</v>
      </c>
      <c r="M452" s="3">
        <v>37.61</v>
      </c>
      <c r="N452" s="3">
        <v>1.88</v>
      </c>
      <c r="O452" s="3">
        <v>0</v>
      </c>
      <c r="P452" s="3">
        <v>0.2</v>
      </c>
      <c r="Q452" s="3">
        <v>39.69</v>
      </c>
      <c r="R452" s="3">
        <v>24.25</v>
      </c>
      <c r="S452" s="3">
        <f>VLOOKUP(C452,[1]page!$C$2:$M$3071,11,0)</f>
        <v>37.61</v>
      </c>
      <c r="T452" s="6">
        <f t="shared" si="7"/>
        <v>0</v>
      </c>
    </row>
    <row r="453" spans="1:20" x14ac:dyDescent="0.2">
      <c r="A453" t="s">
        <v>1461</v>
      </c>
      <c r="B453" t="s">
        <v>1462</v>
      </c>
      <c r="C453" t="s">
        <v>1463</v>
      </c>
      <c r="D453" t="s">
        <v>1464</v>
      </c>
      <c r="E453" t="s">
        <v>1124</v>
      </c>
      <c r="F453" t="s">
        <v>23</v>
      </c>
      <c r="G453" s="1">
        <v>35</v>
      </c>
      <c r="H453" s="1">
        <v>12</v>
      </c>
      <c r="I453" t="s">
        <v>444</v>
      </c>
      <c r="L453" s="1">
        <v>1</v>
      </c>
      <c r="M453" s="3">
        <v>23</v>
      </c>
      <c r="N453" s="3">
        <v>1.1499999999999999</v>
      </c>
      <c r="O453" s="3">
        <v>0</v>
      </c>
      <c r="P453" s="3">
        <v>0.2</v>
      </c>
      <c r="Q453" s="3">
        <v>24.35</v>
      </c>
      <c r="R453" s="3">
        <v>24.25</v>
      </c>
      <c r="S453" s="3">
        <f>VLOOKUP(C453,[1]page!$C$2:$M$3071,11,0)</f>
        <v>23</v>
      </c>
      <c r="T453" s="6">
        <f t="shared" si="7"/>
        <v>0</v>
      </c>
    </row>
    <row r="454" spans="1:20" x14ac:dyDescent="0.2">
      <c r="A454" t="s">
        <v>1465</v>
      </c>
      <c r="B454" t="s">
        <v>1466</v>
      </c>
      <c r="C454" t="s">
        <v>1467</v>
      </c>
      <c r="D454" t="s">
        <v>1468</v>
      </c>
      <c r="E454" t="s">
        <v>1469</v>
      </c>
      <c r="F454" t="s">
        <v>23</v>
      </c>
      <c r="G454" s="1">
        <v>40</v>
      </c>
      <c r="H454" s="1">
        <v>6</v>
      </c>
      <c r="I454" t="s">
        <v>449</v>
      </c>
      <c r="L454" s="1">
        <v>1</v>
      </c>
      <c r="M454" s="3">
        <v>110</v>
      </c>
      <c r="N454" s="3">
        <v>5.5</v>
      </c>
      <c r="O454" s="3">
        <v>0</v>
      </c>
      <c r="P454" s="3">
        <v>0.2</v>
      </c>
      <c r="Q454" s="3">
        <v>115.7</v>
      </c>
      <c r="R454" s="3">
        <v>24.25</v>
      </c>
      <c r="S454" s="3">
        <f>VLOOKUP(C454,[1]page!$C$2:$M$3071,11,0)</f>
        <v>108.69</v>
      </c>
      <c r="T454" s="6">
        <f t="shared" si="7"/>
        <v>1.3100000000000023</v>
      </c>
    </row>
    <row r="455" spans="1:20" x14ac:dyDescent="0.2">
      <c r="A455" t="s">
        <v>1465</v>
      </c>
      <c r="B455" t="s">
        <v>1470</v>
      </c>
      <c r="C455" t="s">
        <v>1471</v>
      </c>
      <c r="D455" t="s">
        <v>1472</v>
      </c>
      <c r="E455" t="s">
        <v>1473</v>
      </c>
      <c r="F455" t="s">
        <v>23</v>
      </c>
      <c r="G455" s="1">
        <v>40</v>
      </c>
      <c r="H455" s="1">
        <v>6</v>
      </c>
      <c r="I455" t="s">
        <v>29</v>
      </c>
      <c r="L455" s="1">
        <v>1</v>
      </c>
      <c r="M455" s="3">
        <v>52.27</v>
      </c>
      <c r="N455" s="3">
        <v>2.61</v>
      </c>
      <c r="O455" s="3">
        <v>0</v>
      </c>
      <c r="P455" s="3">
        <v>0.2</v>
      </c>
      <c r="Q455" s="3">
        <v>55.08</v>
      </c>
      <c r="R455" s="3">
        <v>24.25</v>
      </c>
      <c r="S455" s="3">
        <f>VLOOKUP(C455,[1]page!$C$2:$M$3071,11,0)</f>
        <v>52.14</v>
      </c>
      <c r="T455" s="6">
        <f t="shared" si="7"/>
        <v>0.13000000000000256</v>
      </c>
    </row>
    <row r="456" spans="1:20" x14ac:dyDescent="0.2">
      <c r="A456" t="s">
        <v>1465</v>
      </c>
      <c r="B456" t="s">
        <v>1474</v>
      </c>
      <c r="C456" t="s">
        <v>1475</v>
      </c>
      <c r="D456" t="s">
        <v>1476</v>
      </c>
      <c r="E456" t="s">
        <v>1473</v>
      </c>
      <c r="F456" t="s">
        <v>23</v>
      </c>
      <c r="G456" s="1">
        <v>40</v>
      </c>
      <c r="H456" s="1">
        <v>6</v>
      </c>
      <c r="I456" t="s">
        <v>29</v>
      </c>
      <c r="L456" s="1">
        <v>1</v>
      </c>
      <c r="M456" s="3">
        <v>57.13</v>
      </c>
      <c r="N456" s="3">
        <v>2.86</v>
      </c>
      <c r="O456" s="3">
        <v>0</v>
      </c>
      <c r="P456" s="3">
        <v>0.2</v>
      </c>
      <c r="Q456" s="3">
        <v>60.19</v>
      </c>
      <c r="R456" s="3">
        <v>24.25</v>
      </c>
      <c r="S456" s="3">
        <f>VLOOKUP(C456,[1]page!$C$2:$M$3071,11,0)</f>
        <v>57</v>
      </c>
      <c r="T456" s="6">
        <f t="shared" si="7"/>
        <v>0.13000000000000256</v>
      </c>
    </row>
    <row r="457" spans="1:20" x14ac:dyDescent="0.2">
      <c r="A457" t="s">
        <v>1465</v>
      </c>
      <c r="B457" t="s">
        <v>1477</v>
      </c>
      <c r="C457" t="s">
        <v>1478</v>
      </c>
      <c r="D457" t="s">
        <v>1479</v>
      </c>
      <c r="E457" t="s">
        <v>1480</v>
      </c>
      <c r="F457" t="s">
        <v>23</v>
      </c>
      <c r="G457" s="1">
        <v>40</v>
      </c>
      <c r="H457" s="1">
        <v>6</v>
      </c>
      <c r="I457" t="s">
        <v>24</v>
      </c>
      <c r="L457" s="1">
        <v>1</v>
      </c>
      <c r="M457" s="3">
        <v>64.989999999999995</v>
      </c>
      <c r="N457" s="3">
        <v>3.25</v>
      </c>
      <c r="O457" s="3">
        <v>0</v>
      </c>
      <c r="P457" s="3">
        <v>0.2</v>
      </c>
      <c r="Q457" s="3">
        <v>68.44</v>
      </c>
      <c r="R457" s="3">
        <v>24.25</v>
      </c>
      <c r="S457" s="3">
        <f>VLOOKUP(C457,[1]page!$C$2:$M$3071,11,0)</f>
        <v>64.989999999999995</v>
      </c>
      <c r="T457" s="6">
        <f t="shared" si="7"/>
        <v>0</v>
      </c>
    </row>
    <row r="458" spans="1:20" x14ac:dyDescent="0.2">
      <c r="A458" t="s">
        <v>1465</v>
      </c>
      <c r="B458" t="s">
        <v>1481</v>
      </c>
      <c r="C458" t="s">
        <v>1482</v>
      </c>
      <c r="D458" t="s">
        <v>1483</v>
      </c>
      <c r="E458" t="s">
        <v>1480</v>
      </c>
      <c r="F458" t="s">
        <v>23</v>
      </c>
      <c r="G458" s="1">
        <v>40</v>
      </c>
      <c r="H458" s="1">
        <v>6</v>
      </c>
      <c r="I458" t="s">
        <v>24</v>
      </c>
      <c r="L458" s="1">
        <v>1</v>
      </c>
      <c r="M458" s="3">
        <v>70.989999999999995</v>
      </c>
      <c r="N458" s="3">
        <v>3.55</v>
      </c>
      <c r="O458" s="3">
        <v>0</v>
      </c>
      <c r="P458" s="3">
        <v>0.2</v>
      </c>
      <c r="Q458" s="3">
        <v>74.739999999999995</v>
      </c>
      <c r="R458" s="3">
        <v>24.25</v>
      </c>
      <c r="S458" s="3">
        <f>VLOOKUP(C458,[1]page!$C$2:$M$3071,11,0)</f>
        <v>70.989999999999995</v>
      </c>
      <c r="T458" s="6">
        <f t="shared" si="7"/>
        <v>0</v>
      </c>
    </row>
    <row r="459" spans="1:20" x14ac:dyDescent="0.2">
      <c r="A459" t="s">
        <v>1465</v>
      </c>
      <c r="B459" t="s">
        <v>1484</v>
      </c>
      <c r="C459" t="s">
        <v>1485</v>
      </c>
      <c r="D459" t="s">
        <v>1486</v>
      </c>
      <c r="E459" t="s">
        <v>1487</v>
      </c>
      <c r="F459" t="s">
        <v>23</v>
      </c>
      <c r="G459" s="1">
        <v>40</v>
      </c>
      <c r="H459" s="1">
        <v>6</v>
      </c>
      <c r="I459" t="s">
        <v>444</v>
      </c>
      <c r="L459" s="1">
        <v>1</v>
      </c>
      <c r="M459" s="3">
        <v>43.51</v>
      </c>
      <c r="N459" s="3">
        <v>2.1800000000000002</v>
      </c>
      <c r="O459" s="3">
        <v>0</v>
      </c>
      <c r="P459" s="3">
        <v>0.2</v>
      </c>
      <c r="Q459" s="3">
        <v>45.89</v>
      </c>
      <c r="R459" s="3">
        <v>24.25</v>
      </c>
      <c r="S459" s="3">
        <f>VLOOKUP(C459,[1]page!$C$2:$M$3071,11,0)</f>
        <v>43.5</v>
      </c>
      <c r="T459" s="6">
        <f t="shared" si="7"/>
        <v>9.9999999999980105E-3</v>
      </c>
    </row>
    <row r="460" spans="1:20" x14ac:dyDescent="0.2">
      <c r="A460" t="s">
        <v>1465</v>
      </c>
      <c r="B460" t="s">
        <v>1488</v>
      </c>
      <c r="C460" t="s">
        <v>1489</v>
      </c>
      <c r="D460" t="s">
        <v>1490</v>
      </c>
      <c r="E460" t="s">
        <v>1491</v>
      </c>
      <c r="F460" t="s">
        <v>23</v>
      </c>
      <c r="G460" s="1">
        <v>40</v>
      </c>
      <c r="H460" s="1">
        <v>6</v>
      </c>
      <c r="I460" t="s">
        <v>24</v>
      </c>
      <c r="L460" s="1">
        <v>1</v>
      </c>
      <c r="M460" s="3">
        <v>249.99</v>
      </c>
      <c r="N460" s="3">
        <v>12.5</v>
      </c>
      <c r="O460" s="3">
        <v>0</v>
      </c>
      <c r="P460" s="3">
        <v>0.2</v>
      </c>
      <c r="Q460" s="3">
        <v>262.69</v>
      </c>
      <c r="R460" s="3">
        <v>24.25</v>
      </c>
      <c r="S460" s="3">
        <f>VLOOKUP(C460,[1]page!$C$2:$M$3071,11,0)</f>
        <v>249.99</v>
      </c>
      <c r="T460" s="6">
        <f t="shared" si="7"/>
        <v>0</v>
      </c>
    </row>
    <row r="461" spans="1:20" x14ac:dyDescent="0.2">
      <c r="A461" t="s">
        <v>1465</v>
      </c>
      <c r="B461" t="s">
        <v>1492</v>
      </c>
      <c r="C461" t="s">
        <v>1493</v>
      </c>
      <c r="D461" t="s">
        <v>1494</v>
      </c>
      <c r="E461" t="s">
        <v>1491</v>
      </c>
      <c r="F461" t="s">
        <v>23</v>
      </c>
      <c r="G461" s="1">
        <v>40</v>
      </c>
      <c r="H461" s="1">
        <v>6</v>
      </c>
      <c r="I461" t="s">
        <v>24</v>
      </c>
      <c r="L461" s="1">
        <v>1</v>
      </c>
      <c r="M461" s="3">
        <v>96.49</v>
      </c>
      <c r="N461" s="3">
        <v>4.82</v>
      </c>
      <c r="O461" s="3">
        <v>0</v>
      </c>
      <c r="P461" s="3">
        <v>0.2</v>
      </c>
      <c r="Q461" s="3">
        <v>101.51</v>
      </c>
      <c r="R461" s="3">
        <v>24.25</v>
      </c>
      <c r="S461" s="3">
        <f>VLOOKUP(C461,[1]page!$C$2:$M$3071,11,0)</f>
        <v>96.49</v>
      </c>
      <c r="T461" s="6">
        <f t="shared" si="7"/>
        <v>0</v>
      </c>
    </row>
    <row r="462" spans="1:20" x14ac:dyDescent="0.2">
      <c r="A462" t="s">
        <v>1465</v>
      </c>
      <c r="B462" t="s">
        <v>1495</v>
      </c>
      <c r="C462" t="s">
        <v>1496</v>
      </c>
      <c r="D462" t="s">
        <v>1497</v>
      </c>
      <c r="E462" t="s">
        <v>1491</v>
      </c>
      <c r="F462" t="s">
        <v>23</v>
      </c>
      <c r="G462" s="1">
        <v>40</v>
      </c>
      <c r="H462" s="1">
        <v>6</v>
      </c>
      <c r="I462" t="s">
        <v>24</v>
      </c>
      <c r="L462" s="1">
        <v>1</v>
      </c>
      <c r="M462" s="3">
        <v>76.989999999999995</v>
      </c>
      <c r="N462" s="3">
        <v>3.85</v>
      </c>
      <c r="O462" s="3">
        <v>0</v>
      </c>
      <c r="P462" s="3">
        <v>0.2</v>
      </c>
      <c r="Q462" s="3">
        <v>81.040000000000006</v>
      </c>
      <c r="R462" s="3">
        <v>24.25</v>
      </c>
      <c r="S462" s="3">
        <f>VLOOKUP(C462,[1]page!$C$2:$M$3071,11,0)</f>
        <v>77.010000000000005</v>
      </c>
      <c r="T462" s="6">
        <f t="shared" si="7"/>
        <v>-2.0000000000010232E-2</v>
      </c>
    </row>
    <row r="463" spans="1:20" x14ac:dyDescent="0.2">
      <c r="A463" t="s">
        <v>1465</v>
      </c>
      <c r="B463" t="s">
        <v>1498</v>
      </c>
      <c r="C463" t="s">
        <v>1499</v>
      </c>
      <c r="D463" t="s">
        <v>1500</v>
      </c>
      <c r="E463" t="s">
        <v>1491</v>
      </c>
      <c r="F463" t="s">
        <v>23</v>
      </c>
      <c r="G463" s="1">
        <v>40</v>
      </c>
      <c r="H463" s="1">
        <v>6</v>
      </c>
      <c r="I463" t="s">
        <v>24</v>
      </c>
      <c r="L463" s="1">
        <v>1</v>
      </c>
      <c r="M463" s="3">
        <v>82.09</v>
      </c>
      <c r="N463" s="3">
        <v>4.0999999999999996</v>
      </c>
      <c r="O463" s="3">
        <v>0</v>
      </c>
      <c r="P463" s="3">
        <v>0.2</v>
      </c>
      <c r="Q463" s="3">
        <v>86.39</v>
      </c>
      <c r="R463" s="3">
        <v>24.25</v>
      </c>
      <c r="S463" s="3">
        <f>VLOOKUP(C463,[1]page!$C$2:$M$3071,11,0)</f>
        <v>84.01</v>
      </c>
      <c r="T463" s="6">
        <f t="shared" si="7"/>
        <v>-1.9200000000000017</v>
      </c>
    </row>
    <row r="464" spans="1:20" x14ac:dyDescent="0.2">
      <c r="A464" t="s">
        <v>1465</v>
      </c>
      <c r="B464" t="s">
        <v>1501</v>
      </c>
      <c r="C464" t="s">
        <v>1502</v>
      </c>
      <c r="D464" t="s">
        <v>1503</v>
      </c>
      <c r="E464" t="s">
        <v>1504</v>
      </c>
      <c r="F464" t="s">
        <v>23</v>
      </c>
      <c r="G464" s="1">
        <v>40</v>
      </c>
      <c r="H464" s="1">
        <v>12</v>
      </c>
      <c r="I464" t="s">
        <v>62</v>
      </c>
      <c r="L464" s="1">
        <v>1</v>
      </c>
      <c r="M464" s="3">
        <v>53.99</v>
      </c>
      <c r="N464" s="3">
        <v>2.7</v>
      </c>
      <c r="O464" s="3">
        <v>0</v>
      </c>
      <c r="P464" s="3">
        <v>0.2</v>
      </c>
      <c r="Q464" s="3">
        <v>56.89</v>
      </c>
      <c r="R464" s="3">
        <v>24.25</v>
      </c>
      <c r="S464" s="3">
        <f>VLOOKUP(C464,[1]page!$C$2:$M$3071,11,0)</f>
        <v>53.86</v>
      </c>
      <c r="T464" s="6">
        <f t="shared" si="7"/>
        <v>0.13000000000000256</v>
      </c>
    </row>
    <row r="465" spans="1:20" x14ac:dyDescent="0.2">
      <c r="A465" t="s">
        <v>1465</v>
      </c>
      <c r="B465" t="s">
        <v>1505</v>
      </c>
      <c r="C465" t="s">
        <v>1506</v>
      </c>
      <c r="D465" t="s">
        <v>1507</v>
      </c>
      <c r="E465" t="s">
        <v>1508</v>
      </c>
      <c r="F465" t="s">
        <v>23</v>
      </c>
      <c r="G465" s="1">
        <v>40</v>
      </c>
      <c r="H465" s="1">
        <v>6</v>
      </c>
      <c r="I465" t="s">
        <v>444</v>
      </c>
      <c r="L465" s="1">
        <v>1</v>
      </c>
      <c r="M465" s="3">
        <v>97.01</v>
      </c>
      <c r="N465" s="3">
        <v>4.8499999999999996</v>
      </c>
      <c r="O465" s="3">
        <v>0</v>
      </c>
      <c r="P465" s="3">
        <v>0.2</v>
      </c>
      <c r="Q465" s="3">
        <v>102.06</v>
      </c>
      <c r="R465" s="3">
        <v>24.25</v>
      </c>
      <c r="S465" s="3">
        <f>VLOOKUP(C465,[1]page!$C$2:$M$3071,11,0)</f>
        <v>97</v>
      </c>
      <c r="T465" s="6">
        <f t="shared" si="7"/>
        <v>1.0000000000005116E-2</v>
      </c>
    </row>
    <row r="466" spans="1:20" x14ac:dyDescent="0.2">
      <c r="A466" t="s">
        <v>1465</v>
      </c>
      <c r="B466" t="s">
        <v>1509</v>
      </c>
      <c r="C466" t="s">
        <v>1510</v>
      </c>
      <c r="D466" t="s">
        <v>1511</v>
      </c>
      <c r="E466" t="s">
        <v>1508</v>
      </c>
      <c r="F466" t="s">
        <v>23</v>
      </c>
      <c r="G466" s="1">
        <v>40</v>
      </c>
      <c r="H466" s="1">
        <v>6</v>
      </c>
      <c r="I466" t="s">
        <v>444</v>
      </c>
      <c r="L466" s="1">
        <v>1</v>
      </c>
      <c r="M466" s="3">
        <v>82.01</v>
      </c>
      <c r="N466" s="3">
        <v>4.0999999999999996</v>
      </c>
      <c r="O466" s="3">
        <v>0</v>
      </c>
      <c r="P466" s="3">
        <v>0.2</v>
      </c>
      <c r="Q466" s="3">
        <v>86.31</v>
      </c>
      <c r="R466" s="3">
        <v>24.25</v>
      </c>
      <c r="S466" s="3">
        <f>VLOOKUP(C466,[1]page!$C$2:$M$3071,11,0)</f>
        <v>82</v>
      </c>
      <c r="T466" s="6">
        <f t="shared" si="7"/>
        <v>1.0000000000005116E-2</v>
      </c>
    </row>
    <row r="467" spans="1:20" x14ac:dyDescent="0.2">
      <c r="A467" t="s">
        <v>1465</v>
      </c>
      <c r="B467" t="s">
        <v>1512</v>
      </c>
      <c r="C467" t="s">
        <v>1513</v>
      </c>
      <c r="D467" t="s">
        <v>1514</v>
      </c>
      <c r="E467" t="s">
        <v>1508</v>
      </c>
      <c r="F467" t="s">
        <v>23</v>
      </c>
      <c r="G467" s="1">
        <v>40</v>
      </c>
      <c r="H467" s="1">
        <v>6</v>
      </c>
      <c r="I467" t="s">
        <v>444</v>
      </c>
      <c r="L467" s="1">
        <v>1</v>
      </c>
      <c r="M467" s="3">
        <v>75.010000000000005</v>
      </c>
      <c r="N467" s="3">
        <v>3.75</v>
      </c>
      <c r="O467" s="3">
        <v>0</v>
      </c>
      <c r="P467" s="3">
        <v>0.2</v>
      </c>
      <c r="Q467" s="3">
        <v>78.959999999999994</v>
      </c>
      <c r="R467" s="3">
        <v>24.25</v>
      </c>
      <c r="S467" s="3">
        <f>VLOOKUP(C467,[1]page!$C$2:$M$3071,11,0)</f>
        <v>75</v>
      </c>
      <c r="T467" s="6">
        <f t="shared" si="7"/>
        <v>1.0000000000005116E-2</v>
      </c>
    </row>
    <row r="468" spans="1:20" x14ac:dyDescent="0.2">
      <c r="A468" t="s">
        <v>1515</v>
      </c>
      <c r="B468" t="s">
        <v>1516</v>
      </c>
      <c r="C468" t="s">
        <v>1517</v>
      </c>
      <c r="D468" t="s">
        <v>1518</v>
      </c>
      <c r="E468" t="s">
        <v>1519</v>
      </c>
      <c r="F468" t="s">
        <v>23</v>
      </c>
      <c r="G468" s="1">
        <v>40</v>
      </c>
      <c r="H468" s="1">
        <v>6</v>
      </c>
      <c r="I468" t="s">
        <v>156</v>
      </c>
      <c r="L468" s="1">
        <v>1</v>
      </c>
      <c r="M468" s="3">
        <v>44.5</v>
      </c>
      <c r="N468" s="3">
        <v>2.23</v>
      </c>
      <c r="O468" s="3">
        <v>0</v>
      </c>
      <c r="P468" s="3">
        <v>0.2</v>
      </c>
      <c r="Q468" s="3">
        <v>46.93</v>
      </c>
      <c r="R468" s="3">
        <v>24.25</v>
      </c>
      <c r="S468" s="3">
        <f>VLOOKUP(C468,[1]page!$C$2:$M$3071,11,0)</f>
        <v>43.71</v>
      </c>
      <c r="T468" s="6">
        <f t="shared" si="7"/>
        <v>0.78999999999999915</v>
      </c>
    </row>
    <row r="469" spans="1:20" x14ac:dyDescent="0.2">
      <c r="A469" t="s">
        <v>1515</v>
      </c>
      <c r="B469" t="s">
        <v>1520</v>
      </c>
      <c r="C469" t="s">
        <v>1521</v>
      </c>
      <c r="D469" t="s">
        <v>1522</v>
      </c>
      <c r="E469" t="s">
        <v>1519</v>
      </c>
      <c r="F469" t="s">
        <v>77</v>
      </c>
      <c r="G469" s="1">
        <v>40</v>
      </c>
      <c r="H469" s="1">
        <v>12</v>
      </c>
      <c r="I469" t="s">
        <v>156</v>
      </c>
      <c r="L469" s="1">
        <v>1</v>
      </c>
      <c r="M469" s="3">
        <v>21.79</v>
      </c>
      <c r="N469" s="3">
        <v>1.0900000000000001</v>
      </c>
      <c r="O469" s="3">
        <v>0</v>
      </c>
      <c r="P469" s="3">
        <v>0.2</v>
      </c>
      <c r="Q469" s="3">
        <v>23.08</v>
      </c>
      <c r="R469" s="3">
        <v>13.7</v>
      </c>
      <c r="S469" s="3">
        <f>VLOOKUP(C469,[1]page!$C$2:$M$3071,11,0)</f>
        <v>21.49</v>
      </c>
      <c r="T469" s="6">
        <f t="shared" si="7"/>
        <v>0.30000000000000071</v>
      </c>
    </row>
    <row r="470" spans="1:20" x14ac:dyDescent="0.2">
      <c r="A470" t="s">
        <v>1515</v>
      </c>
      <c r="B470" t="s">
        <v>1523</v>
      </c>
      <c r="C470" t="s">
        <v>1524</v>
      </c>
      <c r="D470" t="s">
        <v>1522</v>
      </c>
      <c r="E470" t="s">
        <v>1519</v>
      </c>
      <c r="F470" t="s">
        <v>23</v>
      </c>
      <c r="G470" s="1">
        <v>40</v>
      </c>
      <c r="H470" s="1">
        <v>12</v>
      </c>
      <c r="I470" t="s">
        <v>156</v>
      </c>
      <c r="L470" s="1">
        <v>1</v>
      </c>
      <c r="M470" s="3">
        <v>38.090000000000003</v>
      </c>
      <c r="N470" s="3">
        <v>1.9</v>
      </c>
      <c r="O470" s="3">
        <v>0</v>
      </c>
      <c r="P470" s="3">
        <v>0.2</v>
      </c>
      <c r="Q470" s="3">
        <v>40.19</v>
      </c>
      <c r="R470" s="3">
        <v>24.25</v>
      </c>
      <c r="S470" s="3">
        <f>VLOOKUP(C470,[1]page!$C$2:$M$3071,11,0)</f>
        <v>37.31</v>
      </c>
      <c r="T470" s="6">
        <f t="shared" si="7"/>
        <v>0.78000000000000114</v>
      </c>
    </row>
    <row r="471" spans="1:20" x14ac:dyDescent="0.2">
      <c r="A471" t="s">
        <v>1515</v>
      </c>
      <c r="B471" t="s">
        <v>1525</v>
      </c>
      <c r="C471" t="s">
        <v>1526</v>
      </c>
      <c r="D471" t="s">
        <v>1527</v>
      </c>
      <c r="E471" t="s">
        <v>1519</v>
      </c>
      <c r="F471" t="s">
        <v>23</v>
      </c>
      <c r="G471" s="1">
        <v>40</v>
      </c>
      <c r="H471" s="1">
        <v>6</v>
      </c>
      <c r="I471" t="s">
        <v>156</v>
      </c>
      <c r="L471" s="1">
        <v>1</v>
      </c>
      <c r="M471" s="3">
        <v>54.49</v>
      </c>
      <c r="N471" s="3">
        <v>2.72</v>
      </c>
      <c r="O471" s="3">
        <v>0</v>
      </c>
      <c r="P471" s="3">
        <v>0.2</v>
      </c>
      <c r="Q471" s="3">
        <v>57.41</v>
      </c>
      <c r="R471" s="3">
        <v>24.25</v>
      </c>
      <c r="S471" s="3">
        <f>VLOOKUP(C471,[1]page!$C$2:$M$3071,11,0)</f>
        <v>53.7</v>
      </c>
      <c r="T471" s="6">
        <f t="shared" si="7"/>
        <v>0.78999999999999915</v>
      </c>
    </row>
    <row r="472" spans="1:20" x14ac:dyDescent="0.2">
      <c r="A472" t="s">
        <v>1515</v>
      </c>
      <c r="B472" t="s">
        <v>1528</v>
      </c>
      <c r="C472" t="s">
        <v>1529</v>
      </c>
      <c r="D472" t="s">
        <v>1530</v>
      </c>
      <c r="E472" t="s">
        <v>1519</v>
      </c>
      <c r="F472" t="s">
        <v>23</v>
      </c>
      <c r="G472" s="1">
        <v>40</v>
      </c>
      <c r="H472" s="1">
        <v>12</v>
      </c>
      <c r="I472" t="s">
        <v>156</v>
      </c>
      <c r="L472" s="1">
        <v>1</v>
      </c>
      <c r="M472" s="3">
        <v>39.090000000000003</v>
      </c>
      <c r="N472" s="3">
        <v>1.95</v>
      </c>
      <c r="O472" s="3">
        <v>0</v>
      </c>
      <c r="P472" s="3">
        <v>0.2</v>
      </c>
      <c r="Q472" s="3">
        <v>41.24</v>
      </c>
      <c r="R472" s="3">
        <v>24.25</v>
      </c>
      <c r="S472" s="3">
        <f>VLOOKUP(C472,[1]page!$C$2:$M$3071,11,0)</f>
        <v>38.31</v>
      </c>
      <c r="T472" s="6">
        <f t="shared" si="7"/>
        <v>0.78000000000000114</v>
      </c>
    </row>
    <row r="473" spans="1:20" x14ac:dyDescent="0.2">
      <c r="A473" t="s">
        <v>1515</v>
      </c>
      <c r="B473" t="s">
        <v>1531</v>
      </c>
      <c r="C473" t="s">
        <v>1532</v>
      </c>
      <c r="D473" t="s">
        <v>1533</v>
      </c>
      <c r="E473" t="s">
        <v>1519</v>
      </c>
      <c r="F473" t="s">
        <v>23</v>
      </c>
      <c r="G473" s="1">
        <v>40</v>
      </c>
      <c r="H473" s="1">
        <v>6</v>
      </c>
      <c r="I473" t="s">
        <v>156</v>
      </c>
      <c r="L473" s="1">
        <v>1</v>
      </c>
      <c r="M473" s="3">
        <v>47</v>
      </c>
      <c r="N473" s="3">
        <v>2.35</v>
      </c>
      <c r="O473" s="3">
        <v>0</v>
      </c>
      <c r="P473" s="3">
        <v>0.2</v>
      </c>
      <c r="Q473" s="3">
        <v>49.55</v>
      </c>
      <c r="R473" s="3">
        <v>24.25</v>
      </c>
      <c r="S473" s="3">
        <f>VLOOKUP(C473,[1]page!$C$2:$M$3071,11,0)</f>
        <v>46.01</v>
      </c>
      <c r="T473" s="6">
        <f t="shared" si="7"/>
        <v>0.99000000000000199</v>
      </c>
    </row>
    <row r="474" spans="1:20" x14ac:dyDescent="0.2">
      <c r="A474" t="s">
        <v>1515</v>
      </c>
      <c r="B474" t="s">
        <v>1534</v>
      </c>
      <c r="C474" t="s">
        <v>1535</v>
      </c>
      <c r="D474" t="s">
        <v>1536</v>
      </c>
      <c r="E474" t="s">
        <v>1469</v>
      </c>
      <c r="F474" t="s">
        <v>23</v>
      </c>
      <c r="G474" s="1">
        <v>40</v>
      </c>
      <c r="H474" s="1">
        <v>6</v>
      </c>
      <c r="I474" t="s">
        <v>449</v>
      </c>
      <c r="L474" s="1">
        <v>1</v>
      </c>
      <c r="M474" s="3">
        <v>92</v>
      </c>
      <c r="N474" s="3">
        <v>4.5999999999999996</v>
      </c>
      <c r="O474" s="3">
        <v>0</v>
      </c>
      <c r="P474" s="3">
        <v>0.2</v>
      </c>
      <c r="Q474" s="3">
        <v>96.8</v>
      </c>
      <c r="R474" s="3">
        <v>24.25</v>
      </c>
      <c r="S474" s="3">
        <f>VLOOKUP(C474,[1]page!$C$2:$M$3071,11,0)</f>
        <v>90.1</v>
      </c>
      <c r="T474" s="6">
        <f t="shared" si="7"/>
        <v>1.9000000000000057</v>
      </c>
    </row>
    <row r="475" spans="1:20" x14ac:dyDescent="0.2">
      <c r="A475" t="s">
        <v>1515</v>
      </c>
      <c r="B475" t="s">
        <v>1537</v>
      </c>
      <c r="C475" t="s">
        <v>1538</v>
      </c>
      <c r="D475" t="s">
        <v>1539</v>
      </c>
      <c r="E475" t="s">
        <v>1469</v>
      </c>
      <c r="F475" t="s">
        <v>23</v>
      </c>
      <c r="G475" s="1">
        <v>40</v>
      </c>
      <c r="H475" s="1">
        <v>6</v>
      </c>
      <c r="I475" t="s">
        <v>449</v>
      </c>
      <c r="L475" s="1">
        <v>1</v>
      </c>
      <c r="M475" s="3">
        <v>80</v>
      </c>
      <c r="N475" s="3">
        <v>4</v>
      </c>
      <c r="O475" s="3">
        <v>0</v>
      </c>
      <c r="P475" s="3">
        <v>0.2</v>
      </c>
      <c r="Q475" s="3">
        <v>84.2</v>
      </c>
      <c r="R475" s="3">
        <v>24.25</v>
      </c>
      <c r="S475" s="3" t="e">
        <f>VLOOKUP(C475,[1]page!$C$2:$M$3071,11,0)</f>
        <v>#N/A</v>
      </c>
      <c r="T475" s="6" t="e">
        <f t="shared" si="7"/>
        <v>#N/A</v>
      </c>
    </row>
    <row r="476" spans="1:20" x14ac:dyDescent="0.2">
      <c r="A476" t="s">
        <v>1515</v>
      </c>
      <c r="B476" t="s">
        <v>1540</v>
      </c>
      <c r="C476" t="s">
        <v>1541</v>
      </c>
      <c r="D476" t="s">
        <v>1542</v>
      </c>
      <c r="E476" t="s">
        <v>1480</v>
      </c>
      <c r="F476" t="s">
        <v>23</v>
      </c>
      <c r="G476" s="1">
        <v>40</v>
      </c>
      <c r="H476" s="1">
        <v>6</v>
      </c>
      <c r="I476" t="s">
        <v>24</v>
      </c>
      <c r="L476" s="1">
        <v>1</v>
      </c>
      <c r="M476" s="3">
        <v>81.99</v>
      </c>
      <c r="N476" s="3">
        <v>4.0999999999999996</v>
      </c>
      <c r="O476" s="3">
        <v>0</v>
      </c>
      <c r="P476" s="3">
        <v>0.2</v>
      </c>
      <c r="Q476" s="3">
        <v>86.29</v>
      </c>
      <c r="R476" s="3">
        <v>24.25</v>
      </c>
      <c r="S476" s="3">
        <f>VLOOKUP(C476,[1]page!$C$2:$M$3071,11,0)</f>
        <v>81.99</v>
      </c>
      <c r="T476" s="6">
        <f t="shared" si="7"/>
        <v>0</v>
      </c>
    </row>
    <row r="477" spans="1:20" x14ac:dyDescent="0.2">
      <c r="A477" t="s">
        <v>1515</v>
      </c>
      <c r="B477" t="s">
        <v>1543</v>
      </c>
      <c r="C477" t="s">
        <v>1544</v>
      </c>
      <c r="D477" t="s">
        <v>1479</v>
      </c>
      <c r="E477" t="s">
        <v>1480</v>
      </c>
      <c r="F477" t="s">
        <v>84</v>
      </c>
      <c r="G477" s="1">
        <v>40</v>
      </c>
      <c r="H477" s="1">
        <v>3</v>
      </c>
      <c r="I477" t="s">
        <v>24</v>
      </c>
      <c r="L477" s="1">
        <v>1</v>
      </c>
      <c r="M477" s="3">
        <v>146.99</v>
      </c>
      <c r="N477" s="3">
        <v>7.35</v>
      </c>
      <c r="O477" s="3">
        <v>0</v>
      </c>
      <c r="P477" s="3">
        <v>0.4</v>
      </c>
      <c r="Q477" s="3">
        <v>154.74</v>
      </c>
      <c r="R477" s="3">
        <v>53.75</v>
      </c>
      <c r="S477" s="3">
        <f>VLOOKUP(C477,[1]page!$C$2:$M$3071,11,0)</f>
        <v>146.99</v>
      </c>
      <c r="T477" s="6">
        <f t="shared" si="7"/>
        <v>0</v>
      </c>
    </row>
    <row r="478" spans="1:20" x14ac:dyDescent="0.2">
      <c r="A478" t="s">
        <v>1515</v>
      </c>
      <c r="B478" t="s">
        <v>1545</v>
      </c>
      <c r="C478" t="s">
        <v>1546</v>
      </c>
      <c r="D478" t="s">
        <v>1547</v>
      </c>
      <c r="E478" t="s">
        <v>1480</v>
      </c>
      <c r="F478" t="s">
        <v>23</v>
      </c>
      <c r="G478" s="1">
        <v>40</v>
      </c>
      <c r="H478" s="1">
        <v>6</v>
      </c>
      <c r="I478" t="s">
        <v>24</v>
      </c>
      <c r="L478" s="1">
        <v>1</v>
      </c>
      <c r="M478" s="3">
        <v>77.989999999999995</v>
      </c>
      <c r="N478" s="3">
        <v>3.9</v>
      </c>
      <c r="O478" s="3">
        <v>0</v>
      </c>
      <c r="P478" s="3">
        <v>0.2</v>
      </c>
      <c r="Q478" s="3">
        <v>82.09</v>
      </c>
      <c r="R478" s="3">
        <v>24.25</v>
      </c>
      <c r="S478" s="3">
        <f>VLOOKUP(C478,[1]page!$C$2:$M$3071,11,0)</f>
        <v>77.989999999999995</v>
      </c>
      <c r="T478" s="6">
        <f t="shared" si="7"/>
        <v>0</v>
      </c>
    </row>
    <row r="479" spans="1:20" x14ac:dyDescent="0.2">
      <c r="A479" t="s">
        <v>1515</v>
      </c>
      <c r="B479" t="s">
        <v>1548</v>
      </c>
      <c r="C479" t="s">
        <v>1549</v>
      </c>
      <c r="D479" t="s">
        <v>1483</v>
      </c>
      <c r="E479" t="s">
        <v>1480</v>
      </c>
      <c r="F479" t="s">
        <v>84</v>
      </c>
      <c r="G479" s="1">
        <v>40</v>
      </c>
      <c r="H479" s="1">
        <v>3</v>
      </c>
      <c r="I479" t="s">
        <v>24</v>
      </c>
      <c r="L479" s="1">
        <v>1</v>
      </c>
      <c r="M479" s="3">
        <v>153</v>
      </c>
      <c r="N479" s="3">
        <v>7.65</v>
      </c>
      <c r="O479" s="3">
        <v>0</v>
      </c>
      <c r="P479" s="3">
        <v>0.4</v>
      </c>
      <c r="Q479" s="3">
        <v>161.05000000000001</v>
      </c>
      <c r="R479" s="3">
        <v>53.75</v>
      </c>
      <c r="S479" s="3">
        <f>VLOOKUP(C479,[1]page!$C$2:$M$3071,11,0)</f>
        <v>152.99</v>
      </c>
      <c r="T479" s="6">
        <f t="shared" si="7"/>
        <v>9.9999999999909051E-3</v>
      </c>
    </row>
    <row r="480" spans="1:20" x14ac:dyDescent="0.2">
      <c r="A480" t="s">
        <v>1515</v>
      </c>
      <c r="B480" t="s">
        <v>1550</v>
      </c>
      <c r="C480" t="s">
        <v>1551</v>
      </c>
      <c r="D480" t="s">
        <v>1552</v>
      </c>
      <c r="E480" t="s">
        <v>1553</v>
      </c>
      <c r="F480" t="s">
        <v>23</v>
      </c>
      <c r="G480" s="1">
        <v>40</v>
      </c>
      <c r="H480" s="1">
        <v>12</v>
      </c>
      <c r="I480" t="s">
        <v>444</v>
      </c>
      <c r="L480" s="1">
        <v>1</v>
      </c>
      <c r="M480" s="3">
        <v>37</v>
      </c>
      <c r="N480" s="3">
        <v>1.85</v>
      </c>
      <c r="O480" s="3">
        <v>0</v>
      </c>
      <c r="P480" s="3">
        <v>0.2</v>
      </c>
      <c r="Q480" s="3">
        <v>39.049999999999997</v>
      </c>
      <c r="R480" s="3">
        <v>24.25</v>
      </c>
      <c r="S480" s="3">
        <f>VLOOKUP(C480,[1]page!$C$2:$M$3071,11,0)</f>
        <v>37</v>
      </c>
      <c r="T480" s="6">
        <f t="shared" si="7"/>
        <v>0</v>
      </c>
    </row>
    <row r="481" spans="1:20" x14ac:dyDescent="0.2">
      <c r="A481" t="s">
        <v>1515</v>
      </c>
      <c r="B481" t="s">
        <v>1554</v>
      </c>
      <c r="C481" t="s">
        <v>1555</v>
      </c>
      <c r="D481" t="s">
        <v>1556</v>
      </c>
      <c r="E481" t="s">
        <v>1116</v>
      </c>
      <c r="F481" t="s">
        <v>23</v>
      </c>
      <c r="G481" s="1">
        <v>40</v>
      </c>
      <c r="H481" s="1">
        <v>12</v>
      </c>
      <c r="I481" t="s">
        <v>444</v>
      </c>
      <c r="L481" s="1">
        <v>1</v>
      </c>
      <c r="M481" s="3">
        <v>38</v>
      </c>
      <c r="N481" s="3">
        <v>1.9</v>
      </c>
      <c r="O481" s="3">
        <v>0</v>
      </c>
      <c r="P481" s="3">
        <v>0.2</v>
      </c>
      <c r="Q481" s="3">
        <v>40.1</v>
      </c>
      <c r="R481" s="3">
        <v>24.25</v>
      </c>
      <c r="S481" s="3">
        <f>VLOOKUP(C481,[1]page!$C$2:$M$3071,11,0)</f>
        <v>38</v>
      </c>
      <c r="T481" s="6">
        <f t="shared" si="7"/>
        <v>0</v>
      </c>
    </row>
    <row r="482" spans="1:20" x14ac:dyDescent="0.2">
      <c r="A482" t="s">
        <v>1515</v>
      </c>
      <c r="B482" t="s">
        <v>1557</v>
      </c>
      <c r="C482" t="s">
        <v>1558</v>
      </c>
      <c r="D482" t="s">
        <v>1559</v>
      </c>
      <c r="E482" t="s">
        <v>69</v>
      </c>
      <c r="F482" t="s">
        <v>23</v>
      </c>
      <c r="G482" s="1">
        <v>40</v>
      </c>
      <c r="H482" s="1">
        <v>6</v>
      </c>
      <c r="I482" t="s">
        <v>183</v>
      </c>
      <c r="L482" s="1">
        <v>1</v>
      </c>
      <c r="M482" s="3">
        <v>58.7</v>
      </c>
      <c r="N482" s="3">
        <v>2.94</v>
      </c>
      <c r="O482" s="3">
        <v>0</v>
      </c>
      <c r="P482" s="3">
        <v>0.2</v>
      </c>
      <c r="Q482" s="3">
        <v>61.84</v>
      </c>
      <c r="R482" s="3">
        <v>24.25</v>
      </c>
      <c r="S482" s="3">
        <f>VLOOKUP(C482,[1]page!$C$2:$M$3071,11,0)</f>
        <v>58.58</v>
      </c>
      <c r="T482" s="6">
        <f t="shared" si="7"/>
        <v>0.12000000000000455</v>
      </c>
    </row>
    <row r="483" spans="1:20" x14ac:dyDescent="0.2">
      <c r="A483" t="s">
        <v>1515</v>
      </c>
      <c r="B483" t="s">
        <v>1560</v>
      </c>
      <c r="C483" t="s">
        <v>1561</v>
      </c>
      <c r="D483" t="s">
        <v>1562</v>
      </c>
      <c r="E483" t="s">
        <v>1491</v>
      </c>
      <c r="F483" t="s">
        <v>23</v>
      </c>
      <c r="G483" s="1">
        <v>40</v>
      </c>
      <c r="H483" s="1">
        <v>6</v>
      </c>
      <c r="I483" t="s">
        <v>24</v>
      </c>
      <c r="L483" s="1">
        <v>1</v>
      </c>
      <c r="M483" s="3">
        <v>96.99</v>
      </c>
      <c r="N483" s="3">
        <v>4.8499999999999996</v>
      </c>
      <c r="O483" s="3">
        <v>0</v>
      </c>
      <c r="P483" s="3">
        <v>0.2</v>
      </c>
      <c r="Q483" s="3">
        <v>102.04</v>
      </c>
      <c r="R483" s="3">
        <v>24.25</v>
      </c>
      <c r="S483" s="3">
        <f>VLOOKUP(C483,[1]page!$C$2:$M$3071,11,0)</f>
        <v>97.01</v>
      </c>
      <c r="T483" s="6">
        <f t="shared" si="7"/>
        <v>-2.0000000000010232E-2</v>
      </c>
    </row>
    <row r="484" spans="1:20" x14ac:dyDescent="0.2">
      <c r="A484" t="s">
        <v>1515</v>
      </c>
      <c r="B484" t="s">
        <v>1563</v>
      </c>
      <c r="C484" t="s">
        <v>1564</v>
      </c>
      <c r="D484" t="s">
        <v>1497</v>
      </c>
      <c r="E484" t="s">
        <v>1491</v>
      </c>
      <c r="F484" t="s">
        <v>77</v>
      </c>
      <c r="G484" s="1">
        <v>40</v>
      </c>
      <c r="H484" s="1">
        <v>12</v>
      </c>
      <c r="I484" t="s">
        <v>24</v>
      </c>
      <c r="L484" s="1">
        <v>1</v>
      </c>
      <c r="M484" s="3">
        <v>39.99</v>
      </c>
      <c r="N484" s="3">
        <v>2</v>
      </c>
      <c r="O484" s="3">
        <v>0</v>
      </c>
      <c r="P484" s="3">
        <v>0.2</v>
      </c>
      <c r="Q484" s="3">
        <v>42.19</v>
      </c>
      <c r="R484" s="3">
        <v>13.7</v>
      </c>
      <c r="S484" s="3">
        <f>VLOOKUP(C484,[1]page!$C$2:$M$3071,11,0)</f>
        <v>40</v>
      </c>
      <c r="T484" s="6">
        <f t="shared" si="7"/>
        <v>-9.9999999999980105E-3</v>
      </c>
    </row>
    <row r="485" spans="1:20" x14ac:dyDescent="0.2">
      <c r="A485" t="s">
        <v>1515</v>
      </c>
      <c r="B485" t="s">
        <v>1565</v>
      </c>
      <c r="C485" t="s">
        <v>1566</v>
      </c>
      <c r="D485" t="s">
        <v>1567</v>
      </c>
      <c r="E485" t="s">
        <v>1491</v>
      </c>
      <c r="F485" t="s">
        <v>77</v>
      </c>
      <c r="G485" s="1">
        <v>40</v>
      </c>
      <c r="H485" s="1">
        <v>12</v>
      </c>
      <c r="I485" t="s">
        <v>24</v>
      </c>
      <c r="L485" s="1">
        <v>1</v>
      </c>
      <c r="M485" s="3">
        <v>44.99</v>
      </c>
      <c r="N485" s="3">
        <v>2.25</v>
      </c>
      <c r="O485" s="3">
        <v>0</v>
      </c>
      <c r="P485" s="3">
        <v>0.2</v>
      </c>
      <c r="Q485" s="3">
        <v>47.44</v>
      </c>
      <c r="R485" s="3">
        <v>13.7</v>
      </c>
      <c r="S485" s="3">
        <f>VLOOKUP(C485,[1]page!$C$2:$M$3071,11,0)</f>
        <v>45</v>
      </c>
      <c r="T485" s="6">
        <f t="shared" si="7"/>
        <v>-9.9999999999980105E-3</v>
      </c>
    </row>
    <row r="486" spans="1:20" x14ac:dyDescent="0.2">
      <c r="A486" t="s">
        <v>1515</v>
      </c>
      <c r="B486" t="s">
        <v>1568</v>
      </c>
      <c r="C486" t="s">
        <v>1569</v>
      </c>
      <c r="D486" t="s">
        <v>1570</v>
      </c>
      <c r="E486" t="s">
        <v>1491</v>
      </c>
      <c r="F486" t="s">
        <v>23</v>
      </c>
      <c r="G486" s="1">
        <v>40</v>
      </c>
      <c r="H486" s="1">
        <v>6</v>
      </c>
      <c r="I486" t="s">
        <v>24</v>
      </c>
      <c r="L486" s="1">
        <v>1</v>
      </c>
      <c r="M486" s="3">
        <v>160.99</v>
      </c>
      <c r="N486" s="3">
        <v>8.0500000000000007</v>
      </c>
      <c r="O486" s="3">
        <v>0</v>
      </c>
      <c r="P486" s="3">
        <v>0.2</v>
      </c>
      <c r="Q486" s="3">
        <v>169.24</v>
      </c>
      <c r="R486" s="3">
        <v>24.25</v>
      </c>
      <c r="S486" s="3">
        <f>VLOOKUP(C486,[1]page!$C$2:$M$3071,11,0)</f>
        <v>161.01</v>
      </c>
      <c r="T486" s="6">
        <f t="shared" si="7"/>
        <v>-1.999999999998181E-2</v>
      </c>
    </row>
    <row r="487" spans="1:20" x14ac:dyDescent="0.2">
      <c r="A487" t="s">
        <v>1515</v>
      </c>
      <c r="B487" t="s">
        <v>1571</v>
      </c>
      <c r="C487" t="s">
        <v>1572</v>
      </c>
      <c r="D487" t="s">
        <v>1573</v>
      </c>
      <c r="E487" t="s">
        <v>1574</v>
      </c>
      <c r="F487" t="s">
        <v>23</v>
      </c>
      <c r="G487" s="1">
        <v>40</v>
      </c>
      <c r="H487" s="1">
        <v>12</v>
      </c>
      <c r="I487" t="s">
        <v>420</v>
      </c>
      <c r="L487" s="1">
        <v>1</v>
      </c>
      <c r="M487" s="3">
        <v>36.11</v>
      </c>
      <c r="N487" s="3">
        <v>1.81</v>
      </c>
      <c r="O487" s="3">
        <v>0</v>
      </c>
      <c r="P487" s="3">
        <v>0.2</v>
      </c>
      <c r="Q487" s="3">
        <v>38.119999999999997</v>
      </c>
      <c r="R487" s="3">
        <v>24.25</v>
      </c>
      <c r="S487" s="3">
        <f>VLOOKUP(C487,[1]page!$C$2:$M$3071,11,0)</f>
        <v>35.92</v>
      </c>
      <c r="T487" s="6">
        <f t="shared" si="7"/>
        <v>0.18999999999999773</v>
      </c>
    </row>
    <row r="488" spans="1:20" x14ac:dyDescent="0.2">
      <c r="A488" t="s">
        <v>1515</v>
      </c>
      <c r="B488" t="s">
        <v>1575</v>
      </c>
      <c r="C488" t="s">
        <v>1576</v>
      </c>
      <c r="D488" t="s">
        <v>1577</v>
      </c>
      <c r="E488" t="s">
        <v>1574</v>
      </c>
      <c r="F488" t="s">
        <v>23</v>
      </c>
      <c r="G488" s="1">
        <v>40</v>
      </c>
      <c r="H488" s="1">
        <v>12</v>
      </c>
      <c r="I488" t="s">
        <v>420</v>
      </c>
      <c r="L488" s="1">
        <v>1</v>
      </c>
      <c r="M488" s="3">
        <v>36.81</v>
      </c>
      <c r="N488" s="3">
        <v>1.84</v>
      </c>
      <c r="O488" s="3">
        <v>0</v>
      </c>
      <c r="P488" s="3">
        <v>0.2</v>
      </c>
      <c r="Q488" s="3">
        <v>38.85</v>
      </c>
      <c r="R488" s="3">
        <v>24.25</v>
      </c>
      <c r="S488" s="3">
        <f>VLOOKUP(C488,[1]page!$C$2:$M$3071,11,0)</f>
        <v>36.619999999999997</v>
      </c>
      <c r="T488" s="6">
        <f t="shared" si="7"/>
        <v>0.19000000000000483</v>
      </c>
    </row>
    <row r="489" spans="1:20" x14ac:dyDescent="0.2">
      <c r="A489" t="s">
        <v>1515</v>
      </c>
      <c r="B489" t="s">
        <v>1578</v>
      </c>
      <c r="C489" t="s">
        <v>1579</v>
      </c>
      <c r="D489" t="s">
        <v>1580</v>
      </c>
      <c r="E489" t="s">
        <v>1581</v>
      </c>
      <c r="F489" t="s">
        <v>23</v>
      </c>
      <c r="G489" s="1">
        <v>40</v>
      </c>
      <c r="H489" s="1">
        <v>12</v>
      </c>
      <c r="I489" t="s">
        <v>595</v>
      </c>
      <c r="L489" s="1">
        <v>1</v>
      </c>
      <c r="M489" s="3">
        <v>37.159999999999997</v>
      </c>
      <c r="N489" s="3">
        <v>1.86</v>
      </c>
      <c r="O489" s="3">
        <v>0</v>
      </c>
      <c r="P489" s="3">
        <v>0.2</v>
      </c>
      <c r="Q489" s="3">
        <v>39.22</v>
      </c>
      <c r="R489" s="3">
        <v>24.25</v>
      </c>
      <c r="S489" s="3">
        <f>VLOOKUP(C489,[1]page!$C$2:$M$3071,11,0)</f>
        <v>36.97</v>
      </c>
      <c r="T489" s="6">
        <f t="shared" si="7"/>
        <v>0.18999999999999773</v>
      </c>
    </row>
    <row r="490" spans="1:20" x14ac:dyDescent="0.2">
      <c r="A490" t="s">
        <v>1515</v>
      </c>
      <c r="B490" t="s">
        <v>1582</v>
      </c>
      <c r="C490" t="s">
        <v>1583</v>
      </c>
      <c r="D490" t="s">
        <v>1584</v>
      </c>
      <c r="E490" t="s">
        <v>1581</v>
      </c>
      <c r="F490" t="s">
        <v>23</v>
      </c>
      <c r="G490" s="1">
        <v>40</v>
      </c>
      <c r="H490" s="1">
        <v>6</v>
      </c>
      <c r="I490" t="s">
        <v>595</v>
      </c>
      <c r="L490" s="1">
        <v>1</v>
      </c>
      <c r="M490" s="3">
        <v>63.5</v>
      </c>
      <c r="N490" s="3">
        <v>3.18</v>
      </c>
      <c r="O490" s="3">
        <v>0</v>
      </c>
      <c r="P490" s="3">
        <v>0.2</v>
      </c>
      <c r="Q490" s="3">
        <v>66.88</v>
      </c>
      <c r="R490" s="3">
        <v>24.25</v>
      </c>
      <c r="S490" s="3">
        <f>VLOOKUP(C490,[1]page!$C$2:$M$3071,11,0)</f>
        <v>63.39</v>
      </c>
      <c r="T490" s="6">
        <f t="shared" si="7"/>
        <v>0.10999999999999943</v>
      </c>
    </row>
    <row r="491" spans="1:20" x14ac:dyDescent="0.2">
      <c r="A491" t="s">
        <v>1515</v>
      </c>
      <c r="B491" t="s">
        <v>1585</v>
      </c>
      <c r="C491" t="s">
        <v>1586</v>
      </c>
      <c r="D491" t="s">
        <v>1587</v>
      </c>
      <c r="E491" t="s">
        <v>1581</v>
      </c>
      <c r="F491" t="s">
        <v>23</v>
      </c>
      <c r="G491" s="1">
        <v>40</v>
      </c>
      <c r="H491" s="1">
        <v>6</v>
      </c>
      <c r="I491" t="s">
        <v>595</v>
      </c>
      <c r="L491" s="1">
        <v>1</v>
      </c>
      <c r="M491" s="3">
        <v>85.07</v>
      </c>
      <c r="N491" s="3">
        <v>4.25</v>
      </c>
      <c r="O491" s="3">
        <v>0</v>
      </c>
      <c r="P491" s="3">
        <v>0.2</v>
      </c>
      <c r="Q491" s="3">
        <v>89.52</v>
      </c>
      <c r="R491" s="3">
        <v>24.25</v>
      </c>
      <c r="S491" s="3">
        <f>VLOOKUP(C491,[1]page!$C$2:$M$3071,11,0)</f>
        <v>84.96</v>
      </c>
      <c r="T491" s="6">
        <f t="shared" si="7"/>
        <v>0.10999999999999943</v>
      </c>
    </row>
    <row r="492" spans="1:20" x14ac:dyDescent="0.2">
      <c r="A492" t="s">
        <v>1515</v>
      </c>
      <c r="B492" t="s">
        <v>1588</v>
      </c>
      <c r="C492" t="s">
        <v>1589</v>
      </c>
      <c r="D492" t="s">
        <v>1590</v>
      </c>
      <c r="E492" t="s">
        <v>1591</v>
      </c>
      <c r="F492" t="s">
        <v>23</v>
      </c>
      <c r="G492" s="1">
        <v>45</v>
      </c>
      <c r="H492" s="1">
        <v>8</v>
      </c>
      <c r="I492" t="s">
        <v>1592</v>
      </c>
      <c r="L492" s="1">
        <v>1</v>
      </c>
      <c r="M492" s="3">
        <v>65</v>
      </c>
      <c r="N492" s="3">
        <v>3.25</v>
      </c>
      <c r="O492" s="3">
        <v>0</v>
      </c>
      <c r="P492" s="3">
        <v>0.2</v>
      </c>
      <c r="Q492" s="3">
        <v>68.45</v>
      </c>
      <c r="R492" s="3">
        <v>30.35</v>
      </c>
      <c r="S492" s="3">
        <f>VLOOKUP(C492,[1]page!$C$2:$M$3071,11,0)</f>
        <v>64.88</v>
      </c>
      <c r="T492" s="6">
        <f t="shared" si="7"/>
        <v>0.12000000000000455</v>
      </c>
    </row>
    <row r="493" spans="1:20" x14ac:dyDescent="0.2">
      <c r="A493" t="s">
        <v>1515</v>
      </c>
      <c r="B493" t="s">
        <v>1593</v>
      </c>
      <c r="C493" t="s">
        <v>1594</v>
      </c>
      <c r="D493" t="s">
        <v>1595</v>
      </c>
      <c r="E493" t="s">
        <v>1473</v>
      </c>
      <c r="F493" t="s">
        <v>23</v>
      </c>
      <c r="G493" s="1">
        <v>40</v>
      </c>
      <c r="H493" s="1">
        <v>6</v>
      </c>
      <c r="I493" t="s">
        <v>29</v>
      </c>
      <c r="L493" s="1">
        <v>1</v>
      </c>
      <c r="M493" s="3">
        <v>38.200000000000003</v>
      </c>
      <c r="N493" s="3">
        <v>1.91</v>
      </c>
      <c r="O493" s="3">
        <v>0</v>
      </c>
      <c r="P493" s="3">
        <v>0.2</v>
      </c>
      <c r="Q493" s="3">
        <v>40.31</v>
      </c>
      <c r="R493" s="3">
        <v>24.25</v>
      </c>
      <c r="S493" s="3">
        <f>VLOOKUP(C493,[1]page!$C$2:$M$3071,11,0)</f>
        <v>38.01</v>
      </c>
      <c r="T493" s="6">
        <f t="shared" si="7"/>
        <v>0.19000000000000483</v>
      </c>
    </row>
    <row r="494" spans="1:20" x14ac:dyDescent="0.2">
      <c r="A494" t="s">
        <v>1515</v>
      </c>
      <c r="B494" t="s">
        <v>1596</v>
      </c>
      <c r="C494" t="s">
        <v>1597</v>
      </c>
      <c r="D494" t="s">
        <v>1598</v>
      </c>
      <c r="E494" t="s">
        <v>1473</v>
      </c>
      <c r="F494" t="s">
        <v>23</v>
      </c>
      <c r="G494" s="1">
        <v>40</v>
      </c>
      <c r="H494" s="1">
        <v>6</v>
      </c>
      <c r="I494" t="s">
        <v>29</v>
      </c>
      <c r="L494" s="1">
        <v>1</v>
      </c>
      <c r="M494" s="3">
        <v>40.19</v>
      </c>
      <c r="N494" s="3">
        <v>2.0099999999999998</v>
      </c>
      <c r="O494" s="3">
        <v>0</v>
      </c>
      <c r="P494" s="3">
        <v>0.2</v>
      </c>
      <c r="Q494" s="3">
        <v>42.4</v>
      </c>
      <c r="R494" s="3">
        <v>24.25</v>
      </c>
      <c r="S494" s="3">
        <f>VLOOKUP(C494,[1]page!$C$2:$M$3071,11,0)</f>
        <v>40</v>
      </c>
      <c r="T494" s="6">
        <f t="shared" si="7"/>
        <v>0.18999999999999773</v>
      </c>
    </row>
    <row r="495" spans="1:20" x14ac:dyDescent="0.2">
      <c r="A495" t="s">
        <v>1515</v>
      </c>
      <c r="B495" t="s">
        <v>1600</v>
      </c>
      <c r="C495" t="s">
        <v>1601</v>
      </c>
      <c r="D495" t="s">
        <v>1602</v>
      </c>
      <c r="E495" t="s">
        <v>1603</v>
      </c>
      <c r="F495" t="s">
        <v>23</v>
      </c>
      <c r="G495" s="1">
        <v>40</v>
      </c>
      <c r="H495" s="1">
        <v>12</v>
      </c>
      <c r="I495" t="s">
        <v>1604</v>
      </c>
      <c r="L495" s="1">
        <v>1</v>
      </c>
      <c r="M495" s="3">
        <v>47.32</v>
      </c>
      <c r="N495" s="3">
        <v>2.37</v>
      </c>
      <c r="O495" s="3">
        <v>0</v>
      </c>
      <c r="P495" s="3">
        <v>0.2</v>
      </c>
      <c r="Q495" s="3">
        <v>49.89</v>
      </c>
      <c r="R495" s="3">
        <v>24.25</v>
      </c>
      <c r="S495" s="3">
        <f>VLOOKUP(C495,[1]page!$C$2:$M$3071,11,0)</f>
        <v>47.19</v>
      </c>
      <c r="T495" s="6">
        <f t="shared" si="7"/>
        <v>0.13000000000000256</v>
      </c>
    </row>
    <row r="496" spans="1:20" x14ac:dyDescent="0.2">
      <c r="A496" t="s">
        <v>1515</v>
      </c>
      <c r="B496" t="s">
        <v>1605</v>
      </c>
      <c r="C496" t="s">
        <v>1606</v>
      </c>
      <c r="D496" t="s">
        <v>1607</v>
      </c>
      <c r="E496" t="s">
        <v>1504</v>
      </c>
      <c r="F496" t="s">
        <v>23</v>
      </c>
      <c r="G496" s="1">
        <v>40</v>
      </c>
      <c r="H496" s="1">
        <v>9</v>
      </c>
      <c r="I496" t="s">
        <v>62</v>
      </c>
      <c r="L496" s="1">
        <v>1</v>
      </c>
      <c r="M496" s="3">
        <v>44.99</v>
      </c>
      <c r="N496" s="3">
        <v>2.25</v>
      </c>
      <c r="O496" s="3">
        <v>0</v>
      </c>
      <c r="P496" s="3">
        <v>0.2</v>
      </c>
      <c r="Q496" s="3">
        <v>47.44</v>
      </c>
      <c r="R496" s="3">
        <v>24.25</v>
      </c>
      <c r="S496" s="3">
        <f>VLOOKUP(C496,[1]page!$C$2:$M$3071,11,0)</f>
        <v>44.86</v>
      </c>
      <c r="T496" s="6">
        <f t="shared" si="7"/>
        <v>0.13000000000000256</v>
      </c>
    </row>
    <row r="497" spans="1:20" x14ac:dyDescent="0.2">
      <c r="A497" t="s">
        <v>1515</v>
      </c>
      <c r="B497" t="s">
        <v>1608</v>
      </c>
      <c r="C497" t="s">
        <v>1609</v>
      </c>
      <c r="D497" t="s">
        <v>1610</v>
      </c>
      <c r="E497" t="s">
        <v>1504</v>
      </c>
      <c r="F497" t="s">
        <v>23</v>
      </c>
      <c r="G497" s="1">
        <v>40</v>
      </c>
      <c r="H497" s="1">
        <v>12</v>
      </c>
      <c r="I497" t="s">
        <v>62</v>
      </c>
      <c r="L497" s="1">
        <v>1</v>
      </c>
      <c r="M497" s="3">
        <v>32.72</v>
      </c>
      <c r="N497" s="3">
        <v>1.64</v>
      </c>
      <c r="O497" s="3">
        <v>0</v>
      </c>
      <c r="P497" s="3">
        <v>0.2</v>
      </c>
      <c r="Q497" s="3">
        <v>34.56</v>
      </c>
      <c r="R497" s="3">
        <v>24.25</v>
      </c>
      <c r="S497" s="3">
        <f>VLOOKUP(C497,[1]page!$C$2:$M$3071,11,0)</f>
        <v>37.229999999999997</v>
      </c>
      <c r="T497" s="6">
        <f t="shared" si="7"/>
        <v>-4.509999999999998</v>
      </c>
    </row>
    <row r="498" spans="1:20" x14ac:dyDescent="0.2">
      <c r="A498" t="s">
        <v>1515</v>
      </c>
      <c r="B498" t="s">
        <v>1611</v>
      </c>
      <c r="C498" t="s">
        <v>1612</v>
      </c>
      <c r="D498" t="s">
        <v>1613</v>
      </c>
      <c r="E498" t="s">
        <v>1504</v>
      </c>
      <c r="F498" t="s">
        <v>23</v>
      </c>
      <c r="G498" s="1">
        <v>40</v>
      </c>
      <c r="H498" s="1">
        <v>12</v>
      </c>
      <c r="I498" t="s">
        <v>62</v>
      </c>
      <c r="L498" s="1">
        <v>1</v>
      </c>
      <c r="M498" s="3">
        <v>34.17</v>
      </c>
      <c r="N498" s="3">
        <v>1.71</v>
      </c>
      <c r="O498" s="3">
        <v>0</v>
      </c>
      <c r="P498" s="3">
        <v>0.2</v>
      </c>
      <c r="Q498" s="3">
        <v>36.08</v>
      </c>
      <c r="R498" s="3">
        <v>24.25</v>
      </c>
      <c r="S498" s="3">
        <f>VLOOKUP(C498,[1]page!$C$2:$M$3071,11,0)</f>
        <v>38.229999999999997</v>
      </c>
      <c r="T498" s="6">
        <f t="shared" si="7"/>
        <v>-4.0599999999999952</v>
      </c>
    </row>
    <row r="499" spans="1:20" x14ac:dyDescent="0.2">
      <c r="A499" t="s">
        <v>1515</v>
      </c>
      <c r="B499" t="s">
        <v>1614</v>
      </c>
      <c r="C499" t="s">
        <v>1615</v>
      </c>
      <c r="D499" t="s">
        <v>1616</v>
      </c>
      <c r="E499" t="s">
        <v>353</v>
      </c>
      <c r="F499" t="s">
        <v>209</v>
      </c>
      <c r="G499" s="1">
        <v>40</v>
      </c>
      <c r="H499" s="1">
        <v>24</v>
      </c>
      <c r="I499" t="s">
        <v>156</v>
      </c>
      <c r="L499" s="1">
        <v>1</v>
      </c>
      <c r="M499" s="3">
        <v>9.39</v>
      </c>
      <c r="N499" s="3">
        <v>0.47</v>
      </c>
      <c r="O499" s="3">
        <v>0</v>
      </c>
      <c r="P499" s="3">
        <v>0.1</v>
      </c>
      <c r="Q499" s="3">
        <v>9.9600000000000009</v>
      </c>
      <c r="R499" s="3">
        <v>13.7</v>
      </c>
      <c r="S499" s="3">
        <f>VLOOKUP(C499,[1]page!$C$2:$M$3071,11,0)</f>
        <v>9.3000000000000007</v>
      </c>
      <c r="T499" s="6">
        <f t="shared" si="7"/>
        <v>8.9999999999999858E-2</v>
      </c>
    </row>
    <row r="500" spans="1:20" x14ac:dyDescent="0.2">
      <c r="A500" t="s">
        <v>1515</v>
      </c>
      <c r="B500" t="s">
        <v>1617</v>
      </c>
      <c r="C500" t="s">
        <v>1618</v>
      </c>
      <c r="D500" t="s">
        <v>1616</v>
      </c>
      <c r="E500" t="s">
        <v>1519</v>
      </c>
      <c r="F500" t="s">
        <v>77</v>
      </c>
      <c r="G500" s="1">
        <v>40</v>
      </c>
      <c r="H500" s="1">
        <v>12</v>
      </c>
      <c r="I500" t="s">
        <v>156</v>
      </c>
      <c r="L500" s="1">
        <v>1</v>
      </c>
      <c r="M500" s="3">
        <v>17.29</v>
      </c>
      <c r="N500" s="3">
        <v>0.86</v>
      </c>
      <c r="O500" s="3">
        <v>0</v>
      </c>
      <c r="P500" s="3">
        <v>0.2</v>
      </c>
      <c r="Q500" s="3">
        <v>18.350000000000001</v>
      </c>
      <c r="R500" s="3">
        <v>13.7</v>
      </c>
      <c r="S500" s="3">
        <f>VLOOKUP(C500,[1]page!$C$2:$M$3071,11,0)</f>
        <v>17.2</v>
      </c>
      <c r="T500" s="6">
        <f t="shared" si="7"/>
        <v>8.9999999999999858E-2</v>
      </c>
    </row>
    <row r="501" spans="1:20" x14ac:dyDescent="0.2">
      <c r="A501" t="s">
        <v>1515</v>
      </c>
      <c r="B501" t="s">
        <v>1619</v>
      </c>
      <c r="C501" t="s">
        <v>1620</v>
      </c>
      <c r="D501" t="s">
        <v>1616</v>
      </c>
      <c r="E501" t="s">
        <v>1519</v>
      </c>
      <c r="F501" t="s">
        <v>23</v>
      </c>
      <c r="G501" s="1">
        <v>40</v>
      </c>
      <c r="H501" s="1">
        <v>12</v>
      </c>
      <c r="I501" t="s">
        <v>156</v>
      </c>
      <c r="L501" s="1">
        <v>1</v>
      </c>
      <c r="M501" s="3">
        <v>32.99</v>
      </c>
      <c r="N501" s="3">
        <v>1.65</v>
      </c>
      <c r="O501" s="3">
        <v>0</v>
      </c>
      <c r="P501" s="3">
        <v>0.2</v>
      </c>
      <c r="Q501" s="3">
        <v>34.840000000000003</v>
      </c>
      <c r="R501" s="3">
        <v>24.25</v>
      </c>
      <c r="S501" s="3">
        <f>VLOOKUP(C501,[1]page!$C$2:$M$3071,11,0)</f>
        <v>32.81</v>
      </c>
      <c r="T501" s="6">
        <f t="shared" si="7"/>
        <v>0.17999999999999972</v>
      </c>
    </row>
    <row r="502" spans="1:20" x14ac:dyDescent="0.2">
      <c r="A502" t="s">
        <v>1515</v>
      </c>
      <c r="B502" t="s">
        <v>1621</v>
      </c>
      <c r="C502" t="s">
        <v>1622</v>
      </c>
      <c r="D502" t="s">
        <v>1616</v>
      </c>
      <c r="E502" t="s">
        <v>1519</v>
      </c>
      <c r="F502" t="s">
        <v>65</v>
      </c>
      <c r="G502" s="1">
        <v>40</v>
      </c>
      <c r="H502" s="1">
        <v>6</v>
      </c>
      <c r="I502" t="s">
        <v>156</v>
      </c>
      <c r="L502" s="1">
        <v>1</v>
      </c>
      <c r="M502" s="3">
        <v>47.29</v>
      </c>
      <c r="N502" s="3">
        <v>2.36</v>
      </c>
      <c r="O502" s="3">
        <v>0</v>
      </c>
      <c r="P502" s="3">
        <v>0.4</v>
      </c>
      <c r="Q502" s="3">
        <v>50.05</v>
      </c>
      <c r="R502" s="3">
        <v>35.75</v>
      </c>
      <c r="S502" s="3">
        <f>VLOOKUP(C502,[1]page!$C$2:$M$3071,11,0)</f>
        <v>46.92</v>
      </c>
      <c r="T502" s="6">
        <f t="shared" si="7"/>
        <v>0.36999999999999744</v>
      </c>
    </row>
    <row r="503" spans="1:20" x14ac:dyDescent="0.2">
      <c r="A503" t="s">
        <v>1515</v>
      </c>
      <c r="B503" t="s">
        <v>1623</v>
      </c>
      <c r="C503" t="s">
        <v>1624</v>
      </c>
      <c r="D503" t="s">
        <v>1625</v>
      </c>
      <c r="E503" t="s">
        <v>1519</v>
      </c>
      <c r="F503" t="s">
        <v>23</v>
      </c>
      <c r="G503" s="1">
        <v>40</v>
      </c>
      <c r="H503" s="1">
        <v>12</v>
      </c>
      <c r="I503" t="s">
        <v>156</v>
      </c>
      <c r="L503" s="1">
        <v>1</v>
      </c>
      <c r="M503" s="3">
        <v>32.99</v>
      </c>
      <c r="N503" s="3">
        <v>1.65</v>
      </c>
      <c r="O503" s="3">
        <v>0</v>
      </c>
      <c r="P503" s="3">
        <v>0.2</v>
      </c>
      <c r="Q503" s="3">
        <v>34.840000000000003</v>
      </c>
      <c r="R503" s="3">
        <v>24.25</v>
      </c>
      <c r="S503" s="3">
        <f>VLOOKUP(C503,[1]page!$C$2:$M$3071,11,0)</f>
        <v>32.81</v>
      </c>
      <c r="T503" s="6">
        <f t="shared" si="7"/>
        <v>0.17999999999999972</v>
      </c>
    </row>
    <row r="504" spans="1:20" x14ac:dyDescent="0.2">
      <c r="A504" t="s">
        <v>1515</v>
      </c>
      <c r="B504" t="s">
        <v>1626</v>
      </c>
      <c r="C504" t="s">
        <v>1627</v>
      </c>
      <c r="D504" t="s">
        <v>1628</v>
      </c>
      <c r="E504" t="s">
        <v>431</v>
      </c>
      <c r="F504" t="s">
        <v>23</v>
      </c>
      <c r="G504" s="1">
        <v>40</v>
      </c>
      <c r="H504" s="1">
        <v>12</v>
      </c>
      <c r="I504" t="s">
        <v>156</v>
      </c>
      <c r="L504" s="1">
        <v>1</v>
      </c>
      <c r="M504" s="3">
        <v>35.590000000000003</v>
      </c>
      <c r="N504" s="3">
        <v>1.78</v>
      </c>
      <c r="O504" s="3">
        <v>0</v>
      </c>
      <c r="P504" s="3">
        <v>0.2</v>
      </c>
      <c r="Q504" s="3">
        <v>37.57</v>
      </c>
      <c r="R504" s="3">
        <v>24.25</v>
      </c>
      <c r="S504" s="3">
        <f>VLOOKUP(C504,[1]page!$C$2:$M$3071,11,0)</f>
        <v>34.81</v>
      </c>
      <c r="T504" s="6">
        <f t="shared" si="7"/>
        <v>0.78000000000000114</v>
      </c>
    </row>
    <row r="505" spans="1:20" x14ac:dyDescent="0.2">
      <c r="A505" t="s">
        <v>1515</v>
      </c>
      <c r="B505" t="s">
        <v>1629</v>
      </c>
      <c r="C505" t="s">
        <v>1630</v>
      </c>
      <c r="D505" t="s">
        <v>1631</v>
      </c>
      <c r="E505" t="s">
        <v>431</v>
      </c>
      <c r="F505" t="s">
        <v>23</v>
      </c>
      <c r="G505" s="1">
        <v>40</v>
      </c>
      <c r="H505" s="1">
        <v>12</v>
      </c>
      <c r="I505" t="s">
        <v>156</v>
      </c>
      <c r="L505" s="1">
        <v>1</v>
      </c>
      <c r="M505" s="3">
        <v>36.590000000000003</v>
      </c>
      <c r="N505" s="3">
        <v>1.83</v>
      </c>
      <c r="O505" s="3">
        <v>0</v>
      </c>
      <c r="P505" s="3">
        <v>0.2</v>
      </c>
      <c r="Q505" s="3">
        <v>38.619999999999997</v>
      </c>
      <c r="R505" s="3">
        <v>24.25</v>
      </c>
      <c r="S505" s="3">
        <f>VLOOKUP(C505,[1]page!$C$2:$M$3071,11,0)</f>
        <v>35.81</v>
      </c>
      <c r="T505" s="6">
        <f t="shared" si="7"/>
        <v>0.78000000000000114</v>
      </c>
    </row>
    <row r="506" spans="1:20" x14ac:dyDescent="0.2">
      <c r="A506" t="s">
        <v>1515</v>
      </c>
      <c r="B506" t="s">
        <v>1632</v>
      </c>
      <c r="C506" t="s">
        <v>1633</v>
      </c>
      <c r="D506" t="s">
        <v>1634</v>
      </c>
      <c r="E506" t="s">
        <v>1508</v>
      </c>
      <c r="F506" t="s">
        <v>396</v>
      </c>
      <c r="G506" s="1">
        <v>40</v>
      </c>
      <c r="H506" s="1">
        <v>6</v>
      </c>
      <c r="I506" t="s">
        <v>444</v>
      </c>
      <c r="L506" s="1">
        <v>1</v>
      </c>
      <c r="M506" s="3">
        <v>94.76</v>
      </c>
      <c r="N506" s="3">
        <v>4.74</v>
      </c>
      <c r="O506" s="3">
        <v>0</v>
      </c>
      <c r="P506" s="3">
        <v>0.2</v>
      </c>
      <c r="Q506" s="3">
        <v>99.7</v>
      </c>
      <c r="R506" s="3">
        <v>22.65</v>
      </c>
      <c r="S506" s="3">
        <f>VLOOKUP(C506,[1]page!$C$2:$M$3071,11,0)</f>
        <v>94.75</v>
      </c>
      <c r="T506" s="6">
        <f t="shared" si="7"/>
        <v>1.0000000000005116E-2</v>
      </c>
    </row>
    <row r="507" spans="1:20" x14ac:dyDescent="0.2">
      <c r="A507" t="s">
        <v>1515</v>
      </c>
      <c r="B507" t="s">
        <v>1635</v>
      </c>
      <c r="C507" t="s">
        <v>1636</v>
      </c>
      <c r="D507" t="s">
        <v>1514</v>
      </c>
      <c r="E507" t="s">
        <v>1508</v>
      </c>
      <c r="F507" t="s">
        <v>74</v>
      </c>
      <c r="G507" s="1">
        <v>40</v>
      </c>
      <c r="H507" s="1">
        <v>60</v>
      </c>
      <c r="I507" t="s">
        <v>444</v>
      </c>
      <c r="L507" s="1">
        <v>1</v>
      </c>
      <c r="M507" s="3">
        <v>7.01</v>
      </c>
      <c r="N507" s="3">
        <v>0.35</v>
      </c>
      <c r="O507" s="3">
        <v>0</v>
      </c>
      <c r="P507" s="3">
        <v>0.1</v>
      </c>
      <c r="Q507" s="3">
        <v>7.46</v>
      </c>
      <c r="R507" s="3">
        <v>2.6</v>
      </c>
      <c r="S507" s="3">
        <f>VLOOKUP(C507,[1]page!$C$2:$M$3071,11,0)</f>
        <v>7</v>
      </c>
      <c r="T507" s="6">
        <f t="shared" ref="T507:T568" si="8">SUM(M507-S507)</f>
        <v>9.9999999999997868E-3</v>
      </c>
    </row>
    <row r="508" spans="1:20" x14ac:dyDescent="0.2">
      <c r="A508" t="s">
        <v>1515</v>
      </c>
      <c r="B508" t="s">
        <v>1637</v>
      </c>
      <c r="C508" t="s">
        <v>1638</v>
      </c>
      <c r="D508" t="s">
        <v>1514</v>
      </c>
      <c r="E508" t="s">
        <v>1508</v>
      </c>
      <c r="F508" t="s">
        <v>77</v>
      </c>
      <c r="G508" s="1">
        <v>40</v>
      </c>
      <c r="H508" s="1">
        <v>12</v>
      </c>
      <c r="I508" t="s">
        <v>444</v>
      </c>
      <c r="L508" s="1">
        <v>1</v>
      </c>
      <c r="M508" s="3">
        <v>40.21</v>
      </c>
      <c r="N508" s="3">
        <v>2.0099999999999998</v>
      </c>
      <c r="O508" s="3">
        <v>0</v>
      </c>
      <c r="P508" s="3">
        <v>0.2</v>
      </c>
      <c r="Q508" s="3">
        <v>42.42</v>
      </c>
      <c r="R508" s="3">
        <v>13.7</v>
      </c>
      <c r="S508" s="3">
        <f>VLOOKUP(C508,[1]page!$C$2:$M$3071,11,0)</f>
        <v>40.200000000000003</v>
      </c>
      <c r="T508" s="6">
        <f t="shared" si="8"/>
        <v>9.9999999999980105E-3</v>
      </c>
    </row>
    <row r="509" spans="1:20" x14ac:dyDescent="0.2">
      <c r="A509" t="s">
        <v>1515</v>
      </c>
      <c r="B509" t="s">
        <v>1639</v>
      </c>
      <c r="C509" t="s">
        <v>1640</v>
      </c>
      <c r="D509" t="s">
        <v>1641</v>
      </c>
      <c r="E509" t="s">
        <v>1642</v>
      </c>
      <c r="F509" t="s">
        <v>23</v>
      </c>
      <c r="G509" s="1">
        <v>40</v>
      </c>
      <c r="H509" s="1">
        <v>6</v>
      </c>
      <c r="I509" t="s">
        <v>178</v>
      </c>
      <c r="L509" s="1">
        <v>1</v>
      </c>
      <c r="M509" s="3">
        <v>64.599999999999994</v>
      </c>
      <c r="N509" s="3">
        <v>3.23</v>
      </c>
      <c r="O509" s="3">
        <v>0</v>
      </c>
      <c r="P509" s="3">
        <v>0.2</v>
      </c>
      <c r="Q509" s="3">
        <v>68.03</v>
      </c>
      <c r="R509" s="3">
        <v>24.25</v>
      </c>
      <c r="S509" s="3">
        <f>VLOOKUP(C509,[1]page!$C$2:$M$3071,11,0)</f>
        <v>64.489999999999995</v>
      </c>
      <c r="T509" s="6">
        <f t="shared" si="8"/>
        <v>0.10999999999999943</v>
      </c>
    </row>
    <row r="510" spans="1:20" x14ac:dyDescent="0.2">
      <c r="A510" t="s">
        <v>1515</v>
      </c>
      <c r="B510" t="s">
        <v>1643</v>
      </c>
      <c r="C510" t="s">
        <v>1644</v>
      </c>
      <c r="D510" t="s">
        <v>1645</v>
      </c>
      <c r="E510" t="s">
        <v>1642</v>
      </c>
      <c r="F510" t="s">
        <v>77</v>
      </c>
      <c r="G510" s="1">
        <v>40</v>
      </c>
      <c r="H510" s="1">
        <v>12</v>
      </c>
      <c r="I510" t="s">
        <v>178</v>
      </c>
      <c r="L510" s="1">
        <v>1</v>
      </c>
      <c r="M510" s="3">
        <v>25.16</v>
      </c>
      <c r="N510" s="3">
        <v>1.26</v>
      </c>
      <c r="O510" s="3">
        <v>0</v>
      </c>
      <c r="P510" s="3">
        <v>0.2</v>
      </c>
      <c r="Q510" s="3">
        <v>26.62</v>
      </c>
      <c r="R510" s="3">
        <v>13.7</v>
      </c>
      <c r="S510" s="3">
        <f>VLOOKUP(C510,[1]page!$C$2:$M$3071,11,0)</f>
        <v>25.09</v>
      </c>
      <c r="T510" s="6">
        <f t="shared" si="8"/>
        <v>7.0000000000000284E-2</v>
      </c>
    </row>
    <row r="511" spans="1:20" x14ac:dyDescent="0.2">
      <c r="A511" t="s">
        <v>1515</v>
      </c>
      <c r="B511" t="s">
        <v>1646</v>
      </c>
      <c r="C511" t="s">
        <v>1647</v>
      </c>
      <c r="D511" t="s">
        <v>1645</v>
      </c>
      <c r="E511" t="s">
        <v>1642</v>
      </c>
      <c r="F511" t="s">
        <v>23</v>
      </c>
      <c r="G511" s="1">
        <v>40</v>
      </c>
      <c r="H511" s="1">
        <v>6</v>
      </c>
      <c r="I511" t="s">
        <v>178</v>
      </c>
      <c r="L511" s="1">
        <v>1</v>
      </c>
      <c r="M511" s="3">
        <v>48.13</v>
      </c>
      <c r="N511" s="3">
        <v>2.41</v>
      </c>
      <c r="O511" s="3">
        <v>0</v>
      </c>
      <c r="P511" s="3">
        <v>0.2</v>
      </c>
      <c r="Q511" s="3">
        <v>50.74</v>
      </c>
      <c r="R511" s="3">
        <v>24.25</v>
      </c>
      <c r="S511" s="3">
        <f>VLOOKUP(C511,[1]page!$C$2:$M$3071,11,0)</f>
        <v>47.99</v>
      </c>
      <c r="T511" s="6">
        <f t="shared" si="8"/>
        <v>0.14000000000000057</v>
      </c>
    </row>
    <row r="512" spans="1:20" x14ac:dyDescent="0.2">
      <c r="A512" t="s">
        <v>1515</v>
      </c>
      <c r="B512" t="s">
        <v>1648</v>
      </c>
      <c r="C512" t="s">
        <v>1649</v>
      </c>
      <c r="D512" t="s">
        <v>1650</v>
      </c>
      <c r="E512" t="s">
        <v>1642</v>
      </c>
      <c r="F512" t="s">
        <v>77</v>
      </c>
      <c r="G512" s="1">
        <v>40</v>
      </c>
      <c r="H512" s="1">
        <v>12</v>
      </c>
      <c r="I512" t="s">
        <v>178</v>
      </c>
      <c r="L512" s="1">
        <v>1</v>
      </c>
      <c r="M512" s="3">
        <v>27.46</v>
      </c>
      <c r="N512" s="3">
        <v>1.37</v>
      </c>
      <c r="O512" s="3">
        <v>0</v>
      </c>
      <c r="P512" s="3">
        <v>0.2</v>
      </c>
      <c r="Q512" s="3">
        <v>29.03</v>
      </c>
      <c r="R512" s="3">
        <v>13.7</v>
      </c>
      <c r="S512" s="3">
        <f>VLOOKUP(C512,[1]page!$C$2:$M$3071,11,0)</f>
        <v>27.39</v>
      </c>
      <c r="T512" s="6">
        <f t="shared" si="8"/>
        <v>7.0000000000000284E-2</v>
      </c>
    </row>
    <row r="513" spans="1:20" x14ac:dyDescent="0.2">
      <c r="A513" t="s">
        <v>1515</v>
      </c>
      <c r="B513" t="s">
        <v>1651</v>
      </c>
      <c r="C513" t="s">
        <v>1652</v>
      </c>
      <c r="D513" t="s">
        <v>1650</v>
      </c>
      <c r="E513" t="s">
        <v>1642</v>
      </c>
      <c r="F513" t="s">
        <v>23</v>
      </c>
      <c r="G513" s="1">
        <v>40</v>
      </c>
      <c r="H513" s="1">
        <v>6</v>
      </c>
      <c r="I513" t="s">
        <v>178</v>
      </c>
      <c r="L513" s="1">
        <v>1</v>
      </c>
      <c r="M513" s="3">
        <v>51.53</v>
      </c>
      <c r="N513" s="3">
        <v>2.58</v>
      </c>
      <c r="O513" s="3">
        <v>0</v>
      </c>
      <c r="P513" s="3">
        <v>0.2</v>
      </c>
      <c r="Q513" s="3">
        <v>54.31</v>
      </c>
      <c r="R513" s="3">
        <v>24.25</v>
      </c>
      <c r="S513" s="3">
        <f>VLOOKUP(C513,[1]page!$C$2:$M$3071,11,0)</f>
        <v>51.39</v>
      </c>
      <c r="T513" s="6">
        <f t="shared" si="8"/>
        <v>0.14000000000000057</v>
      </c>
    </row>
    <row r="514" spans="1:20" x14ac:dyDescent="0.2">
      <c r="A514" t="s">
        <v>1515</v>
      </c>
      <c r="B514" t="s">
        <v>1653</v>
      </c>
      <c r="C514" t="s">
        <v>1654</v>
      </c>
      <c r="D514" t="s">
        <v>1655</v>
      </c>
      <c r="E514" t="s">
        <v>1504</v>
      </c>
      <c r="F514" t="s">
        <v>23</v>
      </c>
      <c r="G514" s="1">
        <v>40</v>
      </c>
      <c r="H514" s="1">
        <v>6</v>
      </c>
      <c r="I514" t="s">
        <v>62</v>
      </c>
      <c r="L514" s="1">
        <v>1</v>
      </c>
      <c r="M514" s="3">
        <v>61.72</v>
      </c>
      <c r="N514" s="3">
        <v>3.09</v>
      </c>
      <c r="O514" s="3">
        <v>0</v>
      </c>
      <c r="P514" s="3">
        <v>0.2</v>
      </c>
      <c r="Q514" s="3">
        <v>65.010000000000005</v>
      </c>
      <c r="R514" s="3">
        <v>24.25</v>
      </c>
      <c r="S514" s="3">
        <f>VLOOKUP(C514,[1]page!$C$2:$M$3071,11,0)</f>
        <v>61.61</v>
      </c>
      <c r="T514" s="6">
        <f t="shared" si="8"/>
        <v>0.10999999999999943</v>
      </c>
    </row>
    <row r="515" spans="1:20" x14ac:dyDescent="0.2">
      <c r="A515" t="s">
        <v>1656</v>
      </c>
      <c r="B515" t="s">
        <v>1657</v>
      </c>
      <c r="C515" t="s">
        <v>1658</v>
      </c>
      <c r="D515" t="s">
        <v>1659</v>
      </c>
      <c r="E515" t="s">
        <v>1660</v>
      </c>
      <c r="F515" t="s">
        <v>23</v>
      </c>
      <c r="G515" s="1">
        <v>40</v>
      </c>
      <c r="H515" s="1">
        <v>12</v>
      </c>
      <c r="I515" t="s">
        <v>1661</v>
      </c>
      <c r="L515" s="1">
        <v>1</v>
      </c>
      <c r="M515" s="3">
        <v>34.96</v>
      </c>
      <c r="N515" s="3">
        <v>1.75</v>
      </c>
      <c r="O515" s="3">
        <v>0</v>
      </c>
      <c r="P515" s="3">
        <v>0.2</v>
      </c>
      <c r="Q515" s="3">
        <v>36.909999999999997</v>
      </c>
      <c r="R515" s="3">
        <v>24.25</v>
      </c>
      <c r="S515" s="3">
        <f>VLOOKUP(C515,[1]page!$C$2:$M$3071,11,0)</f>
        <v>34.96</v>
      </c>
      <c r="T515" s="6">
        <f t="shared" si="8"/>
        <v>0</v>
      </c>
    </row>
    <row r="516" spans="1:20" x14ac:dyDescent="0.2">
      <c r="A516" t="s">
        <v>1656</v>
      </c>
      <c r="B516" t="s">
        <v>1662</v>
      </c>
      <c r="C516" t="s">
        <v>1663</v>
      </c>
      <c r="D516" t="s">
        <v>1664</v>
      </c>
      <c r="E516" t="s">
        <v>1660</v>
      </c>
      <c r="F516" t="s">
        <v>23</v>
      </c>
      <c r="G516" s="1">
        <v>40</v>
      </c>
      <c r="H516" s="1">
        <v>12</v>
      </c>
      <c r="I516" t="s">
        <v>1661</v>
      </c>
      <c r="L516" s="1">
        <v>1</v>
      </c>
      <c r="M516" s="3">
        <v>36.03</v>
      </c>
      <c r="N516" s="3">
        <v>1.8</v>
      </c>
      <c r="O516" s="3">
        <v>0</v>
      </c>
      <c r="P516" s="3">
        <v>0.2</v>
      </c>
      <c r="Q516" s="3">
        <v>38.03</v>
      </c>
      <c r="R516" s="3">
        <v>24.25</v>
      </c>
      <c r="S516" s="3">
        <f>VLOOKUP(C516,[1]page!$C$2:$M$3071,11,0)</f>
        <v>36.03</v>
      </c>
      <c r="T516" s="6">
        <f t="shared" si="8"/>
        <v>0</v>
      </c>
    </row>
    <row r="517" spans="1:20" x14ac:dyDescent="0.2">
      <c r="A517" t="s">
        <v>1656</v>
      </c>
      <c r="B517" t="s">
        <v>1665</v>
      </c>
      <c r="C517" t="s">
        <v>1666</v>
      </c>
      <c r="D517" t="s">
        <v>1667</v>
      </c>
      <c r="E517" t="s">
        <v>1668</v>
      </c>
      <c r="F517" t="s">
        <v>23</v>
      </c>
      <c r="G517" s="1">
        <v>40</v>
      </c>
      <c r="H517" s="1">
        <v>6</v>
      </c>
      <c r="I517" t="s">
        <v>39</v>
      </c>
      <c r="L517" s="1">
        <v>1</v>
      </c>
      <c r="M517" s="3">
        <v>37.19</v>
      </c>
      <c r="N517" s="3">
        <v>1.86</v>
      </c>
      <c r="O517" s="3">
        <v>0</v>
      </c>
      <c r="P517" s="3">
        <v>0.2</v>
      </c>
      <c r="Q517" s="3">
        <v>39.25</v>
      </c>
      <c r="R517" s="3">
        <v>24.25</v>
      </c>
      <c r="S517" s="3">
        <f>VLOOKUP(C517,[1]page!$C$2:$M$3071,11,0)</f>
        <v>37</v>
      </c>
      <c r="T517" s="6">
        <f t="shared" si="8"/>
        <v>0.18999999999999773</v>
      </c>
    </row>
    <row r="518" spans="1:20" x14ac:dyDescent="0.2">
      <c r="A518" t="s">
        <v>1656</v>
      </c>
      <c r="B518" t="s">
        <v>1669</v>
      </c>
      <c r="C518" t="s">
        <v>1670</v>
      </c>
      <c r="D518" t="s">
        <v>1671</v>
      </c>
      <c r="E518" t="s">
        <v>1668</v>
      </c>
      <c r="F518" t="s">
        <v>23</v>
      </c>
      <c r="G518" s="1">
        <v>40</v>
      </c>
      <c r="H518" s="1">
        <v>6</v>
      </c>
      <c r="I518" t="s">
        <v>39</v>
      </c>
      <c r="L518" s="1">
        <v>1</v>
      </c>
      <c r="M518" s="3">
        <v>32.39</v>
      </c>
      <c r="N518" s="3">
        <v>1.62</v>
      </c>
      <c r="O518" s="3">
        <v>0</v>
      </c>
      <c r="P518" s="3">
        <v>0.2</v>
      </c>
      <c r="Q518" s="3">
        <v>34.21</v>
      </c>
      <c r="R518" s="3">
        <v>24.25</v>
      </c>
      <c r="S518" s="3">
        <f>VLOOKUP(C518,[1]page!$C$2:$M$3071,11,0)</f>
        <v>32.200000000000003</v>
      </c>
      <c r="T518" s="6">
        <f t="shared" si="8"/>
        <v>0.18999999999999773</v>
      </c>
    </row>
    <row r="519" spans="1:20" x14ac:dyDescent="0.2">
      <c r="A519" t="s">
        <v>1656</v>
      </c>
      <c r="B519" t="s">
        <v>1672</v>
      </c>
      <c r="C519" t="s">
        <v>1673</v>
      </c>
      <c r="D519" t="s">
        <v>1674</v>
      </c>
      <c r="E519" t="s">
        <v>1504</v>
      </c>
      <c r="F519" t="s">
        <v>23</v>
      </c>
      <c r="G519" s="1">
        <v>40</v>
      </c>
      <c r="H519" s="1">
        <v>12</v>
      </c>
      <c r="I519" t="s">
        <v>62</v>
      </c>
      <c r="L519" s="1">
        <v>1</v>
      </c>
      <c r="M519" s="3">
        <v>29.09</v>
      </c>
      <c r="N519" s="3">
        <v>1.45</v>
      </c>
      <c r="O519" s="3">
        <v>0</v>
      </c>
      <c r="P519" s="3">
        <v>0.2</v>
      </c>
      <c r="Q519" s="3">
        <v>30.74</v>
      </c>
      <c r="R519" s="3">
        <v>24.25</v>
      </c>
      <c r="S519" s="3">
        <f>VLOOKUP(C519,[1]page!$C$2:$M$3071,11,0)</f>
        <v>32.21</v>
      </c>
      <c r="T519" s="6">
        <f t="shared" si="8"/>
        <v>-3.120000000000001</v>
      </c>
    </row>
    <row r="520" spans="1:20" x14ac:dyDescent="0.2">
      <c r="A520" t="s">
        <v>1656</v>
      </c>
      <c r="B520" t="s">
        <v>1675</v>
      </c>
      <c r="C520" t="s">
        <v>1676</v>
      </c>
      <c r="D520" t="s">
        <v>1674</v>
      </c>
      <c r="E520" t="s">
        <v>1504</v>
      </c>
      <c r="F520" t="s">
        <v>65</v>
      </c>
      <c r="G520" s="1">
        <v>40</v>
      </c>
      <c r="H520" s="1">
        <v>9</v>
      </c>
      <c r="I520" t="s">
        <v>62</v>
      </c>
      <c r="L520" s="1">
        <v>1</v>
      </c>
      <c r="M520" s="3">
        <v>42.94</v>
      </c>
      <c r="N520" s="3">
        <v>2.15</v>
      </c>
      <c r="O520" s="3">
        <v>0</v>
      </c>
      <c r="P520" s="3">
        <v>0.4</v>
      </c>
      <c r="Q520" s="3">
        <v>45.49</v>
      </c>
      <c r="R520" s="3">
        <v>35.75</v>
      </c>
      <c r="S520" s="3">
        <f>VLOOKUP(C520,[1]page!$C$2:$M$3071,11,0)</f>
        <v>46.32</v>
      </c>
      <c r="T520" s="6">
        <f t="shared" si="8"/>
        <v>-3.3800000000000026</v>
      </c>
    </row>
    <row r="521" spans="1:20" x14ac:dyDescent="0.2">
      <c r="A521" t="s">
        <v>1656</v>
      </c>
      <c r="B521" t="s">
        <v>1677</v>
      </c>
      <c r="C521" t="s">
        <v>1678</v>
      </c>
      <c r="D521" t="s">
        <v>1679</v>
      </c>
      <c r="E521" t="s">
        <v>1504</v>
      </c>
      <c r="F521" t="s">
        <v>77</v>
      </c>
      <c r="G521" s="1">
        <v>40</v>
      </c>
      <c r="H521" s="1">
        <v>24</v>
      </c>
      <c r="I521" t="s">
        <v>62</v>
      </c>
      <c r="L521" s="1">
        <v>1</v>
      </c>
      <c r="M521" s="3">
        <v>15.3</v>
      </c>
      <c r="N521" s="3">
        <v>0.77</v>
      </c>
      <c r="O521" s="3">
        <v>0</v>
      </c>
      <c r="P521" s="3">
        <v>0.1</v>
      </c>
      <c r="Q521" s="3">
        <v>16.170000000000002</v>
      </c>
      <c r="R521" s="3">
        <v>13.7</v>
      </c>
      <c r="S521" s="3">
        <f>VLOOKUP(C521,[1]page!$C$2:$M$3071,11,0)</f>
        <v>17.079999999999998</v>
      </c>
      <c r="T521" s="6">
        <f t="shared" si="8"/>
        <v>-1.7799999999999976</v>
      </c>
    </row>
    <row r="522" spans="1:20" x14ac:dyDescent="0.2">
      <c r="A522" t="s">
        <v>1656</v>
      </c>
      <c r="B522" t="s">
        <v>1680</v>
      </c>
      <c r="C522" t="s">
        <v>1681</v>
      </c>
      <c r="D522" t="s">
        <v>1679</v>
      </c>
      <c r="E522" t="s">
        <v>1504</v>
      </c>
      <c r="F522" t="s">
        <v>23</v>
      </c>
      <c r="G522" s="1">
        <v>40</v>
      </c>
      <c r="H522" s="1">
        <v>12</v>
      </c>
      <c r="I522" t="s">
        <v>62</v>
      </c>
      <c r="L522" s="1">
        <v>1</v>
      </c>
      <c r="M522" s="3">
        <v>29.09</v>
      </c>
      <c r="N522" s="3">
        <v>1.45</v>
      </c>
      <c r="O522" s="3">
        <v>0</v>
      </c>
      <c r="P522" s="3">
        <v>0.2</v>
      </c>
      <c r="Q522" s="3">
        <v>30.74</v>
      </c>
      <c r="R522" s="3">
        <v>24.25</v>
      </c>
      <c r="S522" s="3">
        <f>VLOOKUP(C522,[1]page!$C$2:$M$3071,11,0)</f>
        <v>32.21</v>
      </c>
      <c r="T522" s="6">
        <f t="shared" si="8"/>
        <v>-3.120000000000001</v>
      </c>
    </row>
    <row r="523" spans="1:20" x14ac:dyDescent="0.2">
      <c r="A523" t="s">
        <v>1656</v>
      </c>
      <c r="B523" t="s">
        <v>1682</v>
      </c>
      <c r="C523" t="s">
        <v>1683</v>
      </c>
      <c r="D523" t="s">
        <v>1679</v>
      </c>
      <c r="E523" t="s">
        <v>1504</v>
      </c>
      <c r="F523" t="s">
        <v>65</v>
      </c>
      <c r="G523" s="1">
        <v>40</v>
      </c>
      <c r="H523" s="1">
        <v>9</v>
      </c>
      <c r="I523" t="s">
        <v>62</v>
      </c>
      <c r="L523" s="1">
        <v>1</v>
      </c>
      <c r="M523" s="3">
        <v>42.94</v>
      </c>
      <c r="N523" s="3">
        <v>2.15</v>
      </c>
      <c r="O523" s="3">
        <v>0</v>
      </c>
      <c r="P523" s="3">
        <v>0.4</v>
      </c>
      <c r="Q523" s="3">
        <v>45.49</v>
      </c>
      <c r="R523" s="3">
        <v>35.75</v>
      </c>
      <c r="S523" s="3">
        <f>VLOOKUP(C523,[1]page!$C$2:$M$3071,11,0)</f>
        <v>46.32</v>
      </c>
      <c r="T523" s="6">
        <f t="shared" si="8"/>
        <v>-3.3800000000000026</v>
      </c>
    </row>
    <row r="524" spans="1:20" x14ac:dyDescent="0.2">
      <c r="A524" t="s">
        <v>1684</v>
      </c>
      <c r="B524" t="s">
        <v>1685</v>
      </c>
      <c r="C524" t="s">
        <v>1686</v>
      </c>
      <c r="D524" t="s">
        <v>1687</v>
      </c>
      <c r="E524" t="s">
        <v>1504</v>
      </c>
      <c r="F524" t="s">
        <v>77</v>
      </c>
      <c r="G524" s="1">
        <v>40</v>
      </c>
      <c r="H524" s="1">
        <v>12</v>
      </c>
      <c r="I524" t="s">
        <v>62</v>
      </c>
      <c r="L524" s="1">
        <v>1</v>
      </c>
      <c r="M524" s="3">
        <v>18.66</v>
      </c>
      <c r="N524" s="3">
        <v>0.93</v>
      </c>
      <c r="O524" s="3">
        <v>0</v>
      </c>
      <c r="P524" s="3">
        <v>0.2</v>
      </c>
      <c r="Q524" s="3">
        <v>19.79</v>
      </c>
      <c r="R524" s="3">
        <v>13.7</v>
      </c>
      <c r="S524" s="3">
        <f>VLOOKUP(C524,[1]page!$C$2:$M$3071,11,0)</f>
        <v>18.559999999999999</v>
      </c>
      <c r="T524" s="6">
        <f t="shared" si="8"/>
        <v>0.10000000000000142</v>
      </c>
    </row>
    <row r="525" spans="1:20" x14ac:dyDescent="0.2">
      <c r="A525" t="s">
        <v>1515</v>
      </c>
      <c r="B525" t="s">
        <v>1688</v>
      </c>
      <c r="C525" t="s">
        <v>1689</v>
      </c>
      <c r="D525" t="s">
        <v>1690</v>
      </c>
      <c r="E525" t="s">
        <v>1519</v>
      </c>
      <c r="F525" t="s">
        <v>23</v>
      </c>
      <c r="G525" s="1">
        <v>35</v>
      </c>
      <c r="H525" s="1">
        <v>12</v>
      </c>
      <c r="I525" t="s">
        <v>156</v>
      </c>
      <c r="L525" s="1">
        <v>1</v>
      </c>
      <c r="M525" s="3">
        <v>38.090000000000003</v>
      </c>
      <c r="N525" s="3">
        <v>1.9</v>
      </c>
      <c r="O525" s="3">
        <v>0</v>
      </c>
      <c r="P525" s="3">
        <v>0.2</v>
      </c>
      <c r="Q525" s="3">
        <v>40.19</v>
      </c>
      <c r="R525" s="3">
        <v>24.25</v>
      </c>
      <c r="S525" s="3">
        <f>VLOOKUP(C525,[1]page!$C$2:$M$3071,11,0)</f>
        <v>37.31</v>
      </c>
      <c r="T525" s="6">
        <f t="shared" si="8"/>
        <v>0.78000000000000114</v>
      </c>
    </row>
    <row r="526" spans="1:20" x14ac:dyDescent="0.2">
      <c r="A526" t="s">
        <v>1515</v>
      </c>
      <c r="B526" t="s">
        <v>1691</v>
      </c>
      <c r="C526" t="s">
        <v>1692</v>
      </c>
      <c r="D526" t="s">
        <v>1693</v>
      </c>
      <c r="E526" t="s">
        <v>1519</v>
      </c>
      <c r="F526" t="s">
        <v>23</v>
      </c>
      <c r="G526" s="1">
        <v>30</v>
      </c>
      <c r="H526" s="1">
        <v>12</v>
      </c>
      <c r="I526" t="s">
        <v>156</v>
      </c>
      <c r="L526" s="1">
        <v>1</v>
      </c>
      <c r="M526" s="3">
        <v>29.19</v>
      </c>
      <c r="N526" s="3">
        <v>1.46</v>
      </c>
      <c r="O526" s="3">
        <v>0</v>
      </c>
      <c r="P526" s="3">
        <v>0.2</v>
      </c>
      <c r="Q526" s="3">
        <v>30.85</v>
      </c>
      <c r="R526" s="3">
        <v>18.2</v>
      </c>
      <c r="S526" s="3">
        <f>VLOOKUP(C526,[1]page!$C$2:$M$3071,11,0)</f>
        <v>29.01</v>
      </c>
      <c r="T526" s="6">
        <f t="shared" si="8"/>
        <v>0.17999999999999972</v>
      </c>
    </row>
    <row r="527" spans="1:20" x14ac:dyDescent="0.2">
      <c r="A527" t="s">
        <v>1515</v>
      </c>
      <c r="B527" t="s">
        <v>1694</v>
      </c>
      <c r="C527" t="s">
        <v>1695</v>
      </c>
      <c r="D527" t="s">
        <v>1696</v>
      </c>
      <c r="E527" t="s">
        <v>1581</v>
      </c>
      <c r="F527" t="s">
        <v>23</v>
      </c>
      <c r="G527" s="1">
        <v>40</v>
      </c>
      <c r="H527" s="1">
        <v>12</v>
      </c>
      <c r="I527" t="s">
        <v>595</v>
      </c>
      <c r="L527" s="1">
        <v>1</v>
      </c>
      <c r="M527" s="3">
        <v>41.04</v>
      </c>
      <c r="N527" s="3">
        <v>2.0499999999999998</v>
      </c>
      <c r="O527" s="3">
        <v>0</v>
      </c>
      <c r="P527" s="3">
        <v>0.2</v>
      </c>
      <c r="Q527" s="3">
        <v>43.29</v>
      </c>
      <c r="R527" s="3">
        <v>24.25</v>
      </c>
      <c r="S527" s="3">
        <f>VLOOKUP(C527,[1]page!$C$2:$M$3071,11,0)</f>
        <v>40.85</v>
      </c>
      <c r="T527" s="6">
        <f t="shared" si="8"/>
        <v>0.18999999999999773</v>
      </c>
    </row>
    <row r="528" spans="1:20" x14ac:dyDescent="0.2">
      <c r="A528" t="s">
        <v>1697</v>
      </c>
      <c r="B528" t="s">
        <v>1698</v>
      </c>
      <c r="C528" t="s">
        <v>1699</v>
      </c>
      <c r="D528" t="s">
        <v>1700</v>
      </c>
      <c r="E528" t="s">
        <v>1701</v>
      </c>
      <c r="F528" t="s">
        <v>23</v>
      </c>
      <c r="G528" s="1">
        <v>40</v>
      </c>
      <c r="H528" s="1">
        <v>6</v>
      </c>
      <c r="I528" t="s">
        <v>34</v>
      </c>
      <c r="L528" s="1">
        <v>1</v>
      </c>
      <c r="M528" s="3">
        <v>46.28</v>
      </c>
      <c r="N528" s="3">
        <v>2.31</v>
      </c>
      <c r="O528" s="3">
        <v>0</v>
      </c>
      <c r="P528" s="3">
        <v>0.2</v>
      </c>
      <c r="Q528" s="3">
        <v>48.79</v>
      </c>
      <c r="R528" s="3">
        <v>24.25</v>
      </c>
      <c r="S528" s="3">
        <f>VLOOKUP(C528,[1]page!$C$2:$M$3071,11,0)</f>
        <v>46.15</v>
      </c>
      <c r="T528" s="6">
        <f t="shared" si="8"/>
        <v>0.13000000000000256</v>
      </c>
    </row>
    <row r="529" spans="1:20" x14ac:dyDescent="0.2">
      <c r="A529" t="s">
        <v>1697</v>
      </c>
      <c r="B529" t="s">
        <v>1702</v>
      </c>
      <c r="C529" t="s">
        <v>1703</v>
      </c>
      <c r="D529" t="s">
        <v>1704</v>
      </c>
      <c r="E529" t="s">
        <v>1705</v>
      </c>
      <c r="F529" t="s">
        <v>23</v>
      </c>
      <c r="G529" s="1">
        <v>40</v>
      </c>
      <c r="H529" s="1">
        <v>12</v>
      </c>
      <c r="I529" t="s">
        <v>1706</v>
      </c>
      <c r="L529" s="1">
        <v>1</v>
      </c>
      <c r="M529" s="3">
        <v>19.22</v>
      </c>
      <c r="N529" s="3">
        <v>0.96</v>
      </c>
      <c r="O529" s="3">
        <v>0</v>
      </c>
      <c r="P529" s="3">
        <v>0.2</v>
      </c>
      <c r="Q529" s="3">
        <v>20.38</v>
      </c>
      <c r="R529" s="3">
        <v>24.25</v>
      </c>
      <c r="S529" s="3">
        <f>VLOOKUP(C529,[1]page!$C$2:$M$3071,11,0)</f>
        <v>19.03</v>
      </c>
      <c r="T529" s="6">
        <f t="shared" si="8"/>
        <v>0.18999999999999773</v>
      </c>
    </row>
    <row r="530" spans="1:20" x14ac:dyDescent="0.2">
      <c r="A530" t="s">
        <v>1697</v>
      </c>
      <c r="B530" t="s">
        <v>1707</v>
      </c>
      <c r="C530" t="s">
        <v>1708</v>
      </c>
      <c r="D530" t="s">
        <v>1704</v>
      </c>
      <c r="E530" t="s">
        <v>1705</v>
      </c>
      <c r="F530" t="s">
        <v>65</v>
      </c>
      <c r="G530" s="1">
        <v>40</v>
      </c>
      <c r="H530" s="1">
        <v>12</v>
      </c>
      <c r="I530" t="s">
        <v>1706</v>
      </c>
      <c r="L530" s="1">
        <v>1</v>
      </c>
      <c r="M530" s="3">
        <v>28.09</v>
      </c>
      <c r="N530" s="3">
        <v>1.4</v>
      </c>
      <c r="O530" s="3">
        <v>0</v>
      </c>
      <c r="P530" s="3">
        <v>0.25</v>
      </c>
      <c r="Q530" s="3">
        <v>29.74</v>
      </c>
      <c r="R530" s="3">
        <v>35.75</v>
      </c>
      <c r="S530" s="3">
        <f>VLOOKUP(C530,[1]page!$C$2:$M$3071,11,0)</f>
        <v>27.8</v>
      </c>
      <c r="T530" s="6">
        <f t="shared" si="8"/>
        <v>0.28999999999999915</v>
      </c>
    </row>
    <row r="531" spans="1:20" x14ac:dyDescent="0.2">
      <c r="A531" t="s">
        <v>1697</v>
      </c>
      <c r="B531" t="s">
        <v>1709</v>
      </c>
      <c r="C531" t="s">
        <v>1710</v>
      </c>
      <c r="D531" t="s">
        <v>1704</v>
      </c>
      <c r="E531" t="s">
        <v>1705</v>
      </c>
      <c r="F531" t="s">
        <v>84</v>
      </c>
      <c r="G531" s="1">
        <v>40</v>
      </c>
      <c r="H531" s="1">
        <v>6</v>
      </c>
      <c r="I531" t="s">
        <v>1706</v>
      </c>
      <c r="L531" s="1">
        <v>1</v>
      </c>
      <c r="M531" s="3">
        <v>41.82</v>
      </c>
      <c r="N531" s="3">
        <v>2.09</v>
      </c>
      <c r="O531" s="3">
        <v>0</v>
      </c>
      <c r="P531" s="3">
        <v>0.25</v>
      </c>
      <c r="Q531" s="3">
        <v>44.16</v>
      </c>
      <c r="R531" s="3">
        <v>53.75</v>
      </c>
      <c r="S531" s="3">
        <f>VLOOKUP(C531,[1]page!$C$2:$M$3071,11,0)</f>
        <v>41.37</v>
      </c>
      <c r="T531" s="6">
        <f t="shared" si="8"/>
        <v>0.45000000000000284</v>
      </c>
    </row>
    <row r="532" spans="1:20" x14ac:dyDescent="0.2">
      <c r="A532" t="s">
        <v>1711</v>
      </c>
      <c r="B532" t="s">
        <v>1712</v>
      </c>
      <c r="C532" t="s">
        <v>1713</v>
      </c>
      <c r="D532" t="s">
        <v>1714</v>
      </c>
      <c r="E532" t="s">
        <v>1715</v>
      </c>
      <c r="F532" t="s">
        <v>23</v>
      </c>
      <c r="G532" s="1">
        <v>40</v>
      </c>
      <c r="H532" s="1">
        <v>6</v>
      </c>
      <c r="I532" t="s">
        <v>51</v>
      </c>
      <c r="L532" s="1">
        <v>1</v>
      </c>
      <c r="M532" s="3">
        <v>21.99</v>
      </c>
      <c r="N532" s="3">
        <v>1.1000000000000001</v>
      </c>
      <c r="O532" s="3">
        <v>0</v>
      </c>
      <c r="P532" s="3">
        <v>0.2</v>
      </c>
      <c r="Q532" s="3">
        <v>23.29</v>
      </c>
      <c r="R532" s="3">
        <v>24.25</v>
      </c>
      <c r="S532" s="3">
        <f>VLOOKUP(C532,[1]page!$C$2:$M$3071,11,0)</f>
        <v>21.85</v>
      </c>
      <c r="T532" s="6">
        <f t="shared" si="8"/>
        <v>0.13999999999999702</v>
      </c>
    </row>
    <row r="533" spans="1:20" x14ac:dyDescent="0.2">
      <c r="A533" t="s">
        <v>1711</v>
      </c>
      <c r="B533" t="s">
        <v>1716</v>
      </c>
      <c r="C533" t="s">
        <v>1717</v>
      </c>
      <c r="D533" t="s">
        <v>1718</v>
      </c>
      <c r="E533" t="s">
        <v>1719</v>
      </c>
      <c r="F533" t="s">
        <v>23</v>
      </c>
      <c r="G533" s="1">
        <v>40</v>
      </c>
      <c r="H533" s="1">
        <v>12</v>
      </c>
      <c r="I533" t="s">
        <v>1720</v>
      </c>
      <c r="L533" s="1">
        <v>1</v>
      </c>
      <c r="M533" s="3">
        <v>21.1</v>
      </c>
      <c r="N533" s="3">
        <v>1.06</v>
      </c>
      <c r="O533" s="3">
        <v>0</v>
      </c>
      <c r="P533" s="3">
        <v>0.2</v>
      </c>
      <c r="Q533" s="3">
        <v>22.36</v>
      </c>
      <c r="R533" s="3">
        <v>24.25</v>
      </c>
      <c r="S533" s="3">
        <f>VLOOKUP(C533,[1]page!$C$2:$M$3071,11,0)</f>
        <v>20.91</v>
      </c>
      <c r="T533" s="6">
        <f t="shared" si="8"/>
        <v>0.19000000000000128</v>
      </c>
    </row>
    <row r="534" spans="1:20" x14ac:dyDescent="0.2">
      <c r="A534" t="s">
        <v>1711</v>
      </c>
      <c r="B534" t="s">
        <v>1721</v>
      </c>
      <c r="C534" t="s">
        <v>1722</v>
      </c>
      <c r="D534" t="s">
        <v>1718</v>
      </c>
      <c r="E534" t="s">
        <v>1719</v>
      </c>
      <c r="F534" t="s">
        <v>65</v>
      </c>
      <c r="G534" s="1">
        <v>40</v>
      </c>
      <c r="H534" s="1">
        <v>9</v>
      </c>
      <c r="I534" t="s">
        <v>1720</v>
      </c>
      <c r="L534" s="1">
        <v>1</v>
      </c>
      <c r="M534" s="3">
        <v>30.58</v>
      </c>
      <c r="N534" s="3">
        <v>1.53</v>
      </c>
      <c r="O534" s="3">
        <v>0</v>
      </c>
      <c r="P534" s="3">
        <v>0.4</v>
      </c>
      <c r="Q534" s="3">
        <v>32.51</v>
      </c>
      <c r="R534" s="3">
        <v>35.75</v>
      </c>
      <c r="S534" s="3">
        <f>VLOOKUP(C534,[1]page!$C$2:$M$3071,11,0)</f>
        <v>30.29</v>
      </c>
      <c r="T534" s="6">
        <f t="shared" si="8"/>
        <v>0.28999999999999915</v>
      </c>
    </row>
    <row r="535" spans="1:20" x14ac:dyDescent="0.2">
      <c r="A535" t="s">
        <v>1711</v>
      </c>
      <c r="B535" t="s">
        <v>1723</v>
      </c>
      <c r="C535" t="s">
        <v>1724</v>
      </c>
      <c r="D535" t="s">
        <v>1725</v>
      </c>
      <c r="E535" t="s">
        <v>43</v>
      </c>
      <c r="F535" t="s">
        <v>77</v>
      </c>
      <c r="G535" s="1">
        <v>30</v>
      </c>
      <c r="H535" s="1">
        <v>24</v>
      </c>
      <c r="I535" t="s">
        <v>39</v>
      </c>
      <c r="L535" s="1">
        <v>1</v>
      </c>
      <c r="M535" s="3">
        <v>12.18</v>
      </c>
      <c r="N535" s="3">
        <v>0.61</v>
      </c>
      <c r="O535" s="3">
        <v>0</v>
      </c>
      <c r="P535" s="3">
        <v>0.1</v>
      </c>
      <c r="Q535" s="3">
        <v>12.89</v>
      </c>
      <c r="R535" s="3">
        <v>10.3</v>
      </c>
      <c r="S535" s="3">
        <f>VLOOKUP(C535,[1]page!$C$2:$M$3071,11,0)</f>
        <v>12.11</v>
      </c>
      <c r="T535" s="6">
        <f t="shared" si="8"/>
        <v>7.0000000000000284E-2</v>
      </c>
    </row>
    <row r="536" spans="1:20" x14ac:dyDescent="0.2">
      <c r="A536" t="s">
        <v>1711</v>
      </c>
      <c r="B536" t="s">
        <v>1726</v>
      </c>
      <c r="C536" t="s">
        <v>1727</v>
      </c>
      <c r="D536" t="s">
        <v>1704</v>
      </c>
      <c r="E536" t="s">
        <v>1705</v>
      </c>
      <c r="F536" t="s">
        <v>77</v>
      </c>
      <c r="G536" s="1">
        <v>40</v>
      </c>
      <c r="H536" s="1">
        <v>24</v>
      </c>
      <c r="I536" t="s">
        <v>1706</v>
      </c>
      <c r="L536" s="1">
        <v>1</v>
      </c>
      <c r="M536" s="3">
        <v>10.74</v>
      </c>
      <c r="N536" s="3">
        <v>0.54</v>
      </c>
      <c r="O536" s="3">
        <v>0</v>
      </c>
      <c r="P536" s="3">
        <v>0.1</v>
      </c>
      <c r="Q536" s="3">
        <v>11.38</v>
      </c>
      <c r="R536" s="3">
        <v>13.7</v>
      </c>
      <c r="S536" s="3">
        <f>VLOOKUP(C536,[1]page!$C$2:$M$3071,11,0)</f>
        <v>10.65</v>
      </c>
      <c r="T536" s="6">
        <f t="shared" si="8"/>
        <v>8.9999999999999858E-2</v>
      </c>
    </row>
    <row r="537" spans="1:20" x14ac:dyDescent="0.2">
      <c r="A537" t="s">
        <v>1711</v>
      </c>
      <c r="B537" t="s">
        <v>1728</v>
      </c>
      <c r="C537" t="s">
        <v>1729</v>
      </c>
      <c r="D537" t="s">
        <v>1730</v>
      </c>
      <c r="E537" t="s">
        <v>182</v>
      </c>
      <c r="F537" t="s">
        <v>84</v>
      </c>
      <c r="G537" s="1">
        <v>50</v>
      </c>
      <c r="H537" s="1">
        <v>6</v>
      </c>
      <c r="I537" t="s">
        <v>183</v>
      </c>
      <c r="L537" s="1">
        <v>1</v>
      </c>
      <c r="M537" s="3">
        <v>45.7</v>
      </c>
      <c r="N537" s="3">
        <v>2.29</v>
      </c>
      <c r="O537" s="3">
        <v>0</v>
      </c>
      <c r="P537" s="3">
        <v>0.25</v>
      </c>
      <c r="Q537" s="3">
        <v>48.24</v>
      </c>
      <c r="R537" s="3">
        <v>67.3</v>
      </c>
      <c r="S537" s="3">
        <f>VLOOKUP(C537,[1]page!$C$2:$M$3071,11,0)</f>
        <v>45.14</v>
      </c>
      <c r="T537" s="6">
        <f t="shared" si="8"/>
        <v>0.56000000000000227</v>
      </c>
    </row>
    <row r="538" spans="1:20" x14ac:dyDescent="0.2">
      <c r="A538" t="s">
        <v>1711</v>
      </c>
      <c r="B538" t="s">
        <v>1731</v>
      </c>
      <c r="C538" t="s">
        <v>1732</v>
      </c>
      <c r="D538" t="s">
        <v>1733</v>
      </c>
      <c r="E538" t="s">
        <v>96</v>
      </c>
      <c r="F538" t="s">
        <v>23</v>
      </c>
      <c r="G538" s="1">
        <v>40</v>
      </c>
      <c r="H538" s="1">
        <v>12</v>
      </c>
      <c r="I538" t="s">
        <v>24</v>
      </c>
      <c r="L538" s="1">
        <v>1</v>
      </c>
      <c r="M538" s="3">
        <v>19.78</v>
      </c>
      <c r="N538" s="3">
        <v>0.99</v>
      </c>
      <c r="O538" s="3">
        <v>0</v>
      </c>
      <c r="P538" s="3">
        <v>0.1</v>
      </c>
      <c r="Q538" s="3">
        <v>20.87</v>
      </c>
      <c r="R538" s="3">
        <v>24.25</v>
      </c>
      <c r="S538" s="3">
        <f>VLOOKUP(C538,[1]page!$C$2:$M$3071,11,0)</f>
        <v>19.5</v>
      </c>
      <c r="T538" s="6">
        <f t="shared" si="8"/>
        <v>0.28000000000000114</v>
      </c>
    </row>
    <row r="539" spans="1:20" x14ac:dyDescent="0.2">
      <c r="A539" t="s">
        <v>1711</v>
      </c>
      <c r="B539" t="s">
        <v>1734</v>
      </c>
      <c r="C539" t="s">
        <v>1735</v>
      </c>
      <c r="D539" t="s">
        <v>1733</v>
      </c>
      <c r="E539" t="s">
        <v>96</v>
      </c>
      <c r="F539" t="s">
        <v>84</v>
      </c>
      <c r="G539" s="1">
        <v>40</v>
      </c>
      <c r="H539" s="1">
        <v>6</v>
      </c>
      <c r="I539" t="s">
        <v>24</v>
      </c>
      <c r="L539" s="1">
        <v>1</v>
      </c>
      <c r="M539" s="3">
        <v>42.48</v>
      </c>
      <c r="N539" s="3">
        <v>2.12</v>
      </c>
      <c r="O539" s="3">
        <v>0</v>
      </c>
      <c r="P539" s="3">
        <v>0.25</v>
      </c>
      <c r="Q539" s="3">
        <v>44.85</v>
      </c>
      <c r="R539" s="3">
        <v>53.75</v>
      </c>
      <c r="S539" s="3">
        <f>VLOOKUP(C539,[1]page!$C$2:$M$3071,11,0)</f>
        <v>41.99</v>
      </c>
      <c r="T539" s="6">
        <f t="shared" si="8"/>
        <v>0.48999999999999488</v>
      </c>
    </row>
    <row r="540" spans="1:20" x14ac:dyDescent="0.2">
      <c r="A540" t="s">
        <v>1711</v>
      </c>
      <c r="B540" t="s">
        <v>1736</v>
      </c>
      <c r="C540" t="s">
        <v>1737</v>
      </c>
      <c r="D540" t="s">
        <v>1738</v>
      </c>
      <c r="E540" t="s">
        <v>28</v>
      </c>
      <c r="F540" t="s">
        <v>23</v>
      </c>
      <c r="G540" s="1">
        <v>40</v>
      </c>
      <c r="H540" s="1">
        <v>12</v>
      </c>
      <c r="I540" t="s">
        <v>29</v>
      </c>
      <c r="L540" s="1">
        <v>1</v>
      </c>
      <c r="M540" s="3">
        <v>19.8</v>
      </c>
      <c r="N540" s="3">
        <v>0.99</v>
      </c>
      <c r="O540" s="3">
        <v>0</v>
      </c>
      <c r="P540" s="3">
        <v>0.2</v>
      </c>
      <c r="Q540" s="3">
        <v>20.99</v>
      </c>
      <c r="R540" s="3">
        <v>24.25</v>
      </c>
      <c r="S540" s="3">
        <f>VLOOKUP(C540,[1]page!$C$2:$M$3071,11,0)</f>
        <v>19.61</v>
      </c>
      <c r="T540" s="6">
        <f t="shared" si="8"/>
        <v>0.19000000000000128</v>
      </c>
    </row>
    <row r="541" spans="1:20" x14ac:dyDescent="0.2">
      <c r="A541" t="s">
        <v>1711</v>
      </c>
      <c r="B541" t="s">
        <v>1739</v>
      </c>
      <c r="C541" t="s">
        <v>1740</v>
      </c>
      <c r="D541" t="s">
        <v>1738</v>
      </c>
      <c r="E541" t="s">
        <v>28</v>
      </c>
      <c r="F541" t="s">
        <v>65</v>
      </c>
      <c r="G541" s="1">
        <v>40</v>
      </c>
      <c r="H541" s="1">
        <v>8</v>
      </c>
      <c r="I541" t="s">
        <v>29</v>
      </c>
      <c r="L541" s="1">
        <v>1</v>
      </c>
      <c r="M541" s="3">
        <v>28.95</v>
      </c>
      <c r="N541" s="3">
        <v>1.45</v>
      </c>
      <c r="O541" s="3">
        <v>0</v>
      </c>
      <c r="P541" s="3">
        <v>0.4</v>
      </c>
      <c r="Q541" s="3">
        <v>30.8</v>
      </c>
      <c r="R541" s="3">
        <v>35.75</v>
      </c>
      <c r="S541" s="3">
        <f>VLOOKUP(C541,[1]page!$C$2:$M$3071,11,0)</f>
        <v>28.66</v>
      </c>
      <c r="T541" s="6">
        <f t="shared" si="8"/>
        <v>0.28999999999999915</v>
      </c>
    </row>
    <row r="542" spans="1:20" x14ac:dyDescent="0.2">
      <c r="A542" t="s">
        <v>1711</v>
      </c>
      <c r="B542" t="s">
        <v>1741</v>
      </c>
      <c r="C542" t="s">
        <v>1742</v>
      </c>
      <c r="D542" t="s">
        <v>1743</v>
      </c>
      <c r="E542" t="s">
        <v>1744</v>
      </c>
      <c r="F542" t="s">
        <v>74</v>
      </c>
      <c r="G542" s="1">
        <v>40</v>
      </c>
      <c r="H542" s="1">
        <v>120</v>
      </c>
      <c r="I542" t="s">
        <v>24</v>
      </c>
      <c r="L542" s="1">
        <v>1</v>
      </c>
      <c r="M542" s="3">
        <v>3.1</v>
      </c>
      <c r="N542" s="3">
        <v>0.16</v>
      </c>
      <c r="O542" s="3">
        <v>0</v>
      </c>
      <c r="P542" s="3">
        <v>0.1</v>
      </c>
      <c r="Q542" s="3">
        <v>3.36</v>
      </c>
      <c r="R542" s="3">
        <v>2.6</v>
      </c>
      <c r="S542" s="3">
        <f>VLOOKUP(C542,[1]page!$C$2:$M$3071,11,0)</f>
        <v>3</v>
      </c>
      <c r="T542" s="6">
        <f t="shared" si="8"/>
        <v>0.10000000000000009</v>
      </c>
    </row>
    <row r="543" spans="1:20" x14ac:dyDescent="0.2">
      <c r="A543" t="s">
        <v>1711</v>
      </c>
      <c r="B543" t="s">
        <v>1745</v>
      </c>
      <c r="C543" t="s">
        <v>1746</v>
      </c>
      <c r="D543" t="s">
        <v>1743</v>
      </c>
      <c r="E543" t="s">
        <v>452</v>
      </c>
      <c r="F543" t="s">
        <v>209</v>
      </c>
      <c r="G543" s="1">
        <v>40</v>
      </c>
      <c r="H543" s="1">
        <v>48</v>
      </c>
      <c r="I543" t="s">
        <v>24</v>
      </c>
      <c r="L543" s="1">
        <v>1</v>
      </c>
      <c r="M543" s="3">
        <v>7.39</v>
      </c>
      <c r="N543" s="3">
        <v>0.37</v>
      </c>
      <c r="O543" s="3">
        <v>0</v>
      </c>
      <c r="P543" s="3">
        <v>0.1</v>
      </c>
      <c r="Q543" s="3">
        <v>7.86</v>
      </c>
      <c r="R543" s="3">
        <v>13.7</v>
      </c>
      <c r="S543" s="3">
        <f>VLOOKUP(C543,[1]page!$C$2:$M$3071,11,0)</f>
        <v>7.29</v>
      </c>
      <c r="T543" s="6">
        <f t="shared" si="8"/>
        <v>9.9999999999999645E-2</v>
      </c>
    </row>
    <row r="544" spans="1:20" x14ac:dyDescent="0.2">
      <c r="A544" t="s">
        <v>1711</v>
      </c>
      <c r="B544" t="s">
        <v>1747</v>
      </c>
      <c r="C544" t="s">
        <v>1748</v>
      </c>
      <c r="D544" t="s">
        <v>1743</v>
      </c>
      <c r="E544" t="s">
        <v>1744</v>
      </c>
      <c r="F544" t="s">
        <v>77</v>
      </c>
      <c r="G544" s="1">
        <v>40</v>
      </c>
      <c r="H544" s="1">
        <v>24</v>
      </c>
      <c r="I544" t="s">
        <v>24</v>
      </c>
      <c r="L544" s="1">
        <v>1</v>
      </c>
      <c r="M544" s="3">
        <v>13.29</v>
      </c>
      <c r="N544" s="3">
        <v>0.66</v>
      </c>
      <c r="O544" s="3">
        <v>0</v>
      </c>
      <c r="P544" s="3">
        <v>0.1</v>
      </c>
      <c r="Q544" s="3">
        <v>14.05</v>
      </c>
      <c r="R544" s="3">
        <v>13.7</v>
      </c>
      <c r="S544" s="3">
        <f>VLOOKUP(C544,[1]page!$C$2:$M$3071,11,0)</f>
        <v>13.09</v>
      </c>
      <c r="T544" s="6">
        <f t="shared" si="8"/>
        <v>0.19999999999999929</v>
      </c>
    </row>
    <row r="545" spans="1:20" x14ac:dyDescent="0.2">
      <c r="A545" t="s">
        <v>1711</v>
      </c>
      <c r="B545" t="s">
        <v>1749</v>
      </c>
      <c r="C545" t="s">
        <v>1750</v>
      </c>
      <c r="D545" t="s">
        <v>1743</v>
      </c>
      <c r="E545" t="s">
        <v>1744</v>
      </c>
      <c r="F545" t="s">
        <v>23</v>
      </c>
      <c r="G545" s="1">
        <v>40</v>
      </c>
      <c r="H545" s="1">
        <v>12</v>
      </c>
      <c r="I545" t="s">
        <v>24</v>
      </c>
      <c r="L545" s="1">
        <v>1</v>
      </c>
      <c r="M545" s="3">
        <v>22.39</v>
      </c>
      <c r="N545" s="3">
        <v>1.1200000000000001</v>
      </c>
      <c r="O545" s="3">
        <v>0</v>
      </c>
      <c r="P545" s="3">
        <v>0.2</v>
      </c>
      <c r="Q545" s="3">
        <v>23.71</v>
      </c>
      <c r="R545" s="3">
        <v>24.25</v>
      </c>
      <c r="S545" s="3">
        <f>VLOOKUP(C545,[1]page!$C$2:$M$3071,11,0)</f>
        <v>22</v>
      </c>
      <c r="T545" s="6">
        <f t="shared" si="8"/>
        <v>0.39000000000000057</v>
      </c>
    </row>
    <row r="546" spans="1:20" x14ac:dyDescent="0.2">
      <c r="A546" t="s">
        <v>1711</v>
      </c>
      <c r="B546" t="s">
        <v>1751</v>
      </c>
      <c r="C546" t="s">
        <v>1752</v>
      </c>
      <c r="D546" t="s">
        <v>1743</v>
      </c>
      <c r="E546" t="s">
        <v>1744</v>
      </c>
      <c r="F546" t="s">
        <v>65</v>
      </c>
      <c r="G546" s="1">
        <v>40</v>
      </c>
      <c r="H546" s="1">
        <v>8</v>
      </c>
      <c r="I546" t="s">
        <v>24</v>
      </c>
      <c r="L546" s="1">
        <v>1</v>
      </c>
      <c r="M546" s="3">
        <v>31.49</v>
      </c>
      <c r="N546" s="3">
        <v>1.57</v>
      </c>
      <c r="O546" s="3">
        <v>0</v>
      </c>
      <c r="P546" s="3">
        <v>0.4</v>
      </c>
      <c r="Q546" s="3">
        <v>33.46</v>
      </c>
      <c r="R546" s="3">
        <v>35.75</v>
      </c>
      <c r="S546" s="3">
        <f>VLOOKUP(C546,[1]page!$C$2:$M$3071,11,0)</f>
        <v>31.02</v>
      </c>
      <c r="T546" s="6">
        <f t="shared" si="8"/>
        <v>0.46999999999999886</v>
      </c>
    </row>
    <row r="547" spans="1:20" x14ac:dyDescent="0.2">
      <c r="A547" t="s">
        <v>1711</v>
      </c>
      <c r="B547" t="s">
        <v>1753</v>
      </c>
      <c r="C547" t="s">
        <v>1754</v>
      </c>
      <c r="D547" t="s">
        <v>1743</v>
      </c>
      <c r="E547" t="s">
        <v>1744</v>
      </c>
      <c r="F547" t="s">
        <v>84</v>
      </c>
      <c r="G547" s="1">
        <v>40</v>
      </c>
      <c r="H547" s="1">
        <v>6</v>
      </c>
      <c r="I547" t="s">
        <v>24</v>
      </c>
      <c r="L547" s="1">
        <v>1</v>
      </c>
      <c r="M547" s="3">
        <v>43.89</v>
      </c>
      <c r="N547" s="3">
        <v>2.19</v>
      </c>
      <c r="O547" s="3">
        <v>0</v>
      </c>
      <c r="P547" s="3">
        <v>0.25</v>
      </c>
      <c r="Q547" s="3">
        <v>46.33</v>
      </c>
      <c r="R547" s="3">
        <v>53.75</v>
      </c>
      <c r="S547" s="3">
        <f>VLOOKUP(C547,[1]page!$C$2:$M$3071,11,0)</f>
        <v>43.5</v>
      </c>
      <c r="T547" s="6">
        <f t="shared" si="8"/>
        <v>0.39000000000000057</v>
      </c>
    </row>
    <row r="548" spans="1:20" x14ac:dyDescent="0.2">
      <c r="A548" t="s">
        <v>1711</v>
      </c>
      <c r="B548" t="s">
        <v>1755</v>
      </c>
      <c r="C548" t="s">
        <v>1756</v>
      </c>
      <c r="D548" t="s">
        <v>1757</v>
      </c>
      <c r="E548" t="s">
        <v>1744</v>
      </c>
      <c r="F548" t="s">
        <v>23</v>
      </c>
      <c r="G548" s="1">
        <v>40</v>
      </c>
      <c r="H548" s="1">
        <v>12</v>
      </c>
      <c r="I548" t="s">
        <v>24</v>
      </c>
      <c r="L548" s="1">
        <v>1</v>
      </c>
      <c r="M548" s="3">
        <v>22.19</v>
      </c>
      <c r="N548" s="3">
        <v>1.1100000000000001</v>
      </c>
      <c r="O548" s="3">
        <v>0</v>
      </c>
      <c r="P548" s="3">
        <v>0.2</v>
      </c>
      <c r="Q548" s="3">
        <v>23.5</v>
      </c>
      <c r="R548" s="3">
        <v>24.25</v>
      </c>
      <c r="S548" s="3" t="e">
        <f>VLOOKUP(C548,[1]page!$C$2:$M$3071,11,0)</f>
        <v>#N/A</v>
      </c>
      <c r="T548" s="6" t="e">
        <f t="shared" si="8"/>
        <v>#N/A</v>
      </c>
    </row>
    <row r="549" spans="1:20" x14ac:dyDescent="0.2">
      <c r="A549" t="s">
        <v>1711</v>
      </c>
      <c r="B549" t="s">
        <v>1758</v>
      </c>
      <c r="C549" t="s">
        <v>1759</v>
      </c>
      <c r="D549" t="s">
        <v>1760</v>
      </c>
      <c r="E549" t="s">
        <v>1744</v>
      </c>
      <c r="F549" t="s">
        <v>23</v>
      </c>
      <c r="G549" s="1">
        <v>40</v>
      </c>
      <c r="H549" s="1">
        <v>12</v>
      </c>
      <c r="I549" t="s">
        <v>24</v>
      </c>
      <c r="L549" s="1">
        <v>1</v>
      </c>
      <c r="M549" s="3">
        <v>22.39</v>
      </c>
      <c r="N549" s="3">
        <v>1.1200000000000001</v>
      </c>
      <c r="O549" s="3">
        <v>0</v>
      </c>
      <c r="P549" s="3">
        <v>0.1</v>
      </c>
      <c r="Q549" s="3">
        <v>23.61</v>
      </c>
      <c r="R549" s="3">
        <v>24.25</v>
      </c>
      <c r="S549" s="3">
        <f>VLOOKUP(C549,[1]page!$C$2:$M$3071,11,0)</f>
        <v>22</v>
      </c>
      <c r="T549" s="6">
        <f t="shared" si="8"/>
        <v>0.39000000000000057</v>
      </c>
    </row>
    <row r="550" spans="1:20" x14ac:dyDescent="0.2">
      <c r="A550" t="s">
        <v>1711</v>
      </c>
      <c r="B550" t="s">
        <v>1761</v>
      </c>
      <c r="C550" t="s">
        <v>1762</v>
      </c>
      <c r="D550" t="s">
        <v>1760</v>
      </c>
      <c r="E550" t="s">
        <v>1744</v>
      </c>
      <c r="F550" t="s">
        <v>65</v>
      </c>
      <c r="G550" s="1">
        <v>40</v>
      </c>
      <c r="H550" s="1">
        <v>12</v>
      </c>
      <c r="I550" t="s">
        <v>24</v>
      </c>
      <c r="L550" s="1">
        <v>1</v>
      </c>
      <c r="M550" s="3">
        <v>31.49</v>
      </c>
      <c r="N550" s="3">
        <v>1.57</v>
      </c>
      <c r="O550" s="3">
        <v>0</v>
      </c>
      <c r="P550" s="3">
        <v>0.25</v>
      </c>
      <c r="Q550" s="3">
        <v>33.31</v>
      </c>
      <c r="R550" s="3">
        <v>35.75</v>
      </c>
      <c r="S550" s="3">
        <f>VLOOKUP(C550,[1]page!$C$2:$M$3071,11,0)</f>
        <v>31.02</v>
      </c>
      <c r="T550" s="6">
        <f t="shared" si="8"/>
        <v>0.46999999999999886</v>
      </c>
    </row>
    <row r="551" spans="1:20" x14ac:dyDescent="0.2">
      <c r="A551" t="s">
        <v>1711</v>
      </c>
      <c r="B551" t="s">
        <v>1763</v>
      </c>
      <c r="C551" t="s">
        <v>1764</v>
      </c>
      <c r="D551" t="s">
        <v>1765</v>
      </c>
      <c r="E551" t="s">
        <v>200</v>
      </c>
      <c r="F551" t="s">
        <v>74</v>
      </c>
      <c r="G551" s="1">
        <v>40</v>
      </c>
      <c r="H551" s="1">
        <v>48</v>
      </c>
      <c r="I551" t="s">
        <v>201</v>
      </c>
      <c r="L551" s="1">
        <v>1</v>
      </c>
      <c r="M551" s="3">
        <v>3.29</v>
      </c>
      <c r="N551" s="3">
        <v>0.16</v>
      </c>
      <c r="O551" s="3">
        <v>0</v>
      </c>
      <c r="P551" s="3">
        <v>0.1</v>
      </c>
      <c r="Q551" s="3">
        <v>3.55</v>
      </c>
      <c r="R551" s="3">
        <v>2.6</v>
      </c>
      <c r="S551" s="3">
        <f>VLOOKUP(C551,[1]page!$C$2:$M$3071,11,0)</f>
        <v>3.29</v>
      </c>
      <c r="T551" s="6">
        <f t="shared" si="8"/>
        <v>0</v>
      </c>
    </row>
    <row r="552" spans="1:20" x14ac:dyDescent="0.2">
      <c r="A552" t="s">
        <v>1766</v>
      </c>
      <c r="B552" t="s">
        <v>1767</v>
      </c>
      <c r="C552" t="s">
        <v>1768</v>
      </c>
      <c r="D552" t="s">
        <v>1769</v>
      </c>
      <c r="E552" t="s">
        <v>173</v>
      </c>
      <c r="F552" t="s">
        <v>209</v>
      </c>
      <c r="G552" s="1">
        <v>40</v>
      </c>
      <c r="H552" s="1">
        <v>48</v>
      </c>
      <c r="I552" t="s">
        <v>62</v>
      </c>
      <c r="L552" s="1">
        <v>1</v>
      </c>
      <c r="M552" s="3">
        <v>6.74</v>
      </c>
      <c r="N552" s="3">
        <v>0.34</v>
      </c>
      <c r="O552" s="3">
        <v>0</v>
      </c>
      <c r="P552" s="3">
        <v>0.1</v>
      </c>
      <c r="Q552" s="3">
        <v>7.18</v>
      </c>
      <c r="R552" s="3">
        <v>13.7</v>
      </c>
      <c r="S552" s="3">
        <f>VLOOKUP(C552,[1]page!$C$2:$M$3071,11,0)</f>
        <v>6.69</v>
      </c>
      <c r="T552" s="6">
        <f t="shared" si="8"/>
        <v>4.9999999999999822E-2</v>
      </c>
    </row>
    <row r="553" spans="1:20" x14ac:dyDescent="0.2">
      <c r="A553" t="s">
        <v>1766</v>
      </c>
      <c r="B553" t="s">
        <v>1770</v>
      </c>
      <c r="C553" t="s">
        <v>1771</v>
      </c>
      <c r="D553" t="s">
        <v>1769</v>
      </c>
      <c r="E553" t="s">
        <v>173</v>
      </c>
      <c r="F553" t="s">
        <v>77</v>
      </c>
      <c r="G553" s="1">
        <v>40</v>
      </c>
      <c r="H553" s="1">
        <v>24</v>
      </c>
      <c r="I553" t="s">
        <v>62</v>
      </c>
      <c r="L553" s="1">
        <v>1</v>
      </c>
      <c r="M553" s="3">
        <v>11.09</v>
      </c>
      <c r="N553" s="3">
        <v>0.55000000000000004</v>
      </c>
      <c r="O553" s="3">
        <v>0</v>
      </c>
      <c r="P553" s="3">
        <v>0.1</v>
      </c>
      <c r="Q553" s="3">
        <v>11.74</v>
      </c>
      <c r="R553" s="3">
        <v>13.7</v>
      </c>
      <c r="S553" s="3">
        <f>VLOOKUP(C553,[1]page!$C$2:$M$3071,11,0)</f>
        <v>11</v>
      </c>
      <c r="T553" s="6">
        <f t="shared" si="8"/>
        <v>8.9999999999999858E-2</v>
      </c>
    </row>
    <row r="554" spans="1:20" x14ac:dyDescent="0.2">
      <c r="A554" t="s">
        <v>1766</v>
      </c>
      <c r="B554" t="s">
        <v>1772</v>
      </c>
      <c r="C554" t="s">
        <v>1773</v>
      </c>
      <c r="D554" t="s">
        <v>1769</v>
      </c>
      <c r="E554" t="s">
        <v>173</v>
      </c>
      <c r="F554" t="s">
        <v>23</v>
      </c>
      <c r="G554" s="1">
        <v>40</v>
      </c>
      <c r="H554" s="1">
        <v>12</v>
      </c>
      <c r="I554" t="s">
        <v>62</v>
      </c>
      <c r="L554" s="1">
        <v>1</v>
      </c>
      <c r="M554" s="3">
        <v>19.7</v>
      </c>
      <c r="N554" s="3">
        <v>0.99</v>
      </c>
      <c r="O554" s="3">
        <v>0</v>
      </c>
      <c r="P554" s="3">
        <v>0.2</v>
      </c>
      <c r="Q554" s="3">
        <v>20.89</v>
      </c>
      <c r="R554" s="3">
        <v>24.25</v>
      </c>
      <c r="S554" s="3">
        <f>VLOOKUP(C554,[1]page!$C$2:$M$3071,11,0)</f>
        <v>19.510000000000002</v>
      </c>
      <c r="T554" s="6">
        <f t="shared" si="8"/>
        <v>0.18999999999999773</v>
      </c>
    </row>
    <row r="555" spans="1:20" x14ac:dyDescent="0.2">
      <c r="A555" t="s">
        <v>1766</v>
      </c>
      <c r="B555" t="s">
        <v>1774</v>
      </c>
      <c r="C555" t="s">
        <v>1775</v>
      </c>
      <c r="D555" t="s">
        <v>1769</v>
      </c>
      <c r="E555" t="s">
        <v>173</v>
      </c>
      <c r="F555" t="s">
        <v>65</v>
      </c>
      <c r="G555" s="1">
        <v>40</v>
      </c>
      <c r="H555" s="1">
        <v>12</v>
      </c>
      <c r="I555" t="s">
        <v>62</v>
      </c>
      <c r="L555" s="1">
        <v>1</v>
      </c>
      <c r="M555" s="3">
        <v>28.8</v>
      </c>
      <c r="N555" s="3">
        <v>1.44</v>
      </c>
      <c r="O555" s="3">
        <v>0</v>
      </c>
      <c r="P555" s="3">
        <v>0.25</v>
      </c>
      <c r="Q555" s="3">
        <v>30.49</v>
      </c>
      <c r="R555" s="3">
        <v>35.75</v>
      </c>
      <c r="S555" s="3">
        <f>VLOOKUP(C555,[1]page!$C$2:$M$3071,11,0)</f>
        <v>28.51</v>
      </c>
      <c r="T555" s="6">
        <f t="shared" si="8"/>
        <v>0.28999999999999915</v>
      </c>
    </row>
    <row r="556" spans="1:20" x14ac:dyDescent="0.2">
      <c r="A556" t="s">
        <v>1766</v>
      </c>
      <c r="B556" t="s">
        <v>1776</v>
      </c>
      <c r="C556" t="s">
        <v>1777</v>
      </c>
      <c r="D556" t="s">
        <v>1769</v>
      </c>
      <c r="E556" t="s">
        <v>173</v>
      </c>
      <c r="F556" t="s">
        <v>84</v>
      </c>
      <c r="G556" s="1">
        <v>40</v>
      </c>
      <c r="H556" s="1">
        <v>6</v>
      </c>
      <c r="I556" t="s">
        <v>62</v>
      </c>
      <c r="L556" s="1">
        <v>1</v>
      </c>
      <c r="M556" s="3">
        <v>41.97</v>
      </c>
      <c r="N556" s="3">
        <v>2.1</v>
      </c>
      <c r="O556" s="3">
        <v>0</v>
      </c>
      <c r="P556" s="3">
        <v>0.25</v>
      </c>
      <c r="Q556" s="3">
        <v>44.32</v>
      </c>
      <c r="R556" s="3">
        <v>53.75</v>
      </c>
      <c r="S556" s="3">
        <f>VLOOKUP(C556,[1]page!$C$2:$M$3071,11,0)</f>
        <v>41.52</v>
      </c>
      <c r="T556" s="6">
        <f t="shared" si="8"/>
        <v>0.44999999999999574</v>
      </c>
    </row>
    <row r="557" spans="1:20" x14ac:dyDescent="0.2">
      <c r="A557" t="s">
        <v>1766</v>
      </c>
      <c r="B557" t="s">
        <v>1778</v>
      </c>
      <c r="C557" t="s">
        <v>1779</v>
      </c>
      <c r="D557" t="s">
        <v>1780</v>
      </c>
      <c r="E557" t="s">
        <v>173</v>
      </c>
      <c r="F557" t="s">
        <v>23</v>
      </c>
      <c r="G557" s="1">
        <v>40</v>
      </c>
      <c r="H557" s="1">
        <v>12</v>
      </c>
      <c r="I557" t="s">
        <v>62</v>
      </c>
      <c r="L557" s="1">
        <v>1</v>
      </c>
      <c r="M557" s="3">
        <v>19.7</v>
      </c>
      <c r="N557" s="3">
        <v>0.99</v>
      </c>
      <c r="O557" s="3">
        <v>0</v>
      </c>
      <c r="P557" s="3">
        <v>0.1</v>
      </c>
      <c r="Q557" s="3">
        <v>20.79</v>
      </c>
      <c r="R557" s="3">
        <v>24.25</v>
      </c>
      <c r="S557" s="3">
        <f>VLOOKUP(C557,[1]page!$C$2:$M$3071,11,0)</f>
        <v>19.510000000000002</v>
      </c>
      <c r="T557" s="6">
        <f t="shared" si="8"/>
        <v>0.18999999999999773</v>
      </c>
    </row>
    <row r="558" spans="1:20" x14ac:dyDescent="0.2">
      <c r="A558" t="s">
        <v>1766</v>
      </c>
      <c r="B558" t="s">
        <v>1781</v>
      </c>
      <c r="C558" t="s">
        <v>1782</v>
      </c>
      <c r="D558" t="s">
        <v>1783</v>
      </c>
      <c r="E558" t="s">
        <v>173</v>
      </c>
      <c r="F558" t="s">
        <v>23</v>
      </c>
      <c r="G558" s="1">
        <v>40</v>
      </c>
      <c r="H558" s="1">
        <v>12</v>
      </c>
      <c r="I558" t="s">
        <v>62</v>
      </c>
      <c r="L558" s="1">
        <v>1</v>
      </c>
      <c r="M558" s="3">
        <v>20.81</v>
      </c>
      <c r="N558" s="3">
        <v>1.04</v>
      </c>
      <c r="O558" s="3">
        <v>0</v>
      </c>
      <c r="P558" s="3">
        <v>0.2</v>
      </c>
      <c r="Q558" s="3">
        <v>22.05</v>
      </c>
      <c r="R558" s="3">
        <v>24.25</v>
      </c>
      <c r="S558" s="3">
        <f>VLOOKUP(C558,[1]page!$C$2:$M$3071,11,0)</f>
        <v>20.62</v>
      </c>
      <c r="T558" s="6">
        <f t="shared" si="8"/>
        <v>0.18999999999999773</v>
      </c>
    </row>
    <row r="559" spans="1:20" x14ac:dyDescent="0.2">
      <c r="A559" t="s">
        <v>1766</v>
      </c>
      <c r="B559" t="s">
        <v>1784</v>
      </c>
      <c r="C559" t="s">
        <v>1785</v>
      </c>
      <c r="D559" t="s">
        <v>1783</v>
      </c>
      <c r="E559" t="s">
        <v>173</v>
      </c>
      <c r="F559" t="s">
        <v>65</v>
      </c>
      <c r="G559" s="1">
        <v>40</v>
      </c>
      <c r="H559" s="1">
        <v>8</v>
      </c>
      <c r="I559" t="s">
        <v>62</v>
      </c>
      <c r="L559" s="1">
        <v>1</v>
      </c>
      <c r="M559" s="3">
        <v>29.98</v>
      </c>
      <c r="N559" s="3">
        <v>1.5</v>
      </c>
      <c r="O559" s="3">
        <v>0</v>
      </c>
      <c r="P559" s="3">
        <v>0.4</v>
      </c>
      <c r="Q559" s="3">
        <v>31.88</v>
      </c>
      <c r="R559" s="3">
        <v>35.75</v>
      </c>
      <c r="S559" s="3">
        <f>VLOOKUP(C559,[1]page!$C$2:$M$3071,11,0)</f>
        <v>29.69</v>
      </c>
      <c r="T559" s="6">
        <f t="shared" si="8"/>
        <v>0.28999999999999915</v>
      </c>
    </row>
    <row r="560" spans="1:20" x14ac:dyDescent="0.2">
      <c r="A560" t="s">
        <v>1766</v>
      </c>
      <c r="B560" t="s">
        <v>1786</v>
      </c>
      <c r="C560" t="s">
        <v>1787</v>
      </c>
      <c r="D560" t="s">
        <v>1783</v>
      </c>
      <c r="E560" t="s">
        <v>173</v>
      </c>
      <c r="F560" t="s">
        <v>84</v>
      </c>
      <c r="G560" s="1">
        <v>40</v>
      </c>
      <c r="H560" s="1">
        <v>6</v>
      </c>
      <c r="I560" t="s">
        <v>62</v>
      </c>
      <c r="L560" s="1">
        <v>1</v>
      </c>
      <c r="M560" s="3">
        <v>45.23</v>
      </c>
      <c r="N560" s="3">
        <v>2.2599999999999998</v>
      </c>
      <c r="O560" s="3">
        <v>0</v>
      </c>
      <c r="P560" s="3">
        <v>0.25</v>
      </c>
      <c r="Q560" s="3">
        <v>47.74</v>
      </c>
      <c r="R560" s="3">
        <v>53.75</v>
      </c>
      <c r="S560" s="3">
        <f>VLOOKUP(C560,[1]page!$C$2:$M$3071,11,0)</f>
        <v>44.79</v>
      </c>
      <c r="T560" s="6">
        <f t="shared" si="8"/>
        <v>0.43999999999999773</v>
      </c>
    </row>
    <row r="561" spans="1:20" x14ac:dyDescent="0.2">
      <c r="A561" t="s">
        <v>1766</v>
      </c>
      <c r="B561" t="s">
        <v>1788</v>
      </c>
      <c r="C561" t="s">
        <v>1789</v>
      </c>
      <c r="D561" t="s">
        <v>1790</v>
      </c>
      <c r="E561" t="s">
        <v>1791</v>
      </c>
      <c r="F561" t="s">
        <v>77</v>
      </c>
      <c r="G561" s="1">
        <v>40</v>
      </c>
      <c r="H561" s="1">
        <v>24</v>
      </c>
      <c r="I561" t="s">
        <v>1792</v>
      </c>
      <c r="L561" s="1">
        <v>1</v>
      </c>
      <c r="M561" s="3">
        <v>9.11</v>
      </c>
      <c r="N561" s="3">
        <v>0.46</v>
      </c>
      <c r="O561" s="3">
        <v>0</v>
      </c>
      <c r="P561" s="3">
        <v>0.1</v>
      </c>
      <c r="Q561" s="3">
        <v>9.67</v>
      </c>
      <c r="R561" s="3">
        <v>13.7</v>
      </c>
      <c r="S561" s="3">
        <f>VLOOKUP(C561,[1]page!$C$2:$M$3071,11,0)</f>
        <v>8.59</v>
      </c>
      <c r="T561" s="6">
        <f t="shared" si="8"/>
        <v>0.51999999999999957</v>
      </c>
    </row>
    <row r="562" spans="1:20" x14ac:dyDescent="0.2">
      <c r="A562" t="s">
        <v>1766</v>
      </c>
      <c r="B562" t="s">
        <v>1793</v>
      </c>
      <c r="C562" t="s">
        <v>1794</v>
      </c>
      <c r="D562" t="s">
        <v>1790</v>
      </c>
      <c r="E562" t="s">
        <v>1791</v>
      </c>
      <c r="F562" t="s">
        <v>23</v>
      </c>
      <c r="G562" s="1">
        <v>40</v>
      </c>
      <c r="H562" s="1">
        <v>12</v>
      </c>
      <c r="I562" t="s">
        <v>1792</v>
      </c>
      <c r="L562" s="1">
        <v>1</v>
      </c>
      <c r="M562" s="3">
        <v>16.97</v>
      </c>
      <c r="N562" s="3">
        <v>0.85</v>
      </c>
      <c r="O562" s="3">
        <v>0</v>
      </c>
      <c r="P562" s="3">
        <v>0.1</v>
      </c>
      <c r="Q562" s="3">
        <v>17.920000000000002</v>
      </c>
      <c r="R562" s="3">
        <v>24.25</v>
      </c>
      <c r="S562" s="3">
        <f>VLOOKUP(C562,[1]page!$C$2:$M$3071,11,0)</f>
        <v>16</v>
      </c>
      <c r="T562" s="6">
        <f t="shared" si="8"/>
        <v>0.96999999999999886</v>
      </c>
    </row>
    <row r="563" spans="1:20" x14ac:dyDescent="0.2">
      <c r="A563" t="s">
        <v>1766</v>
      </c>
      <c r="B563" t="s">
        <v>1795</v>
      </c>
      <c r="C563" t="s">
        <v>1796</v>
      </c>
      <c r="D563" t="s">
        <v>1790</v>
      </c>
      <c r="E563" t="s">
        <v>1791</v>
      </c>
      <c r="F563" t="s">
        <v>65</v>
      </c>
      <c r="G563" s="1">
        <v>40</v>
      </c>
      <c r="H563" s="1">
        <v>12</v>
      </c>
      <c r="I563" t="s">
        <v>1792</v>
      </c>
      <c r="L563" s="1">
        <v>1</v>
      </c>
      <c r="M563" s="3">
        <v>24.97</v>
      </c>
      <c r="N563" s="3">
        <v>1.25</v>
      </c>
      <c r="O563" s="3">
        <v>0</v>
      </c>
      <c r="P563" s="3">
        <v>0.25</v>
      </c>
      <c r="Q563" s="3">
        <v>26.47</v>
      </c>
      <c r="R563" s="3">
        <v>35.75</v>
      </c>
      <c r="S563" s="3">
        <f>VLOOKUP(C563,[1]page!$C$2:$M$3071,11,0)</f>
        <v>23.52</v>
      </c>
      <c r="T563" s="6">
        <f t="shared" si="8"/>
        <v>1.4499999999999993</v>
      </c>
    </row>
    <row r="564" spans="1:20" x14ac:dyDescent="0.2">
      <c r="A564" t="s">
        <v>1766</v>
      </c>
      <c r="B564" t="s">
        <v>1797</v>
      </c>
      <c r="C564" t="s">
        <v>1798</v>
      </c>
      <c r="D564" t="s">
        <v>1790</v>
      </c>
      <c r="E564" t="s">
        <v>1791</v>
      </c>
      <c r="F564" t="s">
        <v>84</v>
      </c>
      <c r="G564" s="1">
        <v>40</v>
      </c>
      <c r="H564" s="1">
        <v>6</v>
      </c>
      <c r="I564" t="s">
        <v>1792</v>
      </c>
      <c r="L564" s="1">
        <v>1</v>
      </c>
      <c r="M564" s="3">
        <v>37.65</v>
      </c>
      <c r="N564" s="3">
        <v>1.88</v>
      </c>
      <c r="O564" s="3">
        <v>0</v>
      </c>
      <c r="P564" s="3">
        <v>0.25</v>
      </c>
      <c r="Q564" s="3">
        <v>39.78</v>
      </c>
      <c r="R564" s="3">
        <v>53.75</v>
      </c>
      <c r="S564" s="3">
        <f>VLOOKUP(C564,[1]page!$C$2:$M$3071,11,0)</f>
        <v>35.46</v>
      </c>
      <c r="T564" s="6">
        <f t="shared" si="8"/>
        <v>2.1899999999999977</v>
      </c>
    </row>
    <row r="565" spans="1:20" x14ac:dyDescent="0.2">
      <c r="A565" t="s">
        <v>1766</v>
      </c>
      <c r="B565" t="s">
        <v>1799</v>
      </c>
      <c r="C565" t="s">
        <v>1800</v>
      </c>
      <c r="D565" t="s">
        <v>1801</v>
      </c>
      <c r="E565" t="s">
        <v>1116</v>
      </c>
      <c r="F565" t="s">
        <v>77</v>
      </c>
      <c r="G565" s="1">
        <v>40</v>
      </c>
      <c r="H565" s="1">
        <v>24</v>
      </c>
      <c r="I565" t="s">
        <v>444</v>
      </c>
      <c r="L565" s="1">
        <v>1</v>
      </c>
      <c r="M565" s="3">
        <v>10.5</v>
      </c>
      <c r="N565" s="3">
        <v>0.53</v>
      </c>
      <c r="O565" s="3">
        <v>0</v>
      </c>
      <c r="P565" s="3">
        <v>0.1</v>
      </c>
      <c r="Q565" s="3">
        <v>11.13</v>
      </c>
      <c r="R565" s="3">
        <v>13.7</v>
      </c>
      <c r="S565" s="3">
        <f>VLOOKUP(C565,[1]page!$C$2:$M$3071,11,0)</f>
        <v>10.5</v>
      </c>
      <c r="T565" s="6">
        <f t="shared" si="8"/>
        <v>0</v>
      </c>
    </row>
    <row r="566" spans="1:20" x14ac:dyDescent="0.2">
      <c r="A566" t="s">
        <v>1766</v>
      </c>
      <c r="B566" t="s">
        <v>1802</v>
      </c>
      <c r="C566" t="s">
        <v>1803</v>
      </c>
      <c r="D566" t="s">
        <v>1801</v>
      </c>
      <c r="E566" t="s">
        <v>1116</v>
      </c>
      <c r="F566" t="s">
        <v>23</v>
      </c>
      <c r="G566" s="1">
        <v>40</v>
      </c>
      <c r="H566" s="1">
        <v>12</v>
      </c>
      <c r="I566" t="s">
        <v>444</v>
      </c>
      <c r="L566" s="1">
        <v>1</v>
      </c>
      <c r="M566" s="3">
        <v>18.25</v>
      </c>
      <c r="N566" s="3">
        <v>0.91</v>
      </c>
      <c r="O566" s="3">
        <v>0</v>
      </c>
      <c r="P566" s="3">
        <v>0.1</v>
      </c>
      <c r="Q566" s="3">
        <v>19.260000000000002</v>
      </c>
      <c r="R566" s="3">
        <v>24.25</v>
      </c>
      <c r="S566" s="3">
        <f>VLOOKUP(C566,[1]page!$C$2:$M$3071,11,0)</f>
        <v>18.25</v>
      </c>
      <c r="T566" s="6">
        <f t="shared" si="8"/>
        <v>0</v>
      </c>
    </row>
    <row r="567" spans="1:20" x14ac:dyDescent="0.2">
      <c r="A567" t="s">
        <v>1766</v>
      </c>
      <c r="B567" t="s">
        <v>1804</v>
      </c>
      <c r="C567" t="s">
        <v>1805</v>
      </c>
      <c r="D567" t="s">
        <v>1801</v>
      </c>
      <c r="E567" t="s">
        <v>1116</v>
      </c>
      <c r="F567" t="s">
        <v>65</v>
      </c>
      <c r="G567" s="1">
        <v>40</v>
      </c>
      <c r="H567" s="1">
        <v>12</v>
      </c>
      <c r="I567" t="s">
        <v>444</v>
      </c>
      <c r="L567" s="1">
        <v>1</v>
      </c>
      <c r="M567" s="3">
        <v>26.25</v>
      </c>
      <c r="N567" s="3">
        <v>1.31</v>
      </c>
      <c r="O567" s="3">
        <v>0</v>
      </c>
      <c r="P567" s="3">
        <v>0.25</v>
      </c>
      <c r="Q567" s="3">
        <v>27.81</v>
      </c>
      <c r="R567" s="3">
        <v>35.75</v>
      </c>
      <c r="S567" s="3">
        <f>VLOOKUP(C567,[1]page!$C$2:$M$3071,11,0)</f>
        <v>26.25</v>
      </c>
      <c r="T567" s="6">
        <f t="shared" si="8"/>
        <v>0</v>
      </c>
    </row>
    <row r="568" spans="1:20" x14ac:dyDescent="0.2">
      <c r="A568" t="s">
        <v>1766</v>
      </c>
      <c r="B568" t="s">
        <v>1806</v>
      </c>
      <c r="C568" t="s">
        <v>1807</v>
      </c>
      <c r="D568" t="s">
        <v>1801</v>
      </c>
      <c r="E568" t="s">
        <v>1116</v>
      </c>
      <c r="F568" t="s">
        <v>84</v>
      </c>
      <c r="G568" s="1">
        <v>40</v>
      </c>
      <c r="H568" s="1">
        <v>6</v>
      </c>
      <c r="I568" t="s">
        <v>444</v>
      </c>
      <c r="L568" s="1">
        <v>1</v>
      </c>
      <c r="M568" s="3">
        <v>39</v>
      </c>
      <c r="N568" s="3">
        <v>1.95</v>
      </c>
      <c r="O568" s="3">
        <v>0</v>
      </c>
      <c r="P568" s="3">
        <v>0.25</v>
      </c>
      <c r="Q568" s="3">
        <v>41.2</v>
      </c>
      <c r="R568" s="3">
        <v>53.75</v>
      </c>
      <c r="S568" s="3">
        <f>VLOOKUP(C568,[1]page!$C$2:$M$3071,11,0)</f>
        <v>39</v>
      </c>
      <c r="T568" s="6">
        <f t="shared" si="8"/>
        <v>0</v>
      </c>
    </row>
    <row r="569" spans="1:20" x14ac:dyDescent="0.2">
      <c r="A569" t="s">
        <v>1766</v>
      </c>
      <c r="B569" t="s">
        <v>1808</v>
      </c>
      <c r="C569" t="s">
        <v>1809</v>
      </c>
      <c r="D569" t="s">
        <v>1810</v>
      </c>
      <c r="E569" t="s">
        <v>103</v>
      </c>
      <c r="F569" t="s">
        <v>84</v>
      </c>
      <c r="G569" s="1">
        <v>40</v>
      </c>
      <c r="H569" s="1">
        <v>6</v>
      </c>
      <c r="I569" t="s">
        <v>51</v>
      </c>
      <c r="L569" s="1">
        <v>1</v>
      </c>
      <c r="M569" s="3">
        <v>39.99</v>
      </c>
      <c r="N569" s="3">
        <v>2</v>
      </c>
      <c r="O569" s="3">
        <v>0</v>
      </c>
      <c r="P569" s="3">
        <v>0.25</v>
      </c>
      <c r="Q569" s="3">
        <v>42.24</v>
      </c>
      <c r="R569" s="3">
        <v>53.75</v>
      </c>
      <c r="S569" s="3">
        <f>VLOOKUP(C569,[1]page!$C$2:$M$3071,11,0)</f>
        <v>39.04</v>
      </c>
      <c r="T569" s="6">
        <f t="shared" ref="T569:T630" si="9">SUM(M569-S569)</f>
        <v>0.95000000000000284</v>
      </c>
    </row>
    <row r="570" spans="1:20" x14ac:dyDescent="0.2">
      <c r="A570" t="s">
        <v>1766</v>
      </c>
      <c r="B570" t="s">
        <v>1811</v>
      </c>
      <c r="C570" t="s">
        <v>1812</v>
      </c>
      <c r="D570" t="s">
        <v>1813</v>
      </c>
      <c r="E570" t="s">
        <v>1705</v>
      </c>
      <c r="F570" t="s">
        <v>77</v>
      </c>
      <c r="G570" s="1">
        <v>40</v>
      </c>
      <c r="H570" s="1">
        <v>24</v>
      </c>
      <c r="I570" t="s">
        <v>1706</v>
      </c>
      <c r="L570" s="1">
        <v>1</v>
      </c>
      <c r="M570" s="3">
        <v>10.01</v>
      </c>
      <c r="N570" s="3">
        <v>0.5</v>
      </c>
      <c r="O570" s="3">
        <v>0</v>
      </c>
      <c r="P570" s="3">
        <v>0.1</v>
      </c>
      <c r="Q570" s="3">
        <v>10.61</v>
      </c>
      <c r="R570" s="3">
        <v>13.7</v>
      </c>
      <c r="S570" s="3">
        <f>VLOOKUP(C570,[1]page!$C$2:$M$3071,11,0)</f>
        <v>9.91</v>
      </c>
      <c r="T570" s="6">
        <f t="shared" si="9"/>
        <v>9.9999999999999645E-2</v>
      </c>
    </row>
    <row r="571" spans="1:20" x14ac:dyDescent="0.2">
      <c r="A571" t="s">
        <v>1766</v>
      </c>
      <c r="B571" t="s">
        <v>1814</v>
      </c>
      <c r="C571" t="s">
        <v>1815</v>
      </c>
      <c r="D571" t="s">
        <v>1813</v>
      </c>
      <c r="E571" t="s">
        <v>1705</v>
      </c>
      <c r="F571" t="s">
        <v>23</v>
      </c>
      <c r="G571" s="1">
        <v>40</v>
      </c>
      <c r="H571" s="1">
        <v>18</v>
      </c>
      <c r="I571" t="s">
        <v>1706</v>
      </c>
      <c r="L571" s="1">
        <v>1</v>
      </c>
      <c r="M571" s="3">
        <v>17.11</v>
      </c>
      <c r="N571" s="3">
        <v>0.86</v>
      </c>
      <c r="O571" s="3">
        <v>0</v>
      </c>
      <c r="P571" s="3">
        <v>0.1</v>
      </c>
      <c r="Q571" s="3">
        <v>18.07</v>
      </c>
      <c r="R571" s="3">
        <v>24.25</v>
      </c>
      <c r="S571" s="3">
        <f>VLOOKUP(C571,[1]page!$C$2:$M$3071,11,0)</f>
        <v>16.920000000000002</v>
      </c>
      <c r="T571" s="6">
        <f t="shared" si="9"/>
        <v>0.18999999999999773</v>
      </c>
    </row>
    <row r="572" spans="1:20" x14ac:dyDescent="0.2">
      <c r="A572" t="s">
        <v>1766</v>
      </c>
      <c r="B572" t="s">
        <v>1816</v>
      </c>
      <c r="C572" t="s">
        <v>1817</v>
      </c>
      <c r="D572" t="s">
        <v>1813</v>
      </c>
      <c r="E572" t="s">
        <v>1705</v>
      </c>
      <c r="F572" t="s">
        <v>65</v>
      </c>
      <c r="G572" s="1">
        <v>40</v>
      </c>
      <c r="H572" s="1">
        <v>12</v>
      </c>
      <c r="I572" t="s">
        <v>1706</v>
      </c>
      <c r="L572" s="1">
        <v>1</v>
      </c>
      <c r="M572" s="3">
        <v>25.22</v>
      </c>
      <c r="N572" s="3">
        <v>1.26</v>
      </c>
      <c r="O572" s="3">
        <v>0</v>
      </c>
      <c r="P572" s="3">
        <v>0.25</v>
      </c>
      <c r="Q572" s="3">
        <v>26.73</v>
      </c>
      <c r="R572" s="3">
        <v>35.75</v>
      </c>
      <c r="S572" s="3">
        <f>VLOOKUP(C572,[1]page!$C$2:$M$3071,11,0)</f>
        <v>24.93</v>
      </c>
      <c r="T572" s="6">
        <f t="shared" si="9"/>
        <v>0.28999999999999915</v>
      </c>
    </row>
    <row r="573" spans="1:20" x14ac:dyDescent="0.2">
      <c r="A573" t="s">
        <v>1766</v>
      </c>
      <c r="B573" t="s">
        <v>1818</v>
      </c>
      <c r="C573" t="s">
        <v>1819</v>
      </c>
      <c r="D573" t="s">
        <v>1813</v>
      </c>
      <c r="E573" t="s">
        <v>1705</v>
      </c>
      <c r="F573" t="s">
        <v>84</v>
      </c>
      <c r="G573" s="1">
        <v>40</v>
      </c>
      <c r="H573" s="1">
        <v>6</v>
      </c>
      <c r="I573" t="s">
        <v>1706</v>
      </c>
      <c r="L573" s="1">
        <v>1</v>
      </c>
      <c r="M573" s="3">
        <v>37.93</v>
      </c>
      <c r="N573" s="3">
        <v>1.9</v>
      </c>
      <c r="O573" s="3">
        <v>0</v>
      </c>
      <c r="P573" s="3">
        <v>0.25</v>
      </c>
      <c r="Q573" s="3">
        <v>40.08</v>
      </c>
      <c r="R573" s="3">
        <v>53.75</v>
      </c>
      <c r="S573" s="3">
        <f>VLOOKUP(C573,[1]page!$C$2:$M$3071,11,0)</f>
        <v>37.479999999999997</v>
      </c>
      <c r="T573" s="6">
        <f t="shared" si="9"/>
        <v>0.45000000000000284</v>
      </c>
    </row>
    <row r="574" spans="1:20" x14ac:dyDescent="0.2">
      <c r="A574" t="s">
        <v>1766</v>
      </c>
      <c r="B574" t="s">
        <v>1820</v>
      </c>
      <c r="C574" t="s">
        <v>1821</v>
      </c>
      <c r="D574" t="s">
        <v>1822</v>
      </c>
      <c r="E574" t="s">
        <v>43</v>
      </c>
      <c r="F574" t="s">
        <v>77</v>
      </c>
      <c r="G574" s="1">
        <v>40</v>
      </c>
      <c r="H574" s="1">
        <v>24</v>
      </c>
      <c r="I574" t="s">
        <v>183</v>
      </c>
      <c r="L574" s="1">
        <v>1</v>
      </c>
      <c r="M574" s="3">
        <v>11.1</v>
      </c>
      <c r="N574" s="3">
        <v>0.56000000000000005</v>
      </c>
      <c r="O574" s="3">
        <v>0</v>
      </c>
      <c r="P574" s="3">
        <v>0.1</v>
      </c>
      <c r="Q574" s="3">
        <v>11.76</v>
      </c>
      <c r="R574" s="3">
        <v>13.7</v>
      </c>
      <c r="S574" s="3">
        <f>VLOOKUP(C574,[1]page!$C$2:$M$3071,11,0)</f>
        <v>11</v>
      </c>
      <c r="T574" s="6">
        <f t="shared" si="9"/>
        <v>9.9999999999999645E-2</v>
      </c>
    </row>
    <row r="575" spans="1:20" x14ac:dyDescent="0.2">
      <c r="A575" t="s">
        <v>1766</v>
      </c>
      <c r="B575" t="s">
        <v>1823</v>
      </c>
      <c r="C575" t="s">
        <v>1824</v>
      </c>
      <c r="D575" t="s">
        <v>1822</v>
      </c>
      <c r="E575" t="s">
        <v>43</v>
      </c>
      <c r="F575" t="s">
        <v>23</v>
      </c>
      <c r="G575" s="1">
        <v>40</v>
      </c>
      <c r="H575" s="1">
        <v>12</v>
      </c>
      <c r="I575" t="s">
        <v>183</v>
      </c>
      <c r="L575" s="1">
        <v>1</v>
      </c>
      <c r="M575" s="3">
        <v>19.48</v>
      </c>
      <c r="N575" s="3">
        <v>0.97</v>
      </c>
      <c r="O575" s="3">
        <v>0</v>
      </c>
      <c r="P575" s="3">
        <v>0.1</v>
      </c>
      <c r="Q575" s="3">
        <v>20.55</v>
      </c>
      <c r="R575" s="3">
        <v>24.25</v>
      </c>
      <c r="S575" s="3">
        <f>VLOOKUP(C575,[1]page!$C$2:$M$3071,11,0)</f>
        <v>19.29</v>
      </c>
      <c r="T575" s="6">
        <f t="shared" si="9"/>
        <v>0.19000000000000128</v>
      </c>
    </row>
    <row r="576" spans="1:20" x14ac:dyDescent="0.2">
      <c r="A576" t="s">
        <v>1766</v>
      </c>
      <c r="B576" t="s">
        <v>1825</v>
      </c>
      <c r="C576" t="s">
        <v>1826</v>
      </c>
      <c r="D576" t="s">
        <v>1822</v>
      </c>
      <c r="E576" t="s">
        <v>43</v>
      </c>
      <c r="F576" t="s">
        <v>65</v>
      </c>
      <c r="G576" s="1">
        <v>40</v>
      </c>
      <c r="H576" s="1">
        <v>12</v>
      </c>
      <c r="I576" t="s">
        <v>183</v>
      </c>
      <c r="L576" s="1">
        <v>1</v>
      </c>
      <c r="M576" s="3">
        <v>28.8</v>
      </c>
      <c r="N576" s="3">
        <v>1.44</v>
      </c>
      <c r="O576" s="3">
        <v>0</v>
      </c>
      <c r="P576" s="3">
        <v>0.25</v>
      </c>
      <c r="Q576" s="3">
        <v>30.49</v>
      </c>
      <c r="R576" s="3">
        <v>35.75</v>
      </c>
      <c r="S576" s="3">
        <f>VLOOKUP(C576,[1]page!$C$2:$M$3071,11,0)</f>
        <v>28.51</v>
      </c>
      <c r="T576" s="6">
        <f t="shared" si="9"/>
        <v>0.28999999999999915</v>
      </c>
    </row>
    <row r="577" spans="1:20" x14ac:dyDescent="0.2">
      <c r="A577" t="s">
        <v>1766</v>
      </c>
      <c r="B577" t="s">
        <v>1827</v>
      </c>
      <c r="C577" t="s">
        <v>1828</v>
      </c>
      <c r="D577" t="s">
        <v>1822</v>
      </c>
      <c r="E577" t="s">
        <v>43</v>
      </c>
      <c r="F577" t="s">
        <v>84</v>
      </c>
      <c r="G577" s="1">
        <v>40</v>
      </c>
      <c r="H577" s="1">
        <v>6</v>
      </c>
      <c r="I577" t="s">
        <v>183</v>
      </c>
      <c r="L577" s="1">
        <v>1</v>
      </c>
      <c r="M577" s="3">
        <v>42.14</v>
      </c>
      <c r="N577" s="3">
        <v>2.11</v>
      </c>
      <c r="O577" s="3">
        <v>0</v>
      </c>
      <c r="P577" s="3">
        <v>0.25</v>
      </c>
      <c r="Q577" s="3">
        <v>44.5</v>
      </c>
      <c r="R577" s="3">
        <v>53.75</v>
      </c>
      <c r="S577" s="3">
        <f>VLOOKUP(C577,[1]page!$C$2:$M$3071,11,0)</f>
        <v>41.69</v>
      </c>
      <c r="T577" s="6">
        <f t="shared" si="9"/>
        <v>0.45000000000000284</v>
      </c>
    </row>
    <row r="578" spans="1:20" x14ac:dyDescent="0.2">
      <c r="A578" t="s">
        <v>1766</v>
      </c>
      <c r="B578" t="s">
        <v>1829</v>
      </c>
      <c r="C578" t="s">
        <v>1830</v>
      </c>
      <c r="D578" t="s">
        <v>1831</v>
      </c>
      <c r="E578" t="s">
        <v>43</v>
      </c>
      <c r="F578" t="s">
        <v>77</v>
      </c>
      <c r="G578" s="1">
        <v>40</v>
      </c>
      <c r="H578" s="1">
        <v>24</v>
      </c>
      <c r="I578" t="s">
        <v>39</v>
      </c>
      <c r="L578" s="1">
        <v>1</v>
      </c>
      <c r="M578" s="3">
        <v>11.61</v>
      </c>
      <c r="N578" s="3">
        <v>0.57999999999999996</v>
      </c>
      <c r="O578" s="3">
        <v>0</v>
      </c>
      <c r="P578" s="3">
        <v>0.1</v>
      </c>
      <c r="Q578" s="3">
        <v>12.29</v>
      </c>
      <c r="R578" s="3">
        <v>13.7</v>
      </c>
      <c r="S578" s="3">
        <f>VLOOKUP(C578,[1]page!$C$2:$M$3071,11,0)</f>
        <v>11.61</v>
      </c>
      <c r="T578" s="6">
        <f t="shared" si="9"/>
        <v>0</v>
      </c>
    </row>
    <row r="579" spans="1:20" x14ac:dyDescent="0.2">
      <c r="A579" t="s">
        <v>1766</v>
      </c>
      <c r="B579" t="s">
        <v>1832</v>
      </c>
      <c r="C579" t="s">
        <v>1833</v>
      </c>
      <c r="D579" t="s">
        <v>1831</v>
      </c>
      <c r="E579" t="s">
        <v>43</v>
      </c>
      <c r="F579" t="s">
        <v>23</v>
      </c>
      <c r="G579" s="1">
        <v>40</v>
      </c>
      <c r="H579" s="1">
        <v>12</v>
      </c>
      <c r="I579" t="s">
        <v>39</v>
      </c>
      <c r="L579" s="1">
        <v>1</v>
      </c>
      <c r="M579" s="3">
        <v>20.420000000000002</v>
      </c>
      <c r="N579" s="3">
        <v>1.02</v>
      </c>
      <c r="O579" s="3">
        <v>0</v>
      </c>
      <c r="P579" s="3">
        <v>0.2</v>
      </c>
      <c r="Q579" s="3">
        <v>21.64</v>
      </c>
      <c r="R579" s="3">
        <v>24.25</v>
      </c>
      <c r="S579" s="3">
        <f>VLOOKUP(C579,[1]page!$C$2:$M$3071,11,0)</f>
        <v>20.420000000000002</v>
      </c>
      <c r="T579" s="6">
        <f t="shared" si="9"/>
        <v>0</v>
      </c>
    </row>
    <row r="580" spans="1:20" x14ac:dyDescent="0.2">
      <c r="A580" t="s">
        <v>1766</v>
      </c>
      <c r="B580" t="s">
        <v>1834</v>
      </c>
      <c r="C580" t="s">
        <v>1835</v>
      </c>
      <c r="D580" t="s">
        <v>1831</v>
      </c>
      <c r="E580" t="s">
        <v>43</v>
      </c>
      <c r="F580" t="s">
        <v>65</v>
      </c>
      <c r="G580" s="1">
        <v>40</v>
      </c>
      <c r="H580" s="1">
        <v>9</v>
      </c>
      <c r="I580" t="s">
        <v>39</v>
      </c>
      <c r="L580" s="1">
        <v>1</v>
      </c>
      <c r="M580" s="3">
        <v>29.14</v>
      </c>
      <c r="N580" s="3">
        <v>1.46</v>
      </c>
      <c r="O580" s="3">
        <v>0</v>
      </c>
      <c r="P580" s="3">
        <v>0.4</v>
      </c>
      <c r="Q580" s="3">
        <v>31</v>
      </c>
      <c r="R580" s="3">
        <v>35.75</v>
      </c>
      <c r="S580" s="3">
        <f>VLOOKUP(C580,[1]page!$C$2:$M$3071,11,0)</f>
        <v>29.14</v>
      </c>
      <c r="T580" s="6">
        <f t="shared" si="9"/>
        <v>0</v>
      </c>
    </row>
    <row r="581" spans="1:20" x14ac:dyDescent="0.2">
      <c r="A581" t="s">
        <v>1766</v>
      </c>
      <c r="B581" t="s">
        <v>1836</v>
      </c>
      <c r="C581" t="s">
        <v>1837</v>
      </c>
      <c r="D581" t="s">
        <v>1831</v>
      </c>
      <c r="E581" t="s">
        <v>43</v>
      </c>
      <c r="F581" t="s">
        <v>84</v>
      </c>
      <c r="G581" s="1">
        <v>40</v>
      </c>
      <c r="H581" s="1">
        <v>6</v>
      </c>
      <c r="I581" t="s">
        <v>39</v>
      </c>
      <c r="L581" s="1">
        <v>1</v>
      </c>
      <c r="M581" s="3">
        <v>43.16</v>
      </c>
      <c r="N581" s="3">
        <v>2.16</v>
      </c>
      <c r="O581" s="3">
        <v>0</v>
      </c>
      <c r="P581" s="3">
        <v>0.25</v>
      </c>
      <c r="Q581" s="3">
        <v>45.57</v>
      </c>
      <c r="R581" s="3">
        <v>53.75</v>
      </c>
      <c r="S581" s="3">
        <f>VLOOKUP(C581,[1]page!$C$2:$M$3071,11,0)</f>
        <v>43.16</v>
      </c>
      <c r="T581" s="6">
        <f t="shared" si="9"/>
        <v>0</v>
      </c>
    </row>
    <row r="582" spans="1:20" x14ac:dyDescent="0.2">
      <c r="A582" t="s">
        <v>1766</v>
      </c>
      <c r="B582" t="s">
        <v>1838</v>
      </c>
      <c r="C582" t="s">
        <v>1839</v>
      </c>
      <c r="D582" t="s">
        <v>1840</v>
      </c>
      <c r="E582" t="s">
        <v>43</v>
      </c>
      <c r="F582" t="s">
        <v>23</v>
      </c>
      <c r="G582" s="1">
        <v>40</v>
      </c>
      <c r="H582" s="1">
        <v>12</v>
      </c>
      <c r="I582" t="s">
        <v>39</v>
      </c>
      <c r="L582" s="1">
        <v>1</v>
      </c>
      <c r="M582" s="3">
        <v>20.420000000000002</v>
      </c>
      <c r="N582" s="3">
        <v>1.02</v>
      </c>
      <c r="O582" s="3">
        <v>0</v>
      </c>
      <c r="P582" s="3">
        <v>0.1</v>
      </c>
      <c r="Q582" s="3">
        <v>21.54</v>
      </c>
      <c r="R582" s="3">
        <v>24.25</v>
      </c>
      <c r="S582" s="3">
        <f>VLOOKUP(C582,[1]page!$C$2:$M$3071,11,0)</f>
        <v>20.420000000000002</v>
      </c>
      <c r="T582" s="6">
        <f t="shared" si="9"/>
        <v>0</v>
      </c>
    </row>
    <row r="583" spans="1:20" x14ac:dyDescent="0.2">
      <c r="A583" t="s">
        <v>1766</v>
      </c>
      <c r="B583" t="s">
        <v>1841</v>
      </c>
      <c r="C583" t="s">
        <v>1842</v>
      </c>
      <c r="D583" t="s">
        <v>1843</v>
      </c>
      <c r="E583" t="s">
        <v>1705</v>
      </c>
      <c r="F583" t="s">
        <v>23</v>
      </c>
      <c r="G583" s="1">
        <v>40</v>
      </c>
      <c r="H583" s="1">
        <v>18</v>
      </c>
      <c r="I583" t="s">
        <v>1706</v>
      </c>
      <c r="L583" s="1">
        <v>1</v>
      </c>
      <c r="M583" s="3">
        <v>19.22</v>
      </c>
      <c r="N583" s="3">
        <v>0.96</v>
      </c>
      <c r="O583" s="3">
        <v>0</v>
      </c>
      <c r="P583" s="3">
        <v>0.1</v>
      </c>
      <c r="Q583" s="3">
        <v>20.28</v>
      </c>
      <c r="R583" s="3">
        <v>24.25</v>
      </c>
      <c r="S583" s="3">
        <f>VLOOKUP(C583,[1]page!$C$2:$M$3071,11,0)</f>
        <v>19.03</v>
      </c>
      <c r="T583" s="6">
        <f t="shared" si="9"/>
        <v>0.18999999999999773</v>
      </c>
    </row>
    <row r="584" spans="1:20" x14ac:dyDescent="0.2">
      <c r="A584" t="s">
        <v>1766</v>
      </c>
      <c r="B584" t="s">
        <v>1844</v>
      </c>
      <c r="C584" t="s">
        <v>1845</v>
      </c>
      <c r="D584" t="s">
        <v>1846</v>
      </c>
      <c r="E584" t="s">
        <v>33</v>
      </c>
      <c r="F584" t="s">
        <v>77</v>
      </c>
      <c r="G584" s="1">
        <v>40</v>
      </c>
      <c r="H584" s="1">
        <v>24</v>
      </c>
      <c r="I584" t="s">
        <v>24</v>
      </c>
      <c r="L584" s="1">
        <v>1</v>
      </c>
      <c r="M584" s="3">
        <v>11.29</v>
      </c>
      <c r="N584" s="3">
        <v>0.56000000000000005</v>
      </c>
      <c r="O584" s="3">
        <v>0</v>
      </c>
      <c r="P584" s="3">
        <v>0.1</v>
      </c>
      <c r="Q584" s="3">
        <v>11.95</v>
      </c>
      <c r="R584" s="3">
        <v>13.7</v>
      </c>
      <c r="S584" s="3">
        <f>VLOOKUP(C584,[1]page!$C$2:$M$3071,11,0)</f>
        <v>11.2</v>
      </c>
      <c r="T584" s="6">
        <f t="shared" si="9"/>
        <v>8.9999999999999858E-2</v>
      </c>
    </row>
    <row r="585" spans="1:20" x14ac:dyDescent="0.2">
      <c r="A585" t="s">
        <v>1766</v>
      </c>
      <c r="B585" t="s">
        <v>1847</v>
      </c>
      <c r="C585" t="s">
        <v>1848</v>
      </c>
      <c r="D585" t="s">
        <v>1733</v>
      </c>
      <c r="E585" t="s">
        <v>96</v>
      </c>
      <c r="F585" t="s">
        <v>65</v>
      </c>
      <c r="G585" s="1">
        <v>40</v>
      </c>
      <c r="H585" s="1">
        <v>12</v>
      </c>
      <c r="I585" t="s">
        <v>24</v>
      </c>
      <c r="L585" s="1">
        <v>1</v>
      </c>
      <c r="M585" s="3">
        <v>28.39</v>
      </c>
      <c r="N585" s="3">
        <v>1.42</v>
      </c>
      <c r="O585" s="3">
        <v>0</v>
      </c>
      <c r="P585" s="3">
        <v>0.25</v>
      </c>
      <c r="Q585" s="3">
        <v>30.06</v>
      </c>
      <c r="R585" s="3">
        <v>35.75</v>
      </c>
      <c r="S585" s="3">
        <f>VLOOKUP(C585,[1]page!$C$2:$M$3071,11,0)</f>
        <v>28.01</v>
      </c>
      <c r="T585" s="6">
        <f t="shared" si="9"/>
        <v>0.37999999999999901</v>
      </c>
    </row>
    <row r="586" spans="1:20" x14ac:dyDescent="0.2">
      <c r="A586" t="s">
        <v>1766</v>
      </c>
      <c r="B586" t="s">
        <v>1849</v>
      </c>
      <c r="C586" t="s">
        <v>1850</v>
      </c>
      <c r="D586" t="s">
        <v>1851</v>
      </c>
      <c r="E586" t="s">
        <v>96</v>
      </c>
      <c r="F586" t="s">
        <v>23</v>
      </c>
      <c r="G586" s="1">
        <v>40</v>
      </c>
      <c r="H586" s="1">
        <v>12</v>
      </c>
      <c r="I586" t="s">
        <v>24</v>
      </c>
      <c r="L586" s="1">
        <v>1</v>
      </c>
      <c r="M586" s="3">
        <v>20.190000000000001</v>
      </c>
      <c r="N586" s="3">
        <v>1.01</v>
      </c>
      <c r="O586" s="3">
        <v>0</v>
      </c>
      <c r="P586" s="3">
        <v>0.1</v>
      </c>
      <c r="Q586" s="3">
        <v>21.3</v>
      </c>
      <c r="R586" s="3">
        <v>24.25</v>
      </c>
      <c r="S586" s="3">
        <f>VLOOKUP(C586,[1]page!$C$2:$M$3071,11,0)</f>
        <v>19.8</v>
      </c>
      <c r="T586" s="6">
        <f t="shared" si="9"/>
        <v>0.39000000000000057</v>
      </c>
    </row>
    <row r="587" spans="1:20" x14ac:dyDescent="0.2">
      <c r="A587" t="s">
        <v>1766</v>
      </c>
      <c r="B587" t="s">
        <v>1852</v>
      </c>
      <c r="C587" t="s">
        <v>1853</v>
      </c>
      <c r="D587" t="s">
        <v>1851</v>
      </c>
      <c r="E587" t="s">
        <v>96</v>
      </c>
      <c r="F587" t="s">
        <v>65</v>
      </c>
      <c r="G587" s="1">
        <v>40</v>
      </c>
      <c r="H587" s="1">
        <v>12</v>
      </c>
      <c r="I587" t="s">
        <v>24</v>
      </c>
      <c r="L587" s="1">
        <v>1</v>
      </c>
      <c r="M587" s="3">
        <v>28.89</v>
      </c>
      <c r="N587" s="3">
        <v>1.44</v>
      </c>
      <c r="O587" s="3">
        <v>0</v>
      </c>
      <c r="P587" s="3">
        <v>0.25</v>
      </c>
      <c r="Q587" s="3">
        <v>30.58</v>
      </c>
      <c r="R587" s="3">
        <v>35.75</v>
      </c>
      <c r="S587" s="3">
        <f>VLOOKUP(C587,[1]page!$C$2:$M$3071,11,0)</f>
        <v>28.6</v>
      </c>
      <c r="T587" s="6">
        <f t="shared" si="9"/>
        <v>0.28999999999999915</v>
      </c>
    </row>
    <row r="588" spans="1:20" x14ac:dyDescent="0.2">
      <c r="A588" t="s">
        <v>1766</v>
      </c>
      <c r="B588" t="s">
        <v>1854</v>
      </c>
      <c r="C588" t="s">
        <v>1855</v>
      </c>
      <c r="D588" t="s">
        <v>1851</v>
      </c>
      <c r="E588" t="s">
        <v>33</v>
      </c>
      <c r="F588" t="s">
        <v>84</v>
      </c>
      <c r="G588" s="1">
        <v>40</v>
      </c>
      <c r="H588" s="1">
        <v>6</v>
      </c>
      <c r="I588" t="s">
        <v>24</v>
      </c>
      <c r="L588" s="1">
        <v>1</v>
      </c>
      <c r="M588" s="3">
        <v>43.99</v>
      </c>
      <c r="N588" s="3">
        <v>2.2000000000000002</v>
      </c>
      <c r="O588" s="3">
        <v>0</v>
      </c>
      <c r="P588" s="3">
        <v>0.25</v>
      </c>
      <c r="Q588" s="3">
        <v>46.44</v>
      </c>
      <c r="R588" s="3">
        <v>53.75</v>
      </c>
      <c r="S588" s="3">
        <f>VLOOKUP(C588,[1]page!$C$2:$M$3071,11,0)</f>
        <v>43.55</v>
      </c>
      <c r="T588" s="6">
        <f t="shared" si="9"/>
        <v>0.44000000000000483</v>
      </c>
    </row>
    <row r="589" spans="1:20" x14ac:dyDescent="0.2">
      <c r="A589" t="s">
        <v>1766</v>
      </c>
      <c r="B589" t="s">
        <v>1856</v>
      </c>
      <c r="C589" t="s">
        <v>1857</v>
      </c>
      <c r="D589" t="s">
        <v>1858</v>
      </c>
      <c r="E589" t="s">
        <v>103</v>
      </c>
      <c r="F589" t="s">
        <v>84</v>
      </c>
      <c r="G589" s="1">
        <v>40</v>
      </c>
      <c r="H589" s="1">
        <v>6</v>
      </c>
      <c r="I589" t="s">
        <v>51</v>
      </c>
      <c r="L589" s="1">
        <v>1</v>
      </c>
      <c r="M589" s="3">
        <v>39.979999999999997</v>
      </c>
      <c r="N589" s="3">
        <v>2</v>
      </c>
      <c r="O589" s="3">
        <v>0</v>
      </c>
      <c r="P589" s="3">
        <v>0.25</v>
      </c>
      <c r="Q589" s="3">
        <v>42.23</v>
      </c>
      <c r="R589" s="3">
        <v>53.75</v>
      </c>
      <c r="S589" s="3">
        <f>VLOOKUP(C589,[1]page!$C$2:$M$3071,11,0)</f>
        <v>39.53</v>
      </c>
      <c r="T589" s="6">
        <f t="shared" si="9"/>
        <v>0.44999999999999574</v>
      </c>
    </row>
    <row r="590" spans="1:20" x14ac:dyDescent="0.2">
      <c r="A590" t="s">
        <v>1766</v>
      </c>
      <c r="B590" t="s">
        <v>1859</v>
      </c>
      <c r="C590" t="s">
        <v>1860</v>
      </c>
      <c r="D590" t="s">
        <v>1861</v>
      </c>
      <c r="E590" t="s">
        <v>200</v>
      </c>
      <c r="F590" t="s">
        <v>23</v>
      </c>
      <c r="G590" s="1">
        <v>40</v>
      </c>
      <c r="H590" s="1">
        <v>6</v>
      </c>
      <c r="I590" t="s">
        <v>201</v>
      </c>
      <c r="L590" s="1">
        <v>1</v>
      </c>
      <c r="M590" s="3">
        <v>27.49</v>
      </c>
      <c r="N590" s="3">
        <v>1.37</v>
      </c>
      <c r="O590" s="3">
        <v>0</v>
      </c>
      <c r="P590" s="3">
        <v>0.2</v>
      </c>
      <c r="Q590" s="3">
        <v>29.06</v>
      </c>
      <c r="R590" s="3">
        <v>24.25</v>
      </c>
      <c r="S590" s="3">
        <f>VLOOKUP(C590,[1]page!$C$2:$M$3071,11,0)</f>
        <v>27.41</v>
      </c>
      <c r="T590" s="6">
        <f t="shared" si="9"/>
        <v>7.9999999999998295E-2</v>
      </c>
    </row>
    <row r="591" spans="1:20" x14ac:dyDescent="0.2">
      <c r="A591" t="s">
        <v>1862</v>
      </c>
      <c r="B591" t="s">
        <v>1863</v>
      </c>
      <c r="C591" t="s">
        <v>1864</v>
      </c>
      <c r="D591" t="s">
        <v>1865</v>
      </c>
      <c r="E591" t="s">
        <v>1866</v>
      </c>
      <c r="F591" t="s">
        <v>23</v>
      </c>
      <c r="G591" s="1">
        <v>40</v>
      </c>
      <c r="H591" s="1">
        <v>12</v>
      </c>
      <c r="I591" t="s">
        <v>34</v>
      </c>
      <c r="L591" s="1">
        <v>1</v>
      </c>
      <c r="M591" s="3">
        <v>23.61</v>
      </c>
      <c r="N591" s="3">
        <v>1.18</v>
      </c>
      <c r="O591" s="3">
        <v>0</v>
      </c>
      <c r="P591" s="3">
        <v>0.2</v>
      </c>
      <c r="Q591" s="3">
        <v>24.99</v>
      </c>
      <c r="R591" s="3">
        <v>24.25</v>
      </c>
      <c r="S591" s="3">
        <f>VLOOKUP(C591,[1]page!$C$2:$M$3071,11,0)</f>
        <v>23.42</v>
      </c>
      <c r="T591" s="6">
        <f t="shared" si="9"/>
        <v>0.18999999999999773</v>
      </c>
    </row>
    <row r="592" spans="1:20" x14ac:dyDescent="0.2">
      <c r="A592" t="s">
        <v>1862</v>
      </c>
      <c r="B592" t="s">
        <v>1867</v>
      </c>
      <c r="C592" t="s">
        <v>1868</v>
      </c>
      <c r="D592" t="s">
        <v>1865</v>
      </c>
      <c r="E592" t="s">
        <v>1866</v>
      </c>
      <c r="F592" t="s">
        <v>65</v>
      </c>
      <c r="G592" s="1">
        <v>40</v>
      </c>
      <c r="H592" s="1">
        <v>6</v>
      </c>
      <c r="I592" t="s">
        <v>34</v>
      </c>
      <c r="L592" s="1">
        <v>1</v>
      </c>
      <c r="M592" s="3">
        <v>33.950000000000003</v>
      </c>
      <c r="N592" s="3">
        <v>1.7</v>
      </c>
      <c r="O592" s="3">
        <v>0</v>
      </c>
      <c r="P592" s="3">
        <v>0.4</v>
      </c>
      <c r="Q592" s="3">
        <v>36.049999999999997</v>
      </c>
      <c r="R592" s="3">
        <v>35.75</v>
      </c>
      <c r="S592" s="3">
        <f>VLOOKUP(C592,[1]page!$C$2:$M$3071,11,0)</f>
        <v>33.659999999999997</v>
      </c>
      <c r="T592" s="6">
        <f t="shared" si="9"/>
        <v>0.29000000000000625</v>
      </c>
    </row>
    <row r="593" spans="1:20" x14ac:dyDescent="0.2">
      <c r="A593" t="s">
        <v>1869</v>
      </c>
      <c r="B593" t="s">
        <v>1870</v>
      </c>
      <c r="C593" t="s">
        <v>1871</v>
      </c>
      <c r="D593" t="s">
        <v>1872</v>
      </c>
      <c r="E593" t="s">
        <v>1873</v>
      </c>
      <c r="F593" t="s">
        <v>23</v>
      </c>
      <c r="G593" s="1">
        <v>40</v>
      </c>
      <c r="H593" s="1">
        <v>12</v>
      </c>
      <c r="I593" t="s">
        <v>24</v>
      </c>
      <c r="L593" s="1">
        <v>1</v>
      </c>
      <c r="M593" s="3">
        <v>35.69</v>
      </c>
      <c r="N593" s="3">
        <v>1.78</v>
      </c>
      <c r="O593" s="3">
        <v>0</v>
      </c>
      <c r="P593" s="3">
        <v>0.2</v>
      </c>
      <c r="Q593" s="3">
        <v>37.67</v>
      </c>
      <c r="R593" s="3">
        <v>24.25</v>
      </c>
      <c r="S593" s="3">
        <f>VLOOKUP(C593,[1]page!$C$2:$M$3071,11,0)</f>
        <v>35.5</v>
      </c>
      <c r="T593" s="6">
        <f t="shared" si="9"/>
        <v>0.18999999999999773</v>
      </c>
    </row>
    <row r="594" spans="1:20" x14ac:dyDescent="0.2">
      <c r="A594" t="s">
        <v>1869</v>
      </c>
      <c r="B594" t="s">
        <v>1874</v>
      </c>
      <c r="C594" t="s">
        <v>1875</v>
      </c>
      <c r="D594" t="s">
        <v>1876</v>
      </c>
      <c r="E594" t="s">
        <v>1877</v>
      </c>
      <c r="F594" t="s">
        <v>209</v>
      </c>
      <c r="G594" s="1">
        <v>40</v>
      </c>
      <c r="H594" s="1">
        <v>12</v>
      </c>
      <c r="I594" t="s">
        <v>444</v>
      </c>
      <c r="L594" s="1">
        <v>1</v>
      </c>
      <c r="M594" s="3">
        <v>11.98</v>
      </c>
      <c r="N594" s="3">
        <v>0.6</v>
      </c>
      <c r="O594" s="3">
        <v>0</v>
      </c>
      <c r="P594" s="3">
        <v>0.1</v>
      </c>
      <c r="Q594" s="3">
        <v>12.68</v>
      </c>
      <c r="R594" s="3">
        <v>13.7</v>
      </c>
      <c r="S594" s="3">
        <f>VLOOKUP(C594,[1]page!$C$2:$M$3071,11,0)</f>
        <v>11.97</v>
      </c>
      <c r="T594" s="6">
        <f t="shared" si="9"/>
        <v>9.9999999999997868E-3</v>
      </c>
    </row>
    <row r="595" spans="1:20" x14ac:dyDescent="0.2">
      <c r="A595" t="s">
        <v>1869</v>
      </c>
      <c r="B595" t="s">
        <v>1878</v>
      </c>
      <c r="C595" t="s">
        <v>1879</v>
      </c>
      <c r="D595" t="s">
        <v>1876</v>
      </c>
      <c r="E595" t="s">
        <v>1880</v>
      </c>
      <c r="F595" t="s">
        <v>77</v>
      </c>
      <c r="G595" s="1">
        <v>40</v>
      </c>
      <c r="H595" s="1">
        <v>12</v>
      </c>
      <c r="I595" t="s">
        <v>444</v>
      </c>
      <c r="L595" s="1">
        <v>1</v>
      </c>
      <c r="M595" s="3">
        <v>21.5</v>
      </c>
      <c r="N595" s="3">
        <v>1.08</v>
      </c>
      <c r="O595" s="3">
        <v>0</v>
      </c>
      <c r="P595" s="3">
        <v>0.2</v>
      </c>
      <c r="Q595" s="3">
        <v>22.78</v>
      </c>
      <c r="R595" s="3">
        <v>13.7</v>
      </c>
      <c r="S595" s="3">
        <f>VLOOKUP(C595,[1]page!$C$2:$M$3071,11,0)</f>
        <v>21.5</v>
      </c>
      <c r="T595" s="6">
        <f t="shared" si="9"/>
        <v>0</v>
      </c>
    </row>
    <row r="596" spans="1:20" x14ac:dyDescent="0.2">
      <c r="A596" t="s">
        <v>1869</v>
      </c>
      <c r="B596" t="s">
        <v>1881</v>
      </c>
      <c r="C596" t="s">
        <v>1882</v>
      </c>
      <c r="D596" t="s">
        <v>1876</v>
      </c>
      <c r="E596" t="s">
        <v>1880</v>
      </c>
      <c r="F596" t="s">
        <v>23</v>
      </c>
      <c r="G596" s="1">
        <v>40</v>
      </c>
      <c r="H596" s="1">
        <v>12</v>
      </c>
      <c r="I596" t="s">
        <v>444</v>
      </c>
      <c r="L596" s="1">
        <v>1</v>
      </c>
      <c r="M596" s="3">
        <v>42</v>
      </c>
      <c r="N596" s="3">
        <v>2.1</v>
      </c>
      <c r="O596" s="3">
        <v>0</v>
      </c>
      <c r="P596" s="3">
        <v>0.2</v>
      </c>
      <c r="Q596" s="3">
        <v>44.3</v>
      </c>
      <c r="R596" s="3">
        <v>24.25</v>
      </c>
      <c r="S596" s="3">
        <f>VLOOKUP(C596,[1]page!$C$2:$M$3071,11,0)</f>
        <v>42</v>
      </c>
      <c r="T596" s="6">
        <f t="shared" si="9"/>
        <v>0</v>
      </c>
    </row>
    <row r="597" spans="1:20" x14ac:dyDescent="0.2">
      <c r="A597" t="s">
        <v>1869</v>
      </c>
      <c r="B597" t="s">
        <v>1883</v>
      </c>
      <c r="C597" t="s">
        <v>1884</v>
      </c>
      <c r="D597" t="s">
        <v>1876</v>
      </c>
      <c r="E597" t="s">
        <v>1880</v>
      </c>
      <c r="F597" t="s">
        <v>65</v>
      </c>
      <c r="G597" s="1">
        <v>40</v>
      </c>
      <c r="H597" s="1">
        <v>6</v>
      </c>
      <c r="I597" t="s">
        <v>444</v>
      </c>
      <c r="L597" s="1">
        <v>1</v>
      </c>
      <c r="M597" s="3">
        <v>59.25</v>
      </c>
      <c r="N597" s="3">
        <v>2.96</v>
      </c>
      <c r="O597" s="3">
        <v>0</v>
      </c>
      <c r="P597" s="3">
        <v>0.4</v>
      </c>
      <c r="Q597" s="3">
        <v>62.61</v>
      </c>
      <c r="R597" s="3">
        <v>35.75</v>
      </c>
      <c r="S597" s="3">
        <f>VLOOKUP(C597,[1]page!$C$2:$M$3071,11,0)</f>
        <v>59.25</v>
      </c>
      <c r="T597" s="6">
        <f t="shared" si="9"/>
        <v>0</v>
      </c>
    </row>
    <row r="598" spans="1:20" x14ac:dyDescent="0.2">
      <c r="A598" t="s">
        <v>1869</v>
      </c>
      <c r="B598" t="s">
        <v>1885</v>
      </c>
      <c r="C598" t="s">
        <v>1886</v>
      </c>
      <c r="D598" t="s">
        <v>1876</v>
      </c>
      <c r="E598" t="s">
        <v>1880</v>
      </c>
      <c r="F598" t="s">
        <v>84</v>
      </c>
      <c r="G598" s="1">
        <v>40</v>
      </c>
      <c r="H598" s="1">
        <v>6</v>
      </c>
      <c r="I598" t="s">
        <v>444</v>
      </c>
      <c r="L598" s="1">
        <v>1</v>
      </c>
      <c r="M598" s="3">
        <v>87.25</v>
      </c>
      <c r="N598" s="3">
        <v>4.3600000000000003</v>
      </c>
      <c r="O598" s="3">
        <v>0</v>
      </c>
      <c r="P598" s="3">
        <v>0.4</v>
      </c>
      <c r="Q598" s="3">
        <v>92.01</v>
      </c>
      <c r="R598" s="3">
        <v>53.75</v>
      </c>
      <c r="S598" s="3">
        <f>VLOOKUP(C598,[1]page!$C$2:$M$3071,11,0)</f>
        <v>87.25</v>
      </c>
      <c r="T598" s="6">
        <f t="shared" si="9"/>
        <v>0</v>
      </c>
    </row>
    <row r="599" spans="1:20" x14ac:dyDescent="0.2">
      <c r="A599" t="s">
        <v>1887</v>
      </c>
      <c r="B599" t="s">
        <v>1888</v>
      </c>
      <c r="C599" t="s">
        <v>1889</v>
      </c>
      <c r="D599" t="s">
        <v>1890</v>
      </c>
      <c r="E599" t="s">
        <v>493</v>
      </c>
      <c r="F599" t="s">
        <v>23</v>
      </c>
      <c r="G599" s="1">
        <v>40</v>
      </c>
      <c r="H599" s="1">
        <v>12</v>
      </c>
      <c r="I599" t="s">
        <v>62</v>
      </c>
      <c r="L599" s="1">
        <v>1</v>
      </c>
      <c r="M599" s="3">
        <v>21.31</v>
      </c>
      <c r="N599" s="3">
        <v>1.07</v>
      </c>
      <c r="O599" s="3">
        <v>0</v>
      </c>
      <c r="P599" s="3">
        <v>0.2</v>
      </c>
      <c r="Q599" s="3">
        <v>22.58</v>
      </c>
      <c r="R599" s="3">
        <v>24.25</v>
      </c>
      <c r="S599" s="3">
        <f>VLOOKUP(C599,[1]page!$C$2:$M$3071,11,0)</f>
        <v>21.12</v>
      </c>
      <c r="T599" s="6">
        <f t="shared" si="9"/>
        <v>0.18999999999999773</v>
      </c>
    </row>
    <row r="600" spans="1:20" x14ac:dyDescent="0.2">
      <c r="A600" t="s">
        <v>1887</v>
      </c>
      <c r="B600" t="s">
        <v>1891</v>
      </c>
      <c r="C600" t="s">
        <v>1892</v>
      </c>
      <c r="D600" t="s">
        <v>1890</v>
      </c>
      <c r="E600" t="s">
        <v>493</v>
      </c>
      <c r="F600" t="s">
        <v>84</v>
      </c>
      <c r="G600" s="1">
        <v>40</v>
      </c>
      <c r="H600" s="1">
        <v>6</v>
      </c>
      <c r="I600" t="s">
        <v>62</v>
      </c>
      <c r="L600" s="1">
        <v>1</v>
      </c>
      <c r="M600" s="3">
        <v>45.14</v>
      </c>
      <c r="N600" s="3">
        <v>2.2599999999999998</v>
      </c>
      <c r="O600" s="3">
        <v>0</v>
      </c>
      <c r="P600" s="3">
        <v>0.25</v>
      </c>
      <c r="Q600" s="3">
        <v>47.65</v>
      </c>
      <c r="R600" s="3">
        <v>53.75</v>
      </c>
      <c r="S600" s="3">
        <f>VLOOKUP(C600,[1]page!$C$2:$M$3071,11,0)</f>
        <v>44.69</v>
      </c>
      <c r="T600" s="6">
        <f t="shared" si="9"/>
        <v>0.45000000000000284</v>
      </c>
    </row>
    <row r="601" spans="1:20" x14ac:dyDescent="0.2">
      <c r="A601" t="s">
        <v>1893</v>
      </c>
      <c r="B601" t="s">
        <v>1894</v>
      </c>
      <c r="C601" t="s">
        <v>1895</v>
      </c>
      <c r="D601" t="s">
        <v>1896</v>
      </c>
      <c r="E601" t="s">
        <v>1897</v>
      </c>
      <c r="F601" t="s">
        <v>23</v>
      </c>
      <c r="G601" s="1">
        <v>40</v>
      </c>
      <c r="H601" s="1">
        <v>12</v>
      </c>
      <c r="I601" t="s">
        <v>397</v>
      </c>
      <c r="L601" s="1">
        <v>1</v>
      </c>
      <c r="M601" s="3">
        <v>24.7</v>
      </c>
      <c r="N601" s="3">
        <v>1.24</v>
      </c>
      <c r="O601" s="3">
        <v>0</v>
      </c>
      <c r="P601" s="3">
        <v>0.2</v>
      </c>
      <c r="Q601" s="3">
        <v>26.14</v>
      </c>
      <c r="R601" s="3">
        <v>24.25</v>
      </c>
      <c r="S601" s="3">
        <f>VLOOKUP(C601,[1]page!$C$2:$M$3071,11,0)</f>
        <v>24.51</v>
      </c>
      <c r="T601" s="6">
        <f t="shared" si="9"/>
        <v>0.18999999999999773</v>
      </c>
    </row>
    <row r="602" spans="1:20" x14ac:dyDescent="0.2">
      <c r="A602" t="s">
        <v>1893</v>
      </c>
      <c r="B602" t="s">
        <v>1898</v>
      </c>
      <c r="C602" t="s">
        <v>1899</v>
      </c>
      <c r="D602" t="s">
        <v>1896</v>
      </c>
      <c r="E602" t="s">
        <v>1897</v>
      </c>
      <c r="F602" t="s">
        <v>65</v>
      </c>
      <c r="G602" s="1">
        <v>40</v>
      </c>
      <c r="H602" s="1">
        <v>6</v>
      </c>
      <c r="I602" t="s">
        <v>397</v>
      </c>
      <c r="L602" s="1">
        <v>1</v>
      </c>
      <c r="M602" s="3">
        <v>36.26</v>
      </c>
      <c r="N602" s="3">
        <v>1.81</v>
      </c>
      <c r="O602" s="3">
        <v>0</v>
      </c>
      <c r="P602" s="3">
        <v>0.4</v>
      </c>
      <c r="Q602" s="3">
        <v>38.47</v>
      </c>
      <c r="R602" s="3">
        <v>35.75</v>
      </c>
      <c r="S602" s="3">
        <f>VLOOKUP(C602,[1]page!$C$2:$M$3071,11,0)</f>
        <v>35.97</v>
      </c>
      <c r="T602" s="6">
        <f t="shared" si="9"/>
        <v>0.28999999999999915</v>
      </c>
    </row>
    <row r="603" spans="1:20" x14ac:dyDescent="0.2">
      <c r="A603" t="s">
        <v>1893</v>
      </c>
      <c r="B603" t="s">
        <v>1900</v>
      </c>
      <c r="C603" t="s">
        <v>1901</v>
      </c>
      <c r="D603" t="s">
        <v>1896</v>
      </c>
      <c r="E603" t="s">
        <v>1897</v>
      </c>
      <c r="F603" t="s">
        <v>84</v>
      </c>
      <c r="G603" s="1">
        <v>40</v>
      </c>
      <c r="H603" s="1">
        <v>6</v>
      </c>
      <c r="I603" t="s">
        <v>397</v>
      </c>
      <c r="L603" s="1">
        <v>1</v>
      </c>
      <c r="M603" s="3">
        <v>55.61</v>
      </c>
      <c r="N603" s="3">
        <v>2.78</v>
      </c>
      <c r="O603" s="3">
        <v>0</v>
      </c>
      <c r="P603" s="3">
        <v>0.4</v>
      </c>
      <c r="Q603" s="3">
        <v>58.79</v>
      </c>
      <c r="R603" s="3">
        <v>53.75</v>
      </c>
      <c r="S603" s="3">
        <f>VLOOKUP(C603,[1]page!$C$2:$M$3071,11,0)</f>
        <v>55.17</v>
      </c>
      <c r="T603" s="6">
        <f t="shared" si="9"/>
        <v>0.43999999999999773</v>
      </c>
    </row>
    <row r="604" spans="1:20" x14ac:dyDescent="0.2">
      <c r="A604" t="s">
        <v>1902</v>
      </c>
      <c r="B604" t="s">
        <v>1903</v>
      </c>
      <c r="C604" t="s">
        <v>1904</v>
      </c>
      <c r="D604" t="s">
        <v>1905</v>
      </c>
      <c r="E604" t="s">
        <v>1897</v>
      </c>
      <c r="F604" t="s">
        <v>23</v>
      </c>
      <c r="G604" s="1">
        <v>40</v>
      </c>
      <c r="H604" s="1">
        <v>12</v>
      </c>
      <c r="I604" t="s">
        <v>397</v>
      </c>
      <c r="L604" s="1">
        <v>1</v>
      </c>
      <c r="M604" s="3">
        <v>21.59</v>
      </c>
      <c r="N604" s="3">
        <v>1.08</v>
      </c>
      <c r="O604" s="3">
        <v>0</v>
      </c>
      <c r="P604" s="3">
        <v>0.2</v>
      </c>
      <c r="Q604" s="3">
        <v>22.87</v>
      </c>
      <c r="R604" s="3">
        <v>24.25</v>
      </c>
      <c r="S604" s="3">
        <f>VLOOKUP(C604,[1]page!$C$2:$M$3071,11,0)</f>
        <v>21.4</v>
      </c>
      <c r="T604" s="6">
        <f t="shared" si="9"/>
        <v>0.19000000000000128</v>
      </c>
    </row>
    <row r="605" spans="1:20" x14ac:dyDescent="0.2">
      <c r="A605" t="s">
        <v>1906</v>
      </c>
      <c r="B605" t="s">
        <v>1907</v>
      </c>
      <c r="C605" t="s">
        <v>1908</v>
      </c>
      <c r="D605" t="s">
        <v>1909</v>
      </c>
      <c r="E605" t="s">
        <v>1910</v>
      </c>
      <c r="F605" t="s">
        <v>23</v>
      </c>
      <c r="G605" s="1">
        <v>40</v>
      </c>
      <c r="H605" s="1">
        <v>12</v>
      </c>
      <c r="I605" t="s">
        <v>24</v>
      </c>
      <c r="L605" s="1">
        <v>1</v>
      </c>
      <c r="M605" s="3">
        <v>25.99</v>
      </c>
      <c r="N605" s="3">
        <v>1.3</v>
      </c>
      <c r="O605" s="3">
        <v>0</v>
      </c>
      <c r="P605" s="3">
        <v>0.2</v>
      </c>
      <c r="Q605" s="3">
        <v>27.49</v>
      </c>
      <c r="R605" s="3">
        <v>24.25</v>
      </c>
      <c r="S605" s="3">
        <f>VLOOKUP(C605,[1]page!$C$2:$M$3071,11,0)</f>
        <v>25.5</v>
      </c>
      <c r="T605" s="6">
        <f t="shared" si="9"/>
        <v>0.48999999999999844</v>
      </c>
    </row>
    <row r="606" spans="1:20" x14ac:dyDescent="0.2">
      <c r="A606" t="s">
        <v>1906</v>
      </c>
      <c r="B606" t="s">
        <v>1911</v>
      </c>
      <c r="C606" t="s">
        <v>1912</v>
      </c>
      <c r="D606" t="s">
        <v>1909</v>
      </c>
      <c r="E606" t="s">
        <v>1910</v>
      </c>
      <c r="F606" t="s">
        <v>65</v>
      </c>
      <c r="G606" s="1">
        <v>40</v>
      </c>
      <c r="H606" s="1">
        <v>6</v>
      </c>
      <c r="I606" t="s">
        <v>24</v>
      </c>
      <c r="L606" s="1">
        <v>1</v>
      </c>
      <c r="M606" s="3">
        <v>38.29</v>
      </c>
      <c r="N606" s="3">
        <v>1.91</v>
      </c>
      <c r="O606" s="3">
        <v>0</v>
      </c>
      <c r="P606" s="3">
        <v>0.4</v>
      </c>
      <c r="Q606" s="3">
        <v>40.6</v>
      </c>
      <c r="R606" s="3">
        <v>35.75</v>
      </c>
      <c r="S606" s="3">
        <f>VLOOKUP(C606,[1]page!$C$2:$M$3071,11,0)</f>
        <v>37.520000000000003</v>
      </c>
      <c r="T606" s="6">
        <f t="shared" si="9"/>
        <v>0.76999999999999602</v>
      </c>
    </row>
    <row r="607" spans="1:20" x14ac:dyDescent="0.2">
      <c r="A607" t="s">
        <v>1913</v>
      </c>
      <c r="B607" t="s">
        <v>1914</v>
      </c>
      <c r="C607" t="s">
        <v>1915</v>
      </c>
      <c r="D607" t="s">
        <v>1916</v>
      </c>
      <c r="E607" t="s">
        <v>1917</v>
      </c>
      <c r="F607" t="s">
        <v>23</v>
      </c>
      <c r="G607" s="1">
        <v>40</v>
      </c>
      <c r="H607" s="1">
        <v>12</v>
      </c>
      <c r="I607" t="s">
        <v>70</v>
      </c>
      <c r="L607" s="1">
        <v>1</v>
      </c>
      <c r="M607" s="3">
        <v>42.21</v>
      </c>
      <c r="N607" s="3">
        <v>2.11</v>
      </c>
      <c r="O607" s="3">
        <v>0</v>
      </c>
      <c r="P607" s="3">
        <v>0.2</v>
      </c>
      <c r="Q607" s="3">
        <v>44.52</v>
      </c>
      <c r="R607" s="3">
        <v>24.25</v>
      </c>
      <c r="S607" s="3">
        <f>VLOOKUP(C607,[1]page!$C$2:$M$3071,11,0)</f>
        <v>42.02</v>
      </c>
      <c r="T607" s="6">
        <f t="shared" si="9"/>
        <v>0.18999999999999773</v>
      </c>
    </row>
    <row r="608" spans="1:20" x14ac:dyDescent="0.2">
      <c r="A608" t="s">
        <v>1918</v>
      </c>
      <c r="B608" t="s">
        <v>1919</v>
      </c>
      <c r="C608" t="s">
        <v>1920</v>
      </c>
      <c r="D608" t="s">
        <v>1921</v>
      </c>
      <c r="E608" t="s">
        <v>1922</v>
      </c>
      <c r="F608" t="s">
        <v>23</v>
      </c>
      <c r="G608" s="1">
        <v>40</v>
      </c>
      <c r="H608" s="1">
        <v>12</v>
      </c>
      <c r="I608" t="s">
        <v>34</v>
      </c>
      <c r="L608" s="1">
        <v>1</v>
      </c>
      <c r="M608" s="3">
        <v>23.05</v>
      </c>
      <c r="N608" s="3">
        <v>1.1499999999999999</v>
      </c>
      <c r="O608" s="3">
        <v>0</v>
      </c>
      <c r="P608" s="3">
        <v>0.2</v>
      </c>
      <c r="Q608" s="3">
        <v>24.4</v>
      </c>
      <c r="R608" s="3">
        <v>24.25</v>
      </c>
      <c r="S608" s="3">
        <f>VLOOKUP(C608,[1]page!$C$2:$M$3071,11,0)</f>
        <v>22.86</v>
      </c>
      <c r="T608" s="6">
        <f t="shared" si="9"/>
        <v>0.19000000000000128</v>
      </c>
    </row>
    <row r="609" spans="1:20" x14ac:dyDescent="0.2">
      <c r="A609" t="s">
        <v>1918</v>
      </c>
      <c r="B609" t="s">
        <v>1923</v>
      </c>
      <c r="C609" t="s">
        <v>1924</v>
      </c>
      <c r="D609" t="s">
        <v>1921</v>
      </c>
      <c r="E609" t="s">
        <v>1922</v>
      </c>
      <c r="F609" t="s">
        <v>65</v>
      </c>
      <c r="G609" s="1">
        <v>40</v>
      </c>
      <c r="H609" s="1">
        <v>6</v>
      </c>
      <c r="I609" t="s">
        <v>34</v>
      </c>
      <c r="L609" s="1">
        <v>1</v>
      </c>
      <c r="M609" s="3">
        <v>32.61</v>
      </c>
      <c r="N609" s="3">
        <v>1.63</v>
      </c>
      <c r="O609" s="3">
        <v>0</v>
      </c>
      <c r="P609" s="3">
        <v>0.4</v>
      </c>
      <c r="Q609" s="3">
        <v>34.64</v>
      </c>
      <c r="R609" s="3">
        <v>35.75</v>
      </c>
      <c r="S609" s="3">
        <f>VLOOKUP(C609,[1]page!$C$2:$M$3071,11,0)</f>
        <v>32.32</v>
      </c>
      <c r="T609" s="6">
        <f t="shared" si="9"/>
        <v>0.28999999999999915</v>
      </c>
    </row>
    <row r="610" spans="1:20" x14ac:dyDescent="0.2">
      <c r="A610" t="s">
        <v>1918</v>
      </c>
      <c r="B610" t="s">
        <v>1925</v>
      </c>
      <c r="C610" t="s">
        <v>1926</v>
      </c>
      <c r="D610" t="s">
        <v>1927</v>
      </c>
      <c r="E610" t="s">
        <v>1928</v>
      </c>
      <c r="F610" t="s">
        <v>23</v>
      </c>
      <c r="G610" s="1">
        <v>40</v>
      </c>
      <c r="H610" s="1">
        <v>12</v>
      </c>
      <c r="I610" t="s">
        <v>34</v>
      </c>
      <c r="L610" s="1">
        <v>1</v>
      </c>
      <c r="M610" s="3">
        <v>22.55</v>
      </c>
      <c r="N610" s="3">
        <v>1.1299999999999999</v>
      </c>
      <c r="O610" s="3">
        <v>0</v>
      </c>
      <c r="P610" s="3">
        <v>0.2</v>
      </c>
      <c r="Q610" s="3">
        <v>23.88</v>
      </c>
      <c r="R610" s="3">
        <v>24.25</v>
      </c>
      <c r="S610" s="3">
        <f>VLOOKUP(C610,[1]page!$C$2:$M$3071,11,0)</f>
        <v>22.36</v>
      </c>
      <c r="T610" s="6">
        <f t="shared" si="9"/>
        <v>0.19000000000000128</v>
      </c>
    </row>
    <row r="611" spans="1:20" x14ac:dyDescent="0.2">
      <c r="A611" t="s">
        <v>1929</v>
      </c>
      <c r="B611" t="s">
        <v>1930</v>
      </c>
      <c r="C611" t="s">
        <v>1931</v>
      </c>
      <c r="D611" t="s">
        <v>1932</v>
      </c>
      <c r="E611" t="s">
        <v>1933</v>
      </c>
      <c r="F611" t="s">
        <v>77</v>
      </c>
      <c r="G611" s="1">
        <v>40</v>
      </c>
      <c r="H611" s="1">
        <v>24</v>
      </c>
      <c r="I611" t="s">
        <v>39</v>
      </c>
      <c r="L611" s="1">
        <v>1</v>
      </c>
      <c r="M611" s="3">
        <v>15.1</v>
      </c>
      <c r="N611" s="3">
        <v>0.76</v>
      </c>
      <c r="O611" s="3">
        <v>0</v>
      </c>
      <c r="P611" s="3">
        <v>0.2</v>
      </c>
      <c r="Q611" s="3">
        <v>16.059999999999999</v>
      </c>
      <c r="R611" s="3">
        <v>13.7</v>
      </c>
      <c r="S611" s="3">
        <f>VLOOKUP(C611,[1]page!$C$2:$M$3071,11,0)</f>
        <v>15.1</v>
      </c>
      <c r="T611" s="6">
        <f t="shared" si="9"/>
        <v>0</v>
      </c>
    </row>
    <row r="612" spans="1:20" x14ac:dyDescent="0.2">
      <c r="A612" t="s">
        <v>1929</v>
      </c>
      <c r="B612" t="s">
        <v>1934</v>
      </c>
      <c r="C612" t="s">
        <v>1935</v>
      </c>
      <c r="D612" t="s">
        <v>1932</v>
      </c>
      <c r="E612" t="s">
        <v>1933</v>
      </c>
      <c r="F612" t="s">
        <v>23</v>
      </c>
      <c r="G612" s="1">
        <v>40</v>
      </c>
      <c r="H612" s="1">
        <v>12</v>
      </c>
      <c r="I612" t="s">
        <v>39</v>
      </c>
      <c r="L612" s="1">
        <v>1</v>
      </c>
      <c r="M612" s="3">
        <v>24</v>
      </c>
      <c r="N612" s="3">
        <v>1.2</v>
      </c>
      <c r="O612" s="3">
        <v>0</v>
      </c>
      <c r="P612" s="3">
        <v>0.2</v>
      </c>
      <c r="Q612" s="3">
        <v>25.4</v>
      </c>
      <c r="R612" s="3">
        <v>24.25</v>
      </c>
      <c r="S612" s="3">
        <f>VLOOKUP(C612,[1]page!$C$2:$M$3071,11,0)</f>
        <v>24</v>
      </c>
      <c r="T612" s="6">
        <f t="shared" si="9"/>
        <v>0</v>
      </c>
    </row>
    <row r="613" spans="1:20" x14ac:dyDescent="0.2">
      <c r="A613" t="s">
        <v>1929</v>
      </c>
      <c r="B613" t="s">
        <v>1936</v>
      </c>
      <c r="C613" t="s">
        <v>1937</v>
      </c>
      <c r="D613" t="s">
        <v>1932</v>
      </c>
      <c r="E613" t="s">
        <v>1933</v>
      </c>
      <c r="F613" t="s">
        <v>65</v>
      </c>
      <c r="G613" s="1">
        <v>40</v>
      </c>
      <c r="H613" s="1">
        <v>6</v>
      </c>
      <c r="I613" t="s">
        <v>39</v>
      </c>
      <c r="L613" s="1">
        <v>1</v>
      </c>
      <c r="M613" s="3">
        <v>35.01</v>
      </c>
      <c r="N613" s="3">
        <v>1.75</v>
      </c>
      <c r="O613" s="3">
        <v>0</v>
      </c>
      <c r="P613" s="3">
        <v>0.4</v>
      </c>
      <c r="Q613" s="3">
        <v>37.159999999999997</v>
      </c>
      <c r="R613" s="3">
        <v>35.75</v>
      </c>
      <c r="S613" s="3">
        <f>VLOOKUP(C613,[1]page!$C$2:$M$3071,11,0)</f>
        <v>35.01</v>
      </c>
      <c r="T613" s="6">
        <f t="shared" si="9"/>
        <v>0</v>
      </c>
    </row>
    <row r="614" spans="1:20" x14ac:dyDescent="0.2">
      <c r="A614" t="s">
        <v>1929</v>
      </c>
      <c r="B614" t="s">
        <v>1938</v>
      </c>
      <c r="C614" t="s">
        <v>1939</v>
      </c>
      <c r="D614" t="s">
        <v>1932</v>
      </c>
      <c r="E614" t="s">
        <v>1933</v>
      </c>
      <c r="F614" t="s">
        <v>84</v>
      </c>
      <c r="G614" s="1">
        <v>40</v>
      </c>
      <c r="H614" s="1">
        <v>6</v>
      </c>
      <c r="I614" t="s">
        <v>39</v>
      </c>
      <c r="L614" s="1">
        <v>1</v>
      </c>
      <c r="M614" s="3">
        <v>51.52</v>
      </c>
      <c r="N614" s="3">
        <v>2.58</v>
      </c>
      <c r="O614" s="3">
        <v>0</v>
      </c>
      <c r="P614" s="3">
        <v>0.4</v>
      </c>
      <c r="Q614" s="3">
        <v>54.5</v>
      </c>
      <c r="R614" s="3">
        <v>53.75</v>
      </c>
      <c r="S614" s="3">
        <f>VLOOKUP(C614,[1]page!$C$2:$M$3071,11,0)</f>
        <v>51.52</v>
      </c>
      <c r="T614" s="6">
        <f t="shared" si="9"/>
        <v>0</v>
      </c>
    </row>
    <row r="615" spans="1:20" x14ac:dyDescent="0.2">
      <c r="A615" t="s">
        <v>1929</v>
      </c>
      <c r="B615" t="s">
        <v>1940</v>
      </c>
      <c r="C615" t="s">
        <v>1941</v>
      </c>
      <c r="D615" t="s">
        <v>1942</v>
      </c>
      <c r="E615" t="s">
        <v>1933</v>
      </c>
      <c r="F615" t="s">
        <v>23</v>
      </c>
      <c r="G615" s="1">
        <v>40</v>
      </c>
      <c r="H615" s="1">
        <v>12</v>
      </c>
      <c r="I615" t="s">
        <v>39</v>
      </c>
      <c r="L615" s="1">
        <v>1</v>
      </c>
      <c r="M615" s="3">
        <v>24.3</v>
      </c>
      <c r="N615" s="3">
        <v>1.22</v>
      </c>
      <c r="O615" s="3">
        <v>0</v>
      </c>
      <c r="P615" s="3">
        <v>0.2</v>
      </c>
      <c r="Q615" s="3">
        <v>25.72</v>
      </c>
      <c r="R615" s="3">
        <v>24.25</v>
      </c>
      <c r="S615" s="3">
        <f>VLOOKUP(C615,[1]page!$C$2:$M$3071,11,0)</f>
        <v>24.11</v>
      </c>
      <c r="T615" s="6">
        <f t="shared" si="9"/>
        <v>0.19000000000000128</v>
      </c>
    </row>
    <row r="616" spans="1:20" x14ac:dyDescent="0.2">
      <c r="A616" t="s">
        <v>1943</v>
      </c>
      <c r="B616" t="s">
        <v>1944</v>
      </c>
      <c r="C616" t="s">
        <v>1945</v>
      </c>
      <c r="D616" t="s">
        <v>1946</v>
      </c>
      <c r="E616" t="s">
        <v>1947</v>
      </c>
      <c r="F616" t="s">
        <v>23</v>
      </c>
      <c r="G616" s="1">
        <v>40</v>
      </c>
      <c r="H616" s="1">
        <v>12</v>
      </c>
      <c r="I616" t="s">
        <v>1948</v>
      </c>
      <c r="L616" s="1">
        <v>1</v>
      </c>
      <c r="M616" s="3">
        <v>22.72</v>
      </c>
      <c r="N616" s="3">
        <v>1.1399999999999999</v>
      </c>
      <c r="O616" s="3">
        <v>0</v>
      </c>
      <c r="P616" s="3">
        <v>0.2</v>
      </c>
      <c r="Q616" s="3">
        <v>24.06</v>
      </c>
      <c r="R616" s="3">
        <v>24.25</v>
      </c>
      <c r="S616" s="3">
        <f>VLOOKUP(C616,[1]page!$C$2:$M$3071,11,0)</f>
        <v>22.53</v>
      </c>
      <c r="T616" s="6">
        <f t="shared" si="9"/>
        <v>0.18999999999999773</v>
      </c>
    </row>
    <row r="617" spans="1:20" x14ac:dyDescent="0.2">
      <c r="A617" t="s">
        <v>1949</v>
      </c>
      <c r="B617" t="s">
        <v>1950</v>
      </c>
      <c r="C617" t="s">
        <v>1951</v>
      </c>
      <c r="D617" t="s">
        <v>1738</v>
      </c>
      <c r="E617" t="s">
        <v>579</v>
      </c>
      <c r="F617" t="s">
        <v>77</v>
      </c>
      <c r="G617" s="1">
        <v>40</v>
      </c>
      <c r="H617" s="1">
        <v>12</v>
      </c>
      <c r="I617" t="s">
        <v>29</v>
      </c>
      <c r="L617" s="1">
        <v>1</v>
      </c>
      <c r="M617" s="3">
        <v>12.15</v>
      </c>
      <c r="N617" s="3">
        <v>0.61</v>
      </c>
      <c r="O617" s="3">
        <v>0</v>
      </c>
      <c r="P617" s="3">
        <v>0.2</v>
      </c>
      <c r="Q617" s="3">
        <v>12.96</v>
      </c>
      <c r="R617" s="3">
        <v>13.7</v>
      </c>
      <c r="S617" s="3">
        <f>VLOOKUP(C617,[1]page!$C$2:$M$3071,11,0)</f>
        <v>12.02</v>
      </c>
      <c r="T617" s="6">
        <f t="shared" si="9"/>
        <v>0.13000000000000078</v>
      </c>
    </row>
    <row r="618" spans="1:20" x14ac:dyDescent="0.2">
      <c r="A618" t="s">
        <v>1949</v>
      </c>
      <c r="B618" t="s">
        <v>1952</v>
      </c>
      <c r="C618" t="s">
        <v>1953</v>
      </c>
      <c r="D618" t="s">
        <v>1738</v>
      </c>
      <c r="E618" t="s">
        <v>579</v>
      </c>
      <c r="F618" t="s">
        <v>84</v>
      </c>
      <c r="G618" s="1">
        <v>40</v>
      </c>
      <c r="H618" s="1">
        <v>6</v>
      </c>
      <c r="I618" t="s">
        <v>29</v>
      </c>
      <c r="L618" s="1">
        <v>1</v>
      </c>
      <c r="M618" s="3">
        <v>44.04</v>
      </c>
      <c r="N618" s="3">
        <v>2.2000000000000002</v>
      </c>
      <c r="O618" s="3">
        <v>0</v>
      </c>
      <c r="P618" s="3">
        <v>0.4</v>
      </c>
      <c r="Q618" s="3">
        <v>46.64</v>
      </c>
      <c r="R618" s="3">
        <v>53.75</v>
      </c>
      <c r="S618" s="3">
        <f>VLOOKUP(C618,[1]page!$C$2:$M$3071,11,0)</f>
        <v>43.59</v>
      </c>
      <c r="T618" s="6">
        <f t="shared" si="9"/>
        <v>0.44999999999999574</v>
      </c>
    </row>
    <row r="619" spans="1:20" x14ac:dyDescent="0.2">
      <c r="A619" t="s">
        <v>1949</v>
      </c>
      <c r="B619" t="s">
        <v>1954</v>
      </c>
      <c r="C619" t="s">
        <v>1955</v>
      </c>
      <c r="D619" t="s">
        <v>1956</v>
      </c>
      <c r="E619" t="s">
        <v>1957</v>
      </c>
      <c r="F619" t="s">
        <v>77</v>
      </c>
      <c r="G619" s="1">
        <v>40</v>
      </c>
      <c r="H619" s="1">
        <v>12</v>
      </c>
      <c r="I619" t="s">
        <v>178</v>
      </c>
      <c r="L619" s="1">
        <v>1</v>
      </c>
      <c r="M619" s="3">
        <v>15.48</v>
      </c>
      <c r="N619" s="3">
        <v>0.77</v>
      </c>
      <c r="O619" s="3">
        <v>0</v>
      </c>
      <c r="P619" s="3">
        <v>0.2</v>
      </c>
      <c r="Q619" s="3">
        <v>16.45</v>
      </c>
      <c r="R619" s="3">
        <v>13.7</v>
      </c>
      <c r="S619" s="3">
        <f>VLOOKUP(C619,[1]page!$C$2:$M$3071,11,0)</f>
        <v>14.33</v>
      </c>
      <c r="T619" s="6">
        <f t="shared" si="9"/>
        <v>1.1500000000000004</v>
      </c>
    </row>
    <row r="620" spans="1:20" x14ac:dyDescent="0.2">
      <c r="A620" t="s">
        <v>1949</v>
      </c>
      <c r="B620" t="s">
        <v>1958</v>
      </c>
      <c r="C620" t="s">
        <v>1959</v>
      </c>
      <c r="D620" t="s">
        <v>1956</v>
      </c>
      <c r="E620" t="s">
        <v>1957</v>
      </c>
      <c r="F620" t="s">
        <v>23</v>
      </c>
      <c r="G620" s="1">
        <v>40</v>
      </c>
      <c r="H620" s="1">
        <v>12</v>
      </c>
      <c r="I620" t="s">
        <v>178</v>
      </c>
      <c r="L620" s="1">
        <v>1</v>
      </c>
      <c r="M620" s="3">
        <v>26.78</v>
      </c>
      <c r="N620" s="3">
        <v>1.34</v>
      </c>
      <c r="O620" s="3">
        <v>0</v>
      </c>
      <c r="P620" s="3">
        <v>0.2</v>
      </c>
      <c r="Q620" s="3">
        <v>28.32</v>
      </c>
      <c r="R620" s="3">
        <v>24.25</v>
      </c>
      <c r="S620" s="3">
        <f>VLOOKUP(C620,[1]page!$C$2:$M$3071,11,0)</f>
        <v>25.52</v>
      </c>
      <c r="T620" s="6">
        <f t="shared" si="9"/>
        <v>1.2600000000000016</v>
      </c>
    </row>
    <row r="621" spans="1:20" x14ac:dyDescent="0.2">
      <c r="A621" t="s">
        <v>1949</v>
      </c>
      <c r="B621" t="s">
        <v>1960</v>
      </c>
      <c r="C621" t="s">
        <v>1961</v>
      </c>
      <c r="D621" t="s">
        <v>1956</v>
      </c>
      <c r="E621" t="s">
        <v>1957</v>
      </c>
      <c r="F621" t="s">
        <v>65</v>
      </c>
      <c r="G621" s="1">
        <v>40</v>
      </c>
      <c r="H621" s="1">
        <v>8</v>
      </c>
      <c r="I621" t="s">
        <v>178</v>
      </c>
      <c r="L621" s="1">
        <v>1</v>
      </c>
      <c r="M621" s="3">
        <v>38.78</v>
      </c>
      <c r="N621" s="3">
        <v>1.94</v>
      </c>
      <c r="O621" s="3">
        <v>0</v>
      </c>
      <c r="P621" s="3">
        <v>0.4</v>
      </c>
      <c r="Q621" s="3">
        <v>41.12</v>
      </c>
      <c r="R621" s="3">
        <v>35.75</v>
      </c>
      <c r="S621" s="3">
        <f>VLOOKUP(C621,[1]page!$C$2:$M$3071,11,0)</f>
        <v>37.56</v>
      </c>
      <c r="T621" s="6">
        <f t="shared" si="9"/>
        <v>1.2199999999999989</v>
      </c>
    </row>
    <row r="622" spans="1:20" x14ac:dyDescent="0.2">
      <c r="A622" t="s">
        <v>1949</v>
      </c>
      <c r="B622" t="s">
        <v>1962</v>
      </c>
      <c r="C622" t="s">
        <v>1963</v>
      </c>
      <c r="D622" t="s">
        <v>1956</v>
      </c>
      <c r="E622" t="s">
        <v>1957</v>
      </c>
      <c r="F622" t="s">
        <v>84</v>
      </c>
      <c r="G622" s="1">
        <v>40</v>
      </c>
      <c r="H622" s="1">
        <v>6</v>
      </c>
      <c r="I622" t="s">
        <v>178</v>
      </c>
      <c r="L622" s="1">
        <v>1</v>
      </c>
      <c r="M622" s="3">
        <v>59.08</v>
      </c>
      <c r="N622" s="3">
        <v>2.95</v>
      </c>
      <c r="O622" s="3">
        <v>0</v>
      </c>
      <c r="P622" s="3">
        <v>0.4</v>
      </c>
      <c r="Q622" s="3">
        <v>62.43</v>
      </c>
      <c r="R622" s="3">
        <v>53.75</v>
      </c>
      <c r="S622" s="3">
        <f>VLOOKUP(C622,[1]page!$C$2:$M$3071,11,0)</f>
        <v>59.08</v>
      </c>
      <c r="T622" s="6">
        <f t="shared" si="9"/>
        <v>0</v>
      </c>
    </row>
    <row r="623" spans="1:20" x14ac:dyDescent="0.2">
      <c r="A623" t="s">
        <v>1711</v>
      </c>
      <c r="B623" t="s">
        <v>1964</v>
      </c>
      <c r="C623" t="s">
        <v>1965</v>
      </c>
      <c r="D623" t="s">
        <v>1966</v>
      </c>
      <c r="E623" t="s">
        <v>38</v>
      </c>
      <c r="F623" t="s">
        <v>23</v>
      </c>
      <c r="G623" s="1">
        <v>30</v>
      </c>
      <c r="H623" s="1">
        <v>12</v>
      </c>
      <c r="I623" t="s">
        <v>39</v>
      </c>
      <c r="L623" s="1">
        <v>1</v>
      </c>
      <c r="M623" s="3">
        <v>21.42</v>
      </c>
      <c r="N623" s="3">
        <v>1.07</v>
      </c>
      <c r="O623" s="3">
        <v>0</v>
      </c>
      <c r="P623" s="3">
        <v>0.2</v>
      </c>
      <c r="Q623" s="3">
        <v>22.69</v>
      </c>
      <c r="R623" s="3">
        <v>18.2</v>
      </c>
      <c r="S623" s="3">
        <f>VLOOKUP(C623,[1]page!$C$2:$M$3071,11,0)</f>
        <v>21.42</v>
      </c>
      <c r="T623" s="6">
        <f t="shared" si="9"/>
        <v>0</v>
      </c>
    </row>
    <row r="624" spans="1:20" x14ac:dyDescent="0.2">
      <c r="A624" t="s">
        <v>1711</v>
      </c>
      <c r="B624" t="s">
        <v>1967</v>
      </c>
      <c r="C624" t="s">
        <v>1968</v>
      </c>
      <c r="D624" t="s">
        <v>1725</v>
      </c>
      <c r="E624" t="s">
        <v>43</v>
      </c>
      <c r="F624" t="s">
        <v>23</v>
      </c>
      <c r="G624" s="1">
        <v>30</v>
      </c>
      <c r="H624" s="1">
        <v>12</v>
      </c>
      <c r="I624" t="s">
        <v>39</v>
      </c>
      <c r="L624" s="1">
        <v>1</v>
      </c>
      <c r="M624" s="3">
        <v>21.56</v>
      </c>
      <c r="N624" s="3">
        <v>1.08</v>
      </c>
      <c r="O624" s="3">
        <v>0</v>
      </c>
      <c r="P624" s="3">
        <v>0.2</v>
      </c>
      <c r="Q624" s="3">
        <v>22.84</v>
      </c>
      <c r="R624" s="3">
        <v>18.2</v>
      </c>
      <c r="S624" s="3">
        <f>VLOOKUP(C624,[1]page!$C$2:$M$3071,11,0)</f>
        <v>21.42</v>
      </c>
      <c r="T624" s="6">
        <f t="shared" si="9"/>
        <v>0.13999999999999702</v>
      </c>
    </row>
    <row r="625" spans="1:20" x14ac:dyDescent="0.2">
      <c r="A625" t="s">
        <v>1711</v>
      </c>
      <c r="B625" t="s">
        <v>1969</v>
      </c>
      <c r="C625" t="s">
        <v>1970</v>
      </c>
      <c r="D625" t="s">
        <v>1971</v>
      </c>
      <c r="E625" t="s">
        <v>96</v>
      </c>
      <c r="F625" t="s">
        <v>23</v>
      </c>
      <c r="G625" s="1">
        <v>30</v>
      </c>
      <c r="H625" s="1">
        <v>12</v>
      </c>
      <c r="I625" t="s">
        <v>24</v>
      </c>
      <c r="L625" s="1">
        <v>1</v>
      </c>
      <c r="M625" s="3">
        <v>22.89</v>
      </c>
      <c r="N625" s="3">
        <v>1.1399999999999999</v>
      </c>
      <c r="O625" s="3">
        <v>0</v>
      </c>
      <c r="P625" s="3">
        <v>0.2</v>
      </c>
      <c r="Q625" s="3">
        <v>24.23</v>
      </c>
      <c r="R625" s="3">
        <v>18.2</v>
      </c>
      <c r="S625" s="3">
        <f>VLOOKUP(C625,[1]page!$C$2:$M$3071,11,0)</f>
        <v>22.71</v>
      </c>
      <c r="T625" s="6">
        <f t="shared" si="9"/>
        <v>0.17999999999999972</v>
      </c>
    </row>
    <row r="626" spans="1:20" x14ac:dyDescent="0.2">
      <c r="A626" t="s">
        <v>1711</v>
      </c>
      <c r="B626" t="s">
        <v>1972</v>
      </c>
      <c r="C626" t="s">
        <v>1973</v>
      </c>
      <c r="D626" t="s">
        <v>1974</v>
      </c>
      <c r="E626" t="s">
        <v>1744</v>
      </c>
      <c r="F626" t="s">
        <v>23</v>
      </c>
      <c r="G626" s="1">
        <v>35</v>
      </c>
      <c r="H626" s="1">
        <v>12</v>
      </c>
      <c r="I626" t="s">
        <v>24</v>
      </c>
      <c r="L626" s="1">
        <v>1</v>
      </c>
      <c r="M626" s="3">
        <v>22.89</v>
      </c>
      <c r="N626" s="3">
        <v>1.1399999999999999</v>
      </c>
      <c r="O626" s="3">
        <v>0</v>
      </c>
      <c r="P626" s="3">
        <v>0.2</v>
      </c>
      <c r="Q626" s="3">
        <v>24.23</v>
      </c>
      <c r="R626" s="3">
        <v>24.25</v>
      </c>
      <c r="S626" s="3">
        <f>VLOOKUP(C626,[1]page!$C$2:$M$3071,11,0)</f>
        <v>22.69</v>
      </c>
      <c r="T626" s="6">
        <f t="shared" si="9"/>
        <v>0.19999999999999929</v>
      </c>
    </row>
    <row r="627" spans="1:20" x14ac:dyDescent="0.2">
      <c r="A627" t="s">
        <v>1711</v>
      </c>
      <c r="B627" t="s">
        <v>1975</v>
      </c>
      <c r="C627" t="s">
        <v>1976</v>
      </c>
      <c r="D627" t="s">
        <v>1977</v>
      </c>
      <c r="E627" t="s">
        <v>96</v>
      </c>
      <c r="F627" t="s">
        <v>23</v>
      </c>
      <c r="G627" s="1">
        <v>30</v>
      </c>
      <c r="H627" s="1">
        <v>12</v>
      </c>
      <c r="I627" t="s">
        <v>24</v>
      </c>
      <c r="L627" s="1">
        <v>1</v>
      </c>
      <c r="M627" s="3">
        <v>22.89</v>
      </c>
      <c r="N627" s="3">
        <v>1.1399999999999999</v>
      </c>
      <c r="O627" s="3">
        <v>0</v>
      </c>
      <c r="P627" s="3">
        <v>0.2</v>
      </c>
      <c r="Q627" s="3">
        <v>24.23</v>
      </c>
      <c r="R627" s="3">
        <v>18.2</v>
      </c>
      <c r="S627" s="3">
        <f>VLOOKUP(C627,[1]page!$C$2:$M$3071,11,0)</f>
        <v>22.7</v>
      </c>
      <c r="T627" s="6">
        <f t="shared" si="9"/>
        <v>0.19000000000000128</v>
      </c>
    </row>
    <row r="628" spans="1:20" x14ac:dyDescent="0.2">
      <c r="A628" t="s">
        <v>1711</v>
      </c>
      <c r="B628" t="s">
        <v>1978</v>
      </c>
      <c r="C628" t="s">
        <v>1979</v>
      </c>
      <c r="D628" t="s">
        <v>1980</v>
      </c>
      <c r="E628" t="s">
        <v>1744</v>
      </c>
      <c r="F628" t="s">
        <v>23</v>
      </c>
      <c r="G628" s="1">
        <v>35</v>
      </c>
      <c r="H628" s="1">
        <v>12</v>
      </c>
      <c r="I628" t="s">
        <v>24</v>
      </c>
      <c r="L628" s="1">
        <v>1</v>
      </c>
      <c r="M628" s="3">
        <v>22.89</v>
      </c>
      <c r="N628" s="3">
        <v>1.1399999999999999</v>
      </c>
      <c r="O628" s="3">
        <v>0</v>
      </c>
      <c r="P628" s="3">
        <v>0.2</v>
      </c>
      <c r="Q628" s="3">
        <v>24.23</v>
      </c>
      <c r="R628" s="3">
        <v>24.25</v>
      </c>
      <c r="S628" s="3">
        <f>VLOOKUP(C628,[1]page!$C$2:$M$3071,11,0)</f>
        <v>22.7</v>
      </c>
      <c r="T628" s="6">
        <f t="shared" si="9"/>
        <v>0.19000000000000128</v>
      </c>
    </row>
    <row r="629" spans="1:20" x14ac:dyDescent="0.2">
      <c r="A629" t="s">
        <v>1711</v>
      </c>
      <c r="B629" t="s">
        <v>1981</v>
      </c>
      <c r="C629" t="s">
        <v>1982</v>
      </c>
      <c r="D629" t="s">
        <v>1983</v>
      </c>
      <c r="E629" t="s">
        <v>96</v>
      </c>
      <c r="F629" t="s">
        <v>23</v>
      </c>
      <c r="G629" s="1">
        <v>35</v>
      </c>
      <c r="H629" s="1">
        <v>12</v>
      </c>
      <c r="I629" t="s">
        <v>24</v>
      </c>
      <c r="L629" s="1">
        <v>1</v>
      </c>
      <c r="M629" s="3">
        <v>22.89</v>
      </c>
      <c r="N629" s="3">
        <v>1.1399999999999999</v>
      </c>
      <c r="O629" s="3">
        <v>0</v>
      </c>
      <c r="P629" s="3">
        <v>0.2</v>
      </c>
      <c r="Q629" s="3">
        <v>24.23</v>
      </c>
      <c r="R629" s="3">
        <v>24.25</v>
      </c>
      <c r="S629" s="3">
        <f>VLOOKUP(C629,[1]page!$C$2:$M$3071,11,0)</f>
        <v>22.71</v>
      </c>
      <c r="T629" s="6">
        <f t="shared" si="9"/>
        <v>0.17999999999999972</v>
      </c>
    </row>
    <row r="630" spans="1:20" x14ac:dyDescent="0.2">
      <c r="A630" t="s">
        <v>1711</v>
      </c>
      <c r="B630" t="s">
        <v>1984</v>
      </c>
      <c r="C630" t="s">
        <v>1985</v>
      </c>
      <c r="D630" t="s">
        <v>1986</v>
      </c>
      <c r="E630" t="s">
        <v>96</v>
      </c>
      <c r="F630" t="s">
        <v>23</v>
      </c>
      <c r="G630" s="1">
        <v>30</v>
      </c>
      <c r="H630" s="1">
        <v>12</v>
      </c>
      <c r="I630" t="s">
        <v>24</v>
      </c>
      <c r="L630" s="1">
        <v>1</v>
      </c>
      <c r="M630" s="3">
        <v>22.89</v>
      </c>
      <c r="N630" s="3">
        <v>1.1399999999999999</v>
      </c>
      <c r="O630" s="3">
        <v>0</v>
      </c>
      <c r="P630" s="3">
        <v>0.2</v>
      </c>
      <c r="Q630" s="3">
        <v>24.23</v>
      </c>
      <c r="R630" s="3">
        <v>18.2</v>
      </c>
      <c r="S630" s="3">
        <f>VLOOKUP(C630,[1]page!$C$2:$M$3071,11,0)</f>
        <v>22.71</v>
      </c>
      <c r="T630" s="6">
        <f t="shared" si="9"/>
        <v>0.17999999999999972</v>
      </c>
    </row>
    <row r="631" spans="1:20" x14ac:dyDescent="0.2">
      <c r="A631" t="s">
        <v>1711</v>
      </c>
      <c r="B631" t="s">
        <v>1987</v>
      </c>
      <c r="C631" t="s">
        <v>1988</v>
      </c>
      <c r="D631" t="s">
        <v>1989</v>
      </c>
      <c r="E631" t="s">
        <v>96</v>
      </c>
      <c r="F631" t="s">
        <v>23</v>
      </c>
      <c r="G631" s="1">
        <v>30</v>
      </c>
      <c r="H631" s="1">
        <v>12</v>
      </c>
      <c r="I631" t="s">
        <v>24</v>
      </c>
      <c r="L631" s="1">
        <v>1</v>
      </c>
      <c r="M631" s="3">
        <v>22.89</v>
      </c>
      <c r="N631" s="3">
        <v>1.1399999999999999</v>
      </c>
      <c r="O631" s="3">
        <v>0</v>
      </c>
      <c r="P631" s="3">
        <v>0.2</v>
      </c>
      <c r="Q631" s="3">
        <v>24.23</v>
      </c>
      <c r="R631" s="3">
        <v>18.2</v>
      </c>
      <c r="S631" s="3">
        <f>VLOOKUP(C631,[1]page!$C$2:$M$3071,11,0)</f>
        <v>22.69</v>
      </c>
      <c r="T631" s="6">
        <f t="shared" ref="T631:T694" si="10">SUM(M631-S631)</f>
        <v>0.19999999999999929</v>
      </c>
    </row>
    <row r="632" spans="1:20" x14ac:dyDescent="0.2">
      <c r="A632" t="s">
        <v>1711</v>
      </c>
      <c r="B632" t="s">
        <v>1990</v>
      </c>
      <c r="C632" t="s">
        <v>1991</v>
      </c>
      <c r="D632" t="s">
        <v>1992</v>
      </c>
      <c r="E632" t="s">
        <v>1744</v>
      </c>
      <c r="F632" t="s">
        <v>77</v>
      </c>
      <c r="G632" s="1">
        <v>35</v>
      </c>
      <c r="H632" s="1">
        <v>24</v>
      </c>
      <c r="I632" t="s">
        <v>24</v>
      </c>
      <c r="L632" s="1">
        <v>1</v>
      </c>
      <c r="M632" s="3">
        <v>13.29</v>
      </c>
      <c r="N632" s="3">
        <v>0.66</v>
      </c>
      <c r="O632" s="3">
        <v>0</v>
      </c>
      <c r="P632" s="3">
        <v>0.1</v>
      </c>
      <c r="Q632" s="3">
        <v>14.05</v>
      </c>
      <c r="R632" s="3">
        <v>13.7</v>
      </c>
      <c r="S632" s="3">
        <f>VLOOKUP(C632,[1]page!$C$2:$M$3071,11,0)</f>
        <v>12.99</v>
      </c>
      <c r="T632" s="6">
        <f t="shared" si="10"/>
        <v>0.29999999999999893</v>
      </c>
    </row>
    <row r="633" spans="1:20" x14ac:dyDescent="0.2">
      <c r="A633" t="s">
        <v>1711</v>
      </c>
      <c r="B633" t="s">
        <v>1993</v>
      </c>
      <c r="C633" t="s">
        <v>1994</v>
      </c>
      <c r="D633" t="s">
        <v>1992</v>
      </c>
      <c r="E633" t="s">
        <v>1744</v>
      </c>
      <c r="F633" t="s">
        <v>23</v>
      </c>
      <c r="G633" s="1">
        <v>35</v>
      </c>
      <c r="H633" s="1">
        <v>12</v>
      </c>
      <c r="I633" t="s">
        <v>24</v>
      </c>
      <c r="L633" s="1">
        <v>1</v>
      </c>
      <c r="M633" s="3">
        <v>22.89</v>
      </c>
      <c r="N633" s="3">
        <v>1.1399999999999999</v>
      </c>
      <c r="O633" s="3">
        <v>0</v>
      </c>
      <c r="P633" s="3">
        <v>0.2</v>
      </c>
      <c r="Q633" s="3">
        <v>24.23</v>
      </c>
      <c r="R633" s="3">
        <v>24.25</v>
      </c>
      <c r="S633" s="3">
        <f>VLOOKUP(C633,[1]page!$C$2:$M$3071,11,0)</f>
        <v>22.69</v>
      </c>
      <c r="T633" s="6">
        <f t="shared" si="10"/>
        <v>0.19999999999999929</v>
      </c>
    </row>
    <row r="634" spans="1:20" x14ac:dyDescent="0.2">
      <c r="A634" t="s">
        <v>1711</v>
      </c>
      <c r="B634" t="s">
        <v>1995</v>
      </c>
      <c r="C634" t="s">
        <v>1996</v>
      </c>
      <c r="D634" t="s">
        <v>1997</v>
      </c>
      <c r="E634" t="s">
        <v>1744</v>
      </c>
      <c r="F634" t="s">
        <v>23</v>
      </c>
      <c r="G634" s="1">
        <v>35</v>
      </c>
      <c r="H634" s="1">
        <v>12</v>
      </c>
      <c r="I634" t="s">
        <v>24</v>
      </c>
      <c r="L634" s="1">
        <v>1</v>
      </c>
      <c r="M634" s="3">
        <v>22.89</v>
      </c>
      <c r="N634" s="3">
        <v>1.1399999999999999</v>
      </c>
      <c r="O634" s="3">
        <v>0</v>
      </c>
      <c r="P634" s="3">
        <v>0.2</v>
      </c>
      <c r="Q634" s="3">
        <v>24.23</v>
      </c>
      <c r="R634" s="3">
        <v>24.25</v>
      </c>
      <c r="S634" s="3">
        <f>VLOOKUP(C634,[1]page!$C$2:$M$3071,11,0)</f>
        <v>22.7</v>
      </c>
      <c r="T634" s="6">
        <f t="shared" si="10"/>
        <v>0.19000000000000128</v>
      </c>
    </row>
    <row r="635" spans="1:20" x14ac:dyDescent="0.2">
      <c r="A635" t="s">
        <v>1998</v>
      </c>
      <c r="B635" t="s">
        <v>1999</v>
      </c>
      <c r="C635" t="s">
        <v>2000</v>
      </c>
      <c r="D635" t="s">
        <v>2001</v>
      </c>
      <c r="E635" t="s">
        <v>38</v>
      </c>
      <c r="F635" t="s">
        <v>23</v>
      </c>
      <c r="G635" s="1">
        <v>30</v>
      </c>
      <c r="H635" s="1">
        <v>12</v>
      </c>
      <c r="I635" t="s">
        <v>39</v>
      </c>
      <c r="L635" s="1">
        <v>1</v>
      </c>
      <c r="M635" s="3">
        <v>21.42</v>
      </c>
      <c r="N635" s="3">
        <v>1.07</v>
      </c>
      <c r="O635" s="3">
        <v>0</v>
      </c>
      <c r="P635" s="3">
        <v>0.2</v>
      </c>
      <c r="Q635" s="3">
        <v>22.69</v>
      </c>
      <c r="R635" s="3">
        <v>18.2</v>
      </c>
      <c r="S635" s="3">
        <f>VLOOKUP(C635,[1]page!$C$2:$M$3071,11,0)</f>
        <v>21.42</v>
      </c>
      <c r="T635" s="6">
        <f t="shared" si="10"/>
        <v>0</v>
      </c>
    </row>
    <row r="636" spans="1:20" x14ac:dyDescent="0.2">
      <c r="A636" t="s">
        <v>1998</v>
      </c>
      <c r="B636" t="s">
        <v>2002</v>
      </c>
      <c r="C636" t="s">
        <v>2003</v>
      </c>
      <c r="D636" t="s">
        <v>2004</v>
      </c>
      <c r="E636" t="s">
        <v>1744</v>
      </c>
      <c r="F636" t="s">
        <v>23</v>
      </c>
      <c r="G636" s="1">
        <v>35</v>
      </c>
      <c r="H636" s="1">
        <v>12</v>
      </c>
      <c r="I636" t="s">
        <v>24</v>
      </c>
      <c r="L636" s="1">
        <v>1</v>
      </c>
      <c r="M636" s="3">
        <v>22.89</v>
      </c>
      <c r="N636" s="3">
        <v>1.1399999999999999</v>
      </c>
      <c r="O636" s="3">
        <v>0</v>
      </c>
      <c r="P636" s="3">
        <v>0.2</v>
      </c>
      <c r="Q636" s="3">
        <v>24.23</v>
      </c>
      <c r="R636" s="3">
        <v>24.25</v>
      </c>
      <c r="S636" s="3">
        <f>VLOOKUP(C636,[1]page!$C$2:$M$3071,11,0)</f>
        <v>22.69</v>
      </c>
      <c r="T636" s="6">
        <f t="shared" si="10"/>
        <v>0.19999999999999929</v>
      </c>
    </row>
    <row r="637" spans="1:20" x14ac:dyDescent="0.2">
      <c r="A637" t="s">
        <v>1869</v>
      </c>
      <c r="B637" t="s">
        <v>2005</v>
      </c>
      <c r="C637" t="s">
        <v>2006</v>
      </c>
      <c r="D637" t="s">
        <v>2007</v>
      </c>
      <c r="E637" t="s">
        <v>1873</v>
      </c>
      <c r="F637" t="s">
        <v>23</v>
      </c>
      <c r="G637" s="1">
        <v>35</v>
      </c>
      <c r="H637" s="1">
        <v>12</v>
      </c>
      <c r="I637" t="s">
        <v>24</v>
      </c>
      <c r="L637" s="1">
        <v>1</v>
      </c>
      <c r="M637" s="3">
        <v>38.159999999999997</v>
      </c>
      <c r="N637" s="3">
        <v>1.91</v>
      </c>
      <c r="O637" s="3">
        <v>0</v>
      </c>
      <c r="P637" s="3">
        <v>0.2</v>
      </c>
      <c r="Q637" s="3">
        <v>40.270000000000003</v>
      </c>
      <c r="R637" s="3">
        <v>24.25</v>
      </c>
      <c r="S637" s="3">
        <f>VLOOKUP(C637,[1]page!$C$2:$M$3071,11,0)</f>
        <v>37.99</v>
      </c>
      <c r="T637" s="6">
        <f t="shared" si="10"/>
        <v>0.1699999999999946</v>
      </c>
    </row>
    <row r="638" spans="1:20" x14ac:dyDescent="0.2">
      <c r="A638" t="s">
        <v>1869</v>
      </c>
      <c r="B638" t="s">
        <v>2008</v>
      </c>
      <c r="C638" t="s">
        <v>2009</v>
      </c>
      <c r="D638" t="s">
        <v>2010</v>
      </c>
      <c r="E638" t="s">
        <v>1873</v>
      </c>
      <c r="F638" t="s">
        <v>23</v>
      </c>
      <c r="G638" s="1">
        <v>30</v>
      </c>
      <c r="H638" s="1">
        <v>12</v>
      </c>
      <c r="I638" t="s">
        <v>24</v>
      </c>
      <c r="L638" s="1">
        <v>1</v>
      </c>
      <c r="M638" s="3">
        <v>38.29</v>
      </c>
      <c r="N638" s="3">
        <v>1.91</v>
      </c>
      <c r="O638" s="3">
        <v>0</v>
      </c>
      <c r="P638" s="3">
        <v>0.2</v>
      </c>
      <c r="Q638" s="3">
        <v>40.4</v>
      </c>
      <c r="R638" s="3">
        <v>18.2</v>
      </c>
      <c r="S638" s="3">
        <f>VLOOKUP(C638,[1]page!$C$2:$M$3071,11,0)</f>
        <v>38.14</v>
      </c>
      <c r="T638" s="6">
        <f t="shared" si="10"/>
        <v>0.14999999999999858</v>
      </c>
    </row>
    <row r="639" spans="1:20" x14ac:dyDescent="0.2">
      <c r="A639" t="s">
        <v>1869</v>
      </c>
      <c r="B639" t="s">
        <v>2011</v>
      </c>
      <c r="C639" t="s">
        <v>2012</v>
      </c>
      <c r="D639" t="s">
        <v>2013</v>
      </c>
      <c r="E639" t="s">
        <v>1873</v>
      </c>
      <c r="F639" t="s">
        <v>23</v>
      </c>
      <c r="G639" s="1">
        <v>35</v>
      </c>
      <c r="H639" s="1">
        <v>12</v>
      </c>
      <c r="I639" t="s">
        <v>24</v>
      </c>
      <c r="L639" s="1">
        <v>1</v>
      </c>
      <c r="M639" s="3">
        <v>38.18</v>
      </c>
      <c r="N639" s="3">
        <v>1.91</v>
      </c>
      <c r="O639" s="3">
        <v>0</v>
      </c>
      <c r="P639" s="3">
        <v>0.2</v>
      </c>
      <c r="Q639" s="3">
        <v>40.29</v>
      </c>
      <c r="R639" s="3">
        <v>24.25</v>
      </c>
      <c r="S639" s="3">
        <f>VLOOKUP(C639,[1]page!$C$2:$M$3071,11,0)</f>
        <v>38.020000000000003</v>
      </c>
      <c r="T639" s="6">
        <f t="shared" si="10"/>
        <v>0.15999999999999659</v>
      </c>
    </row>
    <row r="640" spans="1:20" x14ac:dyDescent="0.2">
      <c r="A640" t="s">
        <v>1869</v>
      </c>
      <c r="B640" t="s">
        <v>2014</v>
      </c>
      <c r="C640" t="s">
        <v>2015</v>
      </c>
      <c r="D640" t="s">
        <v>2016</v>
      </c>
      <c r="E640" t="s">
        <v>1873</v>
      </c>
      <c r="F640" t="s">
        <v>23</v>
      </c>
      <c r="G640" s="1">
        <v>35</v>
      </c>
      <c r="H640" s="1">
        <v>12</v>
      </c>
      <c r="I640" t="s">
        <v>24</v>
      </c>
      <c r="L640" s="1">
        <v>1</v>
      </c>
      <c r="M640" s="3">
        <v>38.159999999999997</v>
      </c>
      <c r="N640" s="3">
        <v>1.91</v>
      </c>
      <c r="O640" s="3">
        <v>0</v>
      </c>
      <c r="P640" s="3">
        <v>0.2</v>
      </c>
      <c r="Q640" s="3">
        <v>40.270000000000003</v>
      </c>
      <c r="R640" s="3">
        <v>24.25</v>
      </c>
      <c r="S640" s="3">
        <f>VLOOKUP(C640,[1]page!$C$2:$M$3071,11,0)</f>
        <v>37.99</v>
      </c>
      <c r="T640" s="6">
        <f t="shared" si="10"/>
        <v>0.1699999999999946</v>
      </c>
    </row>
    <row r="641" spans="1:20" x14ac:dyDescent="0.2">
      <c r="A641" t="s">
        <v>1869</v>
      </c>
      <c r="B641" t="s">
        <v>2017</v>
      </c>
      <c r="C641" t="s">
        <v>2018</v>
      </c>
      <c r="D641" t="s">
        <v>2019</v>
      </c>
      <c r="E641" t="s">
        <v>1873</v>
      </c>
      <c r="F641" t="s">
        <v>23</v>
      </c>
      <c r="G641" s="1">
        <v>35</v>
      </c>
      <c r="H641" s="1">
        <v>12</v>
      </c>
      <c r="I641" t="s">
        <v>24</v>
      </c>
      <c r="L641" s="1">
        <v>1</v>
      </c>
      <c r="M641" s="3">
        <v>38.159999999999997</v>
      </c>
      <c r="N641" s="3">
        <v>1.91</v>
      </c>
      <c r="O641" s="3">
        <v>0</v>
      </c>
      <c r="P641" s="3">
        <v>0.2</v>
      </c>
      <c r="Q641" s="3">
        <v>40.270000000000003</v>
      </c>
      <c r="R641" s="3">
        <v>24.25</v>
      </c>
      <c r="S641" s="3">
        <f>VLOOKUP(C641,[1]page!$C$2:$M$3071,11,0)</f>
        <v>37.99</v>
      </c>
      <c r="T641" s="6">
        <f t="shared" si="10"/>
        <v>0.1699999999999946</v>
      </c>
    </row>
    <row r="642" spans="1:20" x14ac:dyDescent="0.2">
      <c r="A642" t="s">
        <v>1869</v>
      </c>
      <c r="B642" t="s">
        <v>2020</v>
      </c>
      <c r="C642" t="s">
        <v>2021</v>
      </c>
      <c r="D642" t="s">
        <v>2022</v>
      </c>
      <c r="E642" t="s">
        <v>1877</v>
      </c>
      <c r="F642" t="s">
        <v>23</v>
      </c>
      <c r="G642" s="1">
        <v>40</v>
      </c>
      <c r="H642" s="1">
        <v>6</v>
      </c>
      <c r="I642" t="s">
        <v>444</v>
      </c>
      <c r="L642" s="1">
        <v>1</v>
      </c>
      <c r="M642" s="3">
        <v>42</v>
      </c>
      <c r="N642" s="3">
        <v>2.1</v>
      </c>
      <c r="O642" s="3">
        <v>0</v>
      </c>
      <c r="P642" s="3">
        <v>0.2</v>
      </c>
      <c r="Q642" s="3">
        <v>44.3</v>
      </c>
      <c r="R642" s="3">
        <v>24.25</v>
      </c>
      <c r="S642" s="3">
        <f>VLOOKUP(C642,[1]page!$C$2:$M$3071,11,0)</f>
        <v>42</v>
      </c>
      <c r="T642" s="6">
        <f t="shared" si="10"/>
        <v>0</v>
      </c>
    </row>
    <row r="643" spans="1:20" x14ac:dyDescent="0.2">
      <c r="A643" t="s">
        <v>1887</v>
      </c>
      <c r="B643" t="s">
        <v>2023</v>
      </c>
      <c r="C643" t="s">
        <v>2024</v>
      </c>
      <c r="D643" t="s">
        <v>2025</v>
      </c>
      <c r="E643" t="s">
        <v>1880</v>
      </c>
      <c r="F643" t="s">
        <v>23</v>
      </c>
      <c r="G643" s="1">
        <v>40</v>
      </c>
      <c r="H643" s="1">
        <v>6</v>
      </c>
      <c r="I643" t="s">
        <v>444</v>
      </c>
      <c r="L643" s="1">
        <v>1</v>
      </c>
      <c r="M643" s="3">
        <v>42</v>
      </c>
      <c r="N643" s="3">
        <v>2.1</v>
      </c>
      <c r="O643" s="3">
        <v>0</v>
      </c>
      <c r="P643" s="3">
        <v>0.2</v>
      </c>
      <c r="Q643" s="3">
        <v>44.3</v>
      </c>
      <c r="R643" s="3">
        <v>24.25</v>
      </c>
      <c r="S643" s="3">
        <f>VLOOKUP(C643,[1]page!$C$2:$M$3071,11,0)</f>
        <v>42</v>
      </c>
      <c r="T643" s="6">
        <f t="shared" si="10"/>
        <v>0</v>
      </c>
    </row>
    <row r="644" spans="1:20" x14ac:dyDescent="0.2">
      <c r="A644" t="s">
        <v>1887</v>
      </c>
      <c r="B644" t="s">
        <v>2026</v>
      </c>
      <c r="C644" t="s">
        <v>2027</v>
      </c>
      <c r="D644" t="s">
        <v>2028</v>
      </c>
      <c r="E644" t="s">
        <v>493</v>
      </c>
      <c r="F644" t="s">
        <v>23</v>
      </c>
      <c r="G644" s="1">
        <v>30</v>
      </c>
      <c r="H644" s="1">
        <v>12</v>
      </c>
      <c r="I644" t="s">
        <v>62</v>
      </c>
      <c r="L644" s="1">
        <v>1</v>
      </c>
      <c r="M644" s="3">
        <v>19.739999999999998</v>
      </c>
      <c r="N644" s="3">
        <v>0.99</v>
      </c>
      <c r="O644" s="3">
        <v>0</v>
      </c>
      <c r="P644" s="3">
        <v>0.2</v>
      </c>
      <c r="Q644" s="3">
        <v>20.93</v>
      </c>
      <c r="R644" s="3">
        <v>18.2</v>
      </c>
      <c r="S644" s="3">
        <f>VLOOKUP(C644,[1]page!$C$2:$M$3071,11,0)</f>
        <v>19.600000000000001</v>
      </c>
      <c r="T644" s="6">
        <f t="shared" si="10"/>
        <v>0.13999999999999702</v>
      </c>
    </row>
    <row r="645" spans="1:20" x14ac:dyDescent="0.2">
      <c r="A645" t="s">
        <v>2029</v>
      </c>
      <c r="B645" t="s">
        <v>2030</v>
      </c>
      <c r="C645" t="s">
        <v>2031</v>
      </c>
      <c r="D645" t="s">
        <v>2032</v>
      </c>
      <c r="E645" t="s">
        <v>1873</v>
      </c>
      <c r="F645" t="s">
        <v>23</v>
      </c>
      <c r="G645" s="1">
        <v>35</v>
      </c>
      <c r="H645" s="1">
        <v>12</v>
      </c>
      <c r="I645" t="s">
        <v>24</v>
      </c>
      <c r="L645" s="1">
        <v>1</v>
      </c>
      <c r="M645" s="3">
        <v>38.17</v>
      </c>
      <c r="N645" s="3">
        <v>1.91</v>
      </c>
      <c r="O645" s="3">
        <v>0</v>
      </c>
      <c r="P645" s="3">
        <v>0.2</v>
      </c>
      <c r="Q645" s="3">
        <v>40.28</v>
      </c>
      <c r="R645" s="3">
        <v>24.25</v>
      </c>
      <c r="S645" s="3">
        <f>VLOOKUP(C645,[1]page!$C$2:$M$3071,11,0)</f>
        <v>38.01</v>
      </c>
      <c r="T645" s="6">
        <f t="shared" si="10"/>
        <v>0.16000000000000369</v>
      </c>
    </row>
    <row r="646" spans="1:20" x14ac:dyDescent="0.2">
      <c r="A646" t="s">
        <v>2029</v>
      </c>
      <c r="B646" t="s">
        <v>2033</v>
      </c>
      <c r="C646" t="s">
        <v>2034</v>
      </c>
      <c r="D646" t="s">
        <v>2035</v>
      </c>
      <c r="E646" t="s">
        <v>1880</v>
      </c>
      <c r="F646" t="s">
        <v>23</v>
      </c>
      <c r="G646" s="1">
        <v>40</v>
      </c>
      <c r="H646" s="1">
        <v>6</v>
      </c>
      <c r="I646" t="s">
        <v>444</v>
      </c>
      <c r="L646" s="1">
        <v>1</v>
      </c>
      <c r="M646" s="3">
        <v>42</v>
      </c>
      <c r="N646" s="3">
        <v>2.1</v>
      </c>
      <c r="O646" s="3">
        <v>0</v>
      </c>
      <c r="P646" s="3">
        <v>0.2</v>
      </c>
      <c r="Q646" s="3">
        <v>44.3</v>
      </c>
      <c r="R646" s="3">
        <v>24.25</v>
      </c>
      <c r="S646" s="3">
        <f>VLOOKUP(C646,[1]page!$C$2:$M$3071,11,0)</f>
        <v>42</v>
      </c>
      <c r="T646" s="6">
        <f t="shared" si="10"/>
        <v>0</v>
      </c>
    </row>
    <row r="647" spans="1:20" x14ac:dyDescent="0.2">
      <c r="A647" t="s">
        <v>2036</v>
      </c>
      <c r="B647" t="s">
        <v>2037</v>
      </c>
      <c r="C647" t="s">
        <v>2038</v>
      </c>
      <c r="D647" t="s">
        <v>2039</v>
      </c>
      <c r="E647" t="s">
        <v>1873</v>
      </c>
      <c r="F647" t="s">
        <v>23</v>
      </c>
      <c r="G647" s="1">
        <v>35</v>
      </c>
      <c r="H647" s="1">
        <v>12</v>
      </c>
      <c r="I647" t="s">
        <v>24</v>
      </c>
      <c r="L647" s="1">
        <v>1</v>
      </c>
      <c r="M647" s="3">
        <v>38.159999999999997</v>
      </c>
      <c r="N647" s="3">
        <v>1.91</v>
      </c>
      <c r="O647" s="3">
        <v>0</v>
      </c>
      <c r="P647" s="3">
        <v>0.2</v>
      </c>
      <c r="Q647" s="3">
        <v>40.270000000000003</v>
      </c>
      <c r="R647" s="3">
        <v>24.25</v>
      </c>
      <c r="S647" s="3">
        <f>VLOOKUP(C647,[1]page!$C$2:$M$3071,11,0)</f>
        <v>37.99</v>
      </c>
      <c r="T647" s="6">
        <f t="shared" si="10"/>
        <v>0.1699999999999946</v>
      </c>
    </row>
    <row r="648" spans="1:20" x14ac:dyDescent="0.2">
      <c r="A648" t="s">
        <v>2036</v>
      </c>
      <c r="B648" t="s">
        <v>2040</v>
      </c>
      <c r="C648" t="s">
        <v>2041</v>
      </c>
      <c r="D648" t="s">
        <v>2042</v>
      </c>
      <c r="E648" t="s">
        <v>1873</v>
      </c>
      <c r="F648" t="s">
        <v>23</v>
      </c>
      <c r="G648" s="1">
        <v>30</v>
      </c>
      <c r="H648" s="1">
        <v>12</v>
      </c>
      <c r="I648" t="s">
        <v>24</v>
      </c>
      <c r="L648" s="1">
        <v>1</v>
      </c>
      <c r="M648" s="3">
        <v>38.14</v>
      </c>
      <c r="N648" s="3">
        <v>1.91</v>
      </c>
      <c r="O648" s="3">
        <v>0</v>
      </c>
      <c r="P648" s="3">
        <v>0.2</v>
      </c>
      <c r="Q648" s="3">
        <v>40.25</v>
      </c>
      <c r="R648" s="3">
        <v>18.2</v>
      </c>
      <c r="S648" s="3">
        <f>VLOOKUP(C648,[1]page!$C$2:$M$3071,11,0)</f>
        <v>38</v>
      </c>
      <c r="T648" s="6">
        <f t="shared" si="10"/>
        <v>0.14000000000000057</v>
      </c>
    </row>
    <row r="649" spans="1:20" x14ac:dyDescent="0.2">
      <c r="A649" t="s">
        <v>1893</v>
      </c>
      <c r="B649" t="s">
        <v>2043</v>
      </c>
      <c r="C649" t="s">
        <v>2044</v>
      </c>
      <c r="D649" t="s">
        <v>2045</v>
      </c>
      <c r="E649" t="s">
        <v>1897</v>
      </c>
      <c r="F649" t="s">
        <v>23</v>
      </c>
      <c r="G649" s="2">
        <v>37.5</v>
      </c>
      <c r="H649" s="1">
        <v>12</v>
      </c>
      <c r="I649" t="s">
        <v>397</v>
      </c>
      <c r="L649" s="1">
        <v>1</v>
      </c>
      <c r="M649" s="3">
        <v>24.67</v>
      </c>
      <c r="N649" s="3">
        <v>1.23</v>
      </c>
      <c r="O649" s="3">
        <v>0</v>
      </c>
      <c r="P649" s="3">
        <v>0.2</v>
      </c>
      <c r="Q649" s="3">
        <v>26.1</v>
      </c>
      <c r="R649" s="3">
        <v>24.25</v>
      </c>
      <c r="S649" s="3">
        <f>VLOOKUP(C649,[1]page!$C$2:$M$3071,11,0)</f>
        <v>24.49</v>
      </c>
      <c r="T649" s="6">
        <f t="shared" si="10"/>
        <v>0.18000000000000327</v>
      </c>
    </row>
    <row r="650" spans="1:20" x14ac:dyDescent="0.2">
      <c r="A650" t="s">
        <v>1929</v>
      </c>
      <c r="B650" t="s">
        <v>2046</v>
      </c>
      <c r="C650" t="s">
        <v>2047</v>
      </c>
      <c r="D650" t="s">
        <v>2048</v>
      </c>
      <c r="E650" t="s">
        <v>1933</v>
      </c>
      <c r="F650" t="s">
        <v>23</v>
      </c>
      <c r="G650" s="1">
        <v>40</v>
      </c>
      <c r="H650" s="1">
        <v>12</v>
      </c>
      <c r="I650" t="s">
        <v>39</v>
      </c>
      <c r="L650" s="1">
        <v>1</v>
      </c>
      <c r="M650" s="3">
        <v>24</v>
      </c>
      <c r="N650" s="3">
        <v>1.2</v>
      </c>
      <c r="O650" s="3">
        <v>0</v>
      </c>
      <c r="P650" s="3">
        <v>0.2</v>
      </c>
      <c r="Q650" s="3">
        <v>25.4</v>
      </c>
      <c r="R650" s="3">
        <v>24.25</v>
      </c>
      <c r="S650" s="3">
        <f>VLOOKUP(C650,[1]page!$C$2:$M$3071,11,0)</f>
        <v>24</v>
      </c>
      <c r="T650" s="6">
        <f t="shared" si="10"/>
        <v>0</v>
      </c>
    </row>
    <row r="651" spans="1:20" x14ac:dyDescent="0.2">
      <c r="A651" t="s">
        <v>1929</v>
      </c>
      <c r="B651" t="s">
        <v>2049</v>
      </c>
      <c r="C651" t="s">
        <v>2050</v>
      </c>
      <c r="D651" t="s">
        <v>2051</v>
      </c>
      <c r="E651" t="s">
        <v>1933</v>
      </c>
      <c r="F651" t="s">
        <v>23</v>
      </c>
      <c r="G651" s="1">
        <v>40</v>
      </c>
      <c r="H651" s="1">
        <v>12</v>
      </c>
      <c r="I651" t="s">
        <v>39</v>
      </c>
      <c r="L651" s="1">
        <v>1</v>
      </c>
      <c r="M651" s="3">
        <v>24</v>
      </c>
      <c r="N651" s="3">
        <v>1.2</v>
      </c>
      <c r="O651" s="3">
        <v>0</v>
      </c>
      <c r="P651" s="3">
        <v>0.2</v>
      </c>
      <c r="Q651" s="3">
        <v>25.4</v>
      </c>
      <c r="R651" s="3">
        <v>24.25</v>
      </c>
      <c r="S651" s="3">
        <f>VLOOKUP(C651,[1]page!$C$2:$M$3071,11,0)</f>
        <v>24</v>
      </c>
      <c r="T651" s="6">
        <f t="shared" si="10"/>
        <v>0</v>
      </c>
    </row>
    <row r="652" spans="1:20" x14ac:dyDescent="0.2">
      <c r="A652" t="s">
        <v>1929</v>
      </c>
      <c r="B652" t="s">
        <v>2052</v>
      </c>
      <c r="C652" t="s">
        <v>2053</v>
      </c>
      <c r="D652" t="s">
        <v>2054</v>
      </c>
      <c r="E652" t="s">
        <v>1933</v>
      </c>
      <c r="F652" t="s">
        <v>23</v>
      </c>
      <c r="G652" s="1">
        <v>40</v>
      </c>
      <c r="H652" s="1">
        <v>12</v>
      </c>
      <c r="I652" t="s">
        <v>39</v>
      </c>
      <c r="L652" s="1">
        <v>1</v>
      </c>
      <c r="M652" s="3">
        <v>24</v>
      </c>
      <c r="N652" s="3">
        <v>1.2</v>
      </c>
      <c r="O652" s="3">
        <v>0</v>
      </c>
      <c r="P652" s="3">
        <v>0.2</v>
      </c>
      <c r="Q652" s="3">
        <v>25.4</v>
      </c>
      <c r="R652" s="3">
        <v>24.25</v>
      </c>
      <c r="S652" s="3">
        <f>VLOOKUP(C652,[1]page!$C$2:$M$3071,11,0)</f>
        <v>24</v>
      </c>
      <c r="T652" s="6">
        <f t="shared" si="10"/>
        <v>0</v>
      </c>
    </row>
    <row r="653" spans="1:20" x14ac:dyDescent="0.2">
      <c r="A653" t="s">
        <v>1929</v>
      </c>
      <c r="B653" t="s">
        <v>2055</v>
      </c>
      <c r="C653" t="s">
        <v>2056</v>
      </c>
      <c r="D653" t="s">
        <v>2057</v>
      </c>
      <c r="E653" t="s">
        <v>1933</v>
      </c>
      <c r="F653" t="s">
        <v>23</v>
      </c>
      <c r="G653" s="1">
        <v>40</v>
      </c>
      <c r="H653" s="1">
        <v>12</v>
      </c>
      <c r="I653" t="s">
        <v>39</v>
      </c>
      <c r="L653" s="1">
        <v>1</v>
      </c>
      <c r="M653" s="3">
        <v>24</v>
      </c>
      <c r="N653" s="3">
        <v>1.2</v>
      </c>
      <c r="O653" s="3">
        <v>0</v>
      </c>
      <c r="P653" s="3">
        <v>0.2</v>
      </c>
      <c r="Q653" s="3">
        <v>25.4</v>
      </c>
      <c r="R653" s="3">
        <v>24.25</v>
      </c>
      <c r="S653" s="3">
        <f>VLOOKUP(C653,[1]page!$C$2:$M$3071,11,0)</f>
        <v>24</v>
      </c>
      <c r="T653" s="6">
        <f t="shared" si="10"/>
        <v>0</v>
      </c>
    </row>
    <row r="654" spans="1:20" x14ac:dyDescent="0.2">
      <c r="A654" t="s">
        <v>1929</v>
      </c>
      <c r="B654" t="s">
        <v>2058</v>
      </c>
      <c r="C654" t="s">
        <v>2059</v>
      </c>
      <c r="D654" t="s">
        <v>2060</v>
      </c>
      <c r="E654" t="s">
        <v>1933</v>
      </c>
      <c r="F654" t="s">
        <v>23</v>
      </c>
      <c r="G654" s="1">
        <v>38</v>
      </c>
      <c r="H654" s="1">
        <v>12</v>
      </c>
      <c r="I654" t="s">
        <v>39</v>
      </c>
      <c r="L654" s="1">
        <v>1</v>
      </c>
      <c r="M654" s="3">
        <v>24</v>
      </c>
      <c r="N654" s="3">
        <v>1.2</v>
      </c>
      <c r="O654" s="3">
        <v>0</v>
      </c>
      <c r="P654" s="3">
        <v>0.2</v>
      </c>
      <c r="Q654" s="3">
        <v>25.4</v>
      </c>
      <c r="R654" s="3">
        <v>24.25</v>
      </c>
      <c r="S654" s="3">
        <f>VLOOKUP(C654,[1]page!$C$2:$M$3071,11,0)</f>
        <v>24</v>
      </c>
      <c r="T654" s="6">
        <f t="shared" si="10"/>
        <v>0</v>
      </c>
    </row>
    <row r="655" spans="1:20" x14ac:dyDescent="0.2">
      <c r="A655" t="s">
        <v>1929</v>
      </c>
      <c r="B655" t="s">
        <v>2061</v>
      </c>
      <c r="C655" t="s">
        <v>2062</v>
      </c>
      <c r="D655" t="s">
        <v>2063</v>
      </c>
      <c r="E655" t="s">
        <v>1933</v>
      </c>
      <c r="F655" t="s">
        <v>23</v>
      </c>
      <c r="G655" s="1">
        <v>38</v>
      </c>
      <c r="H655" s="1">
        <v>12</v>
      </c>
      <c r="I655" t="s">
        <v>39</v>
      </c>
      <c r="L655" s="1">
        <v>1</v>
      </c>
      <c r="M655" s="3">
        <v>24</v>
      </c>
      <c r="N655" s="3">
        <v>1.2</v>
      </c>
      <c r="O655" s="3">
        <v>0</v>
      </c>
      <c r="P655" s="3">
        <v>0.2</v>
      </c>
      <c r="Q655" s="3">
        <v>25.4</v>
      </c>
      <c r="R655" s="3">
        <v>24.25</v>
      </c>
      <c r="S655" s="3">
        <f>VLOOKUP(C655,[1]page!$C$2:$M$3071,11,0)</f>
        <v>24</v>
      </c>
      <c r="T655" s="6">
        <f t="shared" si="10"/>
        <v>0</v>
      </c>
    </row>
    <row r="656" spans="1:20" x14ac:dyDescent="0.2">
      <c r="A656" t="s">
        <v>1929</v>
      </c>
      <c r="B656" t="s">
        <v>2064</v>
      </c>
      <c r="C656" t="s">
        <v>2065</v>
      </c>
      <c r="D656" t="s">
        <v>2066</v>
      </c>
      <c r="E656" t="s">
        <v>1933</v>
      </c>
      <c r="F656" t="s">
        <v>23</v>
      </c>
      <c r="G656" s="1">
        <v>38</v>
      </c>
      <c r="H656" s="1">
        <v>12</v>
      </c>
      <c r="I656" t="s">
        <v>39</v>
      </c>
      <c r="L656" s="1">
        <v>1</v>
      </c>
      <c r="M656" s="3">
        <v>24</v>
      </c>
      <c r="N656" s="3">
        <v>1.2</v>
      </c>
      <c r="O656" s="3">
        <v>0</v>
      </c>
      <c r="P656" s="3">
        <v>0.2</v>
      </c>
      <c r="Q656" s="3">
        <v>25.4</v>
      </c>
      <c r="R656" s="3">
        <v>24.25</v>
      </c>
      <c r="S656" s="3">
        <f>VLOOKUP(C656,[1]page!$C$2:$M$3071,11,0)</f>
        <v>24</v>
      </c>
      <c r="T656" s="6">
        <f t="shared" si="10"/>
        <v>0</v>
      </c>
    </row>
    <row r="657" spans="1:20" x14ac:dyDescent="0.2">
      <c r="A657" t="s">
        <v>1929</v>
      </c>
      <c r="B657" t="s">
        <v>2067</v>
      </c>
      <c r="C657" t="s">
        <v>2068</v>
      </c>
      <c r="D657" t="s">
        <v>2069</v>
      </c>
      <c r="E657" t="s">
        <v>1933</v>
      </c>
      <c r="F657" t="s">
        <v>23</v>
      </c>
      <c r="G657" s="1">
        <v>38</v>
      </c>
      <c r="H657" s="1">
        <v>12</v>
      </c>
      <c r="I657" t="s">
        <v>39</v>
      </c>
      <c r="L657" s="1">
        <v>1</v>
      </c>
      <c r="M657" s="3">
        <v>24</v>
      </c>
      <c r="N657" s="3">
        <v>1.2</v>
      </c>
      <c r="O657" s="3">
        <v>0</v>
      </c>
      <c r="P657" s="3">
        <v>0.2</v>
      </c>
      <c r="Q657" s="3">
        <v>25.4</v>
      </c>
      <c r="R657" s="3">
        <v>24.25</v>
      </c>
      <c r="S657" s="3">
        <f>VLOOKUP(C657,[1]page!$C$2:$M$3071,11,0)</f>
        <v>24</v>
      </c>
      <c r="T657" s="6">
        <f t="shared" si="10"/>
        <v>0</v>
      </c>
    </row>
    <row r="658" spans="1:20" x14ac:dyDescent="0.2">
      <c r="A658" t="s">
        <v>2070</v>
      </c>
      <c r="B658" t="s">
        <v>2071</v>
      </c>
      <c r="C658" t="s">
        <v>2072</v>
      </c>
      <c r="D658" t="s">
        <v>2073</v>
      </c>
      <c r="E658" t="s">
        <v>353</v>
      </c>
      <c r="F658" t="s">
        <v>23</v>
      </c>
      <c r="G658" s="1">
        <v>30</v>
      </c>
      <c r="H658" s="1">
        <v>12</v>
      </c>
      <c r="I658" t="s">
        <v>156</v>
      </c>
      <c r="L658" s="1">
        <v>1</v>
      </c>
      <c r="M658" s="3">
        <v>22.59</v>
      </c>
      <c r="N658" s="3">
        <v>1.1299999999999999</v>
      </c>
      <c r="O658" s="3">
        <v>0</v>
      </c>
      <c r="P658" s="3">
        <v>0.2</v>
      </c>
      <c r="Q658" s="3">
        <v>23.92</v>
      </c>
      <c r="R658" s="3">
        <v>18.2</v>
      </c>
      <c r="S658" s="3">
        <f>VLOOKUP(C658,[1]page!$C$2:$M$3071,11,0)</f>
        <v>22.41</v>
      </c>
      <c r="T658" s="6">
        <f t="shared" si="10"/>
        <v>0.17999999999999972</v>
      </c>
    </row>
    <row r="659" spans="1:20" x14ac:dyDescent="0.2">
      <c r="A659" t="s">
        <v>1949</v>
      </c>
      <c r="B659" t="s">
        <v>2074</v>
      </c>
      <c r="C659" t="s">
        <v>2075</v>
      </c>
      <c r="D659" t="s">
        <v>2076</v>
      </c>
      <c r="E659" t="s">
        <v>2077</v>
      </c>
      <c r="F659" t="s">
        <v>2078</v>
      </c>
      <c r="G659" s="1">
        <v>30</v>
      </c>
      <c r="H659" s="1">
        <v>12</v>
      </c>
      <c r="I659" t="s">
        <v>1604</v>
      </c>
      <c r="L659" s="1">
        <v>10</v>
      </c>
      <c r="M659" s="3">
        <v>16.88</v>
      </c>
      <c r="N659" s="3">
        <v>0.84</v>
      </c>
      <c r="O659" s="3">
        <v>0</v>
      </c>
      <c r="P659" s="3">
        <v>1</v>
      </c>
      <c r="Q659" s="3">
        <v>18.72</v>
      </c>
      <c r="R659" s="3">
        <v>13.1</v>
      </c>
      <c r="S659" s="3">
        <f>VLOOKUP(C659,[1]page!$C$2:$M$3071,11,0)</f>
        <v>16.79</v>
      </c>
      <c r="T659" s="6">
        <f t="shared" si="10"/>
        <v>8.9999999999999858E-2</v>
      </c>
    </row>
    <row r="660" spans="1:20" x14ac:dyDescent="0.2">
      <c r="A660" t="s">
        <v>1949</v>
      </c>
      <c r="B660" t="s">
        <v>2079</v>
      </c>
      <c r="C660" t="s">
        <v>2080</v>
      </c>
      <c r="D660" t="s">
        <v>2081</v>
      </c>
      <c r="E660" t="s">
        <v>2077</v>
      </c>
      <c r="F660" t="s">
        <v>77</v>
      </c>
      <c r="G660" s="1">
        <v>30</v>
      </c>
      <c r="H660" s="1">
        <v>24</v>
      </c>
      <c r="I660" t="s">
        <v>1604</v>
      </c>
      <c r="L660" s="1">
        <v>1</v>
      </c>
      <c r="M660" s="3">
        <v>11.49</v>
      </c>
      <c r="N660" s="3">
        <v>0.56999999999999995</v>
      </c>
      <c r="O660" s="3">
        <v>0</v>
      </c>
      <c r="P660" s="3">
        <v>0.2</v>
      </c>
      <c r="Q660" s="3">
        <v>12.26</v>
      </c>
      <c r="R660" s="3">
        <v>10.3</v>
      </c>
      <c r="S660" s="3">
        <f>VLOOKUP(C660,[1]page!$C$2:$M$3071,11,0)</f>
        <v>11.42</v>
      </c>
      <c r="T660" s="6">
        <f t="shared" si="10"/>
        <v>7.0000000000000284E-2</v>
      </c>
    </row>
    <row r="661" spans="1:20" x14ac:dyDescent="0.2">
      <c r="A661" t="s">
        <v>1949</v>
      </c>
      <c r="B661" t="s">
        <v>2082</v>
      </c>
      <c r="C661" t="s">
        <v>2083</v>
      </c>
      <c r="D661" t="s">
        <v>2081</v>
      </c>
      <c r="E661" t="s">
        <v>2077</v>
      </c>
      <c r="F661" t="s">
        <v>23</v>
      </c>
      <c r="G661" s="1">
        <v>30</v>
      </c>
      <c r="H661" s="1">
        <v>12</v>
      </c>
      <c r="I661" t="s">
        <v>1604</v>
      </c>
      <c r="L661" s="1">
        <v>1</v>
      </c>
      <c r="M661" s="3">
        <v>23.85</v>
      </c>
      <c r="N661" s="3">
        <v>1.19</v>
      </c>
      <c r="O661" s="3">
        <v>0</v>
      </c>
      <c r="P661" s="3">
        <v>0.2</v>
      </c>
      <c r="Q661" s="3">
        <v>25.24</v>
      </c>
      <c r="R661" s="3">
        <v>18.2</v>
      </c>
      <c r="S661" s="3">
        <f>VLOOKUP(C661,[1]page!$C$2:$M$3071,11,0)</f>
        <v>23.71</v>
      </c>
      <c r="T661" s="6">
        <f t="shared" si="10"/>
        <v>0.14000000000000057</v>
      </c>
    </row>
    <row r="662" spans="1:20" x14ac:dyDescent="0.2">
      <c r="A662" t="s">
        <v>1949</v>
      </c>
      <c r="B662" t="s">
        <v>2084</v>
      </c>
      <c r="C662" t="s">
        <v>2085</v>
      </c>
      <c r="D662" t="s">
        <v>2086</v>
      </c>
      <c r="E662" t="s">
        <v>579</v>
      </c>
      <c r="F662" t="s">
        <v>23</v>
      </c>
      <c r="G662" s="1">
        <v>35</v>
      </c>
      <c r="H662" s="1">
        <v>12</v>
      </c>
      <c r="I662" t="s">
        <v>29</v>
      </c>
      <c r="L662" s="1">
        <v>1</v>
      </c>
      <c r="M662" s="3">
        <v>24.67</v>
      </c>
      <c r="N662" s="3">
        <v>1.23</v>
      </c>
      <c r="O662" s="3">
        <v>0</v>
      </c>
      <c r="P662" s="3">
        <v>0.2</v>
      </c>
      <c r="Q662" s="3">
        <v>26.1</v>
      </c>
      <c r="R662" s="3">
        <v>24.25</v>
      </c>
      <c r="S662" s="3">
        <f>VLOOKUP(C662,[1]page!$C$2:$M$3071,11,0)</f>
        <v>24.5</v>
      </c>
      <c r="T662" s="6">
        <f t="shared" si="10"/>
        <v>0.17000000000000171</v>
      </c>
    </row>
    <row r="663" spans="1:20" x14ac:dyDescent="0.2">
      <c r="A663" t="s">
        <v>2087</v>
      </c>
      <c r="B663" t="s">
        <v>2088</v>
      </c>
      <c r="C663" t="s">
        <v>2089</v>
      </c>
      <c r="D663" t="s">
        <v>2090</v>
      </c>
      <c r="E663" t="s">
        <v>2091</v>
      </c>
      <c r="F663" t="s">
        <v>23</v>
      </c>
      <c r="G663" s="1">
        <v>35</v>
      </c>
      <c r="H663" s="1">
        <v>12</v>
      </c>
      <c r="I663" t="s">
        <v>188</v>
      </c>
      <c r="L663" s="1">
        <v>1</v>
      </c>
      <c r="M663" s="3">
        <v>25.54</v>
      </c>
      <c r="N663" s="3">
        <v>1.28</v>
      </c>
      <c r="O663" s="3">
        <v>0</v>
      </c>
      <c r="P663" s="3">
        <v>0.2</v>
      </c>
      <c r="Q663" s="3">
        <v>27.02</v>
      </c>
      <c r="R663" s="3">
        <v>24.25</v>
      </c>
      <c r="S663" s="3">
        <f>VLOOKUP(C663,[1]page!$C$2:$M$3071,11,0)</f>
        <v>25.38</v>
      </c>
      <c r="T663" s="6">
        <f t="shared" si="10"/>
        <v>0.16000000000000014</v>
      </c>
    </row>
    <row r="664" spans="1:20" x14ac:dyDescent="0.2">
      <c r="A664" t="s">
        <v>2092</v>
      </c>
      <c r="B664" t="s">
        <v>2093</v>
      </c>
      <c r="C664" t="s">
        <v>2094</v>
      </c>
      <c r="D664" t="s">
        <v>2095</v>
      </c>
      <c r="E664" t="s">
        <v>2096</v>
      </c>
      <c r="F664" t="s">
        <v>2097</v>
      </c>
      <c r="G664" s="2">
        <v>20.100000000000001</v>
      </c>
      <c r="H664" s="1">
        <v>20</v>
      </c>
      <c r="I664" t="s">
        <v>2098</v>
      </c>
      <c r="L664" s="1">
        <v>1</v>
      </c>
      <c r="M664" s="3">
        <v>5.64</v>
      </c>
      <c r="N664" s="3">
        <v>0.28000000000000003</v>
      </c>
      <c r="O664" s="3">
        <v>0</v>
      </c>
      <c r="P664" s="3">
        <v>0.2</v>
      </c>
      <c r="Q664" s="3">
        <v>6.12</v>
      </c>
      <c r="R664" s="3">
        <v>7.85</v>
      </c>
      <c r="S664" s="3">
        <f>VLOOKUP(C664,[1]page!$C$2:$M$3071,11,0)</f>
        <v>5.64</v>
      </c>
      <c r="T664" s="6">
        <f t="shared" si="10"/>
        <v>0</v>
      </c>
    </row>
    <row r="665" spans="1:20" x14ac:dyDescent="0.2">
      <c r="A665" t="s">
        <v>2099</v>
      </c>
      <c r="B665" t="s">
        <v>2100</v>
      </c>
      <c r="C665" t="s">
        <v>2101</v>
      </c>
      <c r="D665" t="s">
        <v>2102</v>
      </c>
      <c r="E665" t="s">
        <v>182</v>
      </c>
      <c r="F665" t="s">
        <v>23</v>
      </c>
      <c r="G665" s="1">
        <v>21</v>
      </c>
      <c r="H665" s="1">
        <v>12</v>
      </c>
      <c r="I665" t="s">
        <v>183</v>
      </c>
      <c r="L665" s="1">
        <v>1</v>
      </c>
      <c r="M665" s="3">
        <v>15.46</v>
      </c>
      <c r="N665" s="3">
        <v>0.77</v>
      </c>
      <c r="O665" s="3">
        <v>0</v>
      </c>
      <c r="P665" s="3">
        <v>0.2</v>
      </c>
      <c r="Q665" s="3">
        <v>16.43</v>
      </c>
      <c r="R665" s="3">
        <v>13.9</v>
      </c>
      <c r="S665" s="3">
        <f>VLOOKUP(C665,[1]page!$C$2:$M$3071,11,0)</f>
        <v>15.36</v>
      </c>
      <c r="T665" s="6">
        <f t="shared" si="10"/>
        <v>0.10000000000000142</v>
      </c>
    </row>
    <row r="666" spans="1:20" x14ac:dyDescent="0.2">
      <c r="A666" t="s">
        <v>2099</v>
      </c>
      <c r="B666" t="s">
        <v>2103</v>
      </c>
      <c r="C666" t="s">
        <v>2104</v>
      </c>
      <c r="D666" t="s">
        <v>2105</v>
      </c>
      <c r="E666" t="s">
        <v>528</v>
      </c>
      <c r="F666" t="s">
        <v>77</v>
      </c>
      <c r="G666" s="1">
        <v>15</v>
      </c>
      <c r="H666" s="1">
        <v>24</v>
      </c>
      <c r="I666" t="s">
        <v>529</v>
      </c>
      <c r="L666" s="1">
        <v>1</v>
      </c>
      <c r="M666" s="3">
        <v>9.52</v>
      </c>
      <c r="N666" s="3">
        <v>0.48</v>
      </c>
      <c r="O666" s="3">
        <v>0</v>
      </c>
      <c r="P666" s="3">
        <v>0.1</v>
      </c>
      <c r="Q666" s="3">
        <v>10.1</v>
      </c>
      <c r="R666" s="3">
        <v>7.85</v>
      </c>
      <c r="S666" s="3">
        <f>VLOOKUP(C666,[1]page!$C$2:$M$3071,11,0)</f>
        <v>9.48</v>
      </c>
      <c r="T666" s="6">
        <f t="shared" si="10"/>
        <v>3.9999999999999147E-2</v>
      </c>
    </row>
    <row r="667" spans="1:20" x14ac:dyDescent="0.2">
      <c r="A667" t="s">
        <v>2099</v>
      </c>
      <c r="B667" t="s">
        <v>2106</v>
      </c>
      <c r="C667" t="s">
        <v>2107</v>
      </c>
      <c r="D667" t="s">
        <v>2105</v>
      </c>
      <c r="E667" t="s">
        <v>528</v>
      </c>
      <c r="F667" t="s">
        <v>23</v>
      </c>
      <c r="G667" s="1">
        <v>15</v>
      </c>
      <c r="H667" s="1">
        <v>12</v>
      </c>
      <c r="I667" t="s">
        <v>529</v>
      </c>
      <c r="L667" s="1">
        <v>1</v>
      </c>
      <c r="M667" s="3">
        <v>15.07</v>
      </c>
      <c r="N667" s="3">
        <v>0.75</v>
      </c>
      <c r="O667" s="3">
        <v>0</v>
      </c>
      <c r="P667" s="3">
        <v>0.2</v>
      </c>
      <c r="Q667" s="3">
        <v>16.02</v>
      </c>
      <c r="R667" s="3">
        <v>13.9</v>
      </c>
      <c r="S667" s="3">
        <f>VLOOKUP(C667,[1]page!$C$2:$M$3071,11,0)</f>
        <v>14.99</v>
      </c>
      <c r="T667" s="6">
        <f t="shared" si="10"/>
        <v>8.0000000000000071E-2</v>
      </c>
    </row>
    <row r="668" spans="1:20" x14ac:dyDescent="0.2">
      <c r="A668" t="s">
        <v>2108</v>
      </c>
      <c r="B668" t="s">
        <v>2109</v>
      </c>
      <c r="C668" t="s">
        <v>2110</v>
      </c>
      <c r="D668" t="s">
        <v>2111</v>
      </c>
      <c r="E668" t="s">
        <v>2112</v>
      </c>
      <c r="F668" t="s">
        <v>209</v>
      </c>
      <c r="G668" s="1">
        <v>15</v>
      </c>
      <c r="H668" s="1">
        <v>24</v>
      </c>
      <c r="I668" t="s">
        <v>183</v>
      </c>
      <c r="L668" s="1">
        <v>1</v>
      </c>
      <c r="M668" s="3">
        <v>5.29</v>
      </c>
      <c r="N668" s="3">
        <v>0.26</v>
      </c>
      <c r="O668" s="3">
        <v>0</v>
      </c>
      <c r="P668" s="3">
        <v>0</v>
      </c>
      <c r="Q668" s="3">
        <v>5.55</v>
      </c>
      <c r="R668" s="3">
        <v>7.85</v>
      </c>
      <c r="S668" s="3">
        <f>VLOOKUP(C668,[1]page!$C$2:$M$3071,11,0)</f>
        <v>5.28</v>
      </c>
      <c r="T668" s="6">
        <f t="shared" si="10"/>
        <v>9.9999999999997868E-3</v>
      </c>
    </row>
    <row r="669" spans="1:20" x14ac:dyDescent="0.2">
      <c r="A669" t="s">
        <v>2108</v>
      </c>
      <c r="B669" t="s">
        <v>2113</v>
      </c>
      <c r="C669" t="s">
        <v>2114</v>
      </c>
      <c r="D669" t="s">
        <v>2115</v>
      </c>
      <c r="E669" t="s">
        <v>2116</v>
      </c>
      <c r="F669" t="s">
        <v>23</v>
      </c>
      <c r="G669" s="1">
        <v>15</v>
      </c>
      <c r="H669" s="1">
        <v>12</v>
      </c>
      <c r="I669" t="s">
        <v>39</v>
      </c>
      <c r="L669" s="1">
        <v>1</v>
      </c>
      <c r="M669" s="3">
        <v>20.37</v>
      </c>
      <c r="N669" s="3">
        <v>1.02</v>
      </c>
      <c r="O669" s="3">
        <v>0</v>
      </c>
      <c r="P669" s="3">
        <v>0.2</v>
      </c>
      <c r="Q669" s="3">
        <v>21.59</v>
      </c>
      <c r="R669" s="3">
        <v>13.9</v>
      </c>
      <c r="S669" s="3">
        <f>VLOOKUP(C669,[1]page!$C$2:$M$3071,11,0)</f>
        <v>20.3</v>
      </c>
      <c r="T669" s="6">
        <f t="shared" si="10"/>
        <v>7.0000000000000284E-2</v>
      </c>
    </row>
    <row r="670" spans="1:20" x14ac:dyDescent="0.2">
      <c r="A670" t="s">
        <v>2117</v>
      </c>
      <c r="B670" t="s">
        <v>2118</v>
      </c>
      <c r="C670" t="s">
        <v>2119</v>
      </c>
      <c r="D670" t="s">
        <v>2120</v>
      </c>
      <c r="E670" t="s">
        <v>43</v>
      </c>
      <c r="F670" t="s">
        <v>77</v>
      </c>
      <c r="G670" s="1">
        <v>21</v>
      </c>
      <c r="H670" s="1">
        <v>24</v>
      </c>
      <c r="I670" t="s">
        <v>39</v>
      </c>
      <c r="L670" s="1">
        <v>1</v>
      </c>
      <c r="M670" s="3">
        <v>13.9</v>
      </c>
      <c r="N670" s="3">
        <v>0.7</v>
      </c>
      <c r="O670" s="3">
        <v>0</v>
      </c>
      <c r="P670" s="3">
        <v>0.1</v>
      </c>
      <c r="Q670" s="3">
        <v>14.7</v>
      </c>
      <c r="R670" s="3">
        <v>7.85</v>
      </c>
      <c r="S670" s="3">
        <f>VLOOKUP(C670,[1]page!$C$2:$M$3071,11,0)</f>
        <v>13.9</v>
      </c>
      <c r="T670" s="6">
        <f t="shared" si="10"/>
        <v>0</v>
      </c>
    </row>
    <row r="671" spans="1:20" x14ac:dyDescent="0.2">
      <c r="A671" t="s">
        <v>2117</v>
      </c>
      <c r="B671" t="s">
        <v>2121</v>
      </c>
      <c r="C671" t="s">
        <v>2122</v>
      </c>
      <c r="D671" t="s">
        <v>2120</v>
      </c>
      <c r="E671" t="s">
        <v>43</v>
      </c>
      <c r="F671" t="s">
        <v>23</v>
      </c>
      <c r="G671" s="1">
        <v>21</v>
      </c>
      <c r="H671" s="1">
        <v>12</v>
      </c>
      <c r="I671" t="s">
        <v>39</v>
      </c>
      <c r="L671" s="1">
        <v>1</v>
      </c>
      <c r="M671" s="3">
        <v>23.4</v>
      </c>
      <c r="N671" s="3">
        <v>1.17</v>
      </c>
      <c r="O671" s="3">
        <v>0</v>
      </c>
      <c r="P671" s="3">
        <v>0.2</v>
      </c>
      <c r="Q671" s="3">
        <v>24.77</v>
      </c>
      <c r="R671" s="3">
        <v>13.9</v>
      </c>
      <c r="S671" s="3">
        <f>VLOOKUP(C671,[1]page!$C$2:$M$3071,11,0)</f>
        <v>23.4</v>
      </c>
      <c r="T671" s="6">
        <f t="shared" si="10"/>
        <v>0</v>
      </c>
    </row>
    <row r="672" spans="1:20" x14ac:dyDescent="0.2">
      <c r="A672" t="s">
        <v>2117</v>
      </c>
      <c r="B672" t="s">
        <v>2123</v>
      </c>
      <c r="C672" t="s">
        <v>2124</v>
      </c>
      <c r="D672" t="s">
        <v>2120</v>
      </c>
      <c r="E672" t="s">
        <v>43</v>
      </c>
      <c r="F672" t="s">
        <v>65</v>
      </c>
      <c r="G672" s="1">
        <v>21</v>
      </c>
      <c r="H672" s="1">
        <v>8</v>
      </c>
      <c r="I672" t="s">
        <v>39</v>
      </c>
      <c r="L672" s="1">
        <v>1</v>
      </c>
      <c r="M672" s="3">
        <v>33.71</v>
      </c>
      <c r="N672" s="3">
        <v>1.69</v>
      </c>
      <c r="O672" s="3">
        <v>0</v>
      </c>
      <c r="P672" s="3">
        <v>0.4</v>
      </c>
      <c r="Q672" s="3">
        <v>35.799999999999997</v>
      </c>
      <c r="R672" s="3">
        <v>20.5</v>
      </c>
      <c r="S672" s="3">
        <f>VLOOKUP(C672,[1]page!$C$2:$M$3071,11,0)</f>
        <v>33.71</v>
      </c>
      <c r="T672" s="6">
        <f t="shared" si="10"/>
        <v>0</v>
      </c>
    </row>
    <row r="673" spans="1:20" x14ac:dyDescent="0.2">
      <c r="A673" t="s">
        <v>2117</v>
      </c>
      <c r="B673" t="s">
        <v>2125</v>
      </c>
      <c r="C673" t="s">
        <v>2126</v>
      </c>
      <c r="D673" t="s">
        <v>2120</v>
      </c>
      <c r="E673" t="s">
        <v>43</v>
      </c>
      <c r="F673" t="s">
        <v>84</v>
      </c>
      <c r="G673" s="1">
        <v>21</v>
      </c>
      <c r="H673" s="1">
        <v>6</v>
      </c>
      <c r="I673" t="s">
        <v>39</v>
      </c>
      <c r="L673" s="1">
        <v>1</v>
      </c>
      <c r="M673" s="3">
        <v>48.82</v>
      </c>
      <c r="N673" s="3">
        <v>2.44</v>
      </c>
      <c r="O673" s="3">
        <v>0</v>
      </c>
      <c r="P673" s="3">
        <v>0.25</v>
      </c>
      <c r="Q673" s="3">
        <v>51.51</v>
      </c>
      <c r="R673" s="3">
        <v>30.8</v>
      </c>
      <c r="S673" s="3">
        <f>VLOOKUP(C673,[1]page!$C$2:$M$3071,11,0)</f>
        <v>48.83</v>
      </c>
      <c r="T673" s="6">
        <f t="shared" si="10"/>
        <v>-9.9999999999980105E-3</v>
      </c>
    </row>
    <row r="674" spans="1:20" x14ac:dyDescent="0.2">
      <c r="A674" t="s">
        <v>2117</v>
      </c>
      <c r="B674" t="s">
        <v>2127</v>
      </c>
      <c r="C674" t="s">
        <v>2128</v>
      </c>
      <c r="D674" t="s">
        <v>2129</v>
      </c>
      <c r="E674" t="s">
        <v>43</v>
      </c>
      <c r="F674" t="s">
        <v>23</v>
      </c>
      <c r="G674" s="1">
        <v>21</v>
      </c>
      <c r="H674" s="1">
        <v>12</v>
      </c>
      <c r="I674" t="s">
        <v>39</v>
      </c>
      <c r="L674" s="1">
        <v>1</v>
      </c>
      <c r="M674" s="3">
        <v>23.4</v>
      </c>
      <c r="N674" s="3">
        <v>1.17</v>
      </c>
      <c r="O674" s="3">
        <v>0</v>
      </c>
      <c r="P674" s="3">
        <v>0.2</v>
      </c>
      <c r="Q674" s="3">
        <v>24.77</v>
      </c>
      <c r="R674" s="3">
        <v>13.9</v>
      </c>
      <c r="S674" s="3">
        <f>VLOOKUP(C674,[1]page!$C$2:$M$3071,11,0)</f>
        <v>23.4</v>
      </c>
      <c r="T674" s="6">
        <f t="shared" si="10"/>
        <v>0</v>
      </c>
    </row>
    <row r="675" spans="1:20" x14ac:dyDescent="0.2">
      <c r="A675" t="s">
        <v>2117</v>
      </c>
      <c r="B675" t="s">
        <v>2130</v>
      </c>
      <c r="C675" t="s">
        <v>2131</v>
      </c>
      <c r="D675" t="s">
        <v>2132</v>
      </c>
      <c r="E675" t="s">
        <v>43</v>
      </c>
      <c r="F675" t="s">
        <v>23</v>
      </c>
      <c r="G675" s="1">
        <v>21</v>
      </c>
      <c r="H675" s="1">
        <v>12</v>
      </c>
      <c r="I675" t="s">
        <v>39</v>
      </c>
      <c r="L675" s="1">
        <v>1</v>
      </c>
      <c r="M675" s="3">
        <v>23.5</v>
      </c>
      <c r="N675" s="3">
        <v>1.18</v>
      </c>
      <c r="O675" s="3">
        <v>0</v>
      </c>
      <c r="P675" s="3">
        <v>0.2</v>
      </c>
      <c r="Q675" s="3">
        <v>24.88</v>
      </c>
      <c r="R675" s="3">
        <v>13.9</v>
      </c>
      <c r="S675" s="3" t="e">
        <f>VLOOKUP(C675,[1]page!$C$2:$M$3071,11,0)</f>
        <v>#N/A</v>
      </c>
      <c r="T675" s="6" t="e">
        <f t="shared" si="10"/>
        <v>#N/A</v>
      </c>
    </row>
    <row r="676" spans="1:20" x14ac:dyDescent="0.2">
      <c r="A676" t="s">
        <v>2133</v>
      </c>
      <c r="B676" t="s">
        <v>2134</v>
      </c>
      <c r="C676" t="s">
        <v>2135</v>
      </c>
      <c r="D676" t="s">
        <v>2136</v>
      </c>
      <c r="E676" t="s">
        <v>43</v>
      </c>
      <c r="F676" t="s">
        <v>23</v>
      </c>
      <c r="G676" s="1">
        <v>20</v>
      </c>
      <c r="H676" s="1">
        <v>12</v>
      </c>
      <c r="I676" t="s">
        <v>39</v>
      </c>
      <c r="L676" s="1">
        <v>1</v>
      </c>
      <c r="M676" s="3">
        <v>21</v>
      </c>
      <c r="N676" s="3">
        <v>1.05</v>
      </c>
      <c r="O676" s="3">
        <v>0</v>
      </c>
      <c r="P676" s="3">
        <v>0.2</v>
      </c>
      <c r="Q676" s="3">
        <v>22.25</v>
      </c>
      <c r="R676" s="3">
        <v>13.9</v>
      </c>
      <c r="S676" s="3">
        <f>VLOOKUP(C676,[1]page!$C$2:$M$3071,11,0)</f>
        <v>20.91</v>
      </c>
      <c r="T676" s="6">
        <f t="shared" si="10"/>
        <v>8.9999999999999858E-2</v>
      </c>
    </row>
    <row r="677" spans="1:20" x14ac:dyDescent="0.2">
      <c r="A677" t="s">
        <v>2133</v>
      </c>
      <c r="B677" t="s">
        <v>2137</v>
      </c>
      <c r="C677" t="s">
        <v>2138</v>
      </c>
      <c r="D677" t="s">
        <v>2139</v>
      </c>
      <c r="E677" t="s">
        <v>43</v>
      </c>
      <c r="F677" t="s">
        <v>77</v>
      </c>
      <c r="G677" s="1">
        <v>16</v>
      </c>
      <c r="H677" s="1">
        <v>24</v>
      </c>
      <c r="I677" t="s">
        <v>39</v>
      </c>
      <c r="L677" s="1">
        <v>1</v>
      </c>
      <c r="M677" s="3">
        <v>16.3</v>
      </c>
      <c r="N677" s="3">
        <v>0.82</v>
      </c>
      <c r="O677" s="3">
        <v>0</v>
      </c>
      <c r="P677" s="3">
        <v>0.1</v>
      </c>
      <c r="Q677" s="3">
        <v>17.22</v>
      </c>
      <c r="R677" s="3">
        <v>7.85</v>
      </c>
      <c r="S677" s="3">
        <f>VLOOKUP(C677,[1]page!$C$2:$M$3071,11,0)</f>
        <v>16.3</v>
      </c>
      <c r="T677" s="6">
        <f t="shared" si="10"/>
        <v>0</v>
      </c>
    </row>
    <row r="678" spans="1:20" x14ac:dyDescent="0.2">
      <c r="A678" t="s">
        <v>2133</v>
      </c>
      <c r="B678" t="s">
        <v>2140</v>
      </c>
      <c r="C678" t="s">
        <v>2141</v>
      </c>
      <c r="D678" t="s">
        <v>2139</v>
      </c>
      <c r="E678" t="s">
        <v>1668</v>
      </c>
      <c r="F678" t="s">
        <v>23</v>
      </c>
      <c r="G678" s="1">
        <v>16</v>
      </c>
      <c r="H678" s="1">
        <v>12</v>
      </c>
      <c r="I678" t="s">
        <v>39</v>
      </c>
      <c r="L678" s="1">
        <v>1</v>
      </c>
      <c r="M678" s="3">
        <v>27.01</v>
      </c>
      <c r="N678" s="3">
        <v>1.35</v>
      </c>
      <c r="O678" s="3">
        <v>0</v>
      </c>
      <c r="P678" s="3">
        <v>0.2</v>
      </c>
      <c r="Q678" s="3">
        <v>28.56</v>
      </c>
      <c r="R678" s="3">
        <v>13.9</v>
      </c>
      <c r="S678" s="3">
        <f>VLOOKUP(C678,[1]page!$C$2:$M$3071,11,0)</f>
        <v>27.01</v>
      </c>
      <c r="T678" s="6">
        <f t="shared" si="10"/>
        <v>0</v>
      </c>
    </row>
    <row r="679" spans="1:20" x14ac:dyDescent="0.2">
      <c r="A679" t="s">
        <v>2133</v>
      </c>
      <c r="B679" t="s">
        <v>2142</v>
      </c>
      <c r="C679" t="s">
        <v>2143</v>
      </c>
      <c r="D679" t="s">
        <v>2139</v>
      </c>
      <c r="E679" t="s">
        <v>1668</v>
      </c>
      <c r="F679" t="s">
        <v>65</v>
      </c>
      <c r="G679" s="1">
        <v>16</v>
      </c>
      <c r="H679" s="1">
        <v>6</v>
      </c>
      <c r="I679" t="s">
        <v>39</v>
      </c>
      <c r="L679" s="1">
        <v>1</v>
      </c>
      <c r="M679" s="3">
        <v>37.31</v>
      </c>
      <c r="N679" s="3">
        <v>1.87</v>
      </c>
      <c r="O679" s="3">
        <v>0</v>
      </c>
      <c r="P679" s="3">
        <v>0.4</v>
      </c>
      <c r="Q679" s="3">
        <v>39.58</v>
      </c>
      <c r="R679" s="3">
        <v>20.5</v>
      </c>
      <c r="S679" s="3">
        <f>VLOOKUP(C679,[1]page!$C$2:$M$3071,11,0)</f>
        <v>37.31</v>
      </c>
      <c r="T679" s="6">
        <f t="shared" si="10"/>
        <v>0</v>
      </c>
    </row>
    <row r="680" spans="1:20" x14ac:dyDescent="0.2">
      <c r="A680" t="s">
        <v>2133</v>
      </c>
      <c r="B680" t="s">
        <v>2144</v>
      </c>
      <c r="C680" t="s">
        <v>2145</v>
      </c>
      <c r="D680" t="s">
        <v>2139</v>
      </c>
      <c r="E680" t="s">
        <v>43</v>
      </c>
      <c r="F680" t="s">
        <v>84</v>
      </c>
      <c r="G680" s="1">
        <v>16</v>
      </c>
      <c r="H680" s="1">
        <v>6</v>
      </c>
      <c r="I680" t="s">
        <v>39</v>
      </c>
      <c r="L680" s="1">
        <v>1</v>
      </c>
      <c r="M680" s="3">
        <v>54.02</v>
      </c>
      <c r="N680" s="3">
        <v>2.7</v>
      </c>
      <c r="O680" s="3">
        <v>0</v>
      </c>
      <c r="P680" s="3">
        <v>0.25</v>
      </c>
      <c r="Q680" s="3">
        <v>56.97</v>
      </c>
      <c r="R680" s="3">
        <v>30.8</v>
      </c>
      <c r="S680" s="3">
        <f>VLOOKUP(C680,[1]page!$C$2:$M$3071,11,0)</f>
        <v>54.02</v>
      </c>
      <c r="T680" s="6">
        <f t="shared" si="10"/>
        <v>0</v>
      </c>
    </row>
    <row r="681" spans="1:20" x14ac:dyDescent="0.2">
      <c r="A681" t="s">
        <v>2133</v>
      </c>
      <c r="B681" t="s">
        <v>2146</v>
      </c>
      <c r="C681" t="s">
        <v>2147</v>
      </c>
      <c r="D681" t="s">
        <v>2148</v>
      </c>
      <c r="E681" t="s">
        <v>528</v>
      </c>
      <c r="F681" t="s">
        <v>23</v>
      </c>
      <c r="G681" s="1">
        <v>20</v>
      </c>
      <c r="H681" s="1">
        <v>12</v>
      </c>
      <c r="I681" t="s">
        <v>529</v>
      </c>
      <c r="L681" s="1">
        <v>1</v>
      </c>
      <c r="M681" s="3">
        <v>17.28</v>
      </c>
      <c r="N681" s="3">
        <v>0.86</v>
      </c>
      <c r="O681" s="3">
        <v>0</v>
      </c>
      <c r="P681" s="3">
        <v>0.2</v>
      </c>
      <c r="Q681" s="3">
        <v>18.34</v>
      </c>
      <c r="R681" s="3">
        <v>13.9</v>
      </c>
      <c r="S681" s="3">
        <f>VLOOKUP(C681,[1]page!$C$2:$M$3071,11,0)</f>
        <v>17.190000000000001</v>
      </c>
      <c r="T681" s="6">
        <f t="shared" si="10"/>
        <v>8.9999999999999858E-2</v>
      </c>
    </row>
    <row r="682" spans="1:20" x14ac:dyDescent="0.2">
      <c r="A682" t="s">
        <v>2133</v>
      </c>
      <c r="B682" t="s">
        <v>2149</v>
      </c>
      <c r="C682" t="s">
        <v>2150</v>
      </c>
      <c r="D682" t="s">
        <v>2148</v>
      </c>
      <c r="E682" t="s">
        <v>528</v>
      </c>
      <c r="F682" t="s">
        <v>65</v>
      </c>
      <c r="G682" s="1">
        <v>20</v>
      </c>
      <c r="H682" s="1">
        <v>12</v>
      </c>
      <c r="I682" t="s">
        <v>529</v>
      </c>
      <c r="L682" s="1">
        <v>1</v>
      </c>
      <c r="M682" s="3">
        <v>25.14</v>
      </c>
      <c r="N682" s="3">
        <v>1.26</v>
      </c>
      <c r="O682" s="3">
        <v>0</v>
      </c>
      <c r="P682" s="3">
        <v>0.25</v>
      </c>
      <c r="Q682" s="3">
        <v>26.65</v>
      </c>
      <c r="R682" s="3">
        <v>20.5</v>
      </c>
      <c r="S682" s="3">
        <f>VLOOKUP(C682,[1]page!$C$2:$M$3071,11,0)</f>
        <v>24.99</v>
      </c>
      <c r="T682" s="6">
        <f t="shared" si="10"/>
        <v>0.15000000000000213</v>
      </c>
    </row>
    <row r="683" spans="1:20" x14ac:dyDescent="0.2">
      <c r="A683" t="s">
        <v>2133</v>
      </c>
      <c r="B683" t="s">
        <v>2151</v>
      </c>
      <c r="C683" t="s">
        <v>2152</v>
      </c>
      <c r="D683" t="s">
        <v>2153</v>
      </c>
      <c r="E683" t="s">
        <v>96</v>
      </c>
      <c r="F683" t="s">
        <v>77</v>
      </c>
      <c r="G683" s="2">
        <v>20.100000000000001</v>
      </c>
      <c r="H683" s="1">
        <v>12</v>
      </c>
      <c r="I683" t="s">
        <v>24</v>
      </c>
      <c r="L683" s="1">
        <v>1</v>
      </c>
      <c r="M683" s="3">
        <v>17.78</v>
      </c>
      <c r="N683" s="3">
        <v>0.89</v>
      </c>
      <c r="O683" s="3">
        <v>0</v>
      </c>
      <c r="P683" s="3">
        <v>0.2</v>
      </c>
      <c r="Q683" s="3">
        <v>18.87</v>
      </c>
      <c r="R683" s="3">
        <v>7.85</v>
      </c>
      <c r="S683" s="3">
        <f>VLOOKUP(C683,[1]page!$C$2:$M$3071,11,0)</f>
        <v>18.079999999999998</v>
      </c>
      <c r="T683" s="6">
        <f t="shared" si="10"/>
        <v>-0.29999999999999716</v>
      </c>
    </row>
    <row r="684" spans="1:20" x14ac:dyDescent="0.2">
      <c r="A684" t="s">
        <v>2133</v>
      </c>
      <c r="B684" t="s">
        <v>2154</v>
      </c>
      <c r="C684" t="s">
        <v>2155</v>
      </c>
      <c r="D684" t="s">
        <v>2156</v>
      </c>
      <c r="E684" t="s">
        <v>2157</v>
      </c>
      <c r="F684" t="s">
        <v>77</v>
      </c>
      <c r="G684" s="1">
        <v>20</v>
      </c>
      <c r="H684" s="1">
        <v>12</v>
      </c>
      <c r="I684" t="s">
        <v>62</v>
      </c>
      <c r="L684" s="1">
        <v>1</v>
      </c>
      <c r="M684" s="3">
        <v>17.8</v>
      </c>
      <c r="N684" s="3">
        <v>0.89</v>
      </c>
      <c r="O684" s="3">
        <v>0</v>
      </c>
      <c r="P684" s="3">
        <v>0.2</v>
      </c>
      <c r="Q684" s="3">
        <v>18.89</v>
      </c>
      <c r="R684" s="3">
        <v>7.85</v>
      </c>
      <c r="S684" s="3">
        <f>VLOOKUP(C684,[1]page!$C$2:$M$3071,11,0)</f>
        <v>17.73</v>
      </c>
      <c r="T684" s="6">
        <f t="shared" si="10"/>
        <v>7.0000000000000284E-2</v>
      </c>
    </row>
    <row r="685" spans="1:20" x14ac:dyDescent="0.2">
      <c r="A685" t="s">
        <v>2133</v>
      </c>
      <c r="B685" t="s">
        <v>2158</v>
      </c>
      <c r="C685" t="s">
        <v>2159</v>
      </c>
      <c r="D685" t="s">
        <v>2160</v>
      </c>
      <c r="E685" t="s">
        <v>1508</v>
      </c>
      <c r="F685" t="s">
        <v>23</v>
      </c>
      <c r="G685" s="1">
        <v>35</v>
      </c>
      <c r="H685" s="1">
        <v>6</v>
      </c>
      <c r="I685" t="s">
        <v>444</v>
      </c>
      <c r="L685" s="1">
        <v>1</v>
      </c>
      <c r="M685" s="3">
        <v>75.010000000000005</v>
      </c>
      <c r="N685" s="3">
        <v>3.75</v>
      </c>
      <c r="O685" s="3">
        <v>0</v>
      </c>
      <c r="P685" s="3">
        <v>0.2</v>
      </c>
      <c r="Q685" s="3">
        <v>78.959999999999994</v>
      </c>
      <c r="R685" s="3">
        <v>24.25</v>
      </c>
      <c r="S685" s="3">
        <f>VLOOKUP(C685,[1]page!$C$2:$M$3071,11,0)</f>
        <v>75.02</v>
      </c>
      <c r="T685" s="6">
        <f t="shared" si="10"/>
        <v>-9.9999999999909051E-3</v>
      </c>
    </row>
    <row r="686" spans="1:20" x14ac:dyDescent="0.2">
      <c r="A686" t="s">
        <v>2133</v>
      </c>
      <c r="B686" t="s">
        <v>2161</v>
      </c>
      <c r="C686" t="s">
        <v>2162</v>
      </c>
      <c r="D686" t="s">
        <v>2163</v>
      </c>
      <c r="E686" t="s">
        <v>2164</v>
      </c>
      <c r="F686" t="s">
        <v>23</v>
      </c>
      <c r="G686" s="2">
        <v>15.5</v>
      </c>
      <c r="H686" s="1">
        <v>6</v>
      </c>
      <c r="I686" t="s">
        <v>24</v>
      </c>
      <c r="L686" s="1">
        <v>1</v>
      </c>
      <c r="M686" s="3">
        <v>30.61</v>
      </c>
      <c r="N686" s="3">
        <v>1.53</v>
      </c>
      <c r="O686" s="3">
        <v>0</v>
      </c>
      <c r="P686" s="3">
        <v>0.2</v>
      </c>
      <c r="Q686" s="3">
        <v>32.340000000000003</v>
      </c>
      <c r="R686" s="3">
        <v>13.9</v>
      </c>
      <c r="S686" s="3">
        <f>VLOOKUP(C686,[1]page!$C$2:$M$3071,11,0)</f>
        <v>30.5</v>
      </c>
      <c r="T686" s="6">
        <f t="shared" si="10"/>
        <v>0.10999999999999943</v>
      </c>
    </row>
    <row r="687" spans="1:20" x14ac:dyDescent="0.2">
      <c r="A687" t="s">
        <v>2133</v>
      </c>
      <c r="B687" t="s">
        <v>2165</v>
      </c>
      <c r="C687" t="s">
        <v>2166</v>
      </c>
      <c r="D687" t="s">
        <v>2167</v>
      </c>
      <c r="E687" t="s">
        <v>2168</v>
      </c>
      <c r="F687" t="s">
        <v>23</v>
      </c>
      <c r="G687" s="1">
        <v>20</v>
      </c>
      <c r="H687" s="1">
        <v>12</v>
      </c>
      <c r="I687" t="s">
        <v>183</v>
      </c>
      <c r="L687" s="1">
        <v>1</v>
      </c>
      <c r="M687" s="3">
        <v>24.71</v>
      </c>
      <c r="N687" s="3">
        <v>1.24</v>
      </c>
      <c r="O687" s="3">
        <v>0</v>
      </c>
      <c r="P687" s="3">
        <v>0.2</v>
      </c>
      <c r="Q687" s="3">
        <v>26.15</v>
      </c>
      <c r="R687" s="3">
        <v>13.9</v>
      </c>
      <c r="S687" s="3">
        <f>VLOOKUP(C687,[1]page!$C$2:$M$3071,11,0)</f>
        <v>24.62</v>
      </c>
      <c r="T687" s="6">
        <f t="shared" si="10"/>
        <v>8.9999999999999858E-2</v>
      </c>
    </row>
    <row r="688" spans="1:20" x14ac:dyDescent="0.2">
      <c r="A688" t="s">
        <v>2169</v>
      </c>
      <c r="B688" t="s">
        <v>2170</v>
      </c>
      <c r="C688" t="s">
        <v>2171</v>
      </c>
      <c r="D688" t="s">
        <v>2172</v>
      </c>
      <c r="E688" t="s">
        <v>2173</v>
      </c>
      <c r="F688" t="s">
        <v>23</v>
      </c>
      <c r="G688" s="1">
        <v>17</v>
      </c>
      <c r="H688" s="1">
        <v>12</v>
      </c>
      <c r="I688" t="s">
        <v>34</v>
      </c>
      <c r="L688" s="1">
        <v>1</v>
      </c>
      <c r="M688" s="3">
        <v>23.08</v>
      </c>
      <c r="N688" s="3">
        <v>1.1499999999999999</v>
      </c>
      <c r="O688" s="3">
        <v>0</v>
      </c>
      <c r="P688" s="3">
        <v>0.2</v>
      </c>
      <c r="Q688" s="3">
        <v>24.43</v>
      </c>
      <c r="R688" s="3">
        <v>13.9</v>
      </c>
      <c r="S688" s="3">
        <f>VLOOKUP(C688,[1]page!$C$2:$M$3071,11,0)</f>
        <v>23</v>
      </c>
      <c r="T688" s="6">
        <f t="shared" si="10"/>
        <v>7.9999999999998295E-2</v>
      </c>
    </row>
    <row r="689" spans="1:20" x14ac:dyDescent="0.2">
      <c r="A689" t="s">
        <v>2169</v>
      </c>
      <c r="B689" t="s">
        <v>2174</v>
      </c>
      <c r="C689" t="s">
        <v>2175</v>
      </c>
      <c r="D689" t="s">
        <v>2176</v>
      </c>
      <c r="E689" t="s">
        <v>2177</v>
      </c>
      <c r="F689" t="s">
        <v>2178</v>
      </c>
      <c r="G689" s="1">
        <v>20</v>
      </c>
      <c r="H689" s="1">
        <v>18</v>
      </c>
      <c r="I689" t="s">
        <v>2179</v>
      </c>
      <c r="L689" s="1">
        <v>4</v>
      </c>
      <c r="M689" s="3">
        <v>9.51</v>
      </c>
      <c r="N689" s="3">
        <v>0.48</v>
      </c>
      <c r="O689" s="3">
        <v>0</v>
      </c>
      <c r="P689" s="3">
        <v>0.4</v>
      </c>
      <c r="Q689" s="3">
        <v>10.39</v>
      </c>
      <c r="R689" s="3">
        <v>2.9</v>
      </c>
      <c r="S689" s="3">
        <f>VLOOKUP(C689,[1]page!$C$2:$M$3071,11,0)</f>
        <v>9.5</v>
      </c>
      <c r="T689" s="6">
        <f t="shared" si="10"/>
        <v>9.9999999999997868E-3</v>
      </c>
    </row>
    <row r="690" spans="1:20" x14ac:dyDescent="0.2">
      <c r="A690" t="s">
        <v>2169</v>
      </c>
      <c r="B690" t="s">
        <v>2180</v>
      </c>
      <c r="C690" t="s">
        <v>2181</v>
      </c>
      <c r="D690" t="s">
        <v>2182</v>
      </c>
      <c r="E690" t="s">
        <v>2164</v>
      </c>
      <c r="F690" t="s">
        <v>23</v>
      </c>
      <c r="G690" s="1">
        <v>13</v>
      </c>
      <c r="H690" s="1">
        <v>12</v>
      </c>
      <c r="I690" t="s">
        <v>24</v>
      </c>
      <c r="L690" s="1">
        <v>1</v>
      </c>
      <c r="M690" s="3">
        <v>27.58</v>
      </c>
      <c r="N690" s="3">
        <v>1.38</v>
      </c>
      <c r="O690" s="3">
        <v>0</v>
      </c>
      <c r="P690" s="3">
        <v>0.2</v>
      </c>
      <c r="Q690" s="3">
        <v>29.16</v>
      </c>
      <c r="R690" s="3">
        <v>13.9</v>
      </c>
      <c r="S690" s="3">
        <f>VLOOKUP(C690,[1]page!$C$2:$M$3071,11,0)</f>
        <v>27.51</v>
      </c>
      <c r="T690" s="6">
        <f t="shared" si="10"/>
        <v>6.9999999999996732E-2</v>
      </c>
    </row>
    <row r="691" spans="1:20" x14ac:dyDescent="0.2">
      <c r="A691" t="s">
        <v>2169</v>
      </c>
      <c r="B691" t="s">
        <v>2183</v>
      </c>
      <c r="C691" t="s">
        <v>2184</v>
      </c>
      <c r="D691" t="s">
        <v>2185</v>
      </c>
      <c r="E691" t="s">
        <v>2164</v>
      </c>
      <c r="F691" t="s">
        <v>23</v>
      </c>
      <c r="G691" s="1">
        <v>17</v>
      </c>
      <c r="H691" s="1">
        <v>12</v>
      </c>
      <c r="I691" t="s">
        <v>24</v>
      </c>
      <c r="L691" s="1">
        <v>1</v>
      </c>
      <c r="M691" s="3">
        <v>27.63</v>
      </c>
      <c r="N691" s="3">
        <v>1.38</v>
      </c>
      <c r="O691" s="3">
        <v>0</v>
      </c>
      <c r="P691" s="3">
        <v>0.2</v>
      </c>
      <c r="Q691" s="3">
        <v>29.21</v>
      </c>
      <c r="R691" s="3">
        <v>13.9</v>
      </c>
      <c r="S691" s="3">
        <f>VLOOKUP(C691,[1]page!$C$2:$M$3071,11,0)</f>
        <v>27.51</v>
      </c>
      <c r="T691" s="6">
        <f t="shared" si="10"/>
        <v>0.11999999999999744</v>
      </c>
    </row>
    <row r="692" spans="1:20" x14ac:dyDescent="0.2">
      <c r="A692" t="s">
        <v>2169</v>
      </c>
      <c r="B692" t="s">
        <v>2186</v>
      </c>
      <c r="C692" t="s">
        <v>2187</v>
      </c>
      <c r="D692" t="s">
        <v>2188</v>
      </c>
      <c r="E692" t="s">
        <v>96</v>
      </c>
      <c r="F692" t="s">
        <v>23</v>
      </c>
      <c r="G692" s="2">
        <v>15.7</v>
      </c>
      <c r="H692" s="1">
        <v>12</v>
      </c>
      <c r="I692" t="s">
        <v>24</v>
      </c>
      <c r="L692" s="1">
        <v>1</v>
      </c>
      <c r="M692" s="3">
        <v>23.29</v>
      </c>
      <c r="N692" s="3">
        <v>1.1599999999999999</v>
      </c>
      <c r="O692" s="3">
        <v>0</v>
      </c>
      <c r="P692" s="3">
        <v>0.2</v>
      </c>
      <c r="Q692" s="3">
        <v>24.65</v>
      </c>
      <c r="R692" s="3">
        <v>13.9</v>
      </c>
      <c r="S692" s="3">
        <f>VLOOKUP(C692,[1]page!$C$2:$M$3071,11,0)</f>
        <v>27.51</v>
      </c>
      <c r="T692" s="6">
        <f t="shared" si="10"/>
        <v>-4.2200000000000024</v>
      </c>
    </row>
    <row r="693" spans="1:20" x14ac:dyDescent="0.2">
      <c r="A693" t="s">
        <v>2169</v>
      </c>
      <c r="B693" t="s">
        <v>2189</v>
      </c>
      <c r="C693" t="s">
        <v>2190</v>
      </c>
      <c r="D693" t="s">
        <v>2191</v>
      </c>
      <c r="E693" t="s">
        <v>2164</v>
      </c>
      <c r="F693" t="s">
        <v>23</v>
      </c>
      <c r="G693" s="1">
        <v>17</v>
      </c>
      <c r="H693" s="1">
        <v>12</v>
      </c>
      <c r="I693" t="s">
        <v>24</v>
      </c>
      <c r="L693" s="1">
        <v>1</v>
      </c>
      <c r="M693" s="3">
        <v>27.53</v>
      </c>
      <c r="N693" s="3">
        <v>1.38</v>
      </c>
      <c r="O693" s="3">
        <v>0</v>
      </c>
      <c r="P693" s="3">
        <v>0.2</v>
      </c>
      <c r="Q693" s="3">
        <v>29.11</v>
      </c>
      <c r="R693" s="3">
        <v>13.9</v>
      </c>
      <c r="S693" s="3">
        <f>VLOOKUP(C693,[1]page!$C$2:$M$3071,11,0)</f>
        <v>27.51</v>
      </c>
      <c r="T693" s="6">
        <f t="shared" si="10"/>
        <v>1.9999999999999574E-2</v>
      </c>
    </row>
    <row r="694" spans="1:20" x14ac:dyDescent="0.2">
      <c r="A694" t="s">
        <v>2169</v>
      </c>
      <c r="B694" t="s">
        <v>2192</v>
      </c>
      <c r="C694" t="s">
        <v>2193</v>
      </c>
      <c r="D694" t="s">
        <v>2194</v>
      </c>
      <c r="E694" t="s">
        <v>2164</v>
      </c>
      <c r="F694" t="s">
        <v>74</v>
      </c>
      <c r="G694" s="1">
        <v>17</v>
      </c>
      <c r="H694" s="1">
        <v>120</v>
      </c>
      <c r="I694" t="s">
        <v>24</v>
      </c>
      <c r="L694" s="1">
        <v>1</v>
      </c>
      <c r="M694" s="3">
        <v>4.1900000000000004</v>
      </c>
      <c r="N694" s="3">
        <v>0.21</v>
      </c>
      <c r="O694" s="3">
        <v>0</v>
      </c>
      <c r="P694" s="3">
        <v>0.1</v>
      </c>
      <c r="Q694" s="3">
        <v>4.5</v>
      </c>
      <c r="R694" s="3">
        <v>1.5</v>
      </c>
      <c r="S694" s="3">
        <f>VLOOKUP(C694,[1]page!$C$2:$M$3071,11,0)</f>
        <v>4.1900000000000004</v>
      </c>
      <c r="T694" s="6">
        <f t="shared" si="10"/>
        <v>0</v>
      </c>
    </row>
    <row r="695" spans="1:20" x14ac:dyDescent="0.2">
      <c r="A695" t="s">
        <v>2169</v>
      </c>
      <c r="B695" t="s">
        <v>2195</v>
      </c>
      <c r="C695" t="s">
        <v>2196</v>
      </c>
      <c r="D695" t="s">
        <v>2194</v>
      </c>
      <c r="E695" t="s">
        <v>2164</v>
      </c>
      <c r="F695" t="s">
        <v>77</v>
      </c>
      <c r="G695" s="1">
        <v>17</v>
      </c>
      <c r="H695" s="1">
        <v>12</v>
      </c>
      <c r="I695" t="s">
        <v>24</v>
      </c>
      <c r="L695" s="1">
        <v>1</v>
      </c>
      <c r="M695" s="3">
        <v>16.309999999999999</v>
      </c>
      <c r="N695" s="3">
        <v>0.82</v>
      </c>
      <c r="O695" s="3">
        <v>0</v>
      </c>
      <c r="P695" s="3">
        <v>0.2</v>
      </c>
      <c r="Q695" s="3">
        <v>17.329999999999998</v>
      </c>
      <c r="R695" s="3">
        <v>7.85</v>
      </c>
      <c r="S695" s="3">
        <f>VLOOKUP(C695,[1]page!$C$2:$M$3071,11,0)</f>
        <v>16.3</v>
      </c>
      <c r="T695" s="6">
        <f t="shared" ref="T695:T754" si="11">SUM(M695-S695)</f>
        <v>9.9999999999980105E-3</v>
      </c>
    </row>
    <row r="696" spans="1:20" x14ac:dyDescent="0.2">
      <c r="A696" t="s">
        <v>2169</v>
      </c>
      <c r="B696" t="s">
        <v>2197</v>
      </c>
      <c r="C696" t="s">
        <v>2198</v>
      </c>
      <c r="D696" t="s">
        <v>2194</v>
      </c>
      <c r="E696" t="s">
        <v>2164</v>
      </c>
      <c r="F696" t="s">
        <v>23</v>
      </c>
      <c r="G696" s="1">
        <v>17</v>
      </c>
      <c r="H696" s="1">
        <v>12</v>
      </c>
      <c r="I696" t="s">
        <v>24</v>
      </c>
      <c r="L696" s="1">
        <v>1</v>
      </c>
      <c r="M696" s="3">
        <v>27.02</v>
      </c>
      <c r="N696" s="3">
        <v>1.35</v>
      </c>
      <c r="O696" s="3">
        <v>0</v>
      </c>
      <c r="P696" s="3">
        <v>0.2</v>
      </c>
      <c r="Q696" s="3">
        <v>28.57</v>
      </c>
      <c r="R696" s="3">
        <v>13.9</v>
      </c>
      <c r="S696" s="3">
        <f>VLOOKUP(C696,[1]page!$C$2:$M$3071,11,0)</f>
        <v>27.01</v>
      </c>
      <c r="T696" s="6">
        <f t="shared" si="11"/>
        <v>9.9999999999980105E-3</v>
      </c>
    </row>
    <row r="697" spans="1:20" x14ac:dyDescent="0.2">
      <c r="A697" t="s">
        <v>2169</v>
      </c>
      <c r="B697" t="s">
        <v>2199</v>
      </c>
      <c r="C697" t="s">
        <v>2200</v>
      </c>
      <c r="D697" t="s">
        <v>2194</v>
      </c>
      <c r="E697" t="s">
        <v>2164</v>
      </c>
      <c r="F697" t="s">
        <v>65</v>
      </c>
      <c r="G697" s="1">
        <v>17</v>
      </c>
      <c r="H697" s="1">
        <v>6</v>
      </c>
      <c r="I697" t="s">
        <v>24</v>
      </c>
      <c r="L697" s="1">
        <v>1</v>
      </c>
      <c r="M697" s="3">
        <v>37.54</v>
      </c>
      <c r="N697" s="3">
        <v>1.88</v>
      </c>
      <c r="O697" s="3">
        <v>0</v>
      </c>
      <c r="P697" s="3">
        <v>0.4</v>
      </c>
      <c r="Q697" s="3">
        <v>39.82</v>
      </c>
      <c r="R697" s="3">
        <v>20.5</v>
      </c>
      <c r="S697" s="3">
        <f>VLOOKUP(C697,[1]page!$C$2:$M$3071,11,0)</f>
        <v>37.520000000000003</v>
      </c>
      <c r="T697" s="6">
        <f t="shared" si="11"/>
        <v>1.9999999999996021E-2</v>
      </c>
    </row>
    <row r="698" spans="1:20" x14ac:dyDescent="0.2">
      <c r="A698" t="s">
        <v>2169</v>
      </c>
      <c r="B698" t="s">
        <v>2201</v>
      </c>
      <c r="C698" t="s">
        <v>2202</v>
      </c>
      <c r="D698" t="s">
        <v>2194</v>
      </c>
      <c r="E698" t="s">
        <v>2164</v>
      </c>
      <c r="F698" t="s">
        <v>84</v>
      </c>
      <c r="G698" s="1">
        <v>17</v>
      </c>
      <c r="H698" s="1">
        <v>6</v>
      </c>
      <c r="I698" t="s">
        <v>24</v>
      </c>
      <c r="L698" s="1">
        <v>1</v>
      </c>
      <c r="M698" s="3">
        <v>54.07</v>
      </c>
      <c r="N698" s="3">
        <v>2.7</v>
      </c>
      <c r="O698" s="3">
        <v>0</v>
      </c>
      <c r="P698" s="3">
        <v>0.4</v>
      </c>
      <c r="Q698" s="3">
        <v>57.17</v>
      </c>
      <c r="R698" s="3">
        <v>30.8</v>
      </c>
      <c r="S698" s="3">
        <f>VLOOKUP(C698,[1]page!$C$2:$M$3071,11,0)</f>
        <v>54.03</v>
      </c>
      <c r="T698" s="6">
        <f t="shared" si="11"/>
        <v>3.9999999999999147E-2</v>
      </c>
    </row>
    <row r="699" spans="1:20" x14ac:dyDescent="0.2">
      <c r="A699" t="s">
        <v>2169</v>
      </c>
      <c r="B699" t="s">
        <v>2203</v>
      </c>
      <c r="C699" t="s">
        <v>2204</v>
      </c>
      <c r="D699" t="s">
        <v>2205</v>
      </c>
      <c r="E699" t="s">
        <v>2164</v>
      </c>
      <c r="F699" t="s">
        <v>23</v>
      </c>
      <c r="G699" s="1">
        <v>17</v>
      </c>
      <c r="H699" s="1">
        <v>12</v>
      </c>
      <c r="I699" t="s">
        <v>24</v>
      </c>
      <c r="L699" s="1">
        <v>1</v>
      </c>
      <c r="M699" s="3">
        <v>27.52</v>
      </c>
      <c r="N699" s="3">
        <v>1.38</v>
      </c>
      <c r="O699" s="3">
        <v>0</v>
      </c>
      <c r="P699" s="3">
        <v>0.2</v>
      </c>
      <c r="Q699" s="3">
        <v>29.1</v>
      </c>
      <c r="R699" s="3">
        <v>13.9</v>
      </c>
      <c r="S699" s="3">
        <f>VLOOKUP(C699,[1]page!$C$2:$M$3071,11,0)</f>
        <v>27.51</v>
      </c>
      <c r="T699" s="6">
        <f t="shared" si="11"/>
        <v>9.9999999999980105E-3</v>
      </c>
    </row>
    <row r="700" spans="1:20" x14ac:dyDescent="0.2">
      <c r="A700" t="s">
        <v>2169</v>
      </c>
      <c r="B700" t="s">
        <v>2206</v>
      </c>
      <c r="C700" t="s">
        <v>2207</v>
      </c>
      <c r="D700" t="s">
        <v>2208</v>
      </c>
      <c r="E700" t="s">
        <v>69</v>
      </c>
      <c r="F700" t="s">
        <v>23</v>
      </c>
      <c r="G700" s="1">
        <v>15</v>
      </c>
      <c r="H700" s="1">
        <v>12</v>
      </c>
      <c r="I700" t="s">
        <v>183</v>
      </c>
      <c r="L700" s="1">
        <v>1</v>
      </c>
      <c r="M700" s="3">
        <v>22.14</v>
      </c>
      <c r="N700" s="3">
        <v>1.1100000000000001</v>
      </c>
      <c r="O700" s="3">
        <v>0</v>
      </c>
      <c r="P700" s="3">
        <v>0.2</v>
      </c>
      <c r="Q700" s="3">
        <v>23.45</v>
      </c>
      <c r="R700" s="3">
        <v>13.9</v>
      </c>
      <c r="S700" s="3">
        <f>VLOOKUP(C700,[1]page!$C$2:$M$3071,11,0)</f>
        <v>22.07</v>
      </c>
      <c r="T700" s="6">
        <f t="shared" si="11"/>
        <v>7.0000000000000284E-2</v>
      </c>
    </row>
    <row r="701" spans="1:20" x14ac:dyDescent="0.2">
      <c r="A701" t="s">
        <v>2169</v>
      </c>
      <c r="B701" t="s">
        <v>2209</v>
      </c>
      <c r="C701" t="s">
        <v>420</v>
      </c>
      <c r="D701" t="s">
        <v>2210</v>
      </c>
      <c r="E701" t="s">
        <v>2211</v>
      </c>
      <c r="F701" t="s">
        <v>77</v>
      </c>
      <c r="G701" s="1">
        <v>15</v>
      </c>
      <c r="H701" s="1">
        <v>24</v>
      </c>
      <c r="I701" t="s">
        <v>183</v>
      </c>
      <c r="L701" s="1">
        <v>1</v>
      </c>
      <c r="M701" s="3">
        <v>12.49</v>
      </c>
      <c r="N701" s="3">
        <v>0.62</v>
      </c>
      <c r="O701" s="3">
        <v>0</v>
      </c>
      <c r="P701" s="3">
        <v>0.2</v>
      </c>
      <c r="Q701" s="3">
        <v>13.31</v>
      </c>
      <c r="R701" s="3">
        <v>7.85</v>
      </c>
      <c r="S701" s="3">
        <f>VLOOKUP(C701,[1]page!$C$2:$M$3071,11,0)</f>
        <v>12.46</v>
      </c>
      <c r="T701" s="6">
        <f t="shared" si="11"/>
        <v>2.9999999999999361E-2</v>
      </c>
    </row>
    <row r="702" spans="1:20" x14ac:dyDescent="0.2">
      <c r="A702" t="s">
        <v>2169</v>
      </c>
      <c r="B702" t="s">
        <v>2212</v>
      </c>
      <c r="C702" t="s">
        <v>2213</v>
      </c>
      <c r="D702" t="s">
        <v>2210</v>
      </c>
      <c r="E702" t="s">
        <v>2211</v>
      </c>
      <c r="F702" t="s">
        <v>23</v>
      </c>
      <c r="G702" s="1">
        <v>15</v>
      </c>
      <c r="H702" s="1">
        <v>12</v>
      </c>
      <c r="I702" t="s">
        <v>70</v>
      </c>
      <c r="L702" s="1">
        <v>1</v>
      </c>
      <c r="M702" s="3">
        <v>22.92</v>
      </c>
      <c r="N702" s="3">
        <v>1.1499999999999999</v>
      </c>
      <c r="O702" s="3">
        <v>0</v>
      </c>
      <c r="P702" s="3">
        <v>0.2</v>
      </c>
      <c r="Q702" s="3">
        <v>24.27</v>
      </c>
      <c r="R702" s="3">
        <v>13.9</v>
      </c>
      <c r="S702" s="3">
        <f>VLOOKUP(C702,[1]page!$C$2:$M$3071,11,0)</f>
        <v>22.85</v>
      </c>
      <c r="T702" s="6">
        <f t="shared" si="11"/>
        <v>7.0000000000000284E-2</v>
      </c>
    </row>
    <row r="703" spans="1:20" x14ac:dyDescent="0.2">
      <c r="A703" t="s">
        <v>2169</v>
      </c>
      <c r="B703" t="s">
        <v>2214</v>
      </c>
      <c r="C703" t="s">
        <v>2215</v>
      </c>
      <c r="D703" t="s">
        <v>2216</v>
      </c>
      <c r="E703" t="s">
        <v>2217</v>
      </c>
      <c r="F703" t="s">
        <v>23</v>
      </c>
      <c r="G703" s="1">
        <v>15</v>
      </c>
      <c r="H703" s="1">
        <v>12</v>
      </c>
      <c r="I703" t="s">
        <v>1202</v>
      </c>
      <c r="L703" s="1">
        <v>1</v>
      </c>
      <c r="M703" s="3">
        <v>34.4</v>
      </c>
      <c r="N703" s="3">
        <v>1.72</v>
      </c>
      <c r="O703" s="3">
        <v>0</v>
      </c>
      <c r="P703" s="3">
        <v>0.2</v>
      </c>
      <c r="Q703" s="3">
        <v>36.32</v>
      </c>
      <c r="R703" s="3">
        <v>13.9</v>
      </c>
      <c r="S703" s="3">
        <f>VLOOKUP(C703,[1]page!$C$2:$M$3071,11,0)</f>
        <v>34.33</v>
      </c>
      <c r="T703" s="6">
        <f t="shared" si="11"/>
        <v>7.0000000000000284E-2</v>
      </c>
    </row>
    <row r="704" spans="1:20" x14ac:dyDescent="0.2">
      <c r="A704" t="s">
        <v>2169</v>
      </c>
      <c r="B704" t="s">
        <v>2218</v>
      </c>
      <c r="C704" t="s">
        <v>2219</v>
      </c>
      <c r="D704" t="s">
        <v>2220</v>
      </c>
      <c r="E704" t="s">
        <v>103</v>
      </c>
      <c r="F704" t="s">
        <v>2221</v>
      </c>
      <c r="G704" s="1">
        <v>16</v>
      </c>
      <c r="H704" s="1">
        <v>106</v>
      </c>
      <c r="I704" t="s">
        <v>51</v>
      </c>
      <c r="L704" s="1">
        <v>1</v>
      </c>
      <c r="M704" s="3">
        <v>1.49</v>
      </c>
      <c r="N704" s="3">
        <v>7.0000000000000007E-2</v>
      </c>
      <c r="O704" s="3">
        <v>0</v>
      </c>
      <c r="P704" s="3">
        <v>0.1</v>
      </c>
      <c r="Q704" s="3">
        <v>1.66</v>
      </c>
      <c r="R704" s="3">
        <v>1.5</v>
      </c>
      <c r="S704" s="3">
        <f>VLOOKUP(C704,[1]page!$C$2:$M$3071,11,0)</f>
        <v>1.45</v>
      </c>
      <c r="T704" s="6">
        <f t="shared" si="11"/>
        <v>4.0000000000000036E-2</v>
      </c>
    </row>
    <row r="705" spans="1:20" x14ac:dyDescent="0.2">
      <c r="A705" t="s">
        <v>2169</v>
      </c>
      <c r="B705" t="s">
        <v>2222</v>
      </c>
      <c r="C705" t="s">
        <v>2223</v>
      </c>
      <c r="D705" t="s">
        <v>2224</v>
      </c>
      <c r="E705" t="s">
        <v>2225</v>
      </c>
      <c r="F705" t="s">
        <v>23</v>
      </c>
      <c r="G705" s="1">
        <v>15</v>
      </c>
      <c r="H705" s="1">
        <v>6</v>
      </c>
      <c r="I705" t="s">
        <v>39</v>
      </c>
      <c r="L705" s="1">
        <v>1</v>
      </c>
      <c r="M705" s="3">
        <v>37.58</v>
      </c>
      <c r="N705" s="3">
        <v>1.88</v>
      </c>
      <c r="O705" s="3">
        <v>0</v>
      </c>
      <c r="P705" s="3">
        <v>0.2</v>
      </c>
      <c r="Q705" s="3">
        <v>39.659999999999997</v>
      </c>
      <c r="R705" s="3">
        <v>13.9</v>
      </c>
      <c r="S705" s="3">
        <f>VLOOKUP(C705,[1]page!$C$2:$M$3071,11,0)</f>
        <v>37.51</v>
      </c>
      <c r="T705" s="6">
        <f t="shared" si="11"/>
        <v>7.0000000000000284E-2</v>
      </c>
    </row>
    <row r="706" spans="1:20" x14ac:dyDescent="0.2">
      <c r="A706" t="s">
        <v>2169</v>
      </c>
      <c r="B706" t="s">
        <v>2226</v>
      </c>
      <c r="C706" t="s">
        <v>2227</v>
      </c>
      <c r="D706" t="s">
        <v>2228</v>
      </c>
      <c r="E706" t="s">
        <v>981</v>
      </c>
      <c r="F706" t="s">
        <v>23</v>
      </c>
      <c r="G706" s="1">
        <v>15</v>
      </c>
      <c r="H706" s="1">
        <v>12</v>
      </c>
      <c r="I706" t="s">
        <v>39</v>
      </c>
      <c r="L706" s="1">
        <v>1</v>
      </c>
      <c r="M706" s="3">
        <v>28.07</v>
      </c>
      <c r="N706" s="3">
        <v>1.4</v>
      </c>
      <c r="O706" s="3">
        <v>0</v>
      </c>
      <c r="P706" s="3">
        <v>0.2</v>
      </c>
      <c r="Q706" s="3">
        <v>29.67</v>
      </c>
      <c r="R706" s="3">
        <v>13.9</v>
      </c>
      <c r="S706" s="3">
        <f>VLOOKUP(C706,[1]page!$C$2:$M$3071,11,0)</f>
        <v>28</v>
      </c>
      <c r="T706" s="6">
        <f t="shared" si="11"/>
        <v>7.0000000000000284E-2</v>
      </c>
    </row>
    <row r="707" spans="1:20" x14ac:dyDescent="0.2">
      <c r="A707" t="s">
        <v>2169</v>
      </c>
      <c r="B707" t="s">
        <v>2229</v>
      </c>
      <c r="C707" t="s">
        <v>2230</v>
      </c>
      <c r="D707" t="s">
        <v>2231</v>
      </c>
      <c r="E707" t="s">
        <v>2232</v>
      </c>
      <c r="F707" t="s">
        <v>77</v>
      </c>
      <c r="G707" s="1">
        <v>17</v>
      </c>
      <c r="H707" s="1">
        <v>12</v>
      </c>
      <c r="I707" t="s">
        <v>178</v>
      </c>
      <c r="L707" s="1">
        <v>1</v>
      </c>
      <c r="M707" s="3">
        <v>15.08</v>
      </c>
      <c r="N707" s="3">
        <v>0.75</v>
      </c>
      <c r="O707" s="3">
        <v>0</v>
      </c>
      <c r="P707" s="3">
        <v>0.2</v>
      </c>
      <c r="Q707" s="3">
        <v>16.03</v>
      </c>
      <c r="R707" s="3">
        <v>7.85</v>
      </c>
      <c r="S707" s="3">
        <f>VLOOKUP(C707,[1]page!$C$2:$M$3071,11,0)</f>
        <v>15.04</v>
      </c>
      <c r="T707" s="6">
        <f t="shared" si="11"/>
        <v>4.0000000000000924E-2</v>
      </c>
    </row>
    <row r="708" spans="1:20" x14ac:dyDescent="0.2">
      <c r="A708" t="s">
        <v>2169</v>
      </c>
      <c r="B708" t="s">
        <v>2233</v>
      </c>
      <c r="C708" t="s">
        <v>2234</v>
      </c>
      <c r="D708" t="s">
        <v>2231</v>
      </c>
      <c r="E708" t="s">
        <v>2232</v>
      </c>
      <c r="F708" t="s">
        <v>23</v>
      </c>
      <c r="G708" s="1">
        <v>17</v>
      </c>
      <c r="H708" s="1">
        <v>12</v>
      </c>
      <c r="I708" t="s">
        <v>178</v>
      </c>
      <c r="L708" s="1">
        <v>1</v>
      </c>
      <c r="M708" s="3">
        <v>25.17</v>
      </c>
      <c r="N708" s="3">
        <v>1.26</v>
      </c>
      <c r="O708" s="3">
        <v>0</v>
      </c>
      <c r="P708" s="3">
        <v>0.2</v>
      </c>
      <c r="Q708" s="3">
        <v>26.63</v>
      </c>
      <c r="R708" s="3">
        <v>13.9</v>
      </c>
      <c r="S708" s="3">
        <f>VLOOKUP(C708,[1]page!$C$2:$M$3071,11,0)</f>
        <v>25.09</v>
      </c>
      <c r="T708" s="6">
        <f t="shared" si="11"/>
        <v>8.0000000000001847E-2</v>
      </c>
    </row>
    <row r="709" spans="1:20" x14ac:dyDescent="0.2">
      <c r="A709" t="s">
        <v>2169</v>
      </c>
      <c r="B709" t="s">
        <v>2235</v>
      </c>
      <c r="C709" t="s">
        <v>2236</v>
      </c>
      <c r="D709" t="s">
        <v>2231</v>
      </c>
      <c r="E709" t="s">
        <v>2232</v>
      </c>
      <c r="F709" t="s">
        <v>65</v>
      </c>
      <c r="G709" s="1">
        <v>17</v>
      </c>
      <c r="H709" s="1">
        <v>6</v>
      </c>
      <c r="I709" t="s">
        <v>178</v>
      </c>
      <c r="L709" s="1">
        <v>1</v>
      </c>
      <c r="M709" s="3">
        <v>34.26</v>
      </c>
      <c r="N709" s="3">
        <v>1.71</v>
      </c>
      <c r="O709" s="3">
        <v>0</v>
      </c>
      <c r="P709" s="3">
        <v>0.4</v>
      </c>
      <c r="Q709" s="3">
        <v>36.369999999999997</v>
      </c>
      <c r="R709" s="3">
        <v>20.5</v>
      </c>
      <c r="S709" s="3">
        <f>VLOOKUP(C709,[1]page!$C$2:$M$3071,11,0)</f>
        <v>34.14</v>
      </c>
      <c r="T709" s="6">
        <f t="shared" si="11"/>
        <v>0.11999999999999744</v>
      </c>
    </row>
    <row r="710" spans="1:20" x14ac:dyDescent="0.2">
      <c r="A710" t="s">
        <v>2169</v>
      </c>
      <c r="B710" t="s">
        <v>2237</v>
      </c>
      <c r="C710" t="s">
        <v>2238</v>
      </c>
      <c r="D710" t="s">
        <v>2239</v>
      </c>
      <c r="E710" t="s">
        <v>103</v>
      </c>
      <c r="F710" t="s">
        <v>23</v>
      </c>
      <c r="G710" s="1">
        <v>15</v>
      </c>
      <c r="H710" s="1">
        <v>12</v>
      </c>
      <c r="I710" t="s">
        <v>51</v>
      </c>
      <c r="L710" s="1">
        <v>1</v>
      </c>
      <c r="M710" s="3">
        <v>18.87</v>
      </c>
      <c r="N710" s="3">
        <v>0.94</v>
      </c>
      <c r="O710" s="3">
        <v>0</v>
      </c>
      <c r="P710" s="3">
        <v>0.2</v>
      </c>
      <c r="Q710" s="3">
        <v>20.010000000000002</v>
      </c>
      <c r="R710" s="3">
        <v>13.9</v>
      </c>
      <c r="S710" s="3">
        <f>VLOOKUP(C710,[1]page!$C$2:$M$3071,11,0)</f>
        <v>18.73</v>
      </c>
      <c r="T710" s="6">
        <f t="shared" si="11"/>
        <v>0.14000000000000057</v>
      </c>
    </row>
    <row r="711" spans="1:20" x14ac:dyDescent="0.2">
      <c r="A711" t="s">
        <v>2169</v>
      </c>
      <c r="B711" t="s">
        <v>2240</v>
      </c>
      <c r="C711" t="s">
        <v>2241</v>
      </c>
      <c r="D711" t="s">
        <v>2242</v>
      </c>
      <c r="E711" t="s">
        <v>2177</v>
      </c>
      <c r="F711" t="s">
        <v>2178</v>
      </c>
      <c r="G711" s="1">
        <v>20</v>
      </c>
      <c r="H711" s="1">
        <v>18</v>
      </c>
      <c r="I711" t="s">
        <v>2179</v>
      </c>
      <c r="L711" s="1">
        <v>4</v>
      </c>
      <c r="M711" s="3">
        <v>9.51</v>
      </c>
      <c r="N711" s="3">
        <v>0.48</v>
      </c>
      <c r="O711" s="3">
        <v>0</v>
      </c>
      <c r="P711" s="3">
        <v>0.4</v>
      </c>
      <c r="Q711" s="3">
        <v>10.39</v>
      </c>
      <c r="R711" s="3">
        <v>2.9</v>
      </c>
      <c r="S711" s="3">
        <f>VLOOKUP(C711,[1]page!$C$2:$M$3071,11,0)</f>
        <v>9.5</v>
      </c>
      <c r="T711" s="6">
        <f t="shared" si="11"/>
        <v>9.9999999999997868E-3</v>
      </c>
    </row>
    <row r="712" spans="1:20" x14ac:dyDescent="0.2">
      <c r="A712" t="s">
        <v>2169</v>
      </c>
      <c r="B712" t="s">
        <v>2243</v>
      </c>
      <c r="C712" t="s">
        <v>2244</v>
      </c>
      <c r="D712" t="s">
        <v>2245</v>
      </c>
      <c r="E712" t="s">
        <v>28</v>
      </c>
      <c r="F712" t="s">
        <v>23</v>
      </c>
      <c r="G712" s="1">
        <v>15</v>
      </c>
      <c r="H712" s="1">
        <v>12</v>
      </c>
      <c r="I712" t="s">
        <v>29</v>
      </c>
      <c r="L712" s="1">
        <v>1</v>
      </c>
      <c r="M712" s="3">
        <v>27.58</v>
      </c>
      <c r="N712" s="3">
        <v>1.38</v>
      </c>
      <c r="O712" s="3">
        <v>0</v>
      </c>
      <c r="P712" s="3">
        <v>0.2</v>
      </c>
      <c r="Q712" s="3">
        <v>29.16</v>
      </c>
      <c r="R712" s="3">
        <v>13.9</v>
      </c>
      <c r="S712" s="3">
        <f>VLOOKUP(C712,[1]page!$C$2:$M$3071,11,0)</f>
        <v>27.51</v>
      </c>
      <c r="T712" s="6">
        <f t="shared" si="11"/>
        <v>6.9999999999996732E-2</v>
      </c>
    </row>
    <row r="713" spans="1:20" x14ac:dyDescent="0.2">
      <c r="A713" t="s">
        <v>2169</v>
      </c>
      <c r="B713" t="s">
        <v>2246</v>
      </c>
      <c r="C713" t="s">
        <v>2247</v>
      </c>
      <c r="D713" t="s">
        <v>2248</v>
      </c>
      <c r="E713" t="s">
        <v>28</v>
      </c>
      <c r="F713" t="s">
        <v>23</v>
      </c>
      <c r="G713" s="1">
        <v>17</v>
      </c>
      <c r="H713" s="1">
        <v>12</v>
      </c>
      <c r="I713" t="s">
        <v>29</v>
      </c>
      <c r="L713" s="1">
        <v>1</v>
      </c>
      <c r="M713" s="3">
        <v>27.09</v>
      </c>
      <c r="N713" s="3">
        <v>1.35</v>
      </c>
      <c r="O713" s="3">
        <v>0</v>
      </c>
      <c r="P713" s="3">
        <v>0.2</v>
      </c>
      <c r="Q713" s="3">
        <v>28.64</v>
      </c>
      <c r="R713" s="3">
        <v>13.9</v>
      </c>
      <c r="S713" s="3">
        <f>VLOOKUP(C713,[1]page!$C$2:$M$3071,11,0)</f>
        <v>27</v>
      </c>
      <c r="T713" s="6">
        <f t="shared" si="11"/>
        <v>8.9999999999999858E-2</v>
      </c>
    </row>
    <row r="714" spans="1:20" x14ac:dyDescent="0.2">
      <c r="A714" t="s">
        <v>2169</v>
      </c>
      <c r="B714" t="s">
        <v>2249</v>
      </c>
      <c r="C714" t="s">
        <v>2250</v>
      </c>
      <c r="D714" t="s">
        <v>2248</v>
      </c>
      <c r="E714" t="s">
        <v>28</v>
      </c>
      <c r="F714" t="s">
        <v>65</v>
      </c>
      <c r="G714" s="1">
        <v>17</v>
      </c>
      <c r="H714" s="1">
        <v>8</v>
      </c>
      <c r="I714" t="s">
        <v>29</v>
      </c>
      <c r="L714" s="1">
        <v>1</v>
      </c>
      <c r="M714" s="3">
        <v>37.14</v>
      </c>
      <c r="N714" s="3">
        <v>1.86</v>
      </c>
      <c r="O714" s="3">
        <v>0</v>
      </c>
      <c r="P714" s="3">
        <v>0.4</v>
      </c>
      <c r="Q714" s="3">
        <v>39.4</v>
      </c>
      <c r="R714" s="3">
        <v>20.5</v>
      </c>
      <c r="S714" s="3">
        <f>VLOOKUP(C714,[1]page!$C$2:$M$3071,11,0)</f>
        <v>37.01</v>
      </c>
      <c r="T714" s="6">
        <f t="shared" si="11"/>
        <v>0.13000000000000256</v>
      </c>
    </row>
    <row r="715" spans="1:20" x14ac:dyDescent="0.2">
      <c r="A715" t="s">
        <v>2169</v>
      </c>
      <c r="B715" t="s">
        <v>2251</v>
      </c>
      <c r="C715" t="s">
        <v>2252</v>
      </c>
      <c r="D715" t="s">
        <v>2253</v>
      </c>
      <c r="E715" t="s">
        <v>528</v>
      </c>
      <c r="F715" t="s">
        <v>23</v>
      </c>
      <c r="G715" s="1">
        <v>17</v>
      </c>
      <c r="H715" s="1">
        <v>12</v>
      </c>
      <c r="I715" t="s">
        <v>529</v>
      </c>
      <c r="L715" s="1">
        <v>1</v>
      </c>
      <c r="M715" s="3">
        <v>23.07</v>
      </c>
      <c r="N715" s="3">
        <v>1.1499999999999999</v>
      </c>
      <c r="O715" s="3">
        <v>0</v>
      </c>
      <c r="P715" s="3">
        <v>0.2</v>
      </c>
      <c r="Q715" s="3">
        <v>24.42</v>
      </c>
      <c r="R715" s="3">
        <v>13.9</v>
      </c>
      <c r="S715" s="3">
        <f>VLOOKUP(C715,[1]page!$C$2:$M$3071,11,0)</f>
        <v>22.99</v>
      </c>
      <c r="T715" s="6">
        <f t="shared" si="11"/>
        <v>8.0000000000001847E-2</v>
      </c>
    </row>
    <row r="716" spans="1:20" x14ac:dyDescent="0.2">
      <c r="A716" t="s">
        <v>2169</v>
      </c>
      <c r="B716" t="s">
        <v>2254</v>
      </c>
      <c r="C716" t="s">
        <v>2255</v>
      </c>
      <c r="D716" t="s">
        <v>2256</v>
      </c>
      <c r="E716" t="s">
        <v>2164</v>
      </c>
      <c r="F716" t="s">
        <v>23</v>
      </c>
      <c r="G716" s="1">
        <v>17</v>
      </c>
      <c r="H716" s="1">
        <v>12</v>
      </c>
      <c r="I716" t="s">
        <v>24</v>
      </c>
      <c r="L716" s="1">
        <v>1</v>
      </c>
      <c r="M716" s="3">
        <v>24.13</v>
      </c>
      <c r="N716" s="3">
        <v>1.21</v>
      </c>
      <c r="O716" s="3">
        <v>0</v>
      </c>
      <c r="P716" s="3">
        <v>0.2</v>
      </c>
      <c r="Q716" s="3">
        <v>25.54</v>
      </c>
      <c r="R716" s="3">
        <v>13.9</v>
      </c>
      <c r="S716" s="3">
        <f>VLOOKUP(C716,[1]page!$C$2:$M$3071,11,0)</f>
        <v>24.01</v>
      </c>
      <c r="T716" s="6">
        <f t="shared" si="11"/>
        <v>0.11999999999999744</v>
      </c>
    </row>
    <row r="717" spans="1:20" x14ac:dyDescent="0.2">
      <c r="A717" t="s">
        <v>2169</v>
      </c>
      <c r="B717" t="s">
        <v>2257</v>
      </c>
      <c r="C717" t="s">
        <v>2258</v>
      </c>
      <c r="D717" t="s">
        <v>2256</v>
      </c>
      <c r="E717" t="s">
        <v>2164</v>
      </c>
      <c r="F717" t="s">
        <v>65</v>
      </c>
      <c r="G717" s="1">
        <v>17</v>
      </c>
      <c r="H717" s="1">
        <v>6</v>
      </c>
      <c r="I717" t="s">
        <v>24</v>
      </c>
      <c r="L717" s="1">
        <v>1</v>
      </c>
      <c r="M717" s="3">
        <v>33.340000000000003</v>
      </c>
      <c r="N717" s="3">
        <v>1.67</v>
      </c>
      <c r="O717" s="3">
        <v>0</v>
      </c>
      <c r="P717" s="3">
        <v>0.4</v>
      </c>
      <c r="Q717" s="3">
        <v>35.409999999999997</v>
      </c>
      <c r="R717" s="3">
        <v>20.5</v>
      </c>
      <c r="S717" s="3">
        <f>VLOOKUP(C717,[1]page!$C$2:$M$3071,11,0)</f>
        <v>33.020000000000003</v>
      </c>
      <c r="T717" s="6">
        <f t="shared" si="11"/>
        <v>0.32000000000000028</v>
      </c>
    </row>
    <row r="718" spans="1:20" x14ac:dyDescent="0.2">
      <c r="A718" t="s">
        <v>2169</v>
      </c>
      <c r="B718" t="s">
        <v>2259</v>
      </c>
      <c r="C718" t="s">
        <v>2260</v>
      </c>
      <c r="D718" t="s">
        <v>2261</v>
      </c>
      <c r="E718" t="s">
        <v>200</v>
      </c>
      <c r="F718" t="s">
        <v>23</v>
      </c>
      <c r="G718" s="1">
        <v>17</v>
      </c>
      <c r="H718" s="1">
        <v>12</v>
      </c>
      <c r="I718" t="s">
        <v>201</v>
      </c>
      <c r="L718" s="1">
        <v>1</v>
      </c>
      <c r="M718" s="3">
        <v>22.01</v>
      </c>
      <c r="N718" s="3">
        <v>1.1000000000000001</v>
      </c>
      <c r="O718" s="3">
        <v>0</v>
      </c>
      <c r="P718" s="3">
        <v>0.2</v>
      </c>
      <c r="Q718" s="3">
        <v>23.31</v>
      </c>
      <c r="R718" s="3">
        <v>13.9</v>
      </c>
      <c r="S718" s="3">
        <f>VLOOKUP(C718,[1]page!$C$2:$M$3071,11,0)</f>
        <v>22.01</v>
      </c>
      <c r="T718" s="6">
        <f t="shared" si="11"/>
        <v>0</v>
      </c>
    </row>
    <row r="719" spans="1:20" x14ac:dyDescent="0.2">
      <c r="A719" t="s">
        <v>2169</v>
      </c>
      <c r="B719" t="s">
        <v>2262</v>
      </c>
      <c r="C719" t="s">
        <v>2263</v>
      </c>
      <c r="D719" t="s">
        <v>2264</v>
      </c>
      <c r="E719" t="s">
        <v>2077</v>
      </c>
      <c r="F719" t="s">
        <v>23</v>
      </c>
      <c r="G719" s="2">
        <v>13.8</v>
      </c>
      <c r="H719" s="1">
        <v>12</v>
      </c>
      <c r="I719" t="s">
        <v>1604</v>
      </c>
      <c r="L719" s="1">
        <v>1</v>
      </c>
      <c r="M719" s="3">
        <v>28.76</v>
      </c>
      <c r="N719" s="3">
        <v>1.44</v>
      </c>
      <c r="O719" s="3">
        <v>0</v>
      </c>
      <c r="P719" s="3">
        <v>0.2</v>
      </c>
      <c r="Q719" s="3">
        <v>30.4</v>
      </c>
      <c r="R719" s="3">
        <v>13.9</v>
      </c>
      <c r="S719" s="3">
        <f>VLOOKUP(C719,[1]page!$C$2:$M$3071,11,0)</f>
        <v>28.72</v>
      </c>
      <c r="T719" s="6">
        <f t="shared" si="11"/>
        <v>4.00000000000027E-2</v>
      </c>
    </row>
    <row r="720" spans="1:20" x14ac:dyDescent="0.2">
      <c r="A720" t="s">
        <v>2169</v>
      </c>
      <c r="B720" t="s">
        <v>2265</v>
      </c>
      <c r="C720" t="s">
        <v>2266</v>
      </c>
      <c r="D720" t="s">
        <v>2267</v>
      </c>
      <c r="E720" t="s">
        <v>2268</v>
      </c>
      <c r="F720" t="s">
        <v>23</v>
      </c>
      <c r="G720" s="2">
        <v>13.7</v>
      </c>
      <c r="H720" s="1">
        <v>12</v>
      </c>
      <c r="I720" t="s">
        <v>1604</v>
      </c>
      <c r="L720" s="1">
        <v>1</v>
      </c>
      <c r="M720" s="3">
        <v>29.15</v>
      </c>
      <c r="N720" s="3">
        <v>1.46</v>
      </c>
      <c r="O720" s="3">
        <v>0</v>
      </c>
      <c r="P720" s="3">
        <v>0.2</v>
      </c>
      <c r="Q720" s="3">
        <v>30.81</v>
      </c>
      <c r="R720" s="3">
        <v>13.9</v>
      </c>
      <c r="S720" s="3">
        <f>VLOOKUP(C720,[1]page!$C$2:$M$3071,11,0)</f>
        <v>29.09</v>
      </c>
      <c r="T720" s="6">
        <f t="shared" si="11"/>
        <v>5.9999999999998721E-2</v>
      </c>
    </row>
    <row r="721" spans="1:20" x14ac:dyDescent="0.2">
      <c r="A721" t="s">
        <v>2169</v>
      </c>
      <c r="B721" t="s">
        <v>2269</v>
      </c>
      <c r="C721" t="s">
        <v>2270</v>
      </c>
      <c r="D721" t="s">
        <v>2271</v>
      </c>
      <c r="E721" t="s">
        <v>2268</v>
      </c>
      <c r="F721" t="s">
        <v>23</v>
      </c>
      <c r="G721" s="1">
        <v>14</v>
      </c>
      <c r="H721" s="1">
        <v>12</v>
      </c>
      <c r="I721" t="s">
        <v>1604</v>
      </c>
      <c r="L721" s="1">
        <v>1</v>
      </c>
      <c r="M721" s="3">
        <v>28.83</v>
      </c>
      <c r="N721" s="3">
        <v>1.44</v>
      </c>
      <c r="O721" s="3">
        <v>0</v>
      </c>
      <c r="P721" s="3">
        <v>0.2</v>
      </c>
      <c r="Q721" s="3">
        <v>30.47</v>
      </c>
      <c r="R721" s="3">
        <v>13.9</v>
      </c>
      <c r="S721" s="3">
        <f>VLOOKUP(C721,[1]page!$C$2:$M$3071,11,0)</f>
        <v>28.8</v>
      </c>
      <c r="T721" s="6">
        <f t="shared" si="11"/>
        <v>2.9999999999997584E-2</v>
      </c>
    </row>
    <row r="722" spans="1:20" x14ac:dyDescent="0.2">
      <c r="A722" t="s">
        <v>2169</v>
      </c>
      <c r="B722" t="s">
        <v>2272</v>
      </c>
      <c r="C722" t="s">
        <v>2273</v>
      </c>
      <c r="D722" t="s">
        <v>2274</v>
      </c>
      <c r="E722" t="s">
        <v>69</v>
      </c>
      <c r="F722" t="s">
        <v>23</v>
      </c>
      <c r="G722" s="1">
        <v>15</v>
      </c>
      <c r="H722" s="1">
        <v>12</v>
      </c>
      <c r="I722" t="s">
        <v>183</v>
      </c>
      <c r="L722" s="1">
        <v>1</v>
      </c>
      <c r="M722" s="3">
        <v>19.86</v>
      </c>
      <c r="N722" s="3">
        <v>0.99</v>
      </c>
      <c r="O722" s="3">
        <v>0</v>
      </c>
      <c r="P722" s="3">
        <v>0.2</v>
      </c>
      <c r="Q722" s="3">
        <v>21.05</v>
      </c>
      <c r="R722" s="3">
        <v>13.9</v>
      </c>
      <c r="S722" s="3">
        <f>VLOOKUP(C722,[1]page!$C$2:$M$3071,11,0)</f>
        <v>19.78</v>
      </c>
      <c r="T722" s="6">
        <f t="shared" si="11"/>
        <v>7.9999999999998295E-2</v>
      </c>
    </row>
    <row r="723" spans="1:20" x14ac:dyDescent="0.2">
      <c r="A723" t="s">
        <v>2169</v>
      </c>
      <c r="B723" t="s">
        <v>2275</v>
      </c>
      <c r="C723" t="s">
        <v>2276</v>
      </c>
      <c r="D723" t="s">
        <v>2274</v>
      </c>
      <c r="E723" t="s">
        <v>69</v>
      </c>
      <c r="F723" t="s">
        <v>84</v>
      </c>
      <c r="G723" s="1">
        <v>15</v>
      </c>
      <c r="H723" s="1">
        <v>6</v>
      </c>
      <c r="I723" t="s">
        <v>183</v>
      </c>
      <c r="L723" s="1">
        <v>1</v>
      </c>
      <c r="M723" s="3">
        <v>40.770000000000003</v>
      </c>
      <c r="N723" s="3">
        <v>2.04</v>
      </c>
      <c r="O723" s="3">
        <v>0</v>
      </c>
      <c r="P723" s="3">
        <v>0.25</v>
      </c>
      <c r="Q723" s="3">
        <v>43.06</v>
      </c>
      <c r="R723" s="3">
        <v>30.8</v>
      </c>
      <c r="S723" s="3">
        <f>VLOOKUP(C723,[1]page!$C$2:$M$3071,11,0)</f>
        <v>40.6</v>
      </c>
      <c r="T723" s="6">
        <f t="shared" si="11"/>
        <v>0.17000000000000171</v>
      </c>
    </row>
    <row r="724" spans="1:20" x14ac:dyDescent="0.2">
      <c r="A724" t="s">
        <v>2169</v>
      </c>
      <c r="B724" t="s">
        <v>2277</v>
      </c>
      <c r="C724" t="s">
        <v>2278</v>
      </c>
      <c r="D724" t="s">
        <v>2279</v>
      </c>
      <c r="E724" t="s">
        <v>1261</v>
      </c>
      <c r="F724" t="s">
        <v>23</v>
      </c>
      <c r="G724" s="1">
        <v>15</v>
      </c>
      <c r="H724" s="1">
        <v>12</v>
      </c>
      <c r="I724" t="s">
        <v>29</v>
      </c>
      <c r="L724" s="1">
        <v>1</v>
      </c>
      <c r="M724" s="3">
        <v>26.94</v>
      </c>
      <c r="N724" s="3">
        <v>1.35</v>
      </c>
      <c r="O724" s="3">
        <v>0</v>
      </c>
      <c r="P724" s="3">
        <v>0.2</v>
      </c>
      <c r="Q724" s="3">
        <v>28.49</v>
      </c>
      <c r="R724" s="3">
        <v>13.9</v>
      </c>
      <c r="S724" s="3">
        <f>VLOOKUP(C724,[1]page!$C$2:$M$3071,11,0)</f>
        <v>26.87</v>
      </c>
      <c r="T724" s="6">
        <f t="shared" si="11"/>
        <v>7.0000000000000284E-2</v>
      </c>
    </row>
    <row r="725" spans="1:20" x14ac:dyDescent="0.2">
      <c r="A725" t="s">
        <v>2169</v>
      </c>
      <c r="B725" t="s">
        <v>2280</v>
      </c>
      <c r="C725" t="s">
        <v>2281</v>
      </c>
      <c r="D725" t="s">
        <v>2282</v>
      </c>
      <c r="E725" t="s">
        <v>2091</v>
      </c>
      <c r="F725" t="s">
        <v>23</v>
      </c>
      <c r="G725" s="1">
        <v>15</v>
      </c>
      <c r="H725" s="1">
        <v>12</v>
      </c>
      <c r="I725" t="s">
        <v>188</v>
      </c>
      <c r="L725" s="1">
        <v>1</v>
      </c>
      <c r="M725" s="3">
        <v>25.79</v>
      </c>
      <c r="N725" s="3">
        <v>1.29</v>
      </c>
      <c r="O725" s="3">
        <v>0</v>
      </c>
      <c r="P725" s="3">
        <v>0.2</v>
      </c>
      <c r="Q725" s="3">
        <v>27.28</v>
      </c>
      <c r="R725" s="3">
        <v>13.9</v>
      </c>
      <c r="S725" s="3">
        <f>VLOOKUP(C725,[1]page!$C$2:$M$3071,11,0)</f>
        <v>25.72</v>
      </c>
      <c r="T725" s="6">
        <f t="shared" si="11"/>
        <v>7.0000000000000284E-2</v>
      </c>
    </row>
    <row r="726" spans="1:20" x14ac:dyDescent="0.2">
      <c r="A726" t="s">
        <v>2169</v>
      </c>
      <c r="B726" t="s">
        <v>2283</v>
      </c>
      <c r="C726" t="s">
        <v>2284</v>
      </c>
      <c r="D726" t="s">
        <v>2285</v>
      </c>
      <c r="E726" t="s">
        <v>200</v>
      </c>
      <c r="F726" t="s">
        <v>23</v>
      </c>
      <c r="G726" s="1">
        <v>17</v>
      </c>
      <c r="H726" s="1">
        <v>12</v>
      </c>
      <c r="I726" t="s">
        <v>201</v>
      </c>
      <c r="L726" s="1">
        <v>1</v>
      </c>
      <c r="M726" s="3">
        <v>29.1</v>
      </c>
      <c r="N726" s="3">
        <v>1.46</v>
      </c>
      <c r="O726" s="3">
        <v>0</v>
      </c>
      <c r="P726" s="3">
        <v>0.2</v>
      </c>
      <c r="Q726" s="3">
        <v>30.76</v>
      </c>
      <c r="R726" s="3">
        <v>13.9</v>
      </c>
      <c r="S726" s="3">
        <f>VLOOKUP(C726,[1]page!$C$2:$M$3071,11,0)</f>
        <v>29.01</v>
      </c>
      <c r="T726" s="6">
        <f t="shared" si="11"/>
        <v>8.9999999999999858E-2</v>
      </c>
    </row>
    <row r="727" spans="1:20" x14ac:dyDescent="0.2">
      <c r="A727" t="s">
        <v>2169</v>
      </c>
      <c r="B727" t="s">
        <v>2286</v>
      </c>
      <c r="C727" t="s">
        <v>2287</v>
      </c>
      <c r="D727" t="s">
        <v>2288</v>
      </c>
      <c r="E727" t="s">
        <v>200</v>
      </c>
      <c r="F727" t="s">
        <v>74</v>
      </c>
      <c r="G727" s="1">
        <v>17</v>
      </c>
      <c r="H727" s="1">
        <v>48</v>
      </c>
      <c r="I727" t="s">
        <v>201</v>
      </c>
      <c r="L727" s="1">
        <v>1</v>
      </c>
      <c r="M727" s="3">
        <v>5</v>
      </c>
      <c r="N727" s="3">
        <v>0.25</v>
      </c>
      <c r="O727" s="3">
        <v>0</v>
      </c>
      <c r="P727" s="3">
        <v>0.1</v>
      </c>
      <c r="Q727" s="3">
        <v>5.35</v>
      </c>
      <c r="R727" s="3">
        <v>1.5</v>
      </c>
      <c r="S727" s="3">
        <f>VLOOKUP(C727,[1]page!$C$2:$M$3071,11,0)</f>
        <v>5</v>
      </c>
      <c r="T727" s="6">
        <f t="shared" si="11"/>
        <v>0</v>
      </c>
    </row>
    <row r="728" spans="1:20" x14ac:dyDescent="0.2">
      <c r="A728" t="s">
        <v>2169</v>
      </c>
      <c r="B728" t="s">
        <v>2289</v>
      </c>
      <c r="C728" t="s">
        <v>2290</v>
      </c>
      <c r="D728" t="s">
        <v>2291</v>
      </c>
      <c r="E728" t="s">
        <v>200</v>
      </c>
      <c r="F728" t="s">
        <v>23</v>
      </c>
      <c r="G728" s="1">
        <v>17</v>
      </c>
      <c r="H728" s="1">
        <v>12</v>
      </c>
      <c r="I728" t="s">
        <v>201</v>
      </c>
      <c r="L728" s="1">
        <v>1</v>
      </c>
      <c r="M728" s="3">
        <v>29.1</v>
      </c>
      <c r="N728" s="3">
        <v>1.46</v>
      </c>
      <c r="O728" s="3">
        <v>0</v>
      </c>
      <c r="P728" s="3">
        <v>0.2</v>
      </c>
      <c r="Q728" s="3">
        <v>30.76</v>
      </c>
      <c r="R728" s="3">
        <v>13.9</v>
      </c>
      <c r="S728" s="3">
        <f>VLOOKUP(C728,[1]page!$C$2:$M$3071,11,0)</f>
        <v>29.01</v>
      </c>
      <c r="T728" s="6">
        <f t="shared" si="11"/>
        <v>8.9999999999999858E-2</v>
      </c>
    </row>
    <row r="729" spans="1:20" x14ac:dyDescent="0.2">
      <c r="A729" t="s">
        <v>2169</v>
      </c>
      <c r="B729" t="s">
        <v>2292</v>
      </c>
      <c r="C729" t="s">
        <v>2293</v>
      </c>
      <c r="D729" t="s">
        <v>2294</v>
      </c>
      <c r="E729" t="s">
        <v>200</v>
      </c>
      <c r="F729" t="s">
        <v>74</v>
      </c>
      <c r="G729" s="1">
        <v>17</v>
      </c>
      <c r="H729" s="1">
        <v>48</v>
      </c>
      <c r="I729" t="s">
        <v>201</v>
      </c>
      <c r="L729" s="1">
        <v>1</v>
      </c>
      <c r="M729" s="3">
        <v>5</v>
      </c>
      <c r="N729" s="3">
        <v>0.25</v>
      </c>
      <c r="O729" s="3">
        <v>0</v>
      </c>
      <c r="P729" s="3">
        <v>0.1</v>
      </c>
      <c r="Q729" s="3">
        <v>5.35</v>
      </c>
      <c r="R729" s="3">
        <v>1.5</v>
      </c>
      <c r="S729" s="3">
        <f>VLOOKUP(C729,[1]page!$C$2:$M$3071,11,0)</f>
        <v>5</v>
      </c>
      <c r="T729" s="6">
        <f t="shared" si="11"/>
        <v>0</v>
      </c>
    </row>
    <row r="730" spans="1:20" x14ac:dyDescent="0.2">
      <c r="A730" t="s">
        <v>2169</v>
      </c>
      <c r="B730" t="s">
        <v>2295</v>
      </c>
      <c r="C730" t="s">
        <v>2296</v>
      </c>
      <c r="D730" t="s">
        <v>2294</v>
      </c>
      <c r="E730" t="s">
        <v>200</v>
      </c>
      <c r="F730" t="s">
        <v>23</v>
      </c>
      <c r="G730" s="1">
        <v>17</v>
      </c>
      <c r="H730" s="1">
        <v>12</v>
      </c>
      <c r="I730" t="s">
        <v>201</v>
      </c>
      <c r="L730" s="1">
        <v>1</v>
      </c>
      <c r="M730" s="3">
        <v>29.1</v>
      </c>
      <c r="N730" s="3">
        <v>1.46</v>
      </c>
      <c r="O730" s="3">
        <v>0</v>
      </c>
      <c r="P730" s="3">
        <v>0.2</v>
      </c>
      <c r="Q730" s="3">
        <v>30.76</v>
      </c>
      <c r="R730" s="3">
        <v>13.9</v>
      </c>
      <c r="S730" s="3">
        <f>VLOOKUP(C730,[1]page!$C$2:$M$3071,11,0)</f>
        <v>29.01</v>
      </c>
      <c r="T730" s="6">
        <f t="shared" si="11"/>
        <v>8.9999999999999858E-2</v>
      </c>
    </row>
    <row r="731" spans="1:20" x14ac:dyDescent="0.2">
      <c r="A731" t="s">
        <v>2169</v>
      </c>
      <c r="B731" t="s">
        <v>2297</v>
      </c>
      <c r="C731" t="s">
        <v>2298</v>
      </c>
      <c r="D731" t="s">
        <v>2299</v>
      </c>
      <c r="E731" t="s">
        <v>200</v>
      </c>
      <c r="F731" t="s">
        <v>23</v>
      </c>
      <c r="G731" s="1">
        <v>17</v>
      </c>
      <c r="H731" s="1">
        <v>12</v>
      </c>
      <c r="I731" t="s">
        <v>201</v>
      </c>
      <c r="L731" s="1">
        <v>1</v>
      </c>
      <c r="M731" s="3">
        <v>29.1</v>
      </c>
      <c r="N731" s="3">
        <v>1.46</v>
      </c>
      <c r="O731" s="3">
        <v>0</v>
      </c>
      <c r="P731" s="3">
        <v>0.2</v>
      </c>
      <c r="Q731" s="3">
        <v>30.76</v>
      </c>
      <c r="R731" s="3">
        <v>13.9</v>
      </c>
      <c r="S731" s="3">
        <f>VLOOKUP(C731,[1]page!$C$2:$M$3071,11,0)</f>
        <v>29.01</v>
      </c>
      <c r="T731" s="6">
        <f t="shared" si="11"/>
        <v>8.9999999999999858E-2</v>
      </c>
    </row>
    <row r="732" spans="1:20" x14ac:dyDescent="0.2">
      <c r="A732" t="s">
        <v>2300</v>
      </c>
      <c r="B732" t="s">
        <v>2301</v>
      </c>
      <c r="C732" t="s">
        <v>2302</v>
      </c>
      <c r="D732" t="s">
        <v>2303</v>
      </c>
      <c r="E732" t="s">
        <v>182</v>
      </c>
      <c r="F732" t="s">
        <v>23</v>
      </c>
      <c r="G732" s="1">
        <v>21</v>
      </c>
      <c r="H732" s="1">
        <v>12</v>
      </c>
      <c r="I732" t="s">
        <v>183</v>
      </c>
      <c r="L732" s="1">
        <v>1</v>
      </c>
      <c r="M732" s="3">
        <v>17.79</v>
      </c>
      <c r="N732" s="3">
        <v>0.89</v>
      </c>
      <c r="O732" s="3">
        <v>0</v>
      </c>
      <c r="P732" s="3">
        <v>0.2</v>
      </c>
      <c r="Q732" s="3">
        <v>18.88</v>
      </c>
      <c r="R732" s="3">
        <v>13.9</v>
      </c>
      <c r="S732" s="3">
        <f>VLOOKUP(C732,[1]page!$C$2:$M$3071,11,0)</f>
        <v>17.690000000000001</v>
      </c>
      <c r="T732" s="6">
        <f t="shared" si="11"/>
        <v>9.9999999999997868E-2</v>
      </c>
    </row>
    <row r="733" spans="1:20" x14ac:dyDescent="0.2">
      <c r="A733" t="s">
        <v>2300</v>
      </c>
      <c r="B733" t="s">
        <v>2304</v>
      </c>
      <c r="C733" t="s">
        <v>2305</v>
      </c>
      <c r="D733" t="s">
        <v>2306</v>
      </c>
      <c r="E733" t="s">
        <v>182</v>
      </c>
      <c r="F733" t="s">
        <v>74</v>
      </c>
      <c r="G733" s="1">
        <v>33</v>
      </c>
      <c r="H733" s="1">
        <v>120</v>
      </c>
      <c r="I733" t="s">
        <v>183</v>
      </c>
      <c r="L733" s="1">
        <v>1</v>
      </c>
      <c r="M733" s="3">
        <v>1.75</v>
      </c>
      <c r="N733" s="3">
        <v>0.09</v>
      </c>
      <c r="O733" s="3">
        <v>0</v>
      </c>
      <c r="P733" s="3">
        <v>0.1</v>
      </c>
      <c r="Q733" s="3">
        <v>1.94</v>
      </c>
      <c r="R733" s="3">
        <v>1.95</v>
      </c>
      <c r="S733" s="3">
        <f>VLOOKUP(C733,[1]page!$C$2:$M$3071,11,0)</f>
        <v>1.74</v>
      </c>
      <c r="T733" s="6">
        <f t="shared" si="11"/>
        <v>1.0000000000000009E-2</v>
      </c>
    </row>
    <row r="734" spans="1:20" x14ac:dyDescent="0.2">
      <c r="A734" t="s">
        <v>2300</v>
      </c>
      <c r="B734" t="s">
        <v>2307</v>
      </c>
      <c r="C734" t="s">
        <v>2308</v>
      </c>
      <c r="D734" t="s">
        <v>2306</v>
      </c>
      <c r="E734" t="s">
        <v>182</v>
      </c>
      <c r="F734" t="s">
        <v>23</v>
      </c>
      <c r="G734" s="1">
        <v>33</v>
      </c>
      <c r="H734" s="1">
        <v>12</v>
      </c>
      <c r="I734" t="s">
        <v>183</v>
      </c>
      <c r="L734" s="1">
        <v>1</v>
      </c>
      <c r="M734" s="3">
        <v>20.79</v>
      </c>
      <c r="N734" s="3">
        <v>1.04</v>
      </c>
      <c r="O734" s="3">
        <v>0</v>
      </c>
      <c r="P734" s="3">
        <v>0.2</v>
      </c>
      <c r="Q734" s="3">
        <v>22.03</v>
      </c>
      <c r="R734" s="3">
        <v>18.2</v>
      </c>
      <c r="S734" s="3">
        <f>VLOOKUP(C734,[1]page!$C$2:$M$3071,11,0)</f>
        <v>20.63</v>
      </c>
      <c r="T734" s="6">
        <f t="shared" si="11"/>
        <v>0.16000000000000014</v>
      </c>
    </row>
    <row r="735" spans="1:20" x14ac:dyDescent="0.2">
      <c r="A735" t="s">
        <v>2300</v>
      </c>
      <c r="B735" t="s">
        <v>2309</v>
      </c>
      <c r="C735" t="s">
        <v>2310</v>
      </c>
      <c r="D735" t="s">
        <v>2311</v>
      </c>
      <c r="E735" t="s">
        <v>528</v>
      </c>
      <c r="F735" t="s">
        <v>77</v>
      </c>
      <c r="G735" s="1">
        <v>15</v>
      </c>
      <c r="H735" s="1">
        <v>24</v>
      </c>
      <c r="I735" t="s">
        <v>529</v>
      </c>
      <c r="L735" s="1">
        <v>1</v>
      </c>
      <c r="M735" s="3">
        <v>9.51</v>
      </c>
      <c r="N735" s="3">
        <v>0.48</v>
      </c>
      <c r="O735" s="3">
        <v>0</v>
      </c>
      <c r="P735" s="3">
        <v>0.1</v>
      </c>
      <c r="Q735" s="3">
        <v>10.09</v>
      </c>
      <c r="R735" s="3">
        <v>7.85</v>
      </c>
      <c r="S735" s="3">
        <f>VLOOKUP(C735,[1]page!$C$2:$M$3071,11,0)</f>
        <v>9.48</v>
      </c>
      <c r="T735" s="6">
        <f t="shared" si="11"/>
        <v>2.9999999999999361E-2</v>
      </c>
    </row>
    <row r="736" spans="1:20" x14ac:dyDescent="0.2">
      <c r="A736" t="s">
        <v>2300</v>
      </c>
      <c r="B736" t="s">
        <v>2312</v>
      </c>
      <c r="C736" t="s">
        <v>2313</v>
      </c>
      <c r="D736" t="s">
        <v>2311</v>
      </c>
      <c r="E736" t="s">
        <v>528</v>
      </c>
      <c r="F736" t="s">
        <v>23</v>
      </c>
      <c r="G736" s="1">
        <v>15</v>
      </c>
      <c r="H736" s="1">
        <v>12</v>
      </c>
      <c r="I736" t="s">
        <v>529</v>
      </c>
      <c r="L736" s="1">
        <v>1</v>
      </c>
      <c r="M736" s="3">
        <v>19.07</v>
      </c>
      <c r="N736" s="3">
        <v>0.95</v>
      </c>
      <c r="O736" s="3">
        <v>0</v>
      </c>
      <c r="P736" s="3">
        <v>0.2</v>
      </c>
      <c r="Q736" s="3">
        <v>20.22</v>
      </c>
      <c r="R736" s="3">
        <v>13.9</v>
      </c>
      <c r="S736" s="3">
        <f>VLOOKUP(C736,[1]page!$C$2:$M$3071,11,0)</f>
        <v>19</v>
      </c>
      <c r="T736" s="6">
        <f t="shared" si="11"/>
        <v>7.0000000000000284E-2</v>
      </c>
    </row>
    <row r="737" spans="1:20" x14ac:dyDescent="0.2">
      <c r="A737" t="s">
        <v>2314</v>
      </c>
      <c r="B737" t="s">
        <v>2315</v>
      </c>
      <c r="C737" t="s">
        <v>2316</v>
      </c>
      <c r="D737" t="s">
        <v>2317</v>
      </c>
      <c r="E737" t="s">
        <v>2116</v>
      </c>
      <c r="F737" t="s">
        <v>23</v>
      </c>
      <c r="G737" s="1">
        <v>17</v>
      </c>
      <c r="H737" s="1">
        <v>12</v>
      </c>
      <c r="I737" t="s">
        <v>2318</v>
      </c>
      <c r="L737" s="1">
        <v>1</v>
      </c>
      <c r="M737" s="3">
        <v>20.58</v>
      </c>
      <c r="N737" s="3">
        <v>1.03</v>
      </c>
      <c r="O737" s="3">
        <v>0</v>
      </c>
      <c r="P737" s="3">
        <v>0.2</v>
      </c>
      <c r="Q737" s="3">
        <v>21.81</v>
      </c>
      <c r="R737" s="3">
        <v>13.9</v>
      </c>
      <c r="S737" s="3">
        <f>VLOOKUP(C737,[1]page!$C$2:$M$3071,11,0)</f>
        <v>20.5</v>
      </c>
      <c r="T737" s="6">
        <f t="shared" si="11"/>
        <v>7.9999999999998295E-2</v>
      </c>
    </row>
    <row r="738" spans="1:20" x14ac:dyDescent="0.2">
      <c r="A738" t="s">
        <v>2319</v>
      </c>
      <c r="B738" t="s">
        <v>2320</v>
      </c>
      <c r="C738" t="s">
        <v>2321</v>
      </c>
      <c r="D738" t="s">
        <v>2322</v>
      </c>
      <c r="E738" t="s">
        <v>96</v>
      </c>
      <c r="F738" t="s">
        <v>77</v>
      </c>
      <c r="G738" s="1">
        <v>23</v>
      </c>
      <c r="H738" s="1">
        <v>12</v>
      </c>
      <c r="I738" t="s">
        <v>24</v>
      </c>
      <c r="L738" s="1">
        <v>1</v>
      </c>
      <c r="M738" s="3">
        <v>17.78</v>
      </c>
      <c r="N738" s="3">
        <v>0.89</v>
      </c>
      <c r="O738" s="3">
        <v>0</v>
      </c>
      <c r="P738" s="3">
        <v>0.2</v>
      </c>
      <c r="Q738" s="3">
        <v>18.87</v>
      </c>
      <c r="R738" s="3">
        <v>10.3</v>
      </c>
      <c r="S738" s="3">
        <f>VLOOKUP(C738,[1]page!$C$2:$M$3071,11,0)</f>
        <v>18.079999999999998</v>
      </c>
      <c r="T738" s="6">
        <f t="shared" si="11"/>
        <v>-0.29999999999999716</v>
      </c>
    </row>
    <row r="739" spans="1:20" x14ac:dyDescent="0.2">
      <c r="A739" t="s">
        <v>2319</v>
      </c>
      <c r="B739" t="s">
        <v>2323</v>
      </c>
      <c r="C739" t="s">
        <v>2324</v>
      </c>
      <c r="D739" t="s">
        <v>2325</v>
      </c>
      <c r="E739" t="s">
        <v>2326</v>
      </c>
      <c r="F739" t="s">
        <v>23</v>
      </c>
      <c r="G739" s="1">
        <v>32</v>
      </c>
      <c r="H739" s="1">
        <v>6</v>
      </c>
      <c r="I739" t="s">
        <v>70</v>
      </c>
      <c r="L739" s="1">
        <v>1</v>
      </c>
      <c r="M739" s="3">
        <v>36.99</v>
      </c>
      <c r="N739" s="3">
        <v>1.85</v>
      </c>
      <c r="O739" s="3">
        <v>0</v>
      </c>
      <c r="P739" s="3">
        <v>0.2</v>
      </c>
      <c r="Q739" s="3">
        <v>39.04</v>
      </c>
      <c r="R739" s="3">
        <v>18.2</v>
      </c>
      <c r="S739" s="3">
        <f>VLOOKUP(C739,[1]page!$C$2:$M$3071,11,0)</f>
        <v>36.94</v>
      </c>
      <c r="T739" s="6">
        <f t="shared" si="11"/>
        <v>5.0000000000004263E-2</v>
      </c>
    </row>
    <row r="740" spans="1:20" x14ac:dyDescent="0.2">
      <c r="A740" t="s">
        <v>2319</v>
      </c>
      <c r="B740" t="s">
        <v>2327</v>
      </c>
      <c r="C740" t="s">
        <v>2328</v>
      </c>
      <c r="D740" t="s">
        <v>2329</v>
      </c>
      <c r="E740" t="s">
        <v>2116</v>
      </c>
      <c r="F740" t="s">
        <v>23</v>
      </c>
      <c r="G740" s="1">
        <v>15</v>
      </c>
      <c r="H740" s="1">
        <v>12</v>
      </c>
      <c r="I740" t="s">
        <v>2318</v>
      </c>
      <c r="L740" s="1">
        <v>1</v>
      </c>
      <c r="M740" s="3">
        <v>21.17</v>
      </c>
      <c r="N740" s="3">
        <v>1.06</v>
      </c>
      <c r="O740" s="3">
        <v>0</v>
      </c>
      <c r="P740" s="3">
        <v>0.2</v>
      </c>
      <c r="Q740" s="3">
        <v>22.43</v>
      </c>
      <c r="R740" s="3">
        <v>13.9</v>
      </c>
      <c r="S740" s="3">
        <f>VLOOKUP(C740,[1]page!$C$2:$M$3071,11,0)</f>
        <v>21.1</v>
      </c>
      <c r="T740" s="6">
        <f t="shared" si="11"/>
        <v>7.0000000000000284E-2</v>
      </c>
    </row>
    <row r="741" spans="1:20" x14ac:dyDescent="0.2">
      <c r="A741" t="s">
        <v>2319</v>
      </c>
      <c r="B741" t="s">
        <v>2330</v>
      </c>
      <c r="C741" t="s">
        <v>2331</v>
      </c>
      <c r="D741" t="s">
        <v>2332</v>
      </c>
      <c r="E741" t="s">
        <v>2116</v>
      </c>
      <c r="F741" t="s">
        <v>77</v>
      </c>
      <c r="G741" s="1">
        <v>15</v>
      </c>
      <c r="H741" s="1">
        <v>12</v>
      </c>
      <c r="I741" t="s">
        <v>2318</v>
      </c>
      <c r="L741" s="1">
        <v>1</v>
      </c>
      <c r="M741" s="3">
        <v>13.53</v>
      </c>
      <c r="N741" s="3">
        <v>0.68</v>
      </c>
      <c r="O741" s="3">
        <v>0</v>
      </c>
      <c r="P741" s="3">
        <v>0.2</v>
      </c>
      <c r="Q741" s="3">
        <v>14.41</v>
      </c>
      <c r="R741" s="3">
        <v>7.85</v>
      </c>
      <c r="S741" s="3">
        <f>VLOOKUP(C741,[1]page!$C$2:$M$3071,11,0)</f>
        <v>13.5</v>
      </c>
      <c r="T741" s="6">
        <f t="shared" si="11"/>
        <v>2.9999999999999361E-2</v>
      </c>
    </row>
    <row r="742" spans="1:20" x14ac:dyDescent="0.2">
      <c r="A742" t="s">
        <v>2319</v>
      </c>
      <c r="B742" t="s">
        <v>2333</v>
      </c>
      <c r="C742" t="s">
        <v>2334</v>
      </c>
      <c r="D742" t="s">
        <v>2332</v>
      </c>
      <c r="E742" t="s">
        <v>2116</v>
      </c>
      <c r="F742" t="s">
        <v>23</v>
      </c>
      <c r="G742" s="1">
        <v>15</v>
      </c>
      <c r="H742" s="1">
        <v>12</v>
      </c>
      <c r="I742" t="s">
        <v>2318</v>
      </c>
      <c r="L742" s="1">
        <v>1</v>
      </c>
      <c r="M742" s="3">
        <v>21.37</v>
      </c>
      <c r="N742" s="3">
        <v>1.07</v>
      </c>
      <c r="O742" s="3">
        <v>0</v>
      </c>
      <c r="P742" s="3">
        <v>0.2</v>
      </c>
      <c r="Q742" s="3">
        <v>22.64</v>
      </c>
      <c r="R742" s="3">
        <v>13.9</v>
      </c>
      <c r="S742" s="3">
        <f>VLOOKUP(C742,[1]page!$C$2:$M$3071,11,0)</f>
        <v>21.3</v>
      </c>
      <c r="T742" s="6">
        <f t="shared" si="11"/>
        <v>7.0000000000000284E-2</v>
      </c>
    </row>
    <row r="743" spans="1:20" x14ac:dyDescent="0.2">
      <c r="A743" t="s">
        <v>2335</v>
      </c>
      <c r="B743" t="s">
        <v>2336</v>
      </c>
      <c r="C743" t="s">
        <v>2337</v>
      </c>
      <c r="D743" t="s">
        <v>2338</v>
      </c>
      <c r="E743" t="s">
        <v>2339</v>
      </c>
      <c r="F743" t="s">
        <v>23</v>
      </c>
      <c r="G743" s="1">
        <v>21</v>
      </c>
      <c r="H743" s="1">
        <v>12</v>
      </c>
      <c r="I743" t="s">
        <v>595</v>
      </c>
      <c r="L743" s="1">
        <v>1</v>
      </c>
      <c r="M743" s="3">
        <v>18.420000000000002</v>
      </c>
      <c r="N743" s="3">
        <v>0.92</v>
      </c>
      <c r="O743" s="3">
        <v>0</v>
      </c>
      <c r="P743" s="3">
        <v>0.2</v>
      </c>
      <c r="Q743" s="3">
        <v>19.54</v>
      </c>
      <c r="R743" s="3">
        <v>13.9</v>
      </c>
      <c r="S743" s="3">
        <f>VLOOKUP(C743,[1]page!$C$2:$M$3071,11,0)</f>
        <v>18.32</v>
      </c>
      <c r="T743" s="6">
        <f t="shared" si="11"/>
        <v>0.10000000000000142</v>
      </c>
    </row>
    <row r="744" spans="1:20" x14ac:dyDescent="0.2">
      <c r="A744" t="s">
        <v>2335</v>
      </c>
      <c r="B744" t="s">
        <v>2340</v>
      </c>
      <c r="C744" t="s">
        <v>2341</v>
      </c>
      <c r="D744" t="s">
        <v>2342</v>
      </c>
      <c r="E744" t="s">
        <v>2339</v>
      </c>
      <c r="F744" t="s">
        <v>23</v>
      </c>
      <c r="G744" s="1">
        <v>24</v>
      </c>
      <c r="H744" s="1">
        <v>12</v>
      </c>
      <c r="I744" t="s">
        <v>595</v>
      </c>
      <c r="L744" s="1">
        <v>1</v>
      </c>
      <c r="M744" s="3">
        <v>18.510000000000002</v>
      </c>
      <c r="N744" s="3">
        <v>0.93</v>
      </c>
      <c r="O744" s="3">
        <v>0</v>
      </c>
      <c r="P744" s="3">
        <v>0.2</v>
      </c>
      <c r="Q744" s="3">
        <v>19.64</v>
      </c>
      <c r="R744" s="3">
        <v>18.2</v>
      </c>
      <c r="S744" s="3">
        <f>VLOOKUP(C744,[1]page!$C$2:$M$3071,11,0)</f>
        <v>18.399999999999999</v>
      </c>
      <c r="T744" s="6">
        <f t="shared" si="11"/>
        <v>0.11000000000000298</v>
      </c>
    </row>
    <row r="745" spans="1:20" x14ac:dyDescent="0.2">
      <c r="A745" t="s">
        <v>2335</v>
      </c>
      <c r="B745" t="s">
        <v>2343</v>
      </c>
      <c r="C745" t="s">
        <v>2344</v>
      </c>
      <c r="D745" t="s">
        <v>2345</v>
      </c>
      <c r="E745" t="s">
        <v>921</v>
      </c>
      <c r="F745" t="s">
        <v>23</v>
      </c>
      <c r="G745" s="1">
        <v>40</v>
      </c>
      <c r="H745" s="1">
        <v>12</v>
      </c>
      <c r="I745" t="s">
        <v>178</v>
      </c>
      <c r="L745" s="1">
        <v>1</v>
      </c>
      <c r="M745" s="3">
        <v>38.68</v>
      </c>
      <c r="N745" s="3">
        <v>1.93</v>
      </c>
      <c r="O745" s="3">
        <v>0</v>
      </c>
      <c r="P745" s="3">
        <v>0.2</v>
      </c>
      <c r="Q745" s="3">
        <v>40.81</v>
      </c>
      <c r="R745" s="3">
        <v>24.25</v>
      </c>
      <c r="S745" s="3">
        <f>VLOOKUP(C745,[1]page!$C$2:$M$3071,11,0)</f>
        <v>38.479999999999997</v>
      </c>
      <c r="T745" s="6">
        <f t="shared" si="11"/>
        <v>0.20000000000000284</v>
      </c>
    </row>
    <row r="746" spans="1:20" x14ac:dyDescent="0.2">
      <c r="A746" t="s">
        <v>2335</v>
      </c>
      <c r="B746" t="s">
        <v>2346</v>
      </c>
      <c r="C746" t="s">
        <v>2347</v>
      </c>
      <c r="D746" t="s">
        <v>2348</v>
      </c>
      <c r="E746" t="s">
        <v>2349</v>
      </c>
      <c r="F746" t="s">
        <v>77</v>
      </c>
      <c r="G746" s="1">
        <v>40</v>
      </c>
      <c r="H746" s="1">
        <v>12</v>
      </c>
      <c r="I746" t="s">
        <v>29</v>
      </c>
      <c r="L746" s="1">
        <v>1</v>
      </c>
      <c r="M746" s="3">
        <v>25.08</v>
      </c>
      <c r="N746" s="3">
        <v>1.25</v>
      </c>
      <c r="O746" s="3">
        <v>0</v>
      </c>
      <c r="P746" s="3">
        <v>0.2</v>
      </c>
      <c r="Q746" s="3">
        <v>26.53</v>
      </c>
      <c r="R746" s="3">
        <v>13.7</v>
      </c>
      <c r="S746" s="3">
        <f>VLOOKUP(C746,[1]page!$C$2:$M$3071,11,0)</f>
        <v>25.01</v>
      </c>
      <c r="T746" s="6">
        <f t="shared" si="11"/>
        <v>6.9999999999996732E-2</v>
      </c>
    </row>
    <row r="747" spans="1:20" x14ac:dyDescent="0.2">
      <c r="A747" t="s">
        <v>2335</v>
      </c>
      <c r="B747" t="s">
        <v>2350</v>
      </c>
      <c r="C747" t="s">
        <v>2351</v>
      </c>
      <c r="D747" t="s">
        <v>2348</v>
      </c>
      <c r="E747" t="s">
        <v>2349</v>
      </c>
      <c r="F747" t="s">
        <v>23</v>
      </c>
      <c r="G747" s="1">
        <v>40</v>
      </c>
      <c r="H747" s="1">
        <v>12</v>
      </c>
      <c r="I747" t="s">
        <v>29</v>
      </c>
      <c r="L747" s="1">
        <v>1</v>
      </c>
      <c r="M747" s="3">
        <v>43.21</v>
      </c>
      <c r="N747" s="3">
        <v>2.16</v>
      </c>
      <c r="O747" s="3">
        <v>0</v>
      </c>
      <c r="P747" s="3">
        <v>0.2</v>
      </c>
      <c r="Q747" s="3">
        <v>45.57</v>
      </c>
      <c r="R747" s="3">
        <v>24.25</v>
      </c>
      <c r="S747" s="3">
        <f>VLOOKUP(C747,[1]page!$C$2:$M$3071,11,0)</f>
        <v>43.02</v>
      </c>
      <c r="T747" s="6">
        <f t="shared" si="11"/>
        <v>0.18999999999999773</v>
      </c>
    </row>
    <row r="748" spans="1:20" x14ac:dyDescent="0.2">
      <c r="A748" t="s">
        <v>2335</v>
      </c>
      <c r="B748" t="s">
        <v>2352</v>
      </c>
      <c r="C748" t="s">
        <v>2353</v>
      </c>
      <c r="D748" t="s">
        <v>2348</v>
      </c>
      <c r="E748" t="s">
        <v>2349</v>
      </c>
      <c r="F748" t="s">
        <v>65</v>
      </c>
      <c r="G748" s="1">
        <v>40</v>
      </c>
      <c r="H748" s="1">
        <v>6</v>
      </c>
      <c r="I748" t="s">
        <v>29</v>
      </c>
      <c r="L748" s="1">
        <v>1</v>
      </c>
      <c r="M748" s="3">
        <v>59.31</v>
      </c>
      <c r="N748" s="3">
        <v>2.97</v>
      </c>
      <c r="O748" s="3">
        <v>0</v>
      </c>
      <c r="P748" s="3">
        <v>0.4</v>
      </c>
      <c r="Q748" s="3">
        <v>62.68</v>
      </c>
      <c r="R748" s="3">
        <v>35.75</v>
      </c>
      <c r="S748" s="3">
        <f>VLOOKUP(C748,[1]page!$C$2:$M$3071,11,0)</f>
        <v>59.02</v>
      </c>
      <c r="T748" s="6">
        <f t="shared" si="11"/>
        <v>0.28999999999999915</v>
      </c>
    </row>
    <row r="749" spans="1:20" x14ac:dyDescent="0.2">
      <c r="A749" t="s">
        <v>2335</v>
      </c>
      <c r="B749" t="s">
        <v>2354</v>
      </c>
      <c r="C749" t="s">
        <v>2355</v>
      </c>
      <c r="D749" t="s">
        <v>2356</v>
      </c>
      <c r="E749" t="s">
        <v>2357</v>
      </c>
      <c r="F749" t="s">
        <v>23</v>
      </c>
      <c r="G749" s="1">
        <v>40</v>
      </c>
      <c r="H749" s="1">
        <v>6</v>
      </c>
      <c r="I749" t="s">
        <v>29</v>
      </c>
      <c r="L749" s="1">
        <v>1</v>
      </c>
      <c r="M749" s="3">
        <v>72.63</v>
      </c>
      <c r="N749" s="3">
        <v>3.63</v>
      </c>
      <c r="O749" s="3">
        <v>0</v>
      </c>
      <c r="P749" s="3">
        <v>0.2</v>
      </c>
      <c r="Q749" s="3">
        <v>76.459999999999994</v>
      </c>
      <c r="R749" s="3">
        <v>24.25</v>
      </c>
      <c r="S749" s="3">
        <f>VLOOKUP(C749,[1]page!$C$2:$M$3071,11,0)</f>
        <v>72.52</v>
      </c>
      <c r="T749" s="6">
        <f t="shared" si="11"/>
        <v>0.10999999999999943</v>
      </c>
    </row>
    <row r="750" spans="1:20" x14ac:dyDescent="0.2">
      <c r="A750" t="s">
        <v>2335</v>
      </c>
      <c r="B750" t="s">
        <v>2358</v>
      </c>
      <c r="C750" t="s">
        <v>2359</v>
      </c>
      <c r="D750" t="s">
        <v>2360</v>
      </c>
      <c r="E750" t="s">
        <v>2116</v>
      </c>
      <c r="F750" t="s">
        <v>23</v>
      </c>
      <c r="G750" s="1">
        <v>35</v>
      </c>
      <c r="H750" s="1">
        <v>12</v>
      </c>
      <c r="I750" t="s">
        <v>2318</v>
      </c>
      <c r="L750" s="1">
        <v>1</v>
      </c>
      <c r="M750" s="3">
        <v>23.87</v>
      </c>
      <c r="N750" s="3">
        <v>1.19</v>
      </c>
      <c r="O750" s="3">
        <v>0</v>
      </c>
      <c r="P750" s="3">
        <v>0.2</v>
      </c>
      <c r="Q750" s="3">
        <v>25.26</v>
      </c>
      <c r="R750" s="3">
        <v>24.25</v>
      </c>
      <c r="S750" s="3">
        <f>VLOOKUP(C750,[1]page!$C$2:$M$3071,11,0)</f>
        <v>23.7</v>
      </c>
      <c r="T750" s="6">
        <f t="shared" si="11"/>
        <v>0.17000000000000171</v>
      </c>
    </row>
    <row r="751" spans="1:20" x14ac:dyDescent="0.2">
      <c r="A751" t="s">
        <v>2335</v>
      </c>
      <c r="B751" t="s">
        <v>2361</v>
      </c>
      <c r="C751" t="s">
        <v>2362</v>
      </c>
      <c r="D751" t="s">
        <v>2363</v>
      </c>
      <c r="E751" t="s">
        <v>2116</v>
      </c>
      <c r="F751" t="s">
        <v>77</v>
      </c>
      <c r="G751" s="1">
        <v>22</v>
      </c>
      <c r="H751" s="1">
        <v>12</v>
      </c>
      <c r="I751" t="s">
        <v>39</v>
      </c>
      <c r="L751" s="1">
        <v>1</v>
      </c>
      <c r="M751" s="3">
        <v>11.15</v>
      </c>
      <c r="N751" s="3">
        <v>0.56000000000000005</v>
      </c>
      <c r="O751" s="3">
        <v>0</v>
      </c>
      <c r="P751" s="3">
        <v>0.2</v>
      </c>
      <c r="Q751" s="3">
        <v>11.91</v>
      </c>
      <c r="R751" s="3">
        <v>7.85</v>
      </c>
      <c r="S751" s="3">
        <f>VLOOKUP(C751,[1]page!$C$2:$M$3071,11,0)</f>
        <v>11.1</v>
      </c>
      <c r="T751" s="6">
        <f t="shared" si="11"/>
        <v>5.0000000000000711E-2</v>
      </c>
    </row>
    <row r="752" spans="1:20" x14ac:dyDescent="0.2">
      <c r="A752" t="s">
        <v>2335</v>
      </c>
      <c r="B752" t="s">
        <v>2364</v>
      </c>
      <c r="C752" t="s">
        <v>2365</v>
      </c>
      <c r="D752" t="s">
        <v>2366</v>
      </c>
      <c r="E752" t="s">
        <v>2116</v>
      </c>
      <c r="F752" t="s">
        <v>23</v>
      </c>
      <c r="G752" s="1">
        <v>35</v>
      </c>
      <c r="H752" s="1">
        <v>12</v>
      </c>
      <c r="I752" t="s">
        <v>2318</v>
      </c>
      <c r="L752" s="1">
        <v>1</v>
      </c>
      <c r="M752" s="3">
        <v>24.37</v>
      </c>
      <c r="N752" s="3">
        <v>1.22</v>
      </c>
      <c r="O752" s="3">
        <v>0</v>
      </c>
      <c r="P752" s="3">
        <v>0.2</v>
      </c>
      <c r="Q752" s="3">
        <v>25.79</v>
      </c>
      <c r="R752" s="3">
        <v>24.25</v>
      </c>
      <c r="S752" s="3">
        <f>VLOOKUP(C752,[1]page!$C$2:$M$3071,11,0)</f>
        <v>24.2</v>
      </c>
      <c r="T752" s="6">
        <f t="shared" si="11"/>
        <v>0.17000000000000171</v>
      </c>
    </row>
    <row r="753" spans="1:20" x14ac:dyDescent="0.2">
      <c r="A753" t="s">
        <v>2367</v>
      </c>
      <c r="B753" t="s">
        <v>2368</v>
      </c>
      <c r="C753" t="s">
        <v>2369</v>
      </c>
      <c r="D753" t="s">
        <v>2370</v>
      </c>
      <c r="E753" t="s">
        <v>2371</v>
      </c>
      <c r="F753" t="s">
        <v>23</v>
      </c>
      <c r="G753" s="2">
        <v>14.9</v>
      </c>
      <c r="H753" s="1">
        <v>12</v>
      </c>
      <c r="I753" t="s">
        <v>70</v>
      </c>
      <c r="L753" s="1">
        <v>1</v>
      </c>
      <c r="M753" s="3">
        <v>26.06</v>
      </c>
      <c r="N753" s="3">
        <v>1.3</v>
      </c>
      <c r="O753" s="3">
        <v>0</v>
      </c>
      <c r="P753" s="3">
        <v>0.2</v>
      </c>
      <c r="Q753" s="3">
        <v>27.56</v>
      </c>
      <c r="R753" s="3">
        <v>13.9</v>
      </c>
      <c r="S753" s="3">
        <f>VLOOKUP(C753,[1]page!$C$2:$M$3071,11,0)</f>
        <v>25.99</v>
      </c>
      <c r="T753" s="6">
        <f t="shared" si="11"/>
        <v>7.0000000000000284E-2</v>
      </c>
    </row>
    <row r="754" spans="1:20" x14ac:dyDescent="0.2">
      <c r="A754" t="s">
        <v>2367</v>
      </c>
      <c r="B754" t="s">
        <v>2372</v>
      </c>
      <c r="C754" t="s">
        <v>2373</v>
      </c>
      <c r="D754" t="s">
        <v>2374</v>
      </c>
      <c r="E754" t="s">
        <v>2339</v>
      </c>
      <c r="F754" t="s">
        <v>23</v>
      </c>
      <c r="G754" s="1">
        <v>17</v>
      </c>
      <c r="H754" s="1">
        <v>12</v>
      </c>
      <c r="I754" t="s">
        <v>595</v>
      </c>
      <c r="L754" s="1">
        <v>1</v>
      </c>
      <c r="M754" s="3">
        <v>18.29</v>
      </c>
      <c r="N754" s="3">
        <v>0.91</v>
      </c>
      <c r="O754" s="3">
        <v>0</v>
      </c>
      <c r="P754" s="3">
        <v>0.2</v>
      </c>
      <c r="Q754" s="3">
        <v>19.399999999999999</v>
      </c>
      <c r="R754" s="3">
        <v>13.9</v>
      </c>
      <c r="S754" s="3">
        <f>VLOOKUP(C754,[1]page!$C$2:$M$3071,11,0)</f>
        <v>18.2</v>
      </c>
      <c r="T754" s="6">
        <f t="shared" si="11"/>
        <v>8.9999999999999858E-2</v>
      </c>
    </row>
    <row r="755" spans="1:20" x14ac:dyDescent="0.2">
      <c r="A755" t="s">
        <v>2367</v>
      </c>
      <c r="B755" t="s">
        <v>2375</v>
      </c>
      <c r="C755" t="s">
        <v>2376</v>
      </c>
      <c r="D755" t="s">
        <v>2377</v>
      </c>
      <c r="E755" t="s">
        <v>2339</v>
      </c>
      <c r="F755" t="s">
        <v>23</v>
      </c>
      <c r="G755" s="1">
        <v>17</v>
      </c>
      <c r="H755" s="1">
        <v>12</v>
      </c>
      <c r="I755" t="s">
        <v>595</v>
      </c>
      <c r="L755" s="1">
        <v>1</v>
      </c>
      <c r="M755" s="3">
        <v>18.29</v>
      </c>
      <c r="N755" s="3">
        <v>0.91</v>
      </c>
      <c r="O755" s="3">
        <v>0</v>
      </c>
      <c r="P755" s="3">
        <v>0.2</v>
      </c>
      <c r="Q755" s="3">
        <v>19.399999999999999</v>
      </c>
      <c r="R755" s="3">
        <v>13.9</v>
      </c>
      <c r="S755" s="3">
        <f>VLOOKUP(C755,[1]page!$C$2:$M$3071,11,0)</f>
        <v>18.2</v>
      </c>
      <c r="T755" s="6">
        <f t="shared" ref="T755:T818" si="12">SUM(M755-S755)</f>
        <v>8.9999999999999858E-2</v>
      </c>
    </row>
    <row r="756" spans="1:20" x14ac:dyDescent="0.2">
      <c r="A756" t="s">
        <v>2367</v>
      </c>
      <c r="B756" t="s">
        <v>2378</v>
      </c>
      <c r="C756" t="s">
        <v>2379</v>
      </c>
      <c r="D756" t="s">
        <v>2380</v>
      </c>
      <c r="E756" t="s">
        <v>2381</v>
      </c>
      <c r="F756" t="s">
        <v>23</v>
      </c>
      <c r="G756" s="1">
        <v>30</v>
      </c>
      <c r="H756" s="1">
        <v>12</v>
      </c>
      <c r="I756" t="s">
        <v>34</v>
      </c>
      <c r="L756" s="1">
        <v>1</v>
      </c>
      <c r="M756" s="3">
        <v>23.45</v>
      </c>
      <c r="N756" s="3">
        <v>1.17</v>
      </c>
      <c r="O756" s="3">
        <v>0</v>
      </c>
      <c r="P756" s="3">
        <v>0.2</v>
      </c>
      <c r="Q756" s="3">
        <v>24.82</v>
      </c>
      <c r="R756" s="3">
        <v>18.2</v>
      </c>
      <c r="S756" s="3">
        <f>VLOOKUP(C756,[1]page!$C$2:$M$3071,11,0)</f>
        <v>23.31</v>
      </c>
      <c r="T756" s="6">
        <f t="shared" si="12"/>
        <v>0.14000000000000057</v>
      </c>
    </row>
    <row r="757" spans="1:20" x14ac:dyDescent="0.2">
      <c r="A757" t="s">
        <v>2367</v>
      </c>
      <c r="B757" t="s">
        <v>2382</v>
      </c>
      <c r="C757" t="s">
        <v>2383</v>
      </c>
      <c r="D757" t="s">
        <v>2384</v>
      </c>
      <c r="E757" t="s">
        <v>415</v>
      </c>
      <c r="F757" t="s">
        <v>23</v>
      </c>
      <c r="G757" s="1">
        <v>17</v>
      </c>
      <c r="H757" s="1">
        <v>6</v>
      </c>
      <c r="I757" t="s">
        <v>178</v>
      </c>
      <c r="L757" s="1">
        <v>1</v>
      </c>
      <c r="M757" s="3">
        <v>36.6</v>
      </c>
      <c r="N757" s="3">
        <v>1.83</v>
      </c>
      <c r="O757" s="3">
        <v>0</v>
      </c>
      <c r="P757" s="3">
        <v>0.2</v>
      </c>
      <c r="Q757" s="3">
        <v>38.630000000000003</v>
      </c>
      <c r="R757" s="3">
        <v>13.9</v>
      </c>
      <c r="S757" s="3">
        <f>VLOOKUP(C757,[1]page!$C$2:$M$3071,11,0)</f>
        <v>36.56</v>
      </c>
      <c r="T757" s="6">
        <f t="shared" si="12"/>
        <v>3.9999999999999147E-2</v>
      </c>
    </row>
    <row r="758" spans="1:20" x14ac:dyDescent="0.2">
      <c r="A758" t="s">
        <v>2367</v>
      </c>
      <c r="B758" t="s">
        <v>2385</v>
      </c>
      <c r="C758" t="s">
        <v>2386</v>
      </c>
      <c r="D758" t="s">
        <v>2387</v>
      </c>
      <c r="E758" t="s">
        <v>2388</v>
      </c>
      <c r="F758" t="s">
        <v>23</v>
      </c>
      <c r="G758" s="1">
        <v>30</v>
      </c>
      <c r="H758" s="1">
        <v>6</v>
      </c>
      <c r="I758" t="s">
        <v>318</v>
      </c>
      <c r="L758" s="1">
        <v>1</v>
      </c>
      <c r="M758" s="3">
        <v>27.13</v>
      </c>
      <c r="N758" s="3">
        <v>1.36</v>
      </c>
      <c r="O758" s="3">
        <v>0</v>
      </c>
      <c r="P758" s="3">
        <v>0.2</v>
      </c>
      <c r="Q758" s="3">
        <v>28.69</v>
      </c>
      <c r="R758" s="3">
        <v>18.2</v>
      </c>
      <c r="S758" s="3">
        <f>VLOOKUP(C758,[1]page!$C$2:$M$3071,11,0)</f>
        <v>26.99</v>
      </c>
      <c r="T758" s="6">
        <f t="shared" si="12"/>
        <v>0.14000000000000057</v>
      </c>
    </row>
    <row r="759" spans="1:20" x14ac:dyDescent="0.2">
      <c r="A759" t="s">
        <v>2367</v>
      </c>
      <c r="B759" t="s">
        <v>2389</v>
      </c>
      <c r="C759" t="s">
        <v>2390</v>
      </c>
      <c r="D759" t="s">
        <v>2391</v>
      </c>
      <c r="E759" t="s">
        <v>2326</v>
      </c>
      <c r="F759" t="s">
        <v>23</v>
      </c>
      <c r="G759" s="1">
        <v>27</v>
      </c>
      <c r="H759" s="1">
        <v>12</v>
      </c>
      <c r="I759" t="s">
        <v>70</v>
      </c>
      <c r="L759" s="1">
        <v>1</v>
      </c>
      <c r="M759" s="3">
        <v>20.79</v>
      </c>
      <c r="N759" s="3">
        <v>1.04</v>
      </c>
      <c r="O759" s="3">
        <v>0</v>
      </c>
      <c r="P759" s="3">
        <v>0.2</v>
      </c>
      <c r="Q759" s="3">
        <v>22.03</v>
      </c>
      <c r="R759" s="3">
        <v>18.2</v>
      </c>
      <c r="S759" s="3">
        <f>VLOOKUP(C759,[1]page!$C$2:$M$3071,11,0)</f>
        <v>20.61</v>
      </c>
      <c r="T759" s="6">
        <f t="shared" si="12"/>
        <v>0.17999999999999972</v>
      </c>
    </row>
    <row r="760" spans="1:20" x14ac:dyDescent="0.2">
      <c r="A760" t="s">
        <v>2367</v>
      </c>
      <c r="B760" t="s">
        <v>2392</v>
      </c>
      <c r="C760" t="s">
        <v>2393</v>
      </c>
      <c r="D760" t="s">
        <v>2394</v>
      </c>
      <c r="E760" t="s">
        <v>493</v>
      </c>
      <c r="F760" t="s">
        <v>23</v>
      </c>
      <c r="G760" s="1">
        <v>20</v>
      </c>
      <c r="H760" s="1">
        <v>12</v>
      </c>
      <c r="I760" t="s">
        <v>62</v>
      </c>
      <c r="L760" s="1">
        <v>1</v>
      </c>
      <c r="M760" s="3">
        <v>26.54</v>
      </c>
      <c r="N760" s="3">
        <v>1.33</v>
      </c>
      <c r="O760" s="3">
        <v>0</v>
      </c>
      <c r="P760" s="3">
        <v>0.2</v>
      </c>
      <c r="Q760" s="3">
        <v>28.07</v>
      </c>
      <c r="R760" s="3">
        <v>13.9</v>
      </c>
      <c r="S760" s="3">
        <f>VLOOKUP(C760,[1]page!$C$2:$M$3071,11,0)</f>
        <v>26.44</v>
      </c>
      <c r="T760" s="6">
        <f t="shared" si="12"/>
        <v>9.9999999999997868E-2</v>
      </c>
    </row>
    <row r="761" spans="1:20" x14ac:dyDescent="0.2">
      <c r="A761" t="s">
        <v>2367</v>
      </c>
      <c r="B761" t="s">
        <v>2395</v>
      </c>
      <c r="C761" t="s">
        <v>2396</v>
      </c>
      <c r="D761" t="s">
        <v>2397</v>
      </c>
      <c r="E761" t="s">
        <v>1668</v>
      </c>
      <c r="F761" t="s">
        <v>23</v>
      </c>
      <c r="G761" s="1">
        <v>15</v>
      </c>
      <c r="H761" s="1">
        <v>6</v>
      </c>
      <c r="I761" t="s">
        <v>39</v>
      </c>
      <c r="L761" s="1">
        <v>1</v>
      </c>
      <c r="M761" s="3">
        <v>20.98</v>
      </c>
      <c r="N761" s="3">
        <v>1.05</v>
      </c>
      <c r="O761" s="3">
        <v>0</v>
      </c>
      <c r="P761" s="3">
        <v>0.2</v>
      </c>
      <c r="Q761" s="3">
        <v>22.23</v>
      </c>
      <c r="R761" s="3">
        <v>13.9</v>
      </c>
      <c r="S761" s="3">
        <f>VLOOKUP(C761,[1]page!$C$2:$M$3071,11,0)</f>
        <v>20.9</v>
      </c>
      <c r="T761" s="6">
        <f t="shared" si="12"/>
        <v>8.0000000000001847E-2</v>
      </c>
    </row>
    <row r="762" spans="1:20" x14ac:dyDescent="0.2">
      <c r="A762" t="s">
        <v>2367</v>
      </c>
      <c r="B762" t="s">
        <v>2398</v>
      </c>
      <c r="C762" t="s">
        <v>2399</v>
      </c>
      <c r="D762" t="s">
        <v>2400</v>
      </c>
      <c r="E762" t="s">
        <v>2157</v>
      </c>
      <c r="F762" t="s">
        <v>77</v>
      </c>
      <c r="G762" s="1">
        <v>20</v>
      </c>
      <c r="H762" s="1">
        <v>12</v>
      </c>
      <c r="I762" t="s">
        <v>62</v>
      </c>
      <c r="L762" s="1">
        <v>1</v>
      </c>
      <c r="M762" s="3">
        <v>17.809999999999999</v>
      </c>
      <c r="N762" s="3">
        <v>0.89</v>
      </c>
      <c r="O762" s="3">
        <v>0</v>
      </c>
      <c r="P762" s="3">
        <v>0.2</v>
      </c>
      <c r="Q762" s="3">
        <v>18.899999999999999</v>
      </c>
      <c r="R762" s="3">
        <v>7.85</v>
      </c>
      <c r="S762" s="3">
        <f>VLOOKUP(C762,[1]page!$C$2:$M$3071,11,0)</f>
        <v>17.739999999999998</v>
      </c>
      <c r="T762" s="6">
        <f t="shared" si="12"/>
        <v>7.0000000000000284E-2</v>
      </c>
    </row>
    <row r="763" spans="1:20" x14ac:dyDescent="0.2">
      <c r="A763" t="s">
        <v>2367</v>
      </c>
      <c r="B763" t="s">
        <v>2401</v>
      </c>
      <c r="C763" t="s">
        <v>2402</v>
      </c>
      <c r="D763" t="s">
        <v>2403</v>
      </c>
      <c r="E763" t="s">
        <v>528</v>
      </c>
      <c r="F763" t="s">
        <v>77</v>
      </c>
      <c r="G763" s="1">
        <v>35</v>
      </c>
      <c r="H763" s="1">
        <v>24</v>
      </c>
      <c r="I763" t="s">
        <v>529</v>
      </c>
      <c r="L763" s="1">
        <v>1</v>
      </c>
      <c r="M763" s="3">
        <v>12.68</v>
      </c>
      <c r="N763" s="3">
        <v>0.63</v>
      </c>
      <c r="O763" s="3">
        <v>0</v>
      </c>
      <c r="P763" s="3">
        <v>0.1</v>
      </c>
      <c r="Q763" s="3">
        <v>13.41</v>
      </c>
      <c r="R763" s="3">
        <v>13.7</v>
      </c>
      <c r="S763" s="3">
        <f>VLOOKUP(C763,[1]page!$C$2:$M$3071,11,0)</f>
        <v>12.59</v>
      </c>
      <c r="T763" s="6">
        <f t="shared" si="12"/>
        <v>8.9999999999999858E-2</v>
      </c>
    </row>
    <row r="764" spans="1:20" x14ac:dyDescent="0.2">
      <c r="A764" t="s">
        <v>2367</v>
      </c>
      <c r="B764" t="s">
        <v>2404</v>
      </c>
      <c r="C764" t="s">
        <v>2405</v>
      </c>
      <c r="D764" t="s">
        <v>2406</v>
      </c>
      <c r="E764" t="s">
        <v>2407</v>
      </c>
      <c r="F764" t="s">
        <v>23</v>
      </c>
      <c r="G764" s="1">
        <v>32</v>
      </c>
      <c r="H764" s="1">
        <v>12</v>
      </c>
      <c r="I764" t="s">
        <v>183</v>
      </c>
      <c r="L764" s="1">
        <v>1</v>
      </c>
      <c r="M764" s="3">
        <v>21.11</v>
      </c>
      <c r="N764" s="3">
        <v>1.06</v>
      </c>
      <c r="O764" s="3">
        <v>0</v>
      </c>
      <c r="P764" s="3">
        <v>0.2</v>
      </c>
      <c r="Q764" s="3">
        <v>22.37</v>
      </c>
      <c r="R764" s="3">
        <v>18.2</v>
      </c>
      <c r="S764" s="3">
        <f>VLOOKUP(C764,[1]page!$C$2:$M$3071,11,0)</f>
        <v>20.95</v>
      </c>
      <c r="T764" s="6">
        <f t="shared" si="12"/>
        <v>0.16000000000000014</v>
      </c>
    </row>
    <row r="765" spans="1:20" x14ac:dyDescent="0.2">
      <c r="A765" t="s">
        <v>2367</v>
      </c>
      <c r="B765" t="s">
        <v>2408</v>
      </c>
      <c r="C765" t="s">
        <v>2409</v>
      </c>
      <c r="D765" t="s">
        <v>2410</v>
      </c>
      <c r="E765" t="s">
        <v>528</v>
      </c>
      <c r="F765" t="s">
        <v>77</v>
      </c>
      <c r="G765" s="1">
        <v>15</v>
      </c>
      <c r="H765" s="1">
        <v>24</v>
      </c>
      <c r="I765" t="s">
        <v>529</v>
      </c>
      <c r="L765" s="1">
        <v>1</v>
      </c>
      <c r="M765" s="3">
        <v>9.52</v>
      </c>
      <c r="N765" s="3">
        <v>0.48</v>
      </c>
      <c r="O765" s="3">
        <v>0</v>
      </c>
      <c r="P765" s="3">
        <v>0.1</v>
      </c>
      <c r="Q765" s="3">
        <v>10.1</v>
      </c>
      <c r="R765" s="3">
        <v>7.85</v>
      </c>
      <c r="S765" s="3">
        <f>VLOOKUP(C765,[1]page!$C$2:$M$3071,11,0)</f>
        <v>9.48</v>
      </c>
      <c r="T765" s="6">
        <f t="shared" si="12"/>
        <v>3.9999999999999147E-2</v>
      </c>
    </row>
    <row r="766" spans="1:20" x14ac:dyDescent="0.2">
      <c r="A766" t="s">
        <v>2367</v>
      </c>
      <c r="B766" t="s">
        <v>2411</v>
      </c>
      <c r="C766" t="s">
        <v>2412</v>
      </c>
      <c r="D766" t="s">
        <v>2410</v>
      </c>
      <c r="E766" t="s">
        <v>528</v>
      </c>
      <c r="F766" t="s">
        <v>23</v>
      </c>
      <c r="G766" s="1">
        <v>15</v>
      </c>
      <c r="H766" s="1">
        <v>12</v>
      </c>
      <c r="I766" t="s">
        <v>529</v>
      </c>
      <c r="L766" s="1">
        <v>1</v>
      </c>
      <c r="M766" s="3">
        <v>19.07</v>
      </c>
      <c r="N766" s="3">
        <v>0.95</v>
      </c>
      <c r="O766" s="3">
        <v>0</v>
      </c>
      <c r="P766" s="3">
        <v>0.2</v>
      </c>
      <c r="Q766" s="3">
        <v>20.22</v>
      </c>
      <c r="R766" s="3">
        <v>13.9</v>
      </c>
      <c r="S766" s="3">
        <f>VLOOKUP(C766,[1]page!$C$2:$M$3071,11,0)</f>
        <v>19</v>
      </c>
      <c r="T766" s="6">
        <f t="shared" si="12"/>
        <v>7.0000000000000284E-2</v>
      </c>
    </row>
    <row r="767" spans="1:20" x14ac:dyDescent="0.2">
      <c r="A767" t="s">
        <v>2367</v>
      </c>
      <c r="B767" t="s">
        <v>2413</v>
      </c>
      <c r="C767" t="s">
        <v>2414</v>
      </c>
      <c r="D767" t="s">
        <v>2415</v>
      </c>
      <c r="E767" t="s">
        <v>528</v>
      </c>
      <c r="F767" t="s">
        <v>23</v>
      </c>
      <c r="G767" s="1">
        <v>15</v>
      </c>
      <c r="H767" s="1">
        <v>12</v>
      </c>
      <c r="I767" t="s">
        <v>529</v>
      </c>
      <c r="L767" s="1">
        <v>1</v>
      </c>
      <c r="M767" s="3">
        <v>16.22</v>
      </c>
      <c r="N767" s="3">
        <v>0.81</v>
      </c>
      <c r="O767" s="3">
        <v>0</v>
      </c>
      <c r="P767" s="3">
        <v>0.2</v>
      </c>
      <c r="Q767" s="3">
        <v>17.23</v>
      </c>
      <c r="R767" s="3">
        <v>13.9</v>
      </c>
      <c r="S767" s="3">
        <f>VLOOKUP(C767,[1]page!$C$2:$M$3071,11,0)</f>
        <v>16.149999999999999</v>
      </c>
      <c r="T767" s="6">
        <f t="shared" si="12"/>
        <v>7.0000000000000284E-2</v>
      </c>
    </row>
    <row r="768" spans="1:20" x14ac:dyDescent="0.2">
      <c r="A768" t="s">
        <v>2416</v>
      </c>
      <c r="B768" t="s">
        <v>2417</v>
      </c>
      <c r="C768" t="s">
        <v>2418</v>
      </c>
      <c r="D768" t="s">
        <v>2419</v>
      </c>
      <c r="E768" t="s">
        <v>69</v>
      </c>
      <c r="F768" t="s">
        <v>77</v>
      </c>
      <c r="G768" s="1">
        <v>21</v>
      </c>
      <c r="H768" s="1">
        <v>24</v>
      </c>
      <c r="I768" t="s">
        <v>183</v>
      </c>
      <c r="L768" s="1">
        <v>1</v>
      </c>
      <c r="M768" s="3">
        <v>10.67</v>
      </c>
      <c r="N768" s="3">
        <v>0.53</v>
      </c>
      <c r="O768" s="3">
        <v>0</v>
      </c>
      <c r="P768" s="3">
        <v>0.1</v>
      </c>
      <c r="Q768" s="3">
        <v>11.3</v>
      </c>
      <c r="R768" s="3">
        <v>7.85</v>
      </c>
      <c r="S768" s="3">
        <f>VLOOKUP(C768,[1]page!$C$2:$M$3071,11,0)</f>
        <v>10.62</v>
      </c>
      <c r="T768" s="6">
        <f t="shared" si="12"/>
        <v>5.0000000000000711E-2</v>
      </c>
    </row>
    <row r="769" spans="1:20" x14ac:dyDescent="0.2">
      <c r="A769" t="s">
        <v>2416</v>
      </c>
      <c r="B769" t="s">
        <v>2420</v>
      </c>
      <c r="C769" t="s">
        <v>2421</v>
      </c>
      <c r="D769" t="s">
        <v>2419</v>
      </c>
      <c r="E769" t="s">
        <v>69</v>
      </c>
      <c r="F769" t="s">
        <v>23</v>
      </c>
      <c r="G769" s="1">
        <v>21</v>
      </c>
      <c r="H769" s="1">
        <v>12</v>
      </c>
      <c r="I769" t="s">
        <v>183</v>
      </c>
      <c r="L769" s="1">
        <v>1</v>
      </c>
      <c r="M769" s="3">
        <v>17.79</v>
      </c>
      <c r="N769" s="3">
        <v>0.89</v>
      </c>
      <c r="O769" s="3">
        <v>0</v>
      </c>
      <c r="P769" s="3">
        <v>0.2</v>
      </c>
      <c r="Q769" s="3">
        <v>18.88</v>
      </c>
      <c r="R769" s="3">
        <v>13.9</v>
      </c>
      <c r="S769" s="3">
        <f>VLOOKUP(C769,[1]page!$C$2:$M$3071,11,0)</f>
        <v>17.690000000000001</v>
      </c>
      <c r="T769" s="6">
        <f t="shared" si="12"/>
        <v>9.9999999999997868E-2</v>
      </c>
    </row>
    <row r="770" spans="1:20" x14ac:dyDescent="0.2">
      <c r="A770" t="s">
        <v>2416</v>
      </c>
      <c r="B770" t="s">
        <v>2422</v>
      </c>
      <c r="C770" t="s">
        <v>2423</v>
      </c>
      <c r="D770" t="s">
        <v>2419</v>
      </c>
      <c r="E770" t="s">
        <v>69</v>
      </c>
      <c r="F770" t="s">
        <v>65</v>
      </c>
      <c r="G770" s="1">
        <v>21</v>
      </c>
      <c r="H770" s="1">
        <v>12</v>
      </c>
      <c r="I770" t="s">
        <v>183</v>
      </c>
      <c r="L770" s="1">
        <v>1</v>
      </c>
      <c r="M770" s="3">
        <v>25.3</v>
      </c>
      <c r="N770" s="3">
        <v>1.27</v>
      </c>
      <c r="O770" s="3">
        <v>0</v>
      </c>
      <c r="P770" s="3">
        <v>0.4</v>
      </c>
      <c r="Q770" s="3">
        <v>26.97</v>
      </c>
      <c r="R770" s="3">
        <v>20.5</v>
      </c>
      <c r="S770" s="3">
        <f>VLOOKUP(C770,[1]page!$C$2:$M$3071,11,0)</f>
        <v>25.15</v>
      </c>
      <c r="T770" s="6">
        <f t="shared" si="12"/>
        <v>0.15000000000000213</v>
      </c>
    </row>
    <row r="771" spans="1:20" x14ac:dyDescent="0.2">
      <c r="A771" t="s">
        <v>2416</v>
      </c>
      <c r="B771" t="s">
        <v>2424</v>
      </c>
      <c r="C771" t="s">
        <v>2425</v>
      </c>
      <c r="D771" t="s">
        <v>2426</v>
      </c>
      <c r="E771" t="s">
        <v>2116</v>
      </c>
      <c r="F771" t="s">
        <v>23</v>
      </c>
      <c r="G771" s="1">
        <v>15</v>
      </c>
      <c r="H771" s="1">
        <v>12</v>
      </c>
      <c r="I771" t="s">
        <v>39</v>
      </c>
      <c r="L771" s="1">
        <v>1</v>
      </c>
      <c r="M771" s="3">
        <v>20.37</v>
      </c>
      <c r="N771" s="3">
        <v>1.02</v>
      </c>
      <c r="O771" s="3">
        <v>0</v>
      </c>
      <c r="P771" s="3">
        <v>0.2</v>
      </c>
      <c r="Q771" s="3">
        <v>21.59</v>
      </c>
      <c r="R771" s="3">
        <v>13.9</v>
      </c>
      <c r="S771" s="3">
        <f>VLOOKUP(C771,[1]page!$C$2:$M$3071,11,0)</f>
        <v>20.3</v>
      </c>
      <c r="T771" s="6">
        <f t="shared" si="12"/>
        <v>7.0000000000000284E-2</v>
      </c>
    </row>
    <row r="772" spans="1:20" x14ac:dyDescent="0.2">
      <c r="A772" t="s">
        <v>2427</v>
      </c>
      <c r="B772" t="s">
        <v>2428</v>
      </c>
      <c r="C772" t="s">
        <v>2429</v>
      </c>
      <c r="D772" t="s">
        <v>2430</v>
      </c>
      <c r="E772" t="s">
        <v>43</v>
      </c>
      <c r="F772" t="s">
        <v>23</v>
      </c>
      <c r="G772" s="1">
        <v>15</v>
      </c>
      <c r="H772" s="1">
        <v>12</v>
      </c>
      <c r="I772" t="s">
        <v>2318</v>
      </c>
      <c r="L772" s="1">
        <v>1</v>
      </c>
      <c r="M772" s="3">
        <v>20.97</v>
      </c>
      <c r="N772" s="3">
        <v>1.05</v>
      </c>
      <c r="O772" s="3">
        <v>0</v>
      </c>
      <c r="P772" s="3">
        <v>0.2</v>
      </c>
      <c r="Q772" s="3">
        <v>22.22</v>
      </c>
      <c r="R772" s="3">
        <v>13.9</v>
      </c>
      <c r="S772" s="3">
        <f>VLOOKUP(C772,[1]page!$C$2:$M$3071,11,0)</f>
        <v>20.9</v>
      </c>
      <c r="T772" s="6">
        <f t="shared" si="12"/>
        <v>7.0000000000000284E-2</v>
      </c>
    </row>
    <row r="773" spans="1:20" x14ac:dyDescent="0.2">
      <c r="A773" t="s">
        <v>2427</v>
      </c>
      <c r="B773" t="s">
        <v>2431</v>
      </c>
      <c r="C773" t="s">
        <v>2432</v>
      </c>
      <c r="D773" t="s">
        <v>2433</v>
      </c>
      <c r="E773" t="s">
        <v>2434</v>
      </c>
      <c r="F773" t="s">
        <v>23</v>
      </c>
      <c r="G773" s="2">
        <v>16.5</v>
      </c>
      <c r="H773" s="1">
        <v>12</v>
      </c>
      <c r="I773" t="s">
        <v>420</v>
      </c>
      <c r="L773" s="1">
        <v>1</v>
      </c>
      <c r="M773" s="3">
        <v>43.01</v>
      </c>
      <c r="N773" s="3">
        <v>2.15</v>
      </c>
      <c r="O773" s="3">
        <v>0</v>
      </c>
      <c r="P773" s="3">
        <v>0.2</v>
      </c>
      <c r="Q773" s="3">
        <v>45.36</v>
      </c>
      <c r="R773" s="3">
        <v>13.9</v>
      </c>
      <c r="S773" s="3">
        <f>VLOOKUP(C773,[1]page!$C$2:$M$3071,11,0)</f>
        <v>42.93</v>
      </c>
      <c r="T773" s="6">
        <f t="shared" si="12"/>
        <v>7.9999999999998295E-2</v>
      </c>
    </row>
    <row r="774" spans="1:20" x14ac:dyDescent="0.2">
      <c r="A774" t="s">
        <v>2427</v>
      </c>
      <c r="B774" t="s">
        <v>2435</v>
      </c>
      <c r="C774" t="s">
        <v>2436</v>
      </c>
      <c r="D774" t="s">
        <v>2437</v>
      </c>
      <c r="E774" t="s">
        <v>103</v>
      </c>
      <c r="F774" t="s">
        <v>23</v>
      </c>
      <c r="G774" s="1">
        <v>15</v>
      </c>
      <c r="H774" s="1">
        <v>12</v>
      </c>
      <c r="I774" t="s">
        <v>51</v>
      </c>
      <c r="L774" s="1">
        <v>1</v>
      </c>
      <c r="M774" s="3">
        <v>15.49</v>
      </c>
      <c r="N774" s="3">
        <v>0.77</v>
      </c>
      <c r="O774" s="3">
        <v>0</v>
      </c>
      <c r="P774" s="3">
        <v>0.2</v>
      </c>
      <c r="Q774" s="3">
        <v>16.46</v>
      </c>
      <c r="R774" s="3">
        <v>13.9</v>
      </c>
      <c r="S774" s="3">
        <f>VLOOKUP(C774,[1]page!$C$2:$M$3071,11,0)</f>
        <v>15.51</v>
      </c>
      <c r="T774" s="6">
        <f t="shared" si="12"/>
        <v>-1.9999999999999574E-2</v>
      </c>
    </row>
    <row r="775" spans="1:20" x14ac:dyDescent="0.2">
      <c r="A775" t="s">
        <v>2427</v>
      </c>
      <c r="B775" t="s">
        <v>2438</v>
      </c>
      <c r="C775" t="s">
        <v>2439</v>
      </c>
      <c r="D775" t="s">
        <v>2440</v>
      </c>
      <c r="E775" t="s">
        <v>528</v>
      </c>
      <c r="F775" t="s">
        <v>23</v>
      </c>
      <c r="G775" s="1">
        <v>17</v>
      </c>
      <c r="H775" s="1">
        <v>12</v>
      </c>
      <c r="I775" t="s">
        <v>178</v>
      </c>
      <c r="L775" s="1">
        <v>1</v>
      </c>
      <c r="M775" s="3">
        <v>20.260000000000002</v>
      </c>
      <c r="N775" s="3">
        <v>1.01</v>
      </c>
      <c r="O775" s="3">
        <v>0</v>
      </c>
      <c r="P775" s="3">
        <v>0.2</v>
      </c>
      <c r="Q775" s="3">
        <v>21.47</v>
      </c>
      <c r="R775" s="3">
        <v>13.9</v>
      </c>
      <c r="S775" s="3">
        <f>VLOOKUP(C775,[1]page!$C$2:$M$3071,11,0)</f>
        <v>20.18</v>
      </c>
      <c r="T775" s="6">
        <f t="shared" si="12"/>
        <v>8.0000000000001847E-2</v>
      </c>
    </row>
    <row r="776" spans="1:20" x14ac:dyDescent="0.2">
      <c r="A776" t="s">
        <v>2427</v>
      </c>
      <c r="B776" t="s">
        <v>2441</v>
      </c>
      <c r="C776" t="s">
        <v>2442</v>
      </c>
      <c r="D776" t="s">
        <v>2443</v>
      </c>
      <c r="E776" t="s">
        <v>528</v>
      </c>
      <c r="F776" t="s">
        <v>74</v>
      </c>
      <c r="G776" s="1">
        <v>15</v>
      </c>
      <c r="H776" s="1">
        <v>120</v>
      </c>
      <c r="I776" t="s">
        <v>529</v>
      </c>
      <c r="L776" s="1">
        <v>1</v>
      </c>
      <c r="M776" s="3">
        <v>2.11</v>
      </c>
      <c r="N776" s="3">
        <v>0.11</v>
      </c>
      <c r="O776" s="3">
        <v>0</v>
      </c>
      <c r="P776" s="3">
        <v>0.1</v>
      </c>
      <c r="Q776" s="3">
        <v>2.3199999999999998</v>
      </c>
      <c r="R776" s="3">
        <v>1.5</v>
      </c>
      <c r="S776" s="3">
        <f>VLOOKUP(C776,[1]page!$C$2:$M$3071,11,0)</f>
        <v>2.5299999999999998</v>
      </c>
      <c r="T776" s="6">
        <f t="shared" si="12"/>
        <v>-0.41999999999999993</v>
      </c>
    </row>
    <row r="777" spans="1:20" x14ac:dyDescent="0.2">
      <c r="A777" t="s">
        <v>2427</v>
      </c>
      <c r="B777" t="s">
        <v>2444</v>
      </c>
      <c r="C777" t="s">
        <v>2445</v>
      </c>
      <c r="D777" t="s">
        <v>2443</v>
      </c>
      <c r="E777" t="s">
        <v>528</v>
      </c>
      <c r="F777" t="s">
        <v>209</v>
      </c>
      <c r="G777" s="1">
        <v>15</v>
      </c>
      <c r="H777" s="1">
        <v>48</v>
      </c>
      <c r="I777" t="s">
        <v>529</v>
      </c>
      <c r="L777" s="1">
        <v>1</v>
      </c>
      <c r="M777" s="3">
        <v>7.96</v>
      </c>
      <c r="N777" s="3">
        <v>0.4</v>
      </c>
      <c r="O777" s="3">
        <v>0</v>
      </c>
      <c r="P777" s="3">
        <v>0.1</v>
      </c>
      <c r="Q777" s="3">
        <v>8.4600000000000009</v>
      </c>
      <c r="R777" s="3">
        <v>7.85</v>
      </c>
      <c r="S777" s="3">
        <f>VLOOKUP(C777,[1]page!$C$2:$M$3071,11,0)</f>
        <v>7.94</v>
      </c>
      <c r="T777" s="6">
        <f t="shared" si="12"/>
        <v>1.9999999999999574E-2</v>
      </c>
    </row>
    <row r="778" spans="1:20" x14ac:dyDescent="0.2">
      <c r="A778" t="s">
        <v>2427</v>
      </c>
      <c r="B778" t="s">
        <v>2446</v>
      </c>
      <c r="C778" t="s">
        <v>2447</v>
      </c>
      <c r="D778" t="s">
        <v>2443</v>
      </c>
      <c r="E778" t="s">
        <v>528</v>
      </c>
      <c r="F778" t="s">
        <v>77</v>
      </c>
      <c r="G778" s="1">
        <v>15</v>
      </c>
      <c r="H778" s="1">
        <v>24</v>
      </c>
      <c r="I778" t="s">
        <v>529</v>
      </c>
      <c r="L778" s="1">
        <v>1</v>
      </c>
      <c r="M778" s="3">
        <v>9.51</v>
      </c>
      <c r="N778" s="3">
        <v>0.48</v>
      </c>
      <c r="O778" s="3">
        <v>0</v>
      </c>
      <c r="P778" s="3">
        <v>0.1</v>
      </c>
      <c r="Q778" s="3">
        <v>10.09</v>
      </c>
      <c r="R778" s="3">
        <v>7.85</v>
      </c>
      <c r="S778" s="3">
        <f>VLOOKUP(C778,[1]page!$C$2:$M$3071,11,0)</f>
        <v>9.48</v>
      </c>
      <c r="T778" s="6">
        <f t="shared" si="12"/>
        <v>2.9999999999999361E-2</v>
      </c>
    </row>
    <row r="779" spans="1:20" x14ac:dyDescent="0.2">
      <c r="A779" t="s">
        <v>2427</v>
      </c>
      <c r="B779" t="s">
        <v>2448</v>
      </c>
      <c r="C779" t="s">
        <v>2449</v>
      </c>
      <c r="D779" t="s">
        <v>2443</v>
      </c>
      <c r="E779" t="s">
        <v>528</v>
      </c>
      <c r="F779" t="s">
        <v>23</v>
      </c>
      <c r="G779" s="1">
        <v>15</v>
      </c>
      <c r="H779" s="1">
        <v>12</v>
      </c>
      <c r="I779" t="s">
        <v>529</v>
      </c>
      <c r="L779" s="1">
        <v>1</v>
      </c>
      <c r="M779" s="3">
        <v>19.07</v>
      </c>
      <c r="N779" s="3">
        <v>0.95</v>
      </c>
      <c r="O779" s="3">
        <v>0</v>
      </c>
      <c r="P779" s="3">
        <v>0.2</v>
      </c>
      <c r="Q779" s="3">
        <v>20.22</v>
      </c>
      <c r="R779" s="3">
        <v>13.9</v>
      </c>
      <c r="S779" s="3">
        <f>VLOOKUP(C779,[1]page!$C$2:$M$3071,11,0)</f>
        <v>19</v>
      </c>
      <c r="T779" s="6">
        <f t="shared" si="12"/>
        <v>7.0000000000000284E-2</v>
      </c>
    </row>
    <row r="780" spans="1:20" x14ac:dyDescent="0.2">
      <c r="A780" t="s">
        <v>2427</v>
      </c>
      <c r="B780" t="s">
        <v>2450</v>
      </c>
      <c r="C780" t="s">
        <v>2451</v>
      </c>
      <c r="D780" t="s">
        <v>2443</v>
      </c>
      <c r="E780" t="s">
        <v>528</v>
      </c>
      <c r="F780" t="s">
        <v>65</v>
      </c>
      <c r="G780" s="1">
        <v>15</v>
      </c>
      <c r="H780" s="1">
        <v>12</v>
      </c>
      <c r="I780" t="s">
        <v>529</v>
      </c>
      <c r="L780" s="1">
        <v>1</v>
      </c>
      <c r="M780" s="3">
        <v>23.95</v>
      </c>
      <c r="N780" s="3">
        <v>1.2</v>
      </c>
      <c r="O780" s="3">
        <v>0</v>
      </c>
      <c r="P780" s="3">
        <v>0.25</v>
      </c>
      <c r="Q780" s="3">
        <v>25.4</v>
      </c>
      <c r="R780" s="3">
        <v>20.5</v>
      </c>
      <c r="S780" s="3">
        <f>VLOOKUP(C780,[1]page!$C$2:$M$3071,11,0)</f>
        <v>23.84</v>
      </c>
      <c r="T780" s="6">
        <f t="shared" si="12"/>
        <v>0.10999999999999943</v>
      </c>
    </row>
    <row r="781" spans="1:20" x14ac:dyDescent="0.2">
      <c r="A781" t="s">
        <v>2452</v>
      </c>
      <c r="B781" t="s">
        <v>2453</v>
      </c>
      <c r="C781" t="s">
        <v>2454</v>
      </c>
      <c r="D781" t="s">
        <v>2455</v>
      </c>
      <c r="E781" t="s">
        <v>2112</v>
      </c>
      <c r="F781" t="s">
        <v>209</v>
      </c>
      <c r="G781" s="1">
        <v>15</v>
      </c>
      <c r="H781" s="1">
        <v>24</v>
      </c>
      <c r="I781" t="s">
        <v>183</v>
      </c>
      <c r="L781" s="1">
        <v>1</v>
      </c>
      <c r="M781" s="3">
        <v>5.29</v>
      </c>
      <c r="N781" s="3">
        <v>0.26</v>
      </c>
      <c r="O781" s="3">
        <v>0</v>
      </c>
      <c r="P781" s="3">
        <v>0</v>
      </c>
      <c r="Q781" s="3">
        <v>5.55</v>
      </c>
      <c r="R781" s="3">
        <v>7.85</v>
      </c>
      <c r="S781" s="3">
        <f>VLOOKUP(C781,[1]page!$C$2:$M$3071,11,0)</f>
        <v>5.28</v>
      </c>
      <c r="T781" s="6">
        <f t="shared" si="12"/>
        <v>9.9999999999997868E-3</v>
      </c>
    </row>
    <row r="782" spans="1:20" x14ac:dyDescent="0.2">
      <c r="A782" t="s">
        <v>2452</v>
      </c>
      <c r="B782" t="s">
        <v>2456</v>
      </c>
      <c r="C782" t="s">
        <v>2457</v>
      </c>
      <c r="D782" t="s">
        <v>2458</v>
      </c>
      <c r="E782" t="s">
        <v>43</v>
      </c>
      <c r="F782" t="s">
        <v>23</v>
      </c>
      <c r="G782" s="1">
        <v>21</v>
      </c>
      <c r="H782" s="1">
        <v>12</v>
      </c>
      <c r="I782" t="s">
        <v>2318</v>
      </c>
      <c r="L782" s="1">
        <v>1</v>
      </c>
      <c r="M782" s="3">
        <v>23.4</v>
      </c>
      <c r="N782" s="3">
        <v>1.17</v>
      </c>
      <c r="O782" s="3">
        <v>0</v>
      </c>
      <c r="P782" s="3">
        <v>0.2</v>
      </c>
      <c r="Q782" s="3">
        <v>24.77</v>
      </c>
      <c r="R782" s="3">
        <v>13.9</v>
      </c>
      <c r="S782" s="3">
        <f>VLOOKUP(C782,[1]page!$C$2:$M$3071,11,0)</f>
        <v>23.4</v>
      </c>
      <c r="T782" s="6">
        <f t="shared" si="12"/>
        <v>0</v>
      </c>
    </row>
    <row r="783" spans="1:20" x14ac:dyDescent="0.2">
      <c r="A783" t="s">
        <v>2452</v>
      </c>
      <c r="B783" t="s">
        <v>2459</v>
      </c>
      <c r="C783" t="s">
        <v>2460</v>
      </c>
      <c r="D783" t="s">
        <v>2461</v>
      </c>
      <c r="E783" t="s">
        <v>1668</v>
      </c>
      <c r="F783" t="s">
        <v>23</v>
      </c>
      <c r="G783" s="1">
        <v>15</v>
      </c>
      <c r="H783" s="1">
        <v>6</v>
      </c>
      <c r="I783" t="s">
        <v>39</v>
      </c>
      <c r="L783" s="1">
        <v>1</v>
      </c>
      <c r="M783" s="3">
        <v>20.98</v>
      </c>
      <c r="N783" s="3">
        <v>1.05</v>
      </c>
      <c r="O783" s="3">
        <v>0</v>
      </c>
      <c r="P783" s="3">
        <v>0.2</v>
      </c>
      <c r="Q783" s="3">
        <v>22.23</v>
      </c>
      <c r="R783" s="3">
        <v>13.9</v>
      </c>
      <c r="S783" s="3">
        <f>VLOOKUP(C783,[1]page!$C$2:$M$3071,11,0)</f>
        <v>20.9</v>
      </c>
      <c r="T783" s="6">
        <f t="shared" si="12"/>
        <v>8.0000000000001847E-2</v>
      </c>
    </row>
    <row r="784" spans="1:20" x14ac:dyDescent="0.2">
      <c r="A784" t="s">
        <v>2452</v>
      </c>
      <c r="B784" t="s">
        <v>2462</v>
      </c>
      <c r="C784" t="s">
        <v>2463</v>
      </c>
      <c r="D784" t="s">
        <v>2464</v>
      </c>
      <c r="E784" t="s">
        <v>2157</v>
      </c>
      <c r="F784" t="s">
        <v>77</v>
      </c>
      <c r="G784" s="1">
        <v>20</v>
      </c>
      <c r="H784" s="1">
        <v>12</v>
      </c>
      <c r="I784" t="s">
        <v>62</v>
      </c>
      <c r="L784" s="1">
        <v>1</v>
      </c>
      <c r="M784" s="3">
        <v>17.809999999999999</v>
      </c>
      <c r="N784" s="3">
        <v>0.89</v>
      </c>
      <c r="O784" s="3">
        <v>0</v>
      </c>
      <c r="P784" s="3">
        <v>0.2</v>
      </c>
      <c r="Q784" s="3">
        <v>18.899999999999999</v>
      </c>
      <c r="R784" s="3">
        <v>7.85</v>
      </c>
      <c r="S784" s="3">
        <f>VLOOKUP(C784,[1]page!$C$2:$M$3071,11,0)</f>
        <v>17.739999999999998</v>
      </c>
      <c r="T784" s="6">
        <f t="shared" si="12"/>
        <v>7.0000000000000284E-2</v>
      </c>
    </row>
    <row r="785" spans="1:20" x14ac:dyDescent="0.2">
      <c r="A785" t="s">
        <v>2465</v>
      </c>
      <c r="B785" t="s">
        <v>2466</v>
      </c>
      <c r="C785" t="s">
        <v>2467</v>
      </c>
      <c r="D785" t="s">
        <v>2468</v>
      </c>
      <c r="E785" t="s">
        <v>707</v>
      </c>
      <c r="F785" t="s">
        <v>77</v>
      </c>
      <c r="G785" s="1">
        <v>40</v>
      </c>
      <c r="H785" s="1">
        <v>12</v>
      </c>
      <c r="I785" t="s">
        <v>34</v>
      </c>
      <c r="L785" s="1">
        <v>1</v>
      </c>
      <c r="M785" s="3">
        <v>21.1</v>
      </c>
      <c r="N785" s="3">
        <v>1.06</v>
      </c>
      <c r="O785" s="3">
        <v>0</v>
      </c>
      <c r="P785" s="3">
        <v>0.2</v>
      </c>
      <c r="Q785" s="3">
        <v>22.36</v>
      </c>
      <c r="R785" s="3">
        <v>13.7</v>
      </c>
      <c r="S785" s="3">
        <f>VLOOKUP(C785,[1]page!$C$2:$M$3071,11,0)</f>
        <v>21</v>
      </c>
      <c r="T785" s="6">
        <f t="shared" si="12"/>
        <v>0.10000000000000142</v>
      </c>
    </row>
    <row r="786" spans="1:20" x14ac:dyDescent="0.2">
      <c r="A786" t="s">
        <v>2465</v>
      </c>
      <c r="B786" t="s">
        <v>2469</v>
      </c>
      <c r="C786" t="s">
        <v>2470</v>
      </c>
      <c r="D786" t="s">
        <v>2468</v>
      </c>
      <c r="E786" t="s">
        <v>707</v>
      </c>
      <c r="F786" t="s">
        <v>23</v>
      </c>
      <c r="G786" s="1">
        <v>40</v>
      </c>
      <c r="H786" s="1">
        <v>12</v>
      </c>
      <c r="I786" t="s">
        <v>34</v>
      </c>
      <c r="L786" s="1">
        <v>1</v>
      </c>
      <c r="M786" s="3">
        <v>37.450000000000003</v>
      </c>
      <c r="N786" s="3">
        <v>1.87</v>
      </c>
      <c r="O786" s="3">
        <v>0</v>
      </c>
      <c r="P786" s="3">
        <v>0.2</v>
      </c>
      <c r="Q786" s="3">
        <v>39.520000000000003</v>
      </c>
      <c r="R786" s="3">
        <v>24.25</v>
      </c>
      <c r="S786" s="3">
        <f>VLOOKUP(C786,[1]page!$C$2:$M$3071,11,0)</f>
        <v>37.26</v>
      </c>
      <c r="T786" s="6">
        <f t="shared" si="12"/>
        <v>0.19000000000000483</v>
      </c>
    </row>
    <row r="787" spans="1:20" x14ac:dyDescent="0.2">
      <c r="A787" t="s">
        <v>2465</v>
      </c>
      <c r="B787" t="s">
        <v>2471</v>
      </c>
      <c r="C787" t="s">
        <v>2472</v>
      </c>
      <c r="D787" t="s">
        <v>2473</v>
      </c>
      <c r="E787" t="s">
        <v>763</v>
      </c>
      <c r="F787" t="s">
        <v>23</v>
      </c>
      <c r="G787" s="1">
        <v>35</v>
      </c>
      <c r="H787" s="1">
        <v>12</v>
      </c>
      <c r="I787" t="s">
        <v>57</v>
      </c>
      <c r="L787" s="1">
        <v>1</v>
      </c>
      <c r="M787" s="3">
        <v>36.159999999999997</v>
      </c>
      <c r="N787" s="3">
        <v>1.81</v>
      </c>
      <c r="O787" s="3">
        <v>0</v>
      </c>
      <c r="P787" s="3">
        <v>0.2</v>
      </c>
      <c r="Q787" s="3">
        <v>38.17</v>
      </c>
      <c r="R787" s="3">
        <v>24.25</v>
      </c>
      <c r="S787" s="3">
        <f>VLOOKUP(C787,[1]page!$C$2:$M$3071,11,0)</f>
        <v>35.99</v>
      </c>
      <c r="T787" s="6">
        <f t="shared" si="12"/>
        <v>0.1699999999999946</v>
      </c>
    </row>
    <row r="788" spans="1:20" x14ac:dyDescent="0.2">
      <c r="A788" t="s">
        <v>2465</v>
      </c>
      <c r="B788" t="s">
        <v>2474</v>
      </c>
      <c r="C788" t="s">
        <v>2475</v>
      </c>
      <c r="D788" t="s">
        <v>2476</v>
      </c>
      <c r="E788" t="s">
        <v>2477</v>
      </c>
      <c r="F788" t="s">
        <v>2078</v>
      </c>
      <c r="G788" s="1">
        <v>70</v>
      </c>
      <c r="H788" s="1">
        <v>6</v>
      </c>
      <c r="I788" t="s">
        <v>2478</v>
      </c>
      <c r="L788" s="1">
        <v>1</v>
      </c>
      <c r="M788" s="3">
        <v>39.42</v>
      </c>
      <c r="N788" s="3">
        <v>1.97</v>
      </c>
      <c r="O788" s="3">
        <v>0</v>
      </c>
      <c r="P788" s="3">
        <v>0.2</v>
      </c>
      <c r="Q788" s="3">
        <v>41.59</v>
      </c>
      <c r="R788" s="3">
        <v>26.2</v>
      </c>
      <c r="S788" s="3">
        <f>VLOOKUP(C788,[1]page!$C$2:$M$3071,11,0)</f>
        <v>39.29</v>
      </c>
      <c r="T788" s="6">
        <f t="shared" si="12"/>
        <v>0.13000000000000256</v>
      </c>
    </row>
    <row r="789" spans="1:20" x14ac:dyDescent="0.2">
      <c r="A789" t="s">
        <v>2465</v>
      </c>
      <c r="B789" t="s">
        <v>2479</v>
      </c>
      <c r="C789" t="s">
        <v>2480</v>
      </c>
      <c r="D789" t="s">
        <v>2481</v>
      </c>
      <c r="E789" t="s">
        <v>2482</v>
      </c>
      <c r="F789" t="s">
        <v>77</v>
      </c>
      <c r="G789" s="1">
        <v>35</v>
      </c>
      <c r="H789" s="1">
        <v>12</v>
      </c>
      <c r="I789" t="s">
        <v>34</v>
      </c>
      <c r="L789" s="1">
        <v>1</v>
      </c>
      <c r="M789" s="3">
        <v>15.34</v>
      </c>
      <c r="N789" s="3">
        <v>0.77</v>
      </c>
      <c r="O789" s="3">
        <v>0</v>
      </c>
      <c r="P789" s="3">
        <v>0.2</v>
      </c>
      <c r="Q789" s="3">
        <v>16.309999999999999</v>
      </c>
      <c r="R789" s="3">
        <v>13.7</v>
      </c>
      <c r="S789" s="3">
        <f>VLOOKUP(C789,[1]page!$C$2:$M$3071,11,0)</f>
        <v>15.26</v>
      </c>
      <c r="T789" s="6">
        <f t="shared" si="12"/>
        <v>8.0000000000000071E-2</v>
      </c>
    </row>
    <row r="790" spans="1:20" x14ac:dyDescent="0.2">
      <c r="A790" t="s">
        <v>2465</v>
      </c>
      <c r="B790" t="s">
        <v>2483</v>
      </c>
      <c r="C790" t="s">
        <v>2484</v>
      </c>
      <c r="D790" t="s">
        <v>2481</v>
      </c>
      <c r="E790" t="s">
        <v>2482</v>
      </c>
      <c r="F790" t="s">
        <v>23</v>
      </c>
      <c r="G790" s="1">
        <v>35</v>
      </c>
      <c r="H790" s="1">
        <v>12</v>
      </c>
      <c r="I790" t="s">
        <v>34</v>
      </c>
      <c r="L790" s="1">
        <v>1</v>
      </c>
      <c r="M790" s="3">
        <v>28.54</v>
      </c>
      <c r="N790" s="3">
        <v>1.43</v>
      </c>
      <c r="O790" s="3">
        <v>0</v>
      </c>
      <c r="P790" s="3">
        <v>0.2</v>
      </c>
      <c r="Q790" s="3">
        <v>30.17</v>
      </c>
      <c r="R790" s="3">
        <v>24.25</v>
      </c>
      <c r="S790" s="3">
        <f>VLOOKUP(C790,[1]page!$C$2:$M$3071,11,0)</f>
        <v>28.37</v>
      </c>
      <c r="T790" s="6">
        <f t="shared" si="12"/>
        <v>0.16999999999999815</v>
      </c>
    </row>
    <row r="791" spans="1:20" x14ac:dyDescent="0.2">
      <c r="A791" t="s">
        <v>2465</v>
      </c>
      <c r="B791" t="s">
        <v>2485</v>
      </c>
      <c r="C791" t="s">
        <v>2486</v>
      </c>
      <c r="D791" t="s">
        <v>2481</v>
      </c>
      <c r="E791" t="s">
        <v>2482</v>
      </c>
      <c r="F791" t="s">
        <v>65</v>
      </c>
      <c r="G791" s="1">
        <v>35</v>
      </c>
      <c r="H791" s="1">
        <v>6</v>
      </c>
      <c r="I791" t="s">
        <v>34</v>
      </c>
      <c r="L791" s="1">
        <v>1</v>
      </c>
      <c r="M791" s="3">
        <v>42.87</v>
      </c>
      <c r="N791" s="3">
        <v>2.14</v>
      </c>
      <c r="O791" s="3">
        <v>0</v>
      </c>
      <c r="P791" s="3">
        <v>0.4</v>
      </c>
      <c r="Q791" s="3">
        <v>45.41</v>
      </c>
      <c r="R791" s="3">
        <v>35.75</v>
      </c>
      <c r="S791" s="3">
        <f>VLOOKUP(C791,[1]page!$C$2:$M$3071,11,0)</f>
        <v>42.62</v>
      </c>
      <c r="T791" s="6">
        <f t="shared" si="12"/>
        <v>0.25</v>
      </c>
    </row>
    <row r="792" spans="1:20" x14ac:dyDescent="0.2">
      <c r="A792" t="s">
        <v>2465</v>
      </c>
      <c r="B792" t="s">
        <v>2487</v>
      </c>
      <c r="C792" t="s">
        <v>2488</v>
      </c>
      <c r="D792" t="s">
        <v>2489</v>
      </c>
      <c r="E792" t="s">
        <v>788</v>
      </c>
      <c r="F792" t="s">
        <v>23</v>
      </c>
      <c r="G792" s="1">
        <v>25</v>
      </c>
      <c r="H792" s="1">
        <v>12</v>
      </c>
      <c r="I792" t="s">
        <v>24</v>
      </c>
      <c r="L792" s="1">
        <v>1</v>
      </c>
      <c r="M792" s="3">
        <v>22.99</v>
      </c>
      <c r="N792" s="3">
        <v>1.1499999999999999</v>
      </c>
      <c r="O792" s="3">
        <v>0</v>
      </c>
      <c r="P792" s="3">
        <v>0.2</v>
      </c>
      <c r="Q792" s="3">
        <v>24.34</v>
      </c>
      <c r="R792" s="3">
        <v>18.2</v>
      </c>
      <c r="S792" s="3">
        <f>VLOOKUP(C792,[1]page!$C$2:$M$3071,11,0)</f>
        <v>22.58</v>
      </c>
      <c r="T792" s="6">
        <f t="shared" si="12"/>
        <v>0.41000000000000014</v>
      </c>
    </row>
    <row r="793" spans="1:20" x14ac:dyDescent="0.2">
      <c r="A793" t="s">
        <v>2465</v>
      </c>
      <c r="B793" t="s">
        <v>2490</v>
      </c>
      <c r="C793" t="s">
        <v>2491</v>
      </c>
      <c r="D793" t="s">
        <v>2492</v>
      </c>
      <c r="E793" t="s">
        <v>69</v>
      </c>
      <c r="F793" t="s">
        <v>77</v>
      </c>
      <c r="G793" s="1">
        <v>35</v>
      </c>
      <c r="H793" s="1">
        <v>24</v>
      </c>
      <c r="I793" t="s">
        <v>183</v>
      </c>
      <c r="L793" s="1">
        <v>1</v>
      </c>
      <c r="M793" s="3">
        <v>12.27</v>
      </c>
      <c r="N793" s="3">
        <v>0.61</v>
      </c>
      <c r="O793" s="3">
        <v>0</v>
      </c>
      <c r="P793" s="3">
        <v>0.1</v>
      </c>
      <c r="Q793" s="3">
        <v>12.98</v>
      </c>
      <c r="R793" s="3">
        <v>13.7</v>
      </c>
      <c r="S793" s="3">
        <f>VLOOKUP(C793,[1]page!$C$2:$M$3071,11,0)</f>
        <v>12.19</v>
      </c>
      <c r="T793" s="6">
        <f t="shared" si="12"/>
        <v>8.0000000000000071E-2</v>
      </c>
    </row>
    <row r="794" spans="1:20" x14ac:dyDescent="0.2">
      <c r="A794" t="s">
        <v>2465</v>
      </c>
      <c r="B794" t="s">
        <v>2493</v>
      </c>
      <c r="C794" t="s">
        <v>2494</v>
      </c>
      <c r="D794" t="s">
        <v>2492</v>
      </c>
      <c r="E794" t="s">
        <v>69</v>
      </c>
      <c r="F794" t="s">
        <v>23</v>
      </c>
      <c r="G794" s="1">
        <v>35</v>
      </c>
      <c r="H794" s="1">
        <v>12</v>
      </c>
      <c r="I794" t="s">
        <v>183</v>
      </c>
      <c r="L794" s="1">
        <v>1</v>
      </c>
      <c r="M794" s="3">
        <v>22.4</v>
      </c>
      <c r="N794" s="3">
        <v>1.1200000000000001</v>
      </c>
      <c r="O794" s="3">
        <v>0</v>
      </c>
      <c r="P794" s="3">
        <v>0.2</v>
      </c>
      <c r="Q794" s="3">
        <v>23.72</v>
      </c>
      <c r="R794" s="3">
        <v>24.25</v>
      </c>
      <c r="S794" s="3">
        <f>VLOOKUP(C794,[1]page!$C$2:$M$3071,11,0)</f>
        <v>22.24</v>
      </c>
      <c r="T794" s="6">
        <f t="shared" si="12"/>
        <v>0.16000000000000014</v>
      </c>
    </row>
    <row r="795" spans="1:20" x14ac:dyDescent="0.2">
      <c r="A795" t="s">
        <v>2465</v>
      </c>
      <c r="B795" t="s">
        <v>2495</v>
      </c>
      <c r="C795" t="s">
        <v>2496</v>
      </c>
      <c r="D795" t="s">
        <v>2492</v>
      </c>
      <c r="E795" t="s">
        <v>69</v>
      </c>
      <c r="F795" t="s">
        <v>65</v>
      </c>
      <c r="G795" s="1">
        <v>35</v>
      </c>
      <c r="H795" s="1">
        <v>6</v>
      </c>
      <c r="I795" t="s">
        <v>183</v>
      </c>
      <c r="L795" s="1">
        <v>1</v>
      </c>
      <c r="M795" s="3">
        <v>31.76</v>
      </c>
      <c r="N795" s="3">
        <v>1.59</v>
      </c>
      <c r="O795" s="3">
        <v>0</v>
      </c>
      <c r="P795" s="3">
        <v>0.4</v>
      </c>
      <c r="Q795" s="3">
        <v>33.75</v>
      </c>
      <c r="R795" s="3">
        <v>35.75</v>
      </c>
      <c r="S795" s="3">
        <f>VLOOKUP(C795,[1]page!$C$2:$M$3071,11,0)</f>
        <v>31.51</v>
      </c>
      <c r="T795" s="6">
        <f t="shared" si="12"/>
        <v>0.25</v>
      </c>
    </row>
    <row r="796" spans="1:20" x14ac:dyDescent="0.2">
      <c r="A796" t="s">
        <v>2465</v>
      </c>
      <c r="B796" t="s">
        <v>2497</v>
      </c>
      <c r="C796" t="s">
        <v>2498</v>
      </c>
      <c r="D796" t="s">
        <v>2499</v>
      </c>
      <c r="E796" t="s">
        <v>997</v>
      </c>
      <c r="F796" t="s">
        <v>23</v>
      </c>
      <c r="G796" s="1">
        <v>40</v>
      </c>
      <c r="H796" s="1">
        <v>12</v>
      </c>
      <c r="I796" t="s">
        <v>183</v>
      </c>
      <c r="L796" s="1">
        <v>1</v>
      </c>
      <c r="M796" s="3">
        <v>20.98</v>
      </c>
      <c r="N796" s="3">
        <v>1.05</v>
      </c>
      <c r="O796" s="3">
        <v>0</v>
      </c>
      <c r="P796" s="3">
        <v>0.2</v>
      </c>
      <c r="Q796" s="3">
        <v>22.23</v>
      </c>
      <c r="R796" s="3">
        <v>24.25</v>
      </c>
      <c r="S796" s="3">
        <f>VLOOKUP(C796,[1]page!$C$2:$M$3071,11,0)</f>
        <v>20.79</v>
      </c>
      <c r="T796" s="6">
        <f t="shared" si="12"/>
        <v>0.19000000000000128</v>
      </c>
    </row>
    <row r="797" spans="1:20" x14ac:dyDescent="0.2">
      <c r="A797" t="s">
        <v>2500</v>
      </c>
      <c r="B797" t="s">
        <v>2501</v>
      </c>
      <c r="C797" t="s">
        <v>2502</v>
      </c>
      <c r="D797" t="s">
        <v>2503</v>
      </c>
      <c r="E797" t="s">
        <v>2339</v>
      </c>
      <c r="F797" t="s">
        <v>77</v>
      </c>
      <c r="G797" s="1">
        <v>30</v>
      </c>
      <c r="H797" s="1">
        <v>12</v>
      </c>
      <c r="I797" t="s">
        <v>595</v>
      </c>
      <c r="L797" s="1">
        <v>1</v>
      </c>
      <c r="M797" s="3">
        <v>15.83</v>
      </c>
      <c r="N797" s="3">
        <v>0.79</v>
      </c>
      <c r="O797" s="3">
        <v>0</v>
      </c>
      <c r="P797" s="3">
        <v>0.2</v>
      </c>
      <c r="Q797" s="3">
        <v>16.82</v>
      </c>
      <c r="R797" s="3">
        <v>10.3</v>
      </c>
      <c r="S797" s="3">
        <f>VLOOKUP(C797,[1]page!$C$2:$M$3071,11,0)</f>
        <v>15.76</v>
      </c>
      <c r="T797" s="6">
        <f t="shared" si="12"/>
        <v>7.0000000000000284E-2</v>
      </c>
    </row>
    <row r="798" spans="1:20" x14ac:dyDescent="0.2">
      <c r="A798" t="s">
        <v>2500</v>
      </c>
      <c r="B798" t="s">
        <v>2504</v>
      </c>
      <c r="C798" t="s">
        <v>2505</v>
      </c>
      <c r="D798" t="s">
        <v>2506</v>
      </c>
      <c r="E798" t="s">
        <v>2326</v>
      </c>
      <c r="F798" t="s">
        <v>23</v>
      </c>
      <c r="G798" s="1">
        <v>38</v>
      </c>
      <c r="H798" s="1">
        <v>12</v>
      </c>
      <c r="I798" t="s">
        <v>70</v>
      </c>
      <c r="L798" s="1">
        <v>1</v>
      </c>
      <c r="M798" s="3">
        <v>27.49</v>
      </c>
      <c r="N798" s="3">
        <v>1.37</v>
      </c>
      <c r="O798" s="3">
        <v>0</v>
      </c>
      <c r="P798" s="3">
        <v>0.2</v>
      </c>
      <c r="Q798" s="3">
        <v>29.06</v>
      </c>
      <c r="R798" s="3">
        <v>24.25</v>
      </c>
      <c r="S798" s="3">
        <f>VLOOKUP(C798,[1]page!$C$2:$M$3071,11,0)</f>
        <v>26.99</v>
      </c>
      <c r="T798" s="6">
        <f t="shared" si="12"/>
        <v>0.5</v>
      </c>
    </row>
    <row r="799" spans="1:20" x14ac:dyDescent="0.2">
      <c r="A799" t="s">
        <v>2500</v>
      </c>
      <c r="B799" t="s">
        <v>2507</v>
      </c>
      <c r="C799" t="s">
        <v>2508</v>
      </c>
      <c r="D799" t="s">
        <v>2509</v>
      </c>
      <c r="E799" t="s">
        <v>2326</v>
      </c>
      <c r="F799" t="s">
        <v>77</v>
      </c>
      <c r="G799" s="1">
        <v>38</v>
      </c>
      <c r="H799" s="1">
        <v>24</v>
      </c>
      <c r="I799" t="s">
        <v>70</v>
      </c>
      <c r="L799" s="1">
        <v>1</v>
      </c>
      <c r="M799" s="3">
        <v>14.79</v>
      </c>
      <c r="N799" s="3">
        <v>0.74</v>
      </c>
      <c r="O799" s="3">
        <v>0</v>
      </c>
      <c r="P799" s="3">
        <v>0.2</v>
      </c>
      <c r="Q799" s="3">
        <v>15.73</v>
      </c>
      <c r="R799" s="3">
        <v>13.7</v>
      </c>
      <c r="S799" s="3">
        <f>VLOOKUP(C799,[1]page!$C$2:$M$3071,11,0)</f>
        <v>14.47</v>
      </c>
      <c r="T799" s="6">
        <f t="shared" si="12"/>
        <v>0.31999999999999851</v>
      </c>
    </row>
    <row r="800" spans="1:20" x14ac:dyDescent="0.2">
      <c r="A800" t="s">
        <v>2500</v>
      </c>
      <c r="B800" t="s">
        <v>2510</v>
      </c>
      <c r="C800" t="s">
        <v>2511</v>
      </c>
      <c r="D800" t="s">
        <v>2509</v>
      </c>
      <c r="E800" t="s">
        <v>2326</v>
      </c>
      <c r="F800" t="s">
        <v>23</v>
      </c>
      <c r="G800" s="1">
        <v>38</v>
      </c>
      <c r="H800" s="1">
        <v>12</v>
      </c>
      <c r="I800" t="s">
        <v>70</v>
      </c>
      <c r="L800" s="1">
        <v>1</v>
      </c>
      <c r="M800" s="3">
        <v>23.29</v>
      </c>
      <c r="N800" s="3">
        <v>1.1599999999999999</v>
      </c>
      <c r="O800" s="3">
        <v>0</v>
      </c>
      <c r="P800" s="3">
        <v>0.2</v>
      </c>
      <c r="Q800" s="3">
        <v>24.65</v>
      </c>
      <c r="R800" s="3">
        <v>24.25</v>
      </c>
      <c r="S800" s="3">
        <f>VLOOKUP(C800,[1]page!$C$2:$M$3071,11,0)</f>
        <v>22.99</v>
      </c>
      <c r="T800" s="6">
        <f t="shared" si="12"/>
        <v>0.30000000000000071</v>
      </c>
    </row>
    <row r="801" spans="1:20" x14ac:dyDescent="0.2">
      <c r="A801" t="s">
        <v>2500</v>
      </c>
      <c r="B801" t="s">
        <v>2512</v>
      </c>
      <c r="C801" t="s">
        <v>2513</v>
      </c>
      <c r="D801" t="s">
        <v>2509</v>
      </c>
      <c r="E801" t="s">
        <v>2326</v>
      </c>
      <c r="F801" t="s">
        <v>65</v>
      </c>
      <c r="G801" s="1">
        <v>38</v>
      </c>
      <c r="H801" s="1">
        <v>6</v>
      </c>
      <c r="I801" t="s">
        <v>70</v>
      </c>
      <c r="L801" s="1">
        <v>1</v>
      </c>
      <c r="M801" s="3">
        <v>36.49</v>
      </c>
      <c r="N801" s="3">
        <v>1.82</v>
      </c>
      <c r="O801" s="3">
        <v>0</v>
      </c>
      <c r="P801" s="3">
        <v>0.4</v>
      </c>
      <c r="Q801" s="3">
        <v>38.71</v>
      </c>
      <c r="R801" s="3">
        <v>35.75</v>
      </c>
      <c r="S801" s="3">
        <f>VLOOKUP(C801,[1]page!$C$2:$M$3071,11,0)</f>
        <v>35.99</v>
      </c>
      <c r="T801" s="6">
        <f t="shared" si="12"/>
        <v>0.5</v>
      </c>
    </row>
    <row r="802" spans="1:20" x14ac:dyDescent="0.2">
      <c r="A802" t="s">
        <v>2500</v>
      </c>
      <c r="B802" t="s">
        <v>2514</v>
      </c>
      <c r="C802" t="s">
        <v>2515</v>
      </c>
      <c r="D802" t="s">
        <v>2516</v>
      </c>
      <c r="E802" t="s">
        <v>2517</v>
      </c>
      <c r="F802" t="s">
        <v>23</v>
      </c>
      <c r="G802" s="1">
        <v>40</v>
      </c>
      <c r="H802" s="1">
        <v>12</v>
      </c>
      <c r="I802" t="s">
        <v>29</v>
      </c>
      <c r="L802" s="1">
        <v>1</v>
      </c>
      <c r="M802" s="3">
        <v>22.71</v>
      </c>
      <c r="N802" s="3">
        <v>1.1399999999999999</v>
      </c>
      <c r="O802" s="3">
        <v>0</v>
      </c>
      <c r="P802" s="3">
        <v>0.2</v>
      </c>
      <c r="Q802" s="3">
        <v>24.05</v>
      </c>
      <c r="R802" s="3">
        <v>24.25</v>
      </c>
      <c r="S802" s="3">
        <f>VLOOKUP(C802,[1]page!$C$2:$M$3071,11,0)</f>
        <v>22.52</v>
      </c>
      <c r="T802" s="6">
        <f t="shared" si="12"/>
        <v>0.19000000000000128</v>
      </c>
    </row>
    <row r="803" spans="1:20" x14ac:dyDescent="0.2">
      <c r="A803" t="s">
        <v>2518</v>
      </c>
      <c r="B803" t="s">
        <v>2519</v>
      </c>
      <c r="C803" t="s">
        <v>2520</v>
      </c>
      <c r="D803" t="s">
        <v>2521</v>
      </c>
      <c r="E803" t="s">
        <v>43</v>
      </c>
      <c r="F803" t="s">
        <v>23</v>
      </c>
      <c r="G803" s="1">
        <v>15</v>
      </c>
      <c r="H803" s="1">
        <v>12</v>
      </c>
      <c r="I803" t="s">
        <v>2318</v>
      </c>
      <c r="L803" s="1">
        <v>1</v>
      </c>
      <c r="M803" s="3">
        <v>20.97</v>
      </c>
      <c r="N803" s="3">
        <v>1.05</v>
      </c>
      <c r="O803" s="3">
        <v>0</v>
      </c>
      <c r="P803" s="3">
        <v>0.2</v>
      </c>
      <c r="Q803" s="3">
        <v>22.22</v>
      </c>
      <c r="R803" s="3">
        <v>13.9</v>
      </c>
      <c r="S803" s="3">
        <f>VLOOKUP(C803,[1]page!$C$2:$M$3071,11,0)</f>
        <v>20.9</v>
      </c>
      <c r="T803" s="6">
        <f t="shared" si="12"/>
        <v>7.0000000000000284E-2</v>
      </c>
    </row>
    <row r="804" spans="1:20" x14ac:dyDescent="0.2">
      <c r="A804" t="s">
        <v>2518</v>
      </c>
      <c r="B804" t="s">
        <v>2522</v>
      </c>
      <c r="C804" t="s">
        <v>2523</v>
      </c>
      <c r="D804" t="s">
        <v>2524</v>
      </c>
      <c r="E804" t="s">
        <v>2116</v>
      </c>
      <c r="F804" t="s">
        <v>23</v>
      </c>
      <c r="G804" s="1">
        <v>15</v>
      </c>
      <c r="H804" s="1">
        <v>12</v>
      </c>
      <c r="I804" t="s">
        <v>2318</v>
      </c>
      <c r="L804" s="1">
        <v>1</v>
      </c>
      <c r="M804" s="3">
        <v>20.37</v>
      </c>
      <c r="N804" s="3">
        <v>1.02</v>
      </c>
      <c r="O804" s="3">
        <v>0</v>
      </c>
      <c r="P804" s="3">
        <v>0.2</v>
      </c>
      <c r="Q804" s="3">
        <v>21.59</v>
      </c>
      <c r="R804" s="3">
        <v>13.9</v>
      </c>
      <c r="S804" s="3">
        <f>VLOOKUP(C804,[1]page!$C$2:$M$3071,11,0)</f>
        <v>20.3</v>
      </c>
      <c r="T804" s="6">
        <f t="shared" si="12"/>
        <v>7.0000000000000284E-2</v>
      </c>
    </row>
    <row r="805" spans="1:20" x14ac:dyDescent="0.2">
      <c r="A805" t="s">
        <v>2518</v>
      </c>
      <c r="B805" t="s">
        <v>2525</v>
      </c>
      <c r="C805" t="s">
        <v>2526</v>
      </c>
      <c r="D805" t="s">
        <v>2527</v>
      </c>
      <c r="E805" t="s">
        <v>2116</v>
      </c>
      <c r="F805" t="s">
        <v>23</v>
      </c>
      <c r="G805" s="1">
        <v>22</v>
      </c>
      <c r="H805" s="1">
        <v>12</v>
      </c>
      <c r="I805" t="s">
        <v>39</v>
      </c>
      <c r="L805" s="1">
        <v>1</v>
      </c>
      <c r="M805" s="3">
        <v>21.61</v>
      </c>
      <c r="N805" s="3">
        <v>1.08</v>
      </c>
      <c r="O805" s="3">
        <v>0</v>
      </c>
      <c r="P805" s="3">
        <v>0.2</v>
      </c>
      <c r="Q805" s="3">
        <v>22.89</v>
      </c>
      <c r="R805" s="3">
        <v>13.9</v>
      </c>
      <c r="S805" s="3">
        <f>VLOOKUP(C805,[1]page!$C$2:$M$3071,11,0)</f>
        <v>21.5</v>
      </c>
      <c r="T805" s="6">
        <f t="shared" si="12"/>
        <v>0.10999999999999943</v>
      </c>
    </row>
    <row r="806" spans="1:20" x14ac:dyDescent="0.2">
      <c r="A806" t="s">
        <v>2528</v>
      </c>
      <c r="B806" t="s">
        <v>2529</v>
      </c>
      <c r="C806" t="s">
        <v>2530</v>
      </c>
      <c r="D806" t="s">
        <v>2531</v>
      </c>
      <c r="E806" t="s">
        <v>2532</v>
      </c>
      <c r="F806" t="s">
        <v>23</v>
      </c>
      <c r="G806" s="1">
        <v>20</v>
      </c>
      <c r="H806" s="1">
        <v>12</v>
      </c>
      <c r="I806" t="s">
        <v>29</v>
      </c>
      <c r="L806" s="1">
        <v>1</v>
      </c>
      <c r="M806" s="3">
        <v>25.62</v>
      </c>
      <c r="N806" s="3">
        <v>1.28</v>
      </c>
      <c r="O806" s="3">
        <v>0</v>
      </c>
      <c r="P806" s="3">
        <v>0.2</v>
      </c>
      <c r="Q806" s="3">
        <v>27.1</v>
      </c>
      <c r="R806" s="3">
        <v>13.9</v>
      </c>
      <c r="S806" s="3">
        <f>VLOOKUP(C806,[1]page!$C$2:$M$3071,11,0)</f>
        <v>25.52</v>
      </c>
      <c r="T806" s="6">
        <f t="shared" si="12"/>
        <v>0.10000000000000142</v>
      </c>
    </row>
    <row r="807" spans="1:20" x14ac:dyDescent="0.2">
      <c r="A807" t="s">
        <v>2528</v>
      </c>
      <c r="B807" t="s">
        <v>2533</v>
      </c>
      <c r="C807" t="s">
        <v>2534</v>
      </c>
      <c r="D807" t="s">
        <v>2535</v>
      </c>
      <c r="E807" t="s">
        <v>2536</v>
      </c>
      <c r="F807" t="s">
        <v>74</v>
      </c>
      <c r="G807" s="1">
        <v>28</v>
      </c>
      <c r="H807" s="1">
        <v>120</v>
      </c>
      <c r="I807" t="s">
        <v>183</v>
      </c>
      <c r="L807" s="1">
        <v>1</v>
      </c>
      <c r="M807" s="3">
        <v>3.18</v>
      </c>
      <c r="N807" s="3">
        <v>0.16</v>
      </c>
      <c r="O807" s="3">
        <v>0</v>
      </c>
      <c r="P807" s="3">
        <v>0.1</v>
      </c>
      <c r="Q807" s="3">
        <v>3.44</v>
      </c>
      <c r="R807" s="3">
        <v>1.95</v>
      </c>
      <c r="S807" s="3">
        <f>VLOOKUP(C807,[1]page!$C$2:$M$3071,11,0)</f>
        <v>3.17</v>
      </c>
      <c r="T807" s="6">
        <f t="shared" si="12"/>
        <v>1.0000000000000231E-2</v>
      </c>
    </row>
    <row r="808" spans="1:20" x14ac:dyDescent="0.2">
      <c r="A808" t="s">
        <v>2528</v>
      </c>
      <c r="B808" t="s">
        <v>2537</v>
      </c>
      <c r="C808" t="s">
        <v>2538</v>
      </c>
      <c r="D808" t="s">
        <v>2535</v>
      </c>
      <c r="E808" t="s">
        <v>2536</v>
      </c>
      <c r="F808" t="s">
        <v>77</v>
      </c>
      <c r="G808" s="1">
        <v>28</v>
      </c>
      <c r="H808" s="1">
        <v>12</v>
      </c>
      <c r="I808" t="s">
        <v>183</v>
      </c>
      <c r="L808" s="1">
        <v>1</v>
      </c>
      <c r="M808" s="3">
        <v>15.81</v>
      </c>
      <c r="N808" s="3">
        <v>0.79</v>
      </c>
      <c r="O808" s="3">
        <v>0</v>
      </c>
      <c r="P808" s="3">
        <v>0.2</v>
      </c>
      <c r="Q808" s="3">
        <v>16.8</v>
      </c>
      <c r="R808" s="3">
        <v>10.3</v>
      </c>
      <c r="S808" s="3">
        <f>VLOOKUP(C808,[1]page!$C$2:$M$3071,11,0)</f>
        <v>15.74</v>
      </c>
      <c r="T808" s="6">
        <f t="shared" si="12"/>
        <v>7.0000000000000284E-2</v>
      </c>
    </row>
    <row r="809" spans="1:20" x14ac:dyDescent="0.2">
      <c r="A809" t="s">
        <v>2528</v>
      </c>
      <c r="B809" t="s">
        <v>2539</v>
      </c>
      <c r="C809" t="s">
        <v>2540</v>
      </c>
      <c r="D809" t="s">
        <v>2535</v>
      </c>
      <c r="E809" t="s">
        <v>2536</v>
      </c>
      <c r="F809" t="s">
        <v>23</v>
      </c>
      <c r="G809" s="1">
        <v>28</v>
      </c>
      <c r="H809" s="1">
        <v>12</v>
      </c>
      <c r="I809" t="s">
        <v>183</v>
      </c>
      <c r="L809" s="1">
        <v>1</v>
      </c>
      <c r="M809" s="3">
        <v>26.34</v>
      </c>
      <c r="N809" s="3">
        <v>1.32</v>
      </c>
      <c r="O809" s="3">
        <v>0</v>
      </c>
      <c r="P809" s="3">
        <v>0.2</v>
      </c>
      <c r="Q809" s="3">
        <v>27.86</v>
      </c>
      <c r="R809" s="3">
        <v>18.2</v>
      </c>
      <c r="S809" s="3">
        <f>VLOOKUP(C809,[1]page!$C$2:$M$3071,11,0)</f>
        <v>26.2</v>
      </c>
      <c r="T809" s="6">
        <f t="shared" si="12"/>
        <v>0.14000000000000057</v>
      </c>
    </row>
    <row r="810" spans="1:20" x14ac:dyDescent="0.2">
      <c r="A810" t="s">
        <v>2528</v>
      </c>
      <c r="B810" t="s">
        <v>2541</v>
      </c>
      <c r="C810" t="s">
        <v>2542</v>
      </c>
      <c r="D810" t="s">
        <v>2535</v>
      </c>
      <c r="E810" t="s">
        <v>2536</v>
      </c>
      <c r="F810" t="s">
        <v>65</v>
      </c>
      <c r="G810" s="1">
        <v>28</v>
      </c>
      <c r="H810" s="1">
        <v>6</v>
      </c>
      <c r="I810" t="s">
        <v>183</v>
      </c>
      <c r="L810" s="1">
        <v>1</v>
      </c>
      <c r="M810" s="3">
        <v>36.28</v>
      </c>
      <c r="N810" s="3">
        <v>1.81</v>
      </c>
      <c r="O810" s="3">
        <v>0</v>
      </c>
      <c r="P810" s="3">
        <v>0.4</v>
      </c>
      <c r="Q810" s="3">
        <v>38.49</v>
      </c>
      <c r="R810" s="3">
        <v>26.85</v>
      </c>
      <c r="S810" s="3">
        <f>VLOOKUP(C810,[1]page!$C$2:$M$3071,11,0)</f>
        <v>36.08</v>
      </c>
      <c r="T810" s="6">
        <f t="shared" si="12"/>
        <v>0.20000000000000284</v>
      </c>
    </row>
    <row r="811" spans="1:20" x14ac:dyDescent="0.2">
      <c r="A811" t="s">
        <v>2528</v>
      </c>
      <c r="B811" t="s">
        <v>2543</v>
      </c>
      <c r="C811" t="s">
        <v>2544</v>
      </c>
      <c r="D811" t="s">
        <v>2545</v>
      </c>
      <c r="E811" t="s">
        <v>2326</v>
      </c>
      <c r="F811" t="s">
        <v>23</v>
      </c>
      <c r="G811" s="1">
        <v>24</v>
      </c>
      <c r="H811" s="1">
        <v>12</v>
      </c>
      <c r="I811" t="s">
        <v>70</v>
      </c>
      <c r="L811" s="1">
        <v>1</v>
      </c>
      <c r="M811" s="3">
        <v>24.49</v>
      </c>
      <c r="N811" s="3">
        <v>1.22</v>
      </c>
      <c r="O811" s="3">
        <v>0</v>
      </c>
      <c r="P811" s="3">
        <v>0.2</v>
      </c>
      <c r="Q811" s="3">
        <v>25.91</v>
      </c>
      <c r="R811" s="3">
        <v>18.2</v>
      </c>
      <c r="S811" s="3">
        <f>VLOOKUP(C811,[1]page!$C$2:$M$3071,11,0)</f>
        <v>24.35</v>
      </c>
      <c r="T811" s="6">
        <f t="shared" si="12"/>
        <v>0.13999999999999702</v>
      </c>
    </row>
    <row r="812" spans="1:20" x14ac:dyDescent="0.2">
      <c r="A812" t="s">
        <v>2528</v>
      </c>
      <c r="B812" t="s">
        <v>2546</v>
      </c>
      <c r="C812" t="s">
        <v>2547</v>
      </c>
      <c r="D812" t="s">
        <v>2548</v>
      </c>
      <c r="E812" t="s">
        <v>2116</v>
      </c>
      <c r="F812" t="s">
        <v>23</v>
      </c>
      <c r="G812" s="1">
        <v>23</v>
      </c>
      <c r="H812" s="1">
        <v>12</v>
      </c>
      <c r="I812" t="s">
        <v>2318</v>
      </c>
      <c r="L812" s="1">
        <v>1</v>
      </c>
      <c r="M812" s="3">
        <v>20.61</v>
      </c>
      <c r="N812" s="3">
        <v>1.03</v>
      </c>
      <c r="O812" s="3">
        <v>0</v>
      </c>
      <c r="P812" s="3">
        <v>0.2</v>
      </c>
      <c r="Q812" s="3">
        <v>21.84</v>
      </c>
      <c r="R812" s="3">
        <v>18.2</v>
      </c>
      <c r="S812" s="3">
        <f>VLOOKUP(C812,[1]page!$C$2:$M$3071,11,0)</f>
        <v>20.5</v>
      </c>
      <c r="T812" s="6">
        <f t="shared" si="12"/>
        <v>0.10999999999999943</v>
      </c>
    </row>
    <row r="813" spans="1:20" x14ac:dyDescent="0.2">
      <c r="A813" t="s">
        <v>2528</v>
      </c>
      <c r="B813" t="s">
        <v>2549</v>
      </c>
      <c r="C813" t="s">
        <v>2550</v>
      </c>
      <c r="D813" t="s">
        <v>2551</v>
      </c>
      <c r="E813" t="s">
        <v>528</v>
      </c>
      <c r="F813" t="s">
        <v>23</v>
      </c>
      <c r="G813" s="1">
        <v>26</v>
      </c>
      <c r="H813" s="1">
        <v>6</v>
      </c>
      <c r="I813" t="s">
        <v>529</v>
      </c>
      <c r="L813" s="1">
        <v>1</v>
      </c>
      <c r="M813" s="3">
        <v>29.37</v>
      </c>
      <c r="N813" s="3">
        <v>1.47</v>
      </c>
      <c r="O813" s="3">
        <v>0</v>
      </c>
      <c r="P813" s="3">
        <v>0.2</v>
      </c>
      <c r="Q813" s="3">
        <v>31.04</v>
      </c>
      <c r="R813" s="3">
        <v>18.2</v>
      </c>
      <c r="S813" s="3">
        <f>VLOOKUP(C813,[1]page!$C$2:$M$3071,11,0)</f>
        <v>29.25</v>
      </c>
      <c r="T813" s="6">
        <f t="shared" si="12"/>
        <v>0.12000000000000099</v>
      </c>
    </row>
    <row r="814" spans="1:20" x14ac:dyDescent="0.2">
      <c r="A814" t="s">
        <v>2552</v>
      </c>
      <c r="B814" t="s">
        <v>2553</v>
      </c>
      <c r="C814" t="s">
        <v>2554</v>
      </c>
      <c r="D814" t="s">
        <v>2555</v>
      </c>
      <c r="E814" t="s">
        <v>182</v>
      </c>
      <c r="F814" t="s">
        <v>74</v>
      </c>
      <c r="G814" s="2">
        <v>49.5</v>
      </c>
      <c r="H814" s="1">
        <v>120</v>
      </c>
      <c r="I814" t="s">
        <v>183</v>
      </c>
      <c r="L814" s="1">
        <v>1</v>
      </c>
      <c r="M814" s="3">
        <v>2.27</v>
      </c>
      <c r="N814" s="3">
        <v>0.11</v>
      </c>
      <c r="O814" s="3">
        <v>0</v>
      </c>
      <c r="P814" s="3">
        <v>0.1</v>
      </c>
      <c r="Q814" s="3">
        <v>2.48</v>
      </c>
      <c r="R814" s="3">
        <v>3.25</v>
      </c>
      <c r="S814" s="3">
        <f>VLOOKUP(C814,[1]page!$C$2:$M$3071,11,0)</f>
        <v>2.25</v>
      </c>
      <c r="T814" s="6">
        <f t="shared" si="12"/>
        <v>2.0000000000000018E-2</v>
      </c>
    </row>
    <row r="815" spans="1:20" x14ac:dyDescent="0.2">
      <c r="A815" t="s">
        <v>2552</v>
      </c>
      <c r="B815" t="s">
        <v>2556</v>
      </c>
      <c r="C815" t="s">
        <v>2557</v>
      </c>
      <c r="D815" t="s">
        <v>2558</v>
      </c>
      <c r="E815" t="s">
        <v>431</v>
      </c>
      <c r="F815" t="s">
        <v>23</v>
      </c>
      <c r="G815" s="1">
        <v>32</v>
      </c>
      <c r="H815" s="1">
        <v>6</v>
      </c>
      <c r="I815" t="s">
        <v>156</v>
      </c>
      <c r="L815" s="1">
        <v>1</v>
      </c>
      <c r="M815" s="3">
        <v>31.36</v>
      </c>
      <c r="N815" s="3">
        <v>1.57</v>
      </c>
      <c r="O815" s="3">
        <v>0</v>
      </c>
      <c r="P815" s="3">
        <v>0.2</v>
      </c>
      <c r="Q815" s="3">
        <v>33.130000000000003</v>
      </c>
      <c r="R815" s="3">
        <v>18.2</v>
      </c>
      <c r="S815" s="3">
        <f>VLOOKUP(C815,[1]page!$C$2:$M$3071,11,0)</f>
        <v>31.21</v>
      </c>
      <c r="T815" s="6">
        <f t="shared" si="12"/>
        <v>0.14999999999999858</v>
      </c>
    </row>
    <row r="816" spans="1:20" x14ac:dyDescent="0.2">
      <c r="A816" t="s">
        <v>2552</v>
      </c>
      <c r="B816" t="s">
        <v>2559</v>
      </c>
      <c r="C816" t="s">
        <v>2560</v>
      </c>
      <c r="D816" t="s">
        <v>2561</v>
      </c>
      <c r="E816" t="s">
        <v>2532</v>
      </c>
      <c r="F816" t="s">
        <v>77</v>
      </c>
      <c r="G816" s="1">
        <v>11</v>
      </c>
      <c r="H816" s="1">
        <v>12</v>
      </c>
      <c r="I816" t="s">
        <v>29</v>
      </c>
      <c r="L816" s="1">
        <v>1</v>
      </c>
      <c r="M816" s="3">
        <v>11.38</v>
      </c>
      <c r="N816" s="3">
        <v>0.56999999999999995</v>
      </c>
      <c r="O816" s="3">
        <v>0</v>
      </c>
      <c r="P816" s="3">
        <v>0.2</v>
      </c>
      <c r="Q816" s="3">
        <v>12.15</v>
      </c>
      <c r="R816" s="3">
        <v>7.85</v>
      </c>
      <c r="S816" s="3">
        <f>VLOOKUP(C816,[1]page!$C$2:$M$3071,11,0)</f>
        <v>11.37</v>
      </c>
      <c r="T816" s="6">
        <f t="shared" si="12"/>
        <v>1.0000000000001563E-2</v>
      </c>
    </row>
    <row r="817" spans="1:20" x14ac:dyDescent="0.2">
      <c r="A817" t="s">
        <v>2552</v>
      </c>
      <c r="B817" t="s">
        <v>2562</v>
      </c>
      <c r="C817" t="s">
        <v>2563</v>
      </c>
      <c r="D817" t="s">
        <v>2561</v>
      </c>
      <c r="E817" t="s">
        <v>2532</v>
      </c>
      <c r="F817" t="s">
        <v>23</v>
      </c>
      <c r="G817" s="1">
        <v>11</v>
      </c>
      <c r="H817" s="1">
        <v>6</v>
      </c>
      <c r="I817" t="s">
        <v>29</v>
      </c>
      <c r="L817" s="1">
        <v>1</v>
      </c>
      <c r="M817" s="3">
        <v>23.87</v>
      </c>
      <c r="N817" s="3">
        <v>1.19</v>
      </c>
      <c r="O817" s="3">
        <v>0</v>
      </c>
      <c r="P817" s="3">
        <v>0.2</v>
      </c>
      <c r="Q817" s="3">
        <v>25.26</v>
      </c>
      <c r="R817" s="3">
        <v>13.9</v>
      </c>
      <c r="S817" s="3">
        <f>VLOOKUP(C817,[1]page!$C$2:$M$3071,11,0)</f>
        <v>23.84</v>
      </c>
      <c r="T817" s="6">
        <f t="shared" si="12"/>
        <v>3.0000000000001137E-2</v>
      </c>
    </row>
    <row r="818" spans="1:20" x14ac:dyDescent="0.2">
      <c r="A818" t="s">
        <v>2552</v>
      </c>
      <c r="B818" t="s">
        <v>2564</v>
      </c>
      <c r="C818" t="s">
        <v>2565</v>
      </c>
      <c r="D818" t="s">
        <v>2566</v>
      </c>
      <c r="E818" t="s">
        <v>96</v>
      </c>
      <c r="F818" t="s">
        <v>77</v>
      </c>
      <c r="G818" s="2">
        <v>37.5</v>
      </c>
      <c r="H818" s="1">
        <v>12</v>
      </c>
      <c r="I818" t="s">
        <v>24</v>
      </c>
      <c r="L818" s="1">
        <v>1</v>
      </c>
      <c r="M818" s="3">
        <v>17.78</v>
      </c>
      <c r="N818" s="3">
        <v>0.89</v>
      </c>
      <c r="O818" s="3">
        <v>0</v>
      </c>
      <c r="P818" s="3">
        <v>0.2</v>
      </c>
      <c r="Q818" s="3">
        <v>18.87</v>
      </c>
      <c r="R818" s="3">
        <v>13.7</v>
      </c>
      <c r="S818" s="3">
        <f>VLOOKUP(C818,[1]page!$C$2:$M$3071,11,0)</f>
        <v>18.079999999999998</v>
      </c>
      <c r="T818" s="6">
        <f t="shared" si="12"/>
        <v>-0.29999999999999716</v>
      </c>
    </row>
    <row r="819" spans="1:20" x14ac:dyDescent="0.2">
      <c r="A819" t="s">
        <v>2552</v>
      </c>
      <c r="B819" t="s">
        <v>2567</v>
      </c>
      <c r="C819" t="s">
        <v>2568</v>
      </c>
      <c r="D819" t="s">
        <v>2569</v>
      </c>
      <c r="E819" t="s">
        <v>2112</v>
      </c>
      <c r="F819" t="s">
        <v>209</v>
      </c>
      <c r="G819" s="1">
        <v>15</v>
      </c>
      <c r="H819" s="1">
        <v>24</v>
      </c>
      <c r="I819" t="s">
        <v>183</v>
      </c>
      <c r="L819" s="1">
        <v>1</v>
      </c>
      <c r="M819" s="3">
        <v>5.29</v>
      </c>
      <c r="N819" s="3">
        <v>0.26</v>
      </c>
      <c r="O819" s="3">
        <v>0</v>
      </c>
      <c r="P819" s="3">
        <v>0</v>
      </c>
      <c r="Q819" s="3">
        <v>5.55</v>
      </c>
      <c r="R819" s="3">
        <v>7.85</v>
      </c>
      <c r="S819" s="3">
        <f>VLOOKUP(C819,[1]page!$C$2:$M$3071,11,0)</f>
        <v>5.28</v>
      </c>
      <c r="T819" s="6">
        <f t="shared" ref="T819:T880" si="13">SUM(M819-S819)</f>
        <v>9.9999999999997868E-3</v>
      </c>
    </row>
    <row r="820" spans="1:20" x14ac:dyDescent="0.2">
      <c r="A820" t="s">
        <v>2552</v>
      </c>
      <c r="B820" t="s">
        <v>2570</v>
      </c>
      <c r="C820" t="s">
        <v>2571</v>
      </c>
      <c r="D820" t="s">
        <v>2572</v>
      </c>
      <c r="E820" t="s">
        <v>2532</v>
      </c>
      <c r="F820" t="s">
        <v>23</v>
      </c>
      <c r="G820" s="1">
        <v>25</v>
      </c>
      <c r="H820" s="1">
        <v>12</v>
      </c>
      <c r="I820" t="s">
        <v>29</v>
      </c>
      <c r="L820" s="1">
        <v>1</v>
      </c>
      <c r="M820" s="3">
        <v>27.63</v>
      </c>
      <c r="N820" s="3">
        <v>1.38</v>
      </c>
      <c r="O820" s="3">
        <v>0</v>
      </c>
      <c r="P820" s="3">
        <v>0.2</v>
      </c>
      <c r="Q820" s="3">
        <v>29.21</v>
      </c>
      <c r="R820" s="3">
        <v>18.2</v>
      </c>
      <c r="S820" s="3">
        <f>VLOOKUP(C820,[1]page!$C$2:$M$3071,11,0)</f>
        <v>27.51</v>
      </c>
      <c r="T820" s="6">
        <f t="shared" si="13"/>
        <v>0.11999999999999744</v>
      </c>
    </row>
    <row r="821" spans="1:20" x14ac:dyDescent="0.2">
      <c r="A821" t="s">
        <v>2552</v>
      </c>
      <c r="B821" t="s">
        <v>2573</v>
      </c>
      <c r="C821" t="s">
        <v>2574</v>
      </c>
      <c r="D821" t="s">
        <v>2575</v>
      </c>
      <c r="E821" t="s">
        <v>182</v>
      </c>
      <c r="F821" t="s">
        <v>23</v>
      </c>
      <c r="G821" s="1">
        <v>21</v>
      </c>
      <c r="H821" s="1">
        <v>12</v>
      </c>
      <c r="I821" t="s">
        <v>183</v>
      </c>
      <c r="L821" s="1">
        <v>1</v>
      </c>
      <c r="M821" s="3">
        <v>17.79</v>
      </c>
      <c r="N821" s="3">
        <v>0.89</v>
      </c>
      <c r="O821" s="3">
        <v>0</v>
      </c>
      <c r="P821" s="3">
        <v>0.2</v>
      </c>
      <c r="Q821" s="3">
        <v>18.88</v>
      </c>
      <c r="R821" s="3">
        <v>13.9</v>
      </c>
      <c r="S821" s="3">
        <f>VLOOKUP(C821,[1]page!$C$2:$M$3071,11,0)</f>
        <v>17.690000000000001</v>
      </c>
      <c r="T821" s="6">
        <f t="shared" si="13"/>
        <v>9.9999999999997868E-2</v>
      </c>
    </row>
    <row r="822" spans="1:20" x14ac:dyDescent="0.2">
      <c r="A822" t="s">
        <v>2552</v>
      </c>
      <c r="B822" t="s">
        <v>2576</v>
      </c>
      <c r="C822" t="s">
        <v>2577</v>
      </c>
      <c r="D822" t="s">
        <v>2578</v>
      </c>
      <c r="E822" t="s">
        <v>182</v>
      </c>
      <c r="F822" t="s">
        <v>23</v>
      </c>
      <c r="G822" s="1">
        <v>21</v>
      </c>
      <c r="H822" s="1">
        <v>12</v>
      </c>
      <c r="I822" t="s">
        <v>183</v>
      </c>
      <c r="L822" s="1">
        <v>1</v>
      </c>
      <c r="M822" s="3">
        <v>17.79</v>
      </c>
      <c r="N822" s="3">
        <v>0.89</v>
      </c>
      <c r="O822" s="3">
        <v>0</v>
      </c>
      <c r="P822" s="3">
        <v>0.2</v>
      </c>
      <c r="Q822" s="3">
        <v>18.88</v>
      </c>
      <c r="R822" s="3">
        <v>13.9</v>
      </c>
      <c r="S822" s="3">
        <f>VLOOKUP(C822,[1]page!$C$2:$M$3071,11,0)</f>
        <v>17.690000000000001</v>
      </c>
      <c r="T822" s="6">
        <f t="shared" si="13"/>
        <v>9.9999999999997868E-2</v>
      </c>
    </row>
    <row r="823" spans="1:20" x14ac:dyDescent="0.2">
      <c r="A823" t="s">
        <v>2552</v>
      </c>
      <c r="B823" t="s">
        <v>2579</v>
      </c>
      <c r="C823" t="s">
        <v>2580</v>
      </c>
      <c r="D823" t="s">
        <v>2581</v>
      </c>
      <c r="E823" t="s">
        <v>69</v>
      </c>
      <c r="F823" t="s">
        <v>74</v>
      </c>
      <c r="G823" s="1">
        <v>33</v>
      </c>
      <c r="H823" s="1">
        <v>120</v>
      </c>
      <c r="I823" t="s">
        <v>183</v>
      </c>
      <c r="L823" s="1">
        <v>1</v>
      </c>
      <c r="M823" s="3">
        <v>1.52</v>
      </c>
      <c r="N823" s="3">
        <v>0.08</v>
      </c>
      <c r="O823" s="3">
        <v>0</v>
      </c>
      <c r="P823" s="3">
        <v>0.1</v>
      </c>
      <c r="Q823" s="3">
        <v>1.7</v>
      </c>
      <c r="R823" s="3">
        <v>1.95</v>
      </c>
      <c r="S823" s="3">
        <f>VLOOKUP(C823,[1]page!$C$2:$M$3071,11,0)</f>
        <v>1.51</v>
      </c>
      <c r="T823" s="6">
        <f t="shared" si="13"/>
        <v>1.0000000000000009E-2</v>
      </c>
    </row>
    <row r="824" spans="1:20" x14ac:dyDescent="0.2">
      <c r="A824" t="s">
        <v>2552</v>
      </c>
      <c r="B824" t="s">
        <v>2582</v>
      </c>
      <c r="C824" t="s">
        <v>2583</v>
      </c>
      <c r="D824" t="s">
        <v>2581</v>
      </c>
      <c r="E824" t="s">
        <v>69</v>
      </c>
      <c r="F824" t="s">
        <v>209</v>
      </c>
      <c r="G824" s="1">
        <v>33</v>
      </c>
      <c r="H824" s="1">
        <v>48</v>
      </c>
      <c r="I824" t="s">
        <v>183</v>
      </c>
      <c r="L824" s="1">
        <v>1</v>
      </c>
      <c r="M824" s="3">
        <v>7.64</v>
      </c>
      <c r="N824" s="3">
        <v>0.38</v>
      </c>
      <c r="O824" s="3">
        <v>0</v>
      </c>
      <c r="P824" s="3">
        <v>0.1</v>
      </c>
      <c r="Q824" s="3">
        <v>8.1199999999999992</v>
      </c>
      <c r="R824" s="3">
        <v>10.3</v>
      </c>
      <c r="S824" s="3">
        <f>VLOOKUP(C824,[1]page!$C$2:$M$3071,11,0)</f>
        <v>7.6</v>
      </c>
      <c r="T824" s="6">
        <f t="shared" si="13"/>
        <v>4.0000000000000036E-2</v>
      </c>
    </row>
    <row r="825" spans="1:20" x14ac:dyDescent="0.2">
      <c r="A825" t="s">
        <v>2552</v>
      </c>
      <c r="B825" t="s">
        <v>2584</v>
      </c>
      <c r="C825" t="s">
        <v>2585</v>
      </c>
      <c r="D825" t="s">
        <v>2581</v>
      </c>
      <c r="E825" t="s">
        <v>69</v>
      </c>
      <c r="F825" t="s">
        <v>77</v>
      </c>
      <c r="G825" s="1">
        <v>33</v>
      </c>
      <c r="H825" s="1">
        <v>24</v>
      </c>
      <c r="I825" t="s">
        <v>183</v>
      </c>
      <c r="L825" s="1">
        <v>1</v>
      </c>
      <c r="M825" s="3">
        <v>11.52</v>
      </c>
      <c r="N825" s="3">
        <v>0.57999999999999996</v>
      </c>
      <c r="O825" s="3">
        <v>0</v>
      </c>
      <c r="P825" s="3">
        <v>0.1</v>
      </c>
      <c r="Q825" s="3">
        <v>12.2</v>
      </c>
      <c r="R825" s="3">
        <v>10.3</v>
      </c>
      <c r="S825" s="3">
        <f>VLOOKUP(C825,[1]page!$C$2:$M$3071,11,0)</f>
        <v>11.44</v>
      </c>
      <c r="T825" s="6">
        <f t="shared" si="13"/>
        <v>8.0000000000000071E-2</v>
      </c>
    </row>
    <row r="826" spans="1:20" x14ac:dyDescent="0.2">
      <c r="A826" t="s">
        <v>2552</v>
      </c>
      <c r="B826" t="s">
        <v>2586</v>
      </c>
      <c r="C826" t="s">
        <v>2587</v>
      </c>
      <c r="D826" t="s">
        <v>2581</v>
      </c>
      <c r="E826" t="s">
        <v>69</v>
      </c>
      <c r="F826" t="s">
        <v>23</v>
      </c>
      <c r="G826" s="1">
        <v>33</v>
      </c>
      <c r="H826" s="1">
        <v>12</v>
      </c>
      <c r="I826" t="s">
        <v>183</v>
      </c>
      <c r="L826" s="1">
        <v>1</v>
      </c>
      <c r="M826" s="3">
        <v>20.79</v>
      </c>
      <c r="N826" s="3">
        <v>1.04</v>
      </c>
      <c r="O826" s="3">
        <v>0</v>
      </c>
      <c r="P826" s="3">
        <v>0.2</v>
      </c>
      <c r="Q826" s="3">
        <v>22.03</v>
      </c>
      <c r="R826" s="3">
        <v>18.2</v>
      </c>
      <c r="S826" s="3">
        <f>VLOOKUP(C826,[1]page!$C$2:$M$3071,11,0)</f>
        <v>20.63</v>
      </c>
      <c r="T826" s="6">
        <f t="shared" si="13"/>
        <v>0.16000000000000014</v>
      </c>
    </row>
    <row r="827" spans="1:20" x14ac:dyDescent="0.2">
      <c r="A827" t="s">
        <v>2552</v>
      </c>
      <c r="B827" t="s">
        <v>2588</v>
      </c>
      <c r="C827" t="s">
        <v>2589</v>
      </c>
      <c r="D827" t="s">
        <v>2581</v>
      </c>
      <c r="E827" t="s">
        <v>69</v>
      </c>
      <c r="F827" t="s">
        <v>65</v>
      </c>
      <c r="G827" s="1">
        <v>33</v>
      </c>
      <c r="H827" s="1">
        <v>12</v>
      </c>
      <c r="I827" t="s">
        <v>183</v>
      </c>
      <c r="L827" s="1">
        <v>1</v>
      </c>
      <c r="M827" s="3">
        <v>28.82</v>
      </c>
      <c r="N827" s="3">
        <v>1.44</v>
      </c>
      <c r="O827" s="3">
        <v>0</v>
      </c>
      <c r="P827" s="3">
        <v>0.25</v>
      </c>
      <c r="Q827" s="3">
        <v>30.51</v>
      </c>
      <c r="R827" s="3">
        <v>26.85</v>
      </c>
      <c r="S827" s="3">
        <f>VLOOKUP(C827,[1]page!$C$2:$M$3071,11,0)</f>
        <v>28.58</v>
      </c>
      <c r="T827" s="6">
        <f t="shared" si="13"/>
        <v>0.24000000000000199</v>
      </c>
    </row>
    <row r="828" spans="1:20" x14ac:dyDescent="0.2">
      <c r="A828" t="s">
        <v>2552</v>
      </c>
      <c r="B828" t="s">
        <v>2590</v>
      </c>
      <c r="C828" t="s">
        <v>2591</v>
      </c>
      <c r="D828" t="s">
        <v>2581</v>
      </c>
      <c r="E828" t="s">
        <v>69</v>
      </c>
      <c r="F828" t="s">
        <v>84</v>
      </c>
      <c r="G828" s="1">
        <v>33</v>
      </c>
      <c r="H828" s="1">
        <v>6</v>
      </c>
      <c r="I828" t="s">
        <v>183</v>
      </c>
      <c r="L828" s="1">
        <v>1</v>
      </c>
      <c r="M828" s="3">
        <v>39.799999999999997</v>
      </c>
      <c r="N828" s="3">
        <v>1.99</v>
      </c>
      <c r="O828" s="3">
        <v>0</v>
      </c>
      <c r="P828" s="3">
        <v>0.25</v>
      </c>
      <c r="Q828" s="3">
        <v>42.04</v>
      </c>
      <c r="R828" s="3">
        <v>40.35</v>
      </c>
      <c r="S828" s="3">
        <f>VLOOKUP(C828,[1]page!$C$2:$M$3071,11,0)</f>
        <v>39.43</v>
      </c>
      <c r="T828" s="6">
        <f t="shared" si="13"/>
        <v>0.36999999999999744</v>
      </c>
    </row>
    <row r="829" spans="1:20" x14ac:dyDescent="0.2">
      <c r="A829" t="s">
        <v>2552</v>
      </c>
      <c r="B829" t="s">
        <v>2592</v>
      </c>
      <c r="C829" t="s">
        <v>2593</v>
      </c>
      <c r="D829" t="s">
        <v>2594</v>
      </c>
      <c r="E829" t="s">
        <v>182</v>
      </c>
      <c r="F829" t="s">
        <v>2595</v>
      </c>
      <c r="G829" s="1">
        <v>33</v>
      </c>
      <c r="H829" s="1">
        <v>20</v>
      </c>
      <c r="I829" t="s">
        <v>183</v>
      </c>
      <c r="L829" s="1">
        <v>6</v>
      </c>
      <c r="M829" s="3">
        <v>9.3000000000000007</v>
      </c>
      <c r="N829" s="3">
        <v>0.47</v>
      </c>
      <c r="O829" s="3">
        <v>0</v>
      </c>
      <c r="P829" s="3">
        <v>0.6</v>
      </c>
      <c r="Q829" s="3">
        <v>10.37</v>
      </c>
      <c r="R829" s="3">
        <v>10.3</v>
      </c>
      <c r="S829" s="3">
        <f>VLOOKUP(C829,[1]page!$C$2:$M$3071,11,0)</f>
        <v>9.24</v>
      </c>
      <c r="T829" s="6">
        <f t="shared" si="13"/>
        <v>6.0000000000000497E-2</v>
      </c>
    </row>
    <row r="830" spans="1:20" x14ac:dyDescent="0.2">
      <c r="A830" t="s">
        <v>2552</v>
      </c>
      <c r="B830" t="s">
        <v>2596</v>
      </c>
      <c r="C830" t="s">
        <v>2597</v>
      </c>
      <c r="D830" t="s">
        <v>2598</v>
      </c>
      <c r="E830" t="s">
        <v>69</v>
      </c>
      <c r="F830" t="s">
        <v>77</v>
      </c>
      <c r="G830" s="1">
        <v>40</v>
      </c>
      <c r="H830" s="1">
        <v>12</v>
      </c>
      <c r="I830" t="s">
        <v>183</v>
      </c>
      <c r="L830" s="1">
        <v>1</v>
      </c>
      <c r="M830" s="3">
        <v>14.58</v>
      </c>
      <c r="N830" s="3">
        <v>0.73</v>
      </c>
      <c r="O830" s="3">
        <v>0</v>
      </c>
      <c r="P830" s="3">
        <v>0.2</v>
      </c>
      <c r="Q830" s="3">
        <v>15.51</v>
      </c>
      <c r="R830" s="3">
        <v>13.7</v>
      </c>
      <c r="S830" s="3">
        <f>VLOOKUP(C830,[1]page!$C$2:$M$3071,11,0)</f>
        <v>14.48</v>
      </c>
      <c r="T830" s="6">
        <f t="shared" si="13"/>
        <v>9.9999999999999645E-2</v>
      </c>
    </row>
    <row r="831" spans="1:20" x14ac:dyDescent="0.2">
      <c r="A831" t="s">
        <v>2552</v>
      </c>
      <c r="B831" t="s">
        <v>2599</v>
      </c>
      <c r="C831" t="s">
        <v>2600</v>
      </c>
      <c r="D831" t="s">
        <v>2601</v>
      </c>
      <c r="E831" t="s">
        <v>103</v>
      </c>
      <c r="F831" t="s">
        <v>23</v>
      </c>
      <c r="G831" s="2">
        <v>34.9</v>
      </c>
      <c r="H831" s="1">
        <v>12</v>
      </c>
      <c r="I831" t="s">
        <v>51</v>
      </c>
      <c r="L831" s="1">
        <v>1</v>
      </c>
      <c r="M831" s="3">
        <v>19.989999999999998</v>
      </c>
      <c r="N831" s="3">
        <v>1</v>
      </c>
      <c r="O831" s="3">
        <v>0</v>
      </c>
      <c r="P831" s="3">
        <v>0.2</v>
      </c>
      <c r="Q831" s="3">
        <v>21.19</v>
      </c>
      <c r="R831" s="3">
        <v>18.2</v>
      </c>
      <c r="S831" s="3">
        <f>VLOOKUP(C831,[1]page!$C$2:$M$3071,11,0)</f>
        <v>19.55</v>
      </c>
      <c r="T831" s="6">
        <f t="shared" si="13"/>
        <v>0.43999999999999773</v>
      </c>
    </row>
    <row r="832" spans="1:20" x14ac:dyDescent="0.2">
      <c r="A832" t="s">
        <v>2552</v>
      </c>
      <c r="B832" t="s">
        <v>2602</v>
      </c>
      <c r="C832" t="s">
        <v>2603</v>
      </c>
      <c r="D832" t="s">
        <v>2601</v>
      </c>
      <c r="E832" t="s">
        <v>103</v>
      </c>
      <c r="F832" t="s">
        <v>65</v>
      </c>
      <c r="G832" s="2">
        <v>34.9</v>
      </c>
      <c r="H832" s="1">
        <v>12</v>
      </c>
      <c r="I832" t="s">
        <v>51</v>
      </c>
      <c r="L832" s="1">
        <v>1</v>
      </c>
      <c r="M832" s="3">
        <v>27.99</v>
      </c>
      <c r="N832" s="3">
        <v>1.4</v>
      </c>
      <c r="O832" s="3">
        <v>0</v>
      </c>
      <c r="P832" s="3">
        <v>0.25</v>
      </c>
      <c r="Q832" s="3">
        <v>29.64</v>
      </c>
      <c r="R832" s="3">
        <v>26.85</v>
      </c>
      <c r="S832" s="3">
        <f>VLOOKUP(C832,[1]page!$C$2:$M$3071,11,0)</f>
        <v>27.78</v>
      </c>
      <c r="T832" s="6">
        <f t="shared" si="13"/>
        <v>0.2099999999999973</v>
      </c>
    </row>
    <row r="833" spans="1:20" x14ac:dyDescent="0.2">
      <c r="A833" t="s">
        <v>2552</v>
      </c>
      <c r="B833" t="s">
        <v>2604</v>
      </c>
      <c r="C833" t="s">
        <v>2605</v>
      </c>
      <c r="D833" t="s">
        <v>2606</v>
      </c>
      <c r="E833" t="s">
        <v>43</v>
      </c>
      <c r="F833" t="s">
        <v>65</v>
      </c>
      <c r="G833" s="2">
        <v>34.9</v>
      </c>
      <c r="H833" s="1">
        <v>12</v>
      </c>
      <c r="I833" t="s">
        <v>183</v>
      </c>
      <c r="L833" s="1">
        <v>1</v>
      </c>
      <c r="M833" s="3">
        <v>28.6</v>
      </c>
      <c r="N833" s="3">
        <v>1.43</v>
      </c>
      <c r="O833" s="3">
        <v>0</v>
      </c>
      <c r="P833" s="3">
        <v>0.25</v>
      </c>
      <c r="Q833" s="3">
        <v>30.28</v>
      </c>
      <c r="R833" s="3">
        <v>26.85</v>
      </c>
      <c r="S833" s="3">
        <f>VLOOKUP(C833,[1]page!$C$2:$M$3071,11,0)</f>
        <v>28.35</v>
      </c>
      <c r="T833" s="6">
        <f t="shared" si="13"/>
        <v>0.25</v>
      </c>
    </row>
    <row r="834" spans="1:20" x14ac:dyDescent="0.2">
      <c r="A834" t="s">
        <v>2552</v>
      </c>
      <c r="B834" t="s">
        <v>2607</v>
      </c>
      <c r="C834" t="s">
        <v>2608</v>
      </c>
      <c r="D834" t="s">
        <v>2609</v>
      </c>
      <c r="E834" t="s">
        <v>43</v>
      </c>
      <c r="F834" t="s">
        <v>23</v>
      </c>
      <c r="G834" s="1">
        <v>38</v>
      </c>
      <c r="H834" s="1">
        <v>12</v>
      </c>
      <c r="I834" t="s">
        <v>183</v>
      </c>
      <c r="L834" s="1">
        <v>1</v>
      </c>
      <c r="M834" s="3">
        <v>20.89</v>
      </c>
      <c r="N834" s="3">
        <v>1.04</v>
      </c>
      <c r="O834" s="3">
        <v>0</v>
      </c>
      <c r="P834" s="3">
        <v>0.2</v>
      </c>
      <c r="Q834" s="3">
        <v>22.13</v>
      </c>
      <c r="R834" s="3">
        <v>24.25</v>
      </c>
      <c r="S834" s="3">
        <f>VLOOKUP(C834,[1]page!$C$2:$M$3071,11,0)</f>
        <v>20.71</v>
      </c>
      <c r="T834" s="6">
        <f t="shared" si="13"/>
        <v>0.17999999999999972</v>
      </c>
    </row>
    <row r="835" spans="1:20" x14ac:dyDescent="0.2">
      <c r="A835" t="s">
        <v>2552</v>
      </c>
      <c r="B835" t="s">
        <v>2610</v>
      </c>
      <c r="C835" t="s">
        <v>2611</v>
      </c>
      <c r="D835" t="s">
        <v>2609</v>
      </c>
      <c r="E835" t="s">
        <v>43</v>
      </c>
      <c r="F835" t="s">
        <v>65</v>
      </c>
      <c r="G835" s="1">
        <v>38</v>
      </c>
      <c r="H835" s="1">
        <v>12</v>
      </c>
      <c r="I835" t="s">
        <v>183</v>
      </c>
      <c r="L835" s="1">
        <v>1</v>
      </c>
      <c r="M835" s="3">
        <v>29.44</v>
      </c>
      <c r="N835" s="3">
        <v>1.47</v>
      </c>
      <c r="O835" s="3">
        <v>0</v>
      </c>
      <c r="P835" s="3">
        <v>0.25</v>
      </c>
      <c r="Q835" s="3">
        <v>31.16</v>
      </c>
      <c r="R835" s="3">
        <v>35.75</v>
      </c>
      <c r="S835" s="3">
        <f>VLOOKUP(C835,[1]page!$C$2:$M$3071,11,0)</f>
        <v>29.16</v>
      </c>
      <c r="T835" s="6">
        <f t="shared" si="13"/>
        <v>0.28000000000000114</v>
      </c>
    </row>
    <row r="836" spans="1:20" x14ac:dyDescent="0.2">
      <c r="A836" t="s">
        <v>2552</v>
      </c>
      <c r="B836" t="s">
        <v>2612</v>
      </c>
      <c r="C836" t="s">
        <v>2613</v>
      </c>
      <c r="D836" t="s">
        <v>2614</v>
      </c>
      <c r="E836" t="s">
        <v>2615</v>
      </c>
      <c r="F836" t="s">
        <v>23</v>
      </c>
      <c r="G836" s="1">
        <v>31</v>
      </c>
      <c r="H836" s="1">
        <v>12</v>
      </c>
      <c r="I836" t="s">
        <v>2616</v>
      </c>
      <c r="L836" s="1">
        <v>1</v>
      </c>
      <c r="M836" s="3">
        <v>29.15</v>
      </c>
      <c r="N836" s="3">
        <v>1.46</v>
      </c>
      <c r="O836" s="3">
        <v>0</v>
      </c>
      <c r="P836" s="3">
        <v>0.2</v>
      </c>
      <c r="Q836" s="3">
        <v>30.81</v>
      </c>
      <c r="R836" s="3">
        <v>18.2</v>
      </c>
      <c r="S836" s="3">
        <f>VLOOKUP(C836,[1]page!$C$2:$M$3071,11,0)</f>
        <v>29</v>
      </c>
      <c r="T836" s="6">
        <f t="shared" si="13"/>
        <v>0.14999999999999858</v>
      </c>
    </row>
    <row r="837" spans="1:20" x14ac:dyDescent="0.2">
      <c r="A837" t="s">
        <v>2552</v>
      </c>
      <c r="B837" t="s">
        <v>2617</v>
      </c>
      <c r="C837" t="s">
        <v>2618</v>
      </c>
      <c r="D837" t="s">
        <v>2619</v>
      </c>
      <c r="E837" t="s">
        <v>43</v>
      </c>
      <c r="F837" t="s">
        <v>77</v>
      </c>
      <c r="G837" s="1">
        <v>15</v>
      </c>
      <c r="H837" s="1">
        <v>12</v>
      </c>
      <c r="I837" t="s">
        <v>39</v>
      </c>
      <c r="L837" s="1">
        <v>1</v>
      </c>
      <c r="M837" s="3">
        <v>10.54</v>
      </c>
      <c r="N837" s="3">
        <v>0.53</v>
      </c>
      <c r="O837" s="3">
        <v>0</v>
      </c>
      <c r="P837" s="3">
        <v>0.2</v>
      </c>
      <c r="Q837" s="3">
        <v>11.27</v>
      </c>
      <c r="R837" s="3">
        <v>7.85</v>
      </c>
      <c r="S837" s="3">
        <f>VLOOKUP(C837,[1]page!$C$2:$M$3071,11,0)</f>
        <v>10.5</v>
      </c>
      <c r="T837" s="6">
        <f t="shared" si="13"/>
        <v>3.9999999999999147E-2</v>
      </c>
    </row>
    <row r="838" spans="1:20" x14ac:dyDescent="0.2">
      <c r="A838" t="s">
        <v>2552</v>
      </c>
      <c r="B838" t="s">
        <v>2620</v>
      </c>
      <c r="C838" t="s">
        <v>2621</v>
      </c>
      <c r="D838" t="s">
        <v>2622</v>
      </c>
      <c r="E838" t="s">
        <v>2177</v>
      </c>
      <c r="F838" t="s">
        <v>2178</v>
      </c>
      <c r="G838" s="1">
        <v>20</v>
      </c>
      <c r="H838" s="1">
        <v>18</v>
      </c>
      <c r="I838" t="s">
        <v>2179</v>
      </c>
      <c r="L838" s="1">
        <v>4</v>
      </c>
      <c r="M838" s="3">
        <v>9.51</v>
      </c>
      <c r="N838" s="3">
        <v>0.48</v>
      </c>
      <c r="O838" s="3">
        <v>0</v>
      </c>
      <c r="P838" s="3">
        <v>0.4</v>
      </c>
      <c r="Q838" s="3">
        <v>10.39</v>
      </c>
      <c r="R838" s="3">
        <v>2.9</v>
      </c>
      <c r="S838" s="3">
        <f>VLOOKUP(C838,[1]page!$C$2:$M$3071,11,0)</f>
        <v>9.5</v>
      </c>
      <c r="T838" s="6">
        <f t="shared" si="13"/>
        <v>9.9999999999997868E-3</v>
      </c>
    </row>
    <row r="839" spans="1:20" x14ac:dyDescent="0.2">
      <c r="A839" t="s">
        <v>2552</v>
      </c>
      <c r="B839" t="s">
        <v>2623</v>
      </c>
      <c r="C839" t="s">
        <v>2624</v>
      </c>
      <c r="D839" t="s">
        <v>2625</v>
      </c>
      <c r="E839" t="s">
        <v>2626</v>
      </c>
      <c r="F839" t="s">
        <v>77</v>
      </c>
      <c r="G839" s="1">
        <v>20</v>
      </c>
      <c r="H839" s="1">
        <v>12</v>
      </c>
      <c r="I839" t="s">
        <v>62</v>
      </c>
      <c r="L839" s="1">
        <v>1</v>
      </c>
      <c r="M839" s="3">
        <v>17.8</v>
      </c>
      <c r="N839" s="3">
        <v>0.89</v>
      </c>
      <c r="O839" s="3">
        <v>0</v>
      </c>
      <c r="P839" s="3">
        <v>0.2</v>
      </c>
      <c r="Q839" s="3">
        <v>18.89</v>
      </c>
      <c r="R839" s="3">
        <v>7.85</v>
      </c>
      <c r="S839" s="3">
        <f>VLOOKUP(C839,[1]page!$C$2:$M$3071,11,0)</f>
        <v>17.75</v>
      </c>
      <c r="T839" s="6">
        <f t="shared" si="13"/>
        <v>5.0000000000000711E-2</v>
      </c>
    </row>
    <row r="840" spans="1:20" x14ac:dyDescent="0.2">
      <c r="A840" t="s">
        <v>2552</v>
      </c>
      <c r="B840" t="s">
        <v>2627</v>
      </c>
      <c r="C840" t="s">
        <v>2628</v>
      </c>
      <c r="D840" t="s">
        <v>2629</v>
      </c>
      <c r="E840" t="s">
        <v>2626</v>
      </c>
      <c r="F840" t="s">
        <v>77</v>
      </c>
      <c r="G840" s="1">
        <v>35</v>
      </c>
      <c r="H840" s="1">
        <v>12</v>
      </c>
      <c r="I840" t="s">
        <v>62</v>
      </c>
      <c r="L840" s="1">
        <v>1</v>
      </c>
      <c r="M840" s="3">
        <v>17.88</v>
      </c>
      <c r="N840" s="3">
        <v>0.89</v>
      </c>
      <c r="O840" s="3">
        <v>0</v>
      </c>
      <c r="P840" s="3">
        <v>0.2</v>
      </c>
      <c r="Q840" s="3">
        <v>18.97</v>
      </c>
      <c r="R840" s="3">
        <v>13.7</v>
      </c>
      <c r="S840" s="3">
        <f>VLOOKUP(C840,[1]page!$C$2:$M$3071,11,0)</f>
        <v>17.8</v>
      </c>
      <c r="T840" s="6">
        <f t="shared" si="13"/>
        <v>7.9999999999998295E-2</v>
      </c>
    </row>
    <row r="841" spans="1:20" x14ac:dyDescent="0.2">
      <c r="A841" t="s">
        <v>2552</v>
      </c>
      <c r="B841" t="s">
        <v>2630</v>
      </c>
      <c r="C841" t="s">
        <v>2631</v>
      </c>
      <c r="D841" t="s">
        <v>2632</v>
      </c>
      <c r="E841" t="s">
        <v>528</v>
      </c>
      <c r="F841" t="s">
        <v>77</v>
      </c>
      <c r="G841" s="1">
        <v>50</v>
      </c>
      <c r="H841" s="1">
        <v>24</v>
      </c>
      <c r="I841" t="s">
        <v>529</v>
      </c>
      <c r="L841" s="1">
        <v>1</v>
      </c>
      <c r="M841" s="3">
        <v>14.04</v>
      </c>
      <c r="N841" s="3">
        <v>0.7</v>
      </c>
      <c r="O841" s="3">
        <v>0</v>
      </c>
      <c r="P841" s="3">
        <v>0.1</v>
      </c>
      <c r="Q841" s="3">
        <v>14.84</v>
      </c>
      <c r="R841" s="3">
        <v>17.149999999999999</v>
      </c>
      <c r="S841" s="3">
        <f>VLOOKUP(C841,[1]page!$C$2:$M$3071,11,0)</f>
        <v>13.92</v>
      </c>
      <c r="T841" s="6">
        <f t="shared" si="13"/>
        <v>0.11999999999999922</v>
      </c>
    </row>
    <row r="842" spans="1:20" x14ac:dyDescent="0.2">
      <c r="A842" t="s">
        <v>2552</v>
      </c>
      <c r="B842" t="s">
        <v>2633</v>
      </c>
      <c r="C842" t="s">
        <v>2634</v>
      </c>
      <c r="D842" t="s">
        <v>2635</v>
      </c>
      <c r="E842" t="s">
        <v>528</v>
      </c>
      <c r="F842" t="s">
        <v>77</v>
      </c>
      <c r="G842" s="1">
        <v>15</v>
      </c>
      <c r="H842" s="1">
        <v>24</v>
      </c>
      <c r="I842" t="s">
        <v>529</v>
      </c>
      <c r="L842" s="1">
        <v>1</v>
      </c>
      <c r="M842" s="3">
        <v>9.51</v>
      </c>
      <c r="N842" s="3">
        <v>0.48</v>
      </c>
      <c r="O842" s="3">
        <v>0</v>
      </c>
      <c r="P842" s="3">
        <v>0.1</v>
      </c>
      <c r="Q842" s="3">
        <v>10.09</v>
      </c>
      <c r="R842" s="3">
        <v>7.85</v>
      </c>
      <c r="S842" s="3">
        <f>VLOOKUP(C842,[1]page!$C$2:$M$3071,11,0)</f>
        <v>9.48</v>
      </c>
      <c r="T842" s="6">
        <f t="shared" si="13"/>
        <v>2.9999999999999361E-2</v>
      </c>
    </row>
    <row r="843" spans="1:20" x14ac:dyDescent="0.2">
      <c r="A843" t="s">
        <v>2552</v>
      </c>
      <c r="B843" t="s">
        <v>2636</v>
      </c>
      <c r="C843" t="s">
        <v>2637</v>
      </c>
      <c r="D843" t="s">
        <v>2635</v>
      </c>
      <c r="E843" t="s">
        <v>528</v>
      </c>
      <c r="F843" t="s">
        <v>23</v>
      </c>
      <c r="G843" s="1">
        <v>15</v>
      </c>
      <c r="H843" s="1">
        <v>12</v>
      </c>
      <c r="I843" t="s">
        <v>529</v>
      </c>
      <c r="L843" s="1">
        <v>1</v>
      </c>
      <c r="M843" s="3">
        <v>15.43</v>
      </c>
      <c r="N843" s="3">
        <v>0.77</v>
      </c>
      <c r="O843" s="3">
        <v>0</v>
      </c>
      <c r="P843" s="3">
        <v>0.2</v>
      </c>
      <c r="Q843" s="3">
        <v>16.399999999999999</v>
      </c>
      <c r="R843" s="3">
        <v>13.9</v>
      </c>
      <c r="S843" s="3">
        <f>VLOOKUP(C843,[1]page!$C$2:$M$3071,11,0)</f>
        <v>15.36</v>
      </c>
      <c r="T843" s="6">
        <f t="shared" si="13"/>
        <v>7.0000000000000284E-2</v>
      </c>
    </row>
    <row r="844" spans="1:20" x14ac:dyDescent="0.2">
      <c r="A844" t="s">
        <v>2552</v>
      </c>
      <c r="B844" t="s">
        <v>2638</v>
      </c>
      <c r="C844" t="s">
        <v>2639</v>
      </c>
      <c r="D844" t="s">
        <v>2640</v>
      </c>
      <c r="E844" t="s">
        <v>2641</v>
      </c>
      <c r="F844" t="s">
        <v>65</v>
      </c>
      <c r="G844" s="2">
        <v>34.9</v>
      </c>
      <c r="H844" s="1">
        <v>12</v>
      </c>
      <c r="I844" t="s">
        <v>51</v>
      </c>
      <c r="L844" s="1">
        <v>1</v>
      </c>
      <c r="M844" s="3">
        <v>27.99</v>
      </c>
      <c r="N844" s="3">
        <v>1.4</v>
      </c>
      <c r="O844" s="3">
        <v>0</v>
      </c>
      <c r="P844" s="3">
        <v>0.25</v>
      </c>
      <c r="Q844" s="3">
        <v>29.64</v>
      </c>
      <c r="R844" s="3">
        <v>26.85</v>
      </c>
      <c r="S844" s="3">
        <f>VLOOKUP(C844,[1]page!$C$2:$M$3071,11,0)</f>
        <v>27.78</v>
      </c>
      <c r="T844" s="6">
        <f t="shared" si="13"/>
        <v>0.2099999999999973</v>
      </c>
    </row>
    <row r="845" spans="1:20" x14ac:dyDescent="0.2">
      <c r="A845" t="s">
        <v>2552</v>
      </c>
      <c r="B845" t="s">
        <v>2642</v>
      </c>
      <c r="C845" t="s">
        <v>2643</v>
      </c>
      <c r="D845" t="s">
        <v>2644</v>
      </c>
      <c r="E845" t="s">
        <v>103</v>
      </c>
      <c r="F845" t="s">
        <v>2221</v>
      </c>
      <c r="G845" s="1">
        <v>16</v>
      </c>
      <c r="H845" s="1">
        <v>106</v>
      </c>
      <c r="I845" t="s">
        <v>51</v>
      </c>
      <c r="L845" s="1">
        <v>1</v>
      </c>
      <c r="M845" s="3">
        <v>1.49</v>
      </c>
      <c r="N845" s="3">
        <v>7.0000000000000007E-2</v>
      </c>
      <c r="O845" s="3">
        <v>0</v>
      </c>
      <c r="P845" s="3">
        <v>0.1</v>
      </c>
      <c r="Q845" s="3">
        <v>1.66</v>
      </c>
      <c r="R845" s="3">
        <v>1.5</v>
      </c>
      <c r="S845" s="3">
        <f>VLOOKUP(C845,[1]page!$C$2:$M$3071,11,0)</f>
        <v>1.45</v>
      </c>
      <c r="T845" s="6">
        <f t="shared" si="13"/>
        <v>4.0000000000000036E-2</v>
      </c>
    </row>
    <row r="846" spans="1:20" x14ac:dyDescent="0.2">
      <c r="A846" t="s">
        <v>2552</v>
      </c>
      <c r="B846" t="s">
        <v>2645</v>
      </c>
      <c r="C846" t="s">
        <v>2646</v>
      </c>
      <c r="D846" t="s">
        <v>2647</v>
      </c>
      <c r="E846" t="s">
        <v>2177</v>
      </c>
      <c r="F846" t="s">
        <v>2178</v>
      </c>
      <c r="G846" s="1">
        <v>20</v>
      </c>
      <c r="H846" s="1">
        <v>18</v>
      </c>
      <c r="I846" t="s">
        <v>2179</v>
      </c>
      <c r="L846" s="1">
        <v>4</v>
      </c>
      <c r="M846" s="3">
        <v>9.51</v>
      </c>
      <c r="N846" s="3">
        <v>0.48</v>
      </c>
      <c r="O846" s="3">
        <v>0</v>
      </c>
      <c r="P846" s="3">
        <v>0.4</v>
      </c>
      <c r="Q846" s="3">
        <v>10.39</v>
      </c>
      <c r="R846" s="3">
        <v>2.9</v>
      </c>
      <c r="S846" s="3">
        <f>VLOOKUP(C846,[1]page!$C$2:$M$3071,11,0)</f>
        <v>9.5</v>
      </c>
      <c r="T846" s="6">
        <f t="shared" si="13"/>
        <v>9.9999999999997868E-3</v>
      </c>
    </row>
    <row r="847" spans="1:20" x14ac:dyDescent="0.2">
      <c r="A847" t="s">
        <v>2552</v>
      </c>
      <c r="B847" t="s">
        <v>2648</v>
      </c>
      <c r="C847" t="s">
        <v>2649</v>
      </c>
      <c r="D847" t="s">
        <v>2650</v>
      </c>
      <c r="E847" t="s">
        <v>518</v>
      </c>
      <c r="F847" t="s">
        <v>23</v>
      </c>
      <c r="G847" s="1">
        <v>30</v>
      </c>
      <c r="H847" s="1">
        <v>12</v>
      </c>
      <c r="I847" t="s">
        <v>397</v>
      </c>
      <c r="L847" s="1">
        <v>1</v>
      </c>
      <c r="M847" s="3">
        <v>24.82</v>
      </c>
      <c r="N847" s="3">
        <v>1.24</v>
      </c>
      <c r="O847" s="3">
        <v>0</v>
      </c>
      <c r="P847" s="3">
        <v>0.2</v>
      </c>
      <c r="Q847" s="3">
        <v>26.26</v>
      </c>
      <c r="R847" s="3">
        <v>18.2</v>
      </c>
      <c r="S847" s="3">
        <f>VLOOKUP(C847,[1]page!$C$2:$M$3071,11,0)</f>
        <v>24.67</v>
      </c>
      <c r="T847" s="6">
        <f t="shared" si="13"/>
        <v>0.14999999999999858</v>
      </c>
    </row>
    <row r="848" spans="1:20" x14ac:dyDescent="0.2">
      <c r="A848" t="s">
        <v>2552</v>
      </c>
      <c r="B848" t="s">
        <v>2651</v>
      </c>
      <c r="C848" t="s">
        <v>2652</v>
      </c>
      <c r="D848" t="s">
        <v>2653</v>
      </c>
      <c r="E848" t="s">
        <v>528</v>
      </c>
      <c r="F848" t="s">
        <v>23</v>
      </c>
      <c r="G848" s="1">
        <v>15</v>
      </c>
      <c r="H848" s="1">
        <v>12</v>
      </c>
      <c r="I848" t="s">
        <v>529</v>
      </c>
      <c r="L848" s="1">
        <v>1</v>
      </c>
      <c r="M848" s="3">
        <v>26.36</v>
      </c>
      <c r="N848" s="3">
        <v>1.32</v>
      </c>
      <c r="O848" s="3">
        <v>0</v>
      </c>
      <c r="P848" s="3">
        <v>0.2</v>
      </c>
      <c r="Q848" s="3">
        <v>27.88</v>
      </c>
      <c r="R848" s="3">
        <v>13.9</v>
      </c>
      <c r="S848" s="3">
        <f>VLOOKUP(C848,[1]page!$C$2:$M$3071,11,0)</f>
        <v>26.29</v>
      </c>
      <c r="T848" s="6">
        <f t="shared" si="13"/>
        <v>7.0000000000000284E-2</v>
      </c>
    </row>
    <row r="849" spans="1:20" x14ac:dyDescent="0.2">
      <c r="A849" t="s">
        <v>2552</v>
      </c>
      <c r="B849" t="s">
        <v>2654</v>
      </c>
      <c r="C849" t="s">
        <v>2655</v>
      </c>
      <c r="D849" t="s">
        <v>2656</v>
      </c>
      <c r="E849" t="s">
        <v>1877</v>
      </c>
      <c r="F849" t="s">
        <v>77</v>
      </c>
      <c r="G849" s="1">
        <v>20</v>
      </c>
      <c r="H849" s="1">
        <v>12</v>
      </c>
      <c r="I849" t="s">
        <v>444</v>
      </c>
      <c r="L849" s="1">
        <v>1</v>
      </c>
      <c r="M849" s="3">
        <v>21</v>
      </c>
      <c r="N849" s="3">
        <v>1.05</v>
      </c>
      <c r="O849" s="3">
        <v>0</v>
      </c>
      <c r="P849" s="3">
        <v>0.2</v>
      </c>
      <c r="Q849" s="3">
        <v>22.25</v>
      </c>
      <c r="R849" s="3">
        <v>7.85</v>
      </c>
      <c r="S849" s="3">
        <f>VLOOKUP(C849,[1]page!$C$2:$M$3071,11,0)</f>
        <v>21</v>
      </c>
      <c r="T849" s="6">
        <f t="shared" si="13"/>
        <v>0</v>
      </c>
    </row>
    <row r="850" spans="1:20" x14ac:dyDescent="0.2">
      <c r="A850" t="s">
        <v>2552</v>
      </c>
      <c r="B850" t="s">
        <v>2657</v>
      </c>
      <c r="C850" t="s">
        <v>2658</v>
      </c>
      <c r="D850" t="s">
        <v>2656</v>
      </c>
      <c r="E850" t="s">
        <v>2659</v>
      </c>
      <c r="F850" t="s">
        <v>23</v>
      </c>
      <c r="G850" s="1">
        <v>20</v>
      </c>
      <c r="H850" s="1">
        <v>6</v>
      </c>
      <c r="I850" t="s">
        <v>444</v>
      </c>
      <c r="L850" s="1">
        <v>1</v>
      </c>
      <c r="M850" s="3">
        <v>39</v>
      </c>
      <c r="N850" s="3">
        <v>1.95</v>
      </c>
      <c r="O850" s="3">
        <v>0</v>
      </c>
      <c r="P850" s="3">
        <v>0.2</v>
      </c>
      <c r="Q850" s="3">
        <v>41.15</v>
      </c>
      <c r="R850" s="3">
        <v>13.9</v>
      </c>
      <c r="S850" s="3">
        <f>VLOOKUP(C850,[1]page!$C$2:$M$3071,11,0)</f>
        <v>39</v>
      </c>
      <c r="T850" s="6">
        <f t="shared" si="13"/>
        <v>0</v>
      </c>
    </row>
    <row r="851" spans="1:20" x14ac:dyDescent="0.2">
      <c r="A851" t="s">
        <v>2552</v>
      </c>
      <c r="B851" t="s">
        <v>2660</v>
      </c>
      <c r="C851" t="s">
        <v>2661</v>
      </c>
      <c r="D851" t="s">
        <v>2662</v>
      </c>
      <c r="E851" t="s">
        <v>103</v>
      </c>
      <c r="F851" t="s">
        <v>23</v>
      </c>
      <c r="G851" s="1">
        <v>22</v>
      </c>
      <c r="H851" s="1">
        <v>6</v>
      </c>
      <c r="I851" t="s">
        <v>51</v>
      </c>
      <c r="L851" s="1">
        <v>1</v>
      </c>
      <c r="M851" s="3">
        <v>34.99</v>
      </c>
      <c r="N851" s="3">
        <v>1.75</v>
      </c>
      <c r="O851" s="3">
        <v>0</v>
      </c>
      <c r="P851" s="3">
        <v>0.2</v>
      </c>
      <c r="Q851" s="3">
        <v>36.94</v>
      </c>
      <c r="R851" s="3">
        <v>13.9</v>
      </c>
      <c r="S851" s="3">
        <f>VLOOKUP(C851,[1]page!$C$2:$M$3071,11,0)</f>
        <v>35.14</v>
      </c>
      <c r="T851" s="6">
        <f t="shared" si="13"/>
        <v>-0.14999999999999858</v>
      </c>
    </row>
    <row r="852" spans="1:20" x14ac:dyDescent="0.2">
      <c r="A852" t="s">
        <v>2552</v>
      </c>
      <c r="B852" t="s">
        <v>2663</v>
      </c>
      <c r="C852" t="s">
        <v>2664</v>
      </c>
      <c r="D852" t="s">
        <v>2665</v>
      </c>
      <c r="E852" t="s">
        <v>2177</v>
      </c>
      <c r="F852" t="s">
        <v>2178</v>
      </c>
      <c r="G852" s="1">
        <v>20</v>
      </c>
      <c r="H852" s="1">
        <v>18</v>
      </c>
      <c r="I852" t="s">
        <v>2179</v>
      </c>
      <c r="L852" s="1">
        <v>4</v>
      </c>
      <c r="M852" s="3">
        <v>9.51</v>
      </c>
      <c r="N852" s="3">
        <v>0.48</v>
      </c>
      <c r="O852" s="3">
        <v>0</v>
      </c>
      <c r="P852" s="3">
        <v>0.4</v>
      </c>
      <c r="Q852" s="3">
        <v>10.39</v>
      </c>
      <c r="R852" s="3">
        <v>2.9</v>
      </c>
      <c r="S852" s="3">
        <f>VLOOKUP(C852,[1]page!$C$2:$M$3071,11,0)</f>
        <v>9.5</v>
      </c>
      <c r="T852" s="6">
        <f t="shared" si="13"/>
        <v>9.9999999999997868E-3</v>
      </c>
    </row>
    <row r="853" spans="1:20" x14ac:dyDescent="0.2">
      <c r="A853" t="s">
        <v>2552</v>
      </c>
      <c r="B853" t="s">
        <v>2666</v>
      </c>
      <c r="C853" t="s">
        <v>2667</v>
      </c>
      <c r="D853" t="s">
        <v>2668</v>
      </c>
      <c r="E853" t="s">
        <v>2177</v>
      </c>
      <c r="F853" t="s">
        <v>2178</v>
      </c>
      <c r="G853" s="1">
        <v>20</v>
      </c>
      <c r="H853" s="1">
        <v>18</v>
      </c>
      <c r="I853" t="s">
        <v>2179</v>
      </c>
      <c r="L853" s="1">
        <v>4</v>
      </c>
      <c r="M853" s="3">
        <v>9.51</v>
      </c>
      <c r="N853" s="3">
        <v>0.48</v>
      </c>
      <c r="O853" s="3">
        <v>0</v>
      </c>
      <c r="P853" s="3">
        <v>0.4</v>
      </c>
      <c r="Q853" s="3">
        <v>10.39</v>
      </c>
      <c r="R853" s="3">
        <v>2.9</v>
      </c>
      <c r="S853" s="3">
        <f>VLOOKUP(C853,[1]page!$C$2:$M$3071,11,0)</f>
        <v>9.5</v>
      </c>
      <c r="T853" s="6">
        <f t="shared" si="13"/>
        <v>9.9999999999997868E-3</v>
      </c>
    </row>
    <row r="854" spans="1:20" x14ac:dyDescent="0.2">
      <c r="A854" t="s">
        <v>2552</v>
      </c>
      <c r="B854" t="s">
        <v>2669</v>
      </c>
      <c r="C854" t="s">
        <v>2670</v>
      </c>
      <c r="D854" t="s">
        <v>2671</v>
      </c>
      <c r="E854" t="s">
        <v>2177</v>
      </c>
      <c r="F854" t="s">
        <v>2097</v>
      </c>
      <c r="G854" s="1">
        <v>20</v>
      </c>
      <c r="H854" s="1">
        <v>6</v>
      </c>
      <c r="I854" t="s">
        <v>2179</v>
      </c>
      <c r="L854" s="1">
        <v>12</v>
      </c>
      <c r="M854" s="3">
        <v>24.06</v>
      </c>
      <c r="N854" s="3">
        <v>1.2</v>
      </c>
      <c r="O854" s="3">
        <v>0</v>
      </c>
      <c r="P854" s="3">
        <v>1.2</v>
      </c>
      <c r="Q854" s="3">
        <v>26.46</v>
      </c>
      <c r="R854" s="3">
        <v>7.85</v>
      </c>
      <c r="S854" s="3">
        <f>VLOOKUP(C854,[1]page!$C$2:$M$3071,11,0)</f>
        <v>24.03</v>
      </c>
      <c r="T854" s="6">
        <f t="shared" si="13"/>
        <v>2.9999999999997584E-2</v>
      </c>
    </row>
    <row r="855" spans="1:20" x14ac:dyDescent="0.2">
      <c r="A855" t="s">
        <v>2672</v>
      </c>
      <c r="B855" t="s">
        <v>2673</v>
      </c>
      <c r="C855" t="s">
        <v>2674</v>
      </c>
      <c r="D855" t="s">
        <v>2675</v>
      </c>
      <c r="E855" t="s">
        <v>2676</v>
      </c>
      <c r="F855" t="s">
        <v>23</v>
      </c>
      <c r="G855" s="2">
        <v>14.8</v>
      </c>
      <c r="H855" s="1">
        <v>12</v>
      </c>
      <c r="I855" t="s">
        <v>39</v>
      </c>
      <c r="K855" t="s">
        <v>2677</v>
      </c>
      <c r="L855" s="1">
        <v>1</v>
      </c>
      <c r="M855" s="3">
        <v>22.32</v>
      </c>
      <c r="N855" s="3">
        <v>1.1200000000000001</v>
      </c>
      <c r="O855" s="3">
        <v>0</v>
      </c>
      <c r="P855" s="3">
        <v>0.2</v>
      </c>
      <c r="Q855" s="3">
        <v>23.64</v>
      </c>
      <c r="R855" s="3">
        <v>7.95</v>
      </c>
      <c r="S855" s="3">
        <f>VLOOKUP(C855,[1]page!$C$2:$M$3071,11,0)</f>
        <v>22.31</v>
      </c>
      <c r="T855" s="6">
        <f t="shared" si="13"/>
        <v>1.0000000000001563E-2</v>
      </c>
    </row>
    <row r="856" spans="1:20" x14ac:dyDescent="0.2">
      <c r="A856" t="s">
        <v>2678</v>
      </c>
      <c r="B856" t="s">
        <v>2679</v>
      </c>
      <c r="C856" t="s">
        <v>2680</v>
      </c>
      <c r="D856" t="s">
        <v>2681</v>
      </c>
      <c r="E856" t="s">
        <v>2682</v>
      </c>
      <c r="F856" t="s">
        <v>1599</v>
      </c>
      <c r="G856" s="1">
        <v>15</v>
      </c>
      <c r="H856" s="1">
        <v>6</v>
      </c>
      <c r="I856" t="s">
        <v>397</v>
      </c>
      <c r="K856" t="s">
        <v>2677</v>
      </c>
      <c r="L856" s="1">
        <v>1</v>
      </c>
      <c r="M856" s="3">
        <v>11.71</v>
      </c>
      <c r="N856" s="3">
        <v>0.59</v>
      </c>
      <c r="O856" s="3">
        <v>0</v>
      </c>
      <c r="P856" s="3">
        <v>0.4</v>
      </c>
      <c r="Q856" s="3">
        <v>12.7</v>
      </c>
      <c r="R856" s="3">
        <v>10.199999999999999</v>
      </c>
      <c r="S856" s="3">
        <f>VLOOKUP(C856,[1]page!$C$2:$M$3071,11,0)</f>
        <v>11.81</v>
      </c>
      <c r="T856" s="6">
        <f t="shared" si="13"/>
        <v>-9.9999999999999645E-2</v>
      </c>
    </row>
    <row r="857" spans="1:20" x14ac:dyDescent="0.2">
      <c r="A857" t="s">
        <v>2678</v>
      </c>
      <c r="B857" t="s">
        <v>2683</v>
      </c>
      <c r="C857" t="s">
        <v>2684</v>
      </c>
      <c r="D857" t="s">
        <v>2685</v>
      </c>
      <c r="E857" t="s">
        <v>2686</v>
      </c>
      <c r="F857" t="s">
        <v>2078</v>
      </c>
      <c r="G857" s="1">
        <v>18</v>
      </c>
      <c r="H857" s="1">
        <v>12</v>
      </c>
      <c r="I857" t="s">
        <v>444</v>
      </c>
      <c r="K857" t="s">
        <v>2687</v>
      </c>
      <c r="L857" s="1">
        <v>1</v>
      </c>
      <c r="M857" s="3">
        <v>8</v>
      </c>
      <c r="N857" s="3">
        <v>0.4</v>
      </c>
      <c r="O857" s="3">
        <v>0</v>
      </c>
      <c r="P857" s="3">
        <v>0.2</v>
      </c>
      <c r="Q857" s="3">
        <v>8.6</v>
      </c>
      <c r="R857" s="3">
        <v>7.75</v>
      </c>
      <c r="S857" s="3">
        <f>VLOOKUP(C857,[1]page!$C$2:$M$3071,11,0)</f>
        <v>8</v>
      </c>
      <c r="T857" s="6">
        <f t="shared" si="13"/>
        <v>0</v>
      </c>
    </row>
    <row r="858" spans="1:20" x14ac:dyDescent="0.2">
      <c r="A858" t="s">
        <v>2678</v>
      </c>
      <c r="B858" t="s">
        <v>2688</v>
      </c>
      <c r="C858" t="s">
        <v>2689</v>
      </c>
      <c r="D858" t="s">
        <v>2685</v>
      </c>
      <c r="E858" t="s">
        <v>2686</v>
      </c>
      <c r="F858" t="s">
        <v>1599</v>
      </c>
      <c r="G858" s="1">
        <v>18</v>
      </c>
      <c r="H858" s="1">
        <v>6</v>
      </c>
      <c r="I858" t="s">
        <v>444</v>
      </c>
      <c r="K858" t="s">
        <v>2687</v>
      </c>
      <c r="L858" s="1">
        <v>1</v>
      </c>
      <c r="M858" s="3">
        <v>14</v>
      </c>
      <c r="N858" s="3">
        <v>0.7</v>
      </c>
      <c r="O858" s="3">
        <v>0</v>
      </c>
      <c r="P858" s="3">
        <v>0.4</v>
      </c>
      <c r="Q858" s="3">
        <v>15.1</v>
      </c>
      <c r="R858" s="3">
        <v>13.75</v>
      </c>
      <c r="S858" s="3">
        <f>VLOOKUP(C858,[1]page!$C$2:$M$3071,11,0)</f>
        <v>14</v>
      </c>
      <c r="T858" s="6">
        <f t="shared" si="13"/>
        <v>0</v>
      </c>
    </row>
    <row r="859" spans="1:20" x14ac:dyDescent="0.2">
      <c r="A859" t="s">
        <v>2678</v>
      </c>
      <c r="B859" t="s">
        <v>2690</v>
      </c>
      <c r="C859" t="s">
        <v>2691</v>
      </c>
      <c r="D859" t="s">
        <v>2692</v>
      </c>
      <c r="E859" t="s">
        <v>2686</v>
      </c>
      <c r="F859" t="s">
        <v>2078</v>
      </c>
      <c r="G859" s="1">
        <v>15</v>
      </c>
      <c r="H859" s="1">
        <v>12</v>
      </c>
      <c r="I859" t="s">
        <v>444</v>
      </c>
      <c r="K859" t="s">
        <v>2677</v>
      </c>
      <c r="L859" s="1">
        <v>1</v>
      </c>
      <c r="M859" s="3">
        <v>6.96</v>
      </c>
      <c r="N859" s="3">
        <v>0.35</v>
      </c>
      <c r="O859" s="3">
        <v>0</v>
      </c>
      <c r="P859" s="3">
        <v>0.2</v>
      </c>
      <c r="Q859" s="3">
        <v>7.51</v>
      </c>
      <c r="R859" s="3">
        <v>5.7</v>
      </c>
      <c r="S859" s="3">
        <f>VLOOKUP(C859,[1]page!$C$2:$M$3071,11,0)</f>
        <v>8</v>
      </c>
      <c r="T859" s="6">
        <f t="shared" si="13"/>
        <v>-1.04</v>
      </c>
    </row>
    <row r="860" spans="1:20" x14ac:dyDescent="0.2">
      <c r="A860" t="s">
        <v>2678</v>
      </c>
      <c r="B860" t="s">
        <v>2693</v>
      </c>
      <c r="C860" t="s">
        <v>2694</v>
      </c>
      <c r="D860" t="s">
        <v>2692</v>
      </c>
      <c r="E860" t="s">
        <v>2686</v>
      </c>
      <c r="F860" t="s">
        <v>1599</v>
      </c>
      <c r="G860" s="1">
        <v>15</v>
      </c>
      <c r="H860" s="1">
        <v>6</v>
      </c>
      <c r="I860" t="s">
        <v>444</v>
      </c>
      <c r="K860" t="s">
        <v>2677</v>
      </c>
      <c r="L860" s="1">
        <v>1</v>
      </c>
      <c r="M860" s="3">
        <v>12.17</v>
      </c>
      <c r="N860" s="3">
        <v>0.61</v>
      </c>
      <c r="O860" s="3">
        <v>0</v>
      </c>
      <c r="P860" s="3">
        <v>0.4</v>
      </c>
      <c r="Q860" s="3">
        <v>13.18</v>
      </c>
      <c r="R860" s="3">
        <v>10.199999999999999</v>
      </c>
      <c r="S860" s="3">
        <f>VLOOKUP(C860,[1]page!$C$2:$M$3071,11,0)</f>
        <v>14</v>
      </c>
      <c r="T860" s="6">
        <f t="shared" si="13"/>
        <v>-1.83</v>
      </c>
    </row>
    <row r="861" spans="1:20" x14ac:dyDescent="0.2">
      <c r="A861" t="s">
        <v>2695</v>
      </c>
      <c r="B861" t="s">
        <v>2696</v>
      </c>
      <c r="C861" t="s">
        <v>2697</v>
      </c>
      <c r="D861" t="s">
        <v>2698</v>
      </c>
      <c r="E861" t="s">
        <v>2699</v>
      </c>
      <c r="F861" t="s">
        <v>23</v>
      </c>
      <c r="G861" s="1">
        <v>20</v>
      </c>
      <c r="H861" s="1">
        <v>12</v>
      </c>
      <c r="I861" t="s">
        <v>2700</v>
      </c>
      <c r="K861" t="s">
        <v>2677</v>
      </c>
      <c r="L861" s="1">
        <v>1</v>
      </c>
      <c r="M861" s="3">
        <v>8.82</v>
      </c>
      <c r="N861" s="3">
        <v>0.44</v>
      </c>
      <c r="O861" s="3">
        <v>0</v>
      </c>
      <c r="P861" s="3">
        <v>0.1</v>
      </c>
      <c r="Q861" s="3">
        <v>9.36</v>
      </c>
      <c r="R861" s="3">
        <v>10.75</v>
      </c>
      <c r="S861" s="3">
        <f>VLOOKUP(C861,[1]page!$C$2:$M$3071,11,0)</f>
        <v>8.82</v>
      </c>
      <c r="T861" s="6">
        <f t="shared" si="13"/>
        <v>0</v>
      </c>
    </row>
    <row r="862" spans="1:20" x14ac:dyDescent="0.2">
      <c r="A862" t="s">
        <v>2701</v>
      </c>
      <c r="B862" t="s">
        <v>2702</v>
      </c>
      <c r="C862" t="s">
        <v>2703</v>
      </c>
      <c r="D862" t="s">
        <v>2704</v>
      </c>
      <c r="E862" t="s">
        <v>2705</v>
      </c>
      <c r="F862" t="s">
        <v>23</v>
      </c>
      <c r="G862" s="1">
        <v>20</v>
      </c>
      <c r="H862" s="1">
        <v>12</v>
      </c>
      <c r="I862" t="s">
        <v>728</v>
      </c>
      <c r="K862" t="s">
        <v>2706</v>
      </c>
      <c r="L862" s="1">
        <v>1</v>
      </c>
      <c r="M862" s="3">
        <v>20.73</v>
      </c>
      <c r="N862" s="3">
        <v>1.04</v>
      </c>
      <c r="O862" s="3">
        <v>0</v>
      </c>
      <c r="P862" s="3">
        <v>0.2</v>
      </c>
      <c r="Q862" s="3">
        <v>21.97</v>
      </c>
      <c r="R862" s="3">
        <v>10.75</v>
      </c>
      <c r="S862" s="3">
        <f>VLOOKUP(C862,[1]page!$C$2:$M$3071,11,0)</f>
        <v>20.71</v>
      </c>
      <c r="T862" s="6">
        <f t="shared" si="13"/>
        <v>1.9999999999999574E-2</v>
      </c>
    </row>
    <row r="863" spans="1:20" x14ac:dyDescent="0.2">
      <c r="A863" t="s">
        <v>2707</v>
      </c>
      <c r="B863" t="s">
        <v>2708</v>
      </c>
      <c r="C863" t="s">
        <v>2709</v>
      </c>
      <c r="D863" t="s">
        <v>2710</v>
      </c>
      <c r="E863" t="s">
        <v>2711</v>
      </c>
      <c r="F863" t="s">
        <v>23</v>
      </c>
      <c r="G863" s="1">
        <v>20</v>
      </c>
      <c r="H863" s="1">
        <v>12</v>
      </c>
      <c r="I863" t="s">
        <v>57</v>
      </c>
      <c r="K863" t="s">
        <v>2712</v>
      </c>
      <c r="L863" s="1">
        <v>1</v>
      </c>
      <c r="M863" s="3">
        <v>29.06</v>
      </c>
      <c r="N863" s="3">
        <v>1.45</v>
      </c>
      <c r="O863" s="3">
        <v>0</v>
      </c>
      <c r="P863" s="3">
        <v>0.2</v>
      </c>
      <c r="Q863" s="3">
        <v>30.71</v>
      </c>
      <c r="R863" s="3">
        <v>10.75</v>
      </c>
      <c r="S863" s="3">
        <f>VLOOKUP(C863,[1]page!$C$2:$M$3071,11,0)</f>
        <v>29.03</v>
      </c>
      <c r="T863" s="6">
        <f t="shared" si="13"/>
        <v>2.9999999999997584E-2</v>
      </c>
    </row>
    <row r="864" spans="1:20" x14ac:dyDescent="0.2">
      <c r="A864" t="s">
        <v>2707</v>
      </c>
      <c r="B864" t="s">
        <v>2713</v>
      </c>
      <c r="C864" t="s">
        <v>2714</v>
      </c>
      <c r="D864" t="s">
        <v>2715</v>
      </c>
      <c r="E864" t="s">
        <v>2705</v>
      </c>
      <c r="F864" t="s">
        <v>23</v>
      </c>
      <c r="G864" s="1">
        <v>20</v>
      </c>
      <c r="H864" s="1">
        <v>12</v>
      </c>
      <c r="I864" t="s">
        <v>728</v>
      </c>
      <c r="K864" t="s">
        <v>2677</v>
      </c>
      <c r="L864" s="1">
        <v>1</v>
      </c>
      <c r="M864" s="3">
        <v>45.6</v>
      </c>
      <c r="N864" s="3">
        <v>2.2799999999999998</v>
      </c>
      <c r="O864" s="3">
        <v>0</v>
      </c>
      <c r="P864" s="3">
        <v>0.2</v>
      </c>
      <c r="Q864" s="3">
        <v>48.08</v>
      </c>
      <c r="R864" s="3">
        <v>10.75</v>
      </c>
      <c r="S864" s="3">
        <f>VLOOKUP(C864,[1]page!$C$2:$M$3071,11,0)</f>
        <v>45.59</v>
      </c>
      <c r="T864" s="6">
        <f t="shared" si="13"/>
        <v>9.9999999999980105E-3</v>
      </c>
    </row>
    <row r="865" spans="1:20" x14ac:dyDescent="0.2">
      <c r="A865" t="s">
        <v>2707</v>
      </c>
      <c r="B865" t="s">
        <v>2716</v>
      </c>
      <c r="C865" t="s">
        <v>2717</v>
      </c>
      <c r="D865" t="s">
        <v>2718</v>
      </c>
      <c r="E865" t="s">
        <v>2705</v>
      </c>
      <c r="F865" t="s">
        <v>23</v>
      </c>
      <c r="G865" s="1">
        <v>20</v>
      </c>
      <c r="H865" s="1">
        <v>12</v>
      </c>
      <c r="I865" t="s">
        <v>728</v>
      </c>
      <c r="K865" t="s">
        <v>2677</v>
      </c>
      <c r="L865" s="1">
        <v>1</v>
      </c>
      <c r="M865" s="3">
        <v>75.48</v>
      </c>
      <c r="N865" s="3">
        <v>3.77</v>
      </c>
      <c r="O865" s="3">
        <v>0</v>
      </c>
      <c r="P865" s="3">
        <v>0.2</v>
      </c>
      <c r="Q865" s="3">
        <v>79.45</v>
      </c>
      <c r="R865" s="3">
        <v>10.75</v>
      </c>
      <c r="S865" s="3">
        <f>VLOOKUP(C865,[1]page!$C$2:$M$3071,11,0)</f>
        <v>75.459999999999994</v>
      </c>
      <c r="T865" s="6">
        <f t="shared" si="13"/>
        <v>2.0000000000010232E-2</v>
      </c>
    </row>
    <row r="866" spans="1:20" x14ac:dyDescent="0.2">
      <c r="A866" t="s">
        <v>2707</v>
      </c>
      <c r="B866" t="s">
        <v>2719</v>
      </c>
      <c r="C866" t="s">
        <v>2720</v>
      </c>
      <c r="D866" t="s">
        <v>2721</v>
      </c>
      <c r="E866" t="s">
        <v>2705</v>
      </c>
      <c r="F866" t="s">
        <v>23</v>
      </c>
      <c r="G866" s="1">
        <v>20</v>
      </c>
      <c r="H866" s="1">
        <v>12</v>
      </c>
      <c r="I866" t="s">
        <v>728</v>
      </c>
      <c r="K866" t="s">
        <v>2677</v>
      </c>
      <c r="L866" s="1">
        <v>1</v>
      </c>
      <c r="M866" s="3">
        <v>22.12</v>
      </c>
      <c r="N866" s="3">
        <v>1.1100000000000001</v>
      </c>
      <c r="O866" s="3">
        <v>0</v>
      </c>
      <c r="P866" s="3">
        <v>0.2</v>
      </c>
      <c r="Q866" s="3">
        <v>23.43</v>
      </c>
      <c r="R866" s="3">
        <v>10.75</v>
      </c>
      <c r="S866" s="3">
        <f>VLOOKUP(C866,[1]page!$C$2:$M$3071,11,0)</f>
        <v>22.1</v>
      </c>
      <c r="T866" s="6">
        <f t="shared" si="13"/>
        <v>1.9999999999999574E-2</v>
      </c>
    </row>
    <row r="867" spans="1:20" x14ac:dyDescent="0.2">
      <c r="A867" t="s">
        <v>2707</v>
      </c>
      <c r="B867" t="s">
        <v>2722</v>
      </c>
      <c r="C867" t="s">
        <v>2723</v>
      </c>
      <c r="D867" t="s">
        <v>2724</v>
      </c>
      <c r="E867" t="s">
        <v>2705</v>
      </c>
      <c r="F867" t="s">
        <v>23</v>
      </c>
      <c r="G867" s="1">
        <v>20</v>
      </c>
      <c r="H867" s="1">
        <v>12</v>
      </c>
      <c r="I867" t="s">
        <v>728</v>
      </c>
      <c r="K867" t="s">
        <v>2677</v>
      </c>
      <c r="L867" s="1">
        <v>1</v>
      </c>
      <c r="M867" s="3">
        <v>27.35</v>
      </c>
      <c r="N867" s="3">
        <v>1.37</v>
      </c>
      <c r="O867" s="3">
        <v>0</v>
      </c>
      <c r="P867" s="3">
        <v>0.2</v>
      </c>
      <c r="Q867" s="3">
        <v>28.92</v>
      </c>
      <c r="R867" s="3">
        <v>10.75</v>
      </c>
      <c r="S867" s="3">
        <f>VLOOKUP(C867,[1]page!$C$2:$M$3071,11,0)</f>
        <v>27.33</v>
      </c>
      <c r="T867" s="6">
        <f t="shared" si="13"/>
        <v>2.0000000000003126E-2</v>
      </c>
    </row>
    <row r="868" spans="1:20" x14ac:dyDescent="0.2">
      <c r="A868" t="s">
        <v>2725</v>
      </c>
      <c r="B868" t="s">
        <v>2726</v>
      </c>
      <c r="C868" t="s">
        <v>2727</v>
      </c>
      <c r="D868" t="s">
        <v>2728</v>
      </c>
      <c r="E868" t="s">
        <v>2729</v>
      </c>
      <c r="F868" t="s">
        <v>23</v>
      </c>
      <c r="G868" s="2">
        <v>17.5</v>
      </c>
      <c r="H868" s="1">
        <v>12</v>
      </c>
      <c r="I868" t="s">
        <v>183</v>
      </c>
      <c r="K868" t="s">
        <v>2712</v>
      </c>
      <c r="L868" s="1">
        <v>1</v>
      </c>
      <c r="M868" s="3">
        <v>11.34</v>
      </c>
      <c r="N868" s="3">
        <v>0.56999999999999995</v>
      </c>
      <c r="O868" s="3">
        <v>0</v>
      </c>
      <c r="P868" s="3">
        <v>0.2</v>
      </c>
      <c r="Q868" s="3">
        <v>12.11</v>
      </c>
      <c r="R868" s="3">
        <v>10.75</v>
      </c>
      <c r="S868" s="3">
        <f>VLOOKUP(C868,[1]page!$C$2:$M$3071,11,0)</f>
        <v>11.31</v>
      </c>
      <c r="T868" s="6">
        <f t="shared" si="13"/>
        <v>2.9999999999999361E-2</v>
      </c>
    </row>
    <row r="869" spans="1:20" x14ac:dyDescent="0.2">
      <c r="A869" t="s">
        <v>2730</v>
      </c>
      <c r="B869" t="s">
        <v>2731</v>
      </c>
      <c r="C869" t="s">
        <v>2732</v>
      </c>
      <c r="D869" t="s">
        <v>2733</v>
      </c>
      <c r="E869" t="s">
        <v>2699</v>
      </c>
      <c r="F869" t="s">
        <v>23</v>
      </c>
      <c r="G869" s="1">
        <v>20</v>
      </c>
      <c r="H869" s="1">
        <v>12</v>
      </c>
      <c r="I869" t="s">
        <v>2700</v>
      </c>
      <c r="K869" t="s">
        <v>2677</v>
      </c>
      <c r="L869" s="1">
        <v>1</v>
      </c>
      <c r="M869" s="3">
        <v>9.19</v>
      </c>
      <c r="N869" s="3">
        <v>0.46</v>
      </c>
      <c r="O869" s="3">
        <v>0</v>
      </c>
      <c r="P869" s="3">
        <v>0.1</v>
      </c>
      <c r="Q869" s="3">
        <v>9.75</v>
      </c>
      <c r="R869" s="3">
        <v>10.75</v>
      </c>
      <c r="S869" s="3">
        <f>VLOOKUP(C869,[1]page!$C$2:$M$3071,11,0)</f>
        <v>9.19</v>
      </c>
      <c r="T869" s="6">
        <f t="shared" si="13"/>
        <v>0</v>
      </c>
    </row>
    <row r="870" spans="1:20" x14ac:dyDescent="0.2">
      <c r="A870" t="s">
        <v>2730</v>
      </c>
      <c r="B870" t="s">
        <v>2734</v>
      </c>
      <c r="C870" t="s">
        <v>2735</v>
      </c>
      <c r="D870" t="s">
        <v>2736</v>
      </c>
      <c r="E870" t="s">
        <v>2699</v>
      </c>
      <c r="F870" t="s">
        <v>2737</v>
      </c>
      <c r="G870" s="1">
        <v>20</v>
      </c>
      <c r="H870" s="1">
        <v>6</v>
      </c>
      <c r="I870" t="s">
        <v>2700</v>
      </c>
      <c r="K870" t="s">
        <v>2677</v>
      </c>
      <c r="L870" s="1">
        <v>1</v>
      </c>
      <c r="M870" s="3">
        <v>16.12</v>
      </c>
      <c r="N870" s="3">
        <v>0.81</v>
      </c>
      <c r="O870" s="3">
        <v>0</v>
      </c>
      <c r="P870" s="3">
        <v>0.4</v>
      </c>
      <c r="Q870" s="3">
        <v>17.329999999999998</v>
      </c>
      <c r="R870" s="3">
        <v>19.55</v>
      </c>
      <c r="S870" s="3">
        <f>VLOOKUP(C870,[1]page!$C$2:$M$3071,11,0)</f>
        <v>16.12</v>
      </c>
      <c r="T870" s="6">
        <f t="shared" si="13"/>
        <v>0</v>
      </c>
    </row>
    <row r="871" spans="1:20" x14ac:dyDescent="0.2">
      <c r="A871" t="s">
        <v>2730</v>
      </c>
      <c r="B871" t="s">
        <v>2738</v>
      </c>
      <c r="C871" t="s">
        <v>2739</v>
      </c>
      <c r="D871" t="s">
        <v>2740</v>
      </c>
      <c r="E871" t="s">
        <v>2741</v>
      </c>
      <c r="F871" t="s">
        <v>23</v>
      </c>
      <c r="G871" s="1">
        <v>20</v>
      </c>
      <c r="H871" s="1">
        <v>12</v>
      </c>
      <c r="I871" t="s">
        <v>2700</v>
      </c>
      <c r="K871" t="s">
        <v>2712</v>
      </c>
      <c r="L871" s="1">
        <v>1</v>
      </c>
      <c r="M871" s="3">
        <v>9.15</v>
      </c>
      <c r="N871" s="3">
        <v>0.46</v>
      </c>
      <c r="O871" s="3">
        <v>0</v>
      </c>
      <c r="P871" s="3">
        <v>0.1</v>
      </c>
      <c r="Q871" s="3">
        <v>9.7100000000000009</v>
      </c>
      <c r="R871" s="3">
        <v>10.75</v>
      </c>
      <c r="S871" s="3">
        <f>VLOOKUP(C871,[1]page!$C$2:$M$3071,11,0)</f>
        <v>9.15</v>
      </c>
      <c r="T871" s="6">
        <f t="shared" si="13"/>
        <v>0</v>
      </c>
    </row>
    <row r="872" spans="1:20" x14ac:dyDescent="0.2">
      <c r="A872" t="s">
        <v>2730</v>
      </c>
      <c r="B872" t="s">
        <v>2742</v>
      </c>
      <c r="C872" t="s">
        <v>2743</v>
      </c>
      <c r="D872" t="s">
        <v>2744</v>
      </c>
      <c r="E872" t="s">
        <v>2741</v>
      </c>
      <c r="F872" t="s">
        <v>23</v>
      </c>
      <c r="G872" s="1">
        <v>20</v>
      </c>
      <c r="H872" s="1">
        <v>12</v>
      </c>
      <c r="I872" t="s">
        <v>2700</v>
      </c>
      <c r="K872" t="s">
        <v>2712</v>
      </c>
      <c r="L872" s="1">
        <v>1</v>
      </c>
      <c r="M872" s="3">
        <v>9.15</v>
      </c>
      <c r="N872" s="3">
        <v>0.46</v>
      </c>
      <c r="O872" s="3">
        <v>0</v>
      </c>
      <c r="P872" s="3">
        <v>0.1</v>
      </c>
      <c r="Q872" s="3">
        <v>9.7100000000000009</v>
      </c>
      <c r="R872" s="3">
        <v>10.75</v>
      </c>
      <c r="S872" s="3">
        <f>VLOOKUP(C872,[1]page!$C$2:$M$3071,11,0)</f>
        <v>9.15</v>
      </c>
      <c r="T872" s="6">
        <f t="shared" si="13"/>
        <v>0</v>
      </c>
    </row>
    <row r="873" spans="1:20" x14ac:dyDescent="0.2">
      <c r="A873" t="s">
        <v>2745</v>
      </c>
      <c r="B873" t="s">
        <v>2746</v>
      </c>
      <c r="C873" t="s">
        <v>2747</v>
      </c>
      <c r="D873" t="s">
        <v>2748</v>
      </c>
      <c r="E873" t="s">
        <v>2749</v>
      </c>
      <c r="F873" t="s">
        <v>23</v>
      </c>
      <c r="G873" s="2">
        <v>17.5</v>
      </c>
      <c r="H873" s="1">
        <v>12</v>
      </c>
      <c r="I873" t="s">
        <v>57</v>
      </c>
      <c r="K873" t="s">
        <v>2677</v>
      </c>
      <c r="L873" s="1">
        <v>1</v>
      </c>
      <c r="M873" s="3">
        <v>21.03</v>
      </c>
      <c r="N873" s="3">
        <v>1.05</v>
      </c>
      <c r="O873" s="3">
        <v>0</v>
      </c>
      <c r="P873" s="3">
        <v>0.2</v>
      </c>
      <c r="Q873" s="3">
        <v>22.28</v>
      </c>
      <c r="R873" s="3">
        <v>10.75</v>
      </c>
      <c r="S873" s="3">
        <f>VLOOKUP(C873,[1]page!$C$2:$M$3071,11,0)</f>
        <v>21</v>
      </c>
      <c r="T873" s="6">
        <f t="shared" si="13"/>
        <v>3.0000000000001137E-2</v>
      </c>
    </row>
    <row r="874" spans="1:20" x14ac:dyDescent="0.2">
      <c r="A874" t="s">
        <v>2745</v>
      </c>
      <c r="B874" t="s">
        <v>2750</v>
      </c>
      <c r="C874" t="s">
        <v>2751</v>
      </c>
      <c r="D874" t="s">
        <v>2752</v>
      </c>
      <c r="E874" t="s">
        <v>2753</v>
      </c>
      <c r="F874" t="s">
        <v>23</v>
      </c>
      <c r="G874" s="2">
        <v>19.5</v>
      </c>
      <c r="H874" s="1">
        <v>12</v>
      </c>
      <c r="I874" t="s">
        <v>183</v>
      </c>
      <c r="K874" t="s">
        <v>2687</v>
      </c>
      <c r="L874" s="1">
        <v>1</v>
      </c>
      <c r="M874" s="3">
        <v>15.62</v>
      </c>
      <c r="N874" s="3">
        <v>0.78</v>
      </c>
      <c r="O874" s="3">
        <v>0</v>
      </c>
      <c r="P874" s="3">
        <v>0.2</v>
      </c>
      <c r="Q874" s="3">
        <v>16.600000000000001</v>
      </c>
      <c r="R874" s="3">
        <v>10.75</v>
      </c>
      <c r="S874" s="3">
        <f>VLOOKUP(C874,[1]page!$C$2:$M$3071,11,0)</f>
        <v>15.59</v>
      </c>
      <c r="T874" s="6">
        <f t="shared" si="13"/>
        <v>2.9999999999999361E-2</v>
      </c>
    </row>
    <row r="875" spans="1:20" x14ac:dyDescent="0.2">
      <c r="A875" t="s">
        <v>2754</v>
      </c>
      <c r="B875" t="s">
        <v>2755</v>
      </c>
      <c r="C875" t="s">
        <v>2756</v>
      </c>
      <c r="D875" t="s">
        <v>2757</v>
      </c>
      <c r="E875" t="s">
        <v>2758</v>
      </c>
      <c r="F875" t="s">
        <v>23</v>
      </c>
      <c r="G875" s="1">
        <v>18</v>
      </c>
      <c r="H875" s="1">
        <v>12</v>
      </c>
      <c r="I875" t="s">
        <v>2759</v>
      </c>
      <c r="K875" t="s">
        <v>2706</v>
      </c>
      <c r="L875" s="1">
        <v>1</v>
      </c>
      <c r="M875" s="3">
        <v>19.75</v>
      </c>
      <c r="N875" s="3">
        <v>0.99</v>
      </c>
      <c r="O875" s="3">
        <v>0</v>
      </c>
      <c r="P875" s="3">
        <v>0.2</v>
      </c>
      <c r="Q875" s="3">
        <v>20.94</v>
      </c>
      <c r="R875" s="3">
        <v>10.75</v>
      </c>
      <c r="S875" s="3">
        <f>VLOOKUP(C875,[1]page!$C$2:$M$3071,11,0)</f>
        <v>19.73</v>
      </c>
      <c r="T875" s="6">
        <f t="shared" si="13"/>
        <v>1.9999999999999574E-2</v>
      </c>
    </row>
    <row r="876" spans="1:20" x14ac:dyDescent="0.2">
      <c r="A876" t="s">
        <v>2760</v>
      </c>
      <c r="B876" t="s">
        <v>2761</v>
      </c>
      <c r="C876" t="s">
        <v>2762</v>
      </c>
      <c r="D876" t="s">
        <v>2763</v>
      </c>
      <c r="E876" t="s">
        <v>2764</v>
      </c>
      <c r="F876" t="s">
        <v>23</v>
      </c>
      <c r="G876" s="2">
        <v>10.5</v>
      </c>
      <c r="H876" s="1">
        <v>12</v>
      </c>
      <c r="I876" t="s">
        <v>1604</v>
      </c>
      <c r="K876" t="s">
        <v>2677</v>
      </c>
      <c r="L876" s="1">
        <v>1</v>
      </c>
      <c r="M876" s="3">
        <v>10.16</v>
      </c>
      <c r="N876" s="3">
        <v>0.51</v>
      </c>
      <c r="O876" s="3">
        <v>0</v>
      </c>
      <c r="P876" s="3">
        <v>0.2</v>
      </c>
      <c r="Q876" s="3">
        <v>10.87</v>
      </c>
      <c r="R876" s="3">
        <v>7.95</v>
      </c>
      <c r="S876" s="3">
        <f>VLOOKUP(C876,[1]page!$C$2:$M$3071,11,0)</f>
        <v>10.130000000000001</v>
      </c>
      <c r="T876" s="6">
        <f t="shared" si="13"/>
        <v>2.9999999999999361E-2</v>
      </c>
    </row>
    <row r="877" spans="1:20" x14ac:dyDescent="0.2">
      <c r="A877" t="s">
        <v>2760</v>
      </c>
      <c r="B877" t="s">
        <v>2765</v>
      </c>
      <c r="C877" t="s">
        <v>2766</v>
      </c>
      <c r="D877" t="s">
        <v>2767</v>
      </c>
      <c r="E877" t="s">
        <v>2768</v>
      </c>
      <c r="F877" t="s">
        <v>23</v>
      </c>
      <c r="G877" s="1">
        <v>11</v>
      </c>
      <c r="H877" s="1">
        <v>12</v>
      </c>
      <c r="I877" t="s">
        <v>39</v>
      </c>
      <c r="K877" t="s">
        <v>2677</v>
      </c>
      <c r="L877" s="1">
        <v>1</v>
      </c>
      <c r="M877" s="3">
        <v>8.09</v>
      </c>
      <c r="N877" s="3">
        <v>0.4</v>
      </c>
      <c r="O877" s="3">
        <v>0</v>
      </c>
      <c r="P877" s="3">
        <v>0.2</v>
      </c>
      <c r="Q877" s="3">
        <v>8.69</v>
      </c>
      <c r="R877" s="3">
        <v>7.95</v>
      </c>
      <c r="S877" s="3">
        <f>VLOOKUP(C877,[1]page!$C$2:$M$3071,11,0)</f>
        <v>8.07</v>
      </c>
      <c r="T877" s="6">
        <f t="shared" si="13"/>
        <v>1.9999999999999574E-2</v>
      </c>
    </row>
    <row r="878" spans="1:20" x14ac:dyDescent="0.2">
      <c r="A878" t="s">
        <v>2769</v>
      </c>
      <c r="B878" t="s">
        <v>2770</v>
      </c>
      <c r="C878" t="s">
        <v>2771</v>
      </c>
      <c r="D878" t="s">
        <v>2772</v>
      </c>
      <c r="E878" t="s">
        <v>2699</v>
      </c>
      <c r="F878" t="s">
        <v>23</v>
      </c>
      <c r="G878" s="1">
        <v>6</v>
      </c>
      <c r="H878" s="1">
        <v>12</v>
      </c>
      <c r="I878" t="s">
        <v>2700</v>
      </c>
      <c r="K878" t="s">
        <v>2773</v>
      </c>
      <c r="L878" s="1">
        <v>1</v>
      </c>
      <c r="M878" s="3">
        <v>9.26</v>
      </c>
      <c r="N878" s="3">
        <v>0.46</v>
      </c>
      <c r="O878" s="3">
        <v>0</v>
      </c>
      <c r="P878" s="3">
        <v>0.2</v>
      </c>
      <c r="Q878" s="3">
        <v>9.92</v>
      </c>
      <c r="R878" s="3">
        <v>7.95</v>
      </c>
      <c r="S878" s="3">
        <f>VLOOKUP(C878,[1]page!$C$2:$M$3071,11,0)</f>
        <v>9.26</v>
      </c>
      <c r="T878" s="6">
        <f t="shared" si="13"/>
        <v>0</v>
      </c>
    </row>
    <row r="879" spans="1:20" x14ac:dyDescent="0.2">
      <c r="A879" t="s">
        <v>2769</v>
      </c>
      <c r="B879" t="s">
        <v>2774</v>
      </c>
      <c r="C879" t="s">
        <v>2775</v>
      </c>
      <c r="D879" t="s">
        <v>2776</v>
      </c>
      <c r="E879" t="s">
        <v>2777</v>
      </c>
      <c r="F879" t="s">
        <v>2737</v>
      </c>
      <c r="G879" s="2">
        <v>6.5</v>
      </c>
      <c r="H879" s="1">
        <v>6</v>
      </c>
      <c r="I879" t="s">
        <v>449</v>
      </c>
      <c r="K879" t="s">
        <v>2677</v>
      </c>
      <c r="L879" s="1">
        <v>1</v>
      </c>
      <c r="M879" s="3">
        <v>14.02</v>
      </c>
      <c r="N879" s="3">
        <v>0.7</v>
      </c>
      <c r="O879" s="3">
        <v>0</v>
      </c>
      <c r="P879" s="3">
        <v>0.4</v>
      </c>
      <c r="Q879" s="3">
        <v>15.12</v>
      </c>
      <c r="R879" s="3">
        <v>14.45</v>
      </c>
      <c r="S879" s="3">
        <f>VLOOKUP(C879,[1]page!$C$2:$M$3071,11,0)</f>
        <v>14.02</v>
      </c>
      <c r="T879" s="6">
        <f t="shared" si="13"/>
        <v>0</v>
      </c>
    </row>
    <row r="880" spans="1:20" x14ac:dyDescent="0.2">
      <c r="A880" t="s">
        <v>2778</v>
      </c>
      <c r="B880" t="s">
        <v>2779</v>
      </c>
      <c r="C880" t="s">
        <v>2780</v>
      </c>
      <c r="D880" t="s">
        <v>2781</v>
      </c>
      <c r="E880" t="s">
        <v>2699</v>
      </c>
      <c r="F880" t="s">
        <v>23</v>
      </c>
      <c r="G880" s="1">
        <v>6</v>
      </c>
      <c r="H880" s="1">
        <v>12</v>
      </c>
      <c r="I880" t="s">
        <v>2700</v>
      </c>
      <c r="K880" t="s">
        <v>2773</v>
      </c>
      <c r="L880" s="1">
        <v>1</v>
      </c>
      <c r="M880" s="3">
        <v>9.26</v>
      </c>
      <c r="N880" s="3">
        <v>0.46</v>
      </c>
      <c r="O880" s="3">
        <v>0</v>
      </c>
      <c r="P880" s="3">
        <v>0.2</v>
      </c>
      <c r="Q880" s="3">
        <v>9.92</v>
      </c>
      <c r="R880" s="3">
        <v>7.95</v>
      </c>
      <c r="S880" s="3">
        <f>VLOOKUP(C880,[1]page!$C$2:$M$3071,11,0)</f>
        <v>9.26</v>
      </c>
      <c r="T880" s="6">
        <f t="shared" si="13"/>
        <v>0</v>
      </c>
    </row>
    <row r="881" spans="1:20" x14ac:dyDescent="0.2">
      <c r="A881" t="s">
        <v>2782</v>
      </c>
      <c r="B881" t="s">
        <v>2783</v>
      </c>
      <c r="C881" t="s">
        <v>2784</v>
      </c>
      <c r="D881" t="s">
        <v>2785</v>
      </c>
      <c r="E881" t="s">
        <v>2786</v>
      </c>
      <c r="F881" t="s">
        <v>23</v>
      </c>
      <c r="G881" s="2">
        <v>5.9</v>
      </c>
      <c r="H881" s="1">
        <v>12</v>
      </c>
      <c r="I881" t="s">
        <v>2179</v>
      </c>
      <c r="K881" t="s">
        <v>2773</v>
      </c>
      <c r="L881" s="1">
        <v>1</v>
      </c>
      <c r="M881" s="3">
        <v>11.57</v>
      </c>
      <c r="N881" s="3">
        <v>0.57999999999999996</v>
      </c>
      <c r="O881" s="3">
        <v>0</v>
      </c>
      <c r="P881" s="3">
        <v>0.2</v>
      </c>
      <c r="Q881" s="3">
        <v>12.35</v>
      </c>
      <c r="R881" s="3">
        <v>7.95</v>
      </c>
      <c r="S881" s="3">
        <f>VLOOKUP(C881,[1]page!$C$2:$M$3071,11,0)</f>
        <v>11.56</v>
      </c>
      <c r="T881" s="6">
        <f t="shared" ref="T881:T941" si="14">SUM(M881-S881)</f>
        <v>9.9999999999997868E-3</v>
      </c>
    </row>
    <row r="882" spans="1:20" x14ac:dyDescent="0.2">
      <c r="A882" t="s">
        <v>2787</v>
      </c>
      <c r="B882" t="s">
        <v>2788</v>
      </c>
      <c r="C882" t="s">
        <v>2789</v>
      </c>
      <c r="D882" t="s">
        <v>2790</v>
      </c>
      <c r="E882" t="s">
        <v>2791</v>
      </c>
      <c r="F882" t="s">
        <v>23</v>
      </c>
      <c r="G882" s="1">
        <v>5</v>
      </c>
      <c r="H882" s="1">
        <v>12</v>
      </c>
      <c r="I882" t="s">
        <v>1604</v>
      </c>
      <c r="K882" t="s">
        <v>2773</v>
      </c>
      <c r="L882" s="1">
        <v>1</v>
      </c>
      <c r="M882" s="3">
        <v>10.8</v>
      </c>
      <c r="N882" s="3">
        <v>0.54</v>
      </c>
      <c r="O882" s="3">
        <v>0</v>
      </c>
      <c r="P882" s="3">
        <v>0.2</v>
      </c>
      <c r="Q882" s="3">
        <v>11.54</v>
      </c>
      <c r="R882" s="3">
        <v>7.95</v>
      </c>
      <c r="S882" s="3">
        <f>VLOOKUP(C882,[1]page!$C$2:$M$3071,11,0)</f>
        <v>10.79</v>
      </c>
      <c r="T882" s="6">
        <f t="shared" si="14"/>
        <v>1.0000000000001563E-2</v>
      </c>
    </row>
    <row r="883" spans="1:20" x14ac:dyDescent="0.2">
      <c r="A883" t="s">
        <v>2792</v>
      </c>
      <c r="B883" t="s">
        <v>2793</v>
      </c>
      <c r="C883" t="s">
        <v>2794</v>
      </c>
      <c r="D883" t="s">
        <v>2795</v>
      </c>
      <c r="E883" t="s">
        <v>2791</v>
      </c>
      <c r="F883" t="s">
        <v>23</v>
      </c>
      <c r="G883" s="1">
        <v>5</v>
      </c>
      <c r="H883" s="1">
        <v>12</v>
      </c>
      <c r="I883" t="s">
        <v>1604</v>
      </c>
      <c r="K883" t="s">
        <v>2773</v>
      </c>
      <c r="L883" s="1">
        <v>1</v>
      </c>
      <c r="M883" s="3">
        <v>10.8</v>
      </c>
      <c r="N883" s="3">
        <v>0.54</v>
      </c>
      <c r="O883" s="3">
        <v>0</v>
      </c>
      <c r="P883" s="3">
        <v>0.2</v>
      </c>
      <c r="Q883" s="3">
        <v>11.54</v>
      </c>
      <c r="R883" s="3">
        <v>7.95</v>
      </c>
      <c r="S883" s="3">
        <f>VLOOKUP(C883,[1]page!$C$2:$M$3071,11,0)</f>
        <v>10.79</v>
      </c>
      <c r="T883" s="6">
        <f t="shared" si="14"/>
        <v>1.0000000000001563E-2</v>
      </c>
    </row>
    <row r="884" spans="1:20" x14ac:dyDescent="0.2">
      <c r="A884" t="s">
        <v>2796</v>
      </c>
      <c r="B884" t="s">
        <v>2797</v>
      </c>
      <c r="C884" t="s">
        <v>2798</v>
      </c>
      <c r="D884" t="s">
        <v>2799</v>
      </c>
      <c r="E884" t="s">
        <v>2800</v>
      </c>
      <c r="F884" t="s">
        <v>2801</v>
      </c>
      <c r="G884" s="1">
        <v>15</v>
      </c>
      <c r="H884" s="1">
        <v>12</v>
      </c>
      <c r="I884" t="s">
        <v>2802</v>
      </c>
      <c r="K884" t="s">
        <v>2706</v>
      </c>
      <c r="L884" s="1">
        <v>1</v>
      </c>
      <c r="M884" s="3">
        <v>11.03</v>
      </c>
      <c r="N884" s="3">
        <v>0.55000000000000004</v>
      </c>
      <c r="O884" s="3">
        <v>0</v>
      </c>
      <c r="P884" s="3">
        <v>0.2</v>
      </c>
      <c r="Q884" s="3">
        <v>11.78</v>
      </c>
      <c r="R884" s="3">
        <v>7.65</v>
      </c>
      <c r="S884" s="3">
        <f>VLOOKUP(C884,[1]page!$C$2:$M$3071,11,0)</f>
        <v>11.01</v>
      </c>
      <c r="T884" s="6">
        <f t="shared" si="14"/>
        <v>1.9999999999999574E-2</v>
      </c>
    </row>
    <row r="885" spans="1:20" x14ac:dyDescent="0.2">
      <c r="A885" t="s">
        <v>2803</v>
      </c>
      <c r="B885" t="s">
        <v>2804</v>
      </c>
      <c r="C885" t="s">
        <v>2805</v>
      </c>
      <c r="D885" t="s">
        <v>2806</v>
      </c>
      <c r="E885" t="s">
        <v>2077</v>
      </c>
      <c r="F885" t="s">
        <v>23</v>
      </c>
      <c r="G885" s="2">
        <v>7.5</v>
      </c>
      <c r="H885" s="1">
        <v>12</v>
      </c>
      <c r="I885" t="s">
        <v>1604</v>
      </c>
      <c r="K885" t="s">
        <v>2773</v>
      </c>
      <c r="L885" s="1">
        <v>1</v>
      </c>
      <c r="M885" s="3">
        <v>9.65</v>
      </c>
      <c r="N885" s="3">
        <v>0.48</v>
      </c>
      <c r="O885" s="3">
        <v>0</v>
      </c>
      <c r="P885" s="3">
        <v>0.2</v>
      </c>
      <c r="Q885" s="3">
        <v>10.33</v>
      </c>
      <c r="R885" s="3">
        <v>7.95</v>
      </c>
      <c r="S885" s="3">
        <f>VLOOKUP(C885,[1]page!$C$2:$M$3071,11,0)</f>
        <v>9.6300000000000008</v>
      </c>
      <c r="T885" s="6">
        <f t="shared" si="14"/>
        <v>1.9999999999999574E-2</v>
      </c>
    </row>
    <row r="886" spans="1:20" x14ac:dyDescent="0.2">
      <c r="A886" t="s">
        <v>2807</v>
      </c>
      <c r="B886" t="s">
        <v>2808</v>
      </c>
      <c r="C886" t="s">
        <v>2809</v>
      </c>
      <c r="D886" t="s">
        <v>2810</v>
      </c>
      <c r="E886" t="s">
        <v>2077</v>
      </c>
      <c r="F886" t="s">
        <v>23</v>
      </c>
      <c r="G886" s="2">
        <v>7.5</v>
      </c>
      <c r="H886" s="1">
        <v>12</v>
      </c>
      <c r="I886" t="s">
        <v>1604</v>
      </c>
      <c r="K886" t="s">
        <v>2773</v>
      </c>
      <c r="L886" s="1">
        <v>1</v>
      </c>
      <c r="M886" s="3">
        <v>9.65</v>
      </c>
      <c r="N886" s="3">
        <v>0.48</v>
      </c>
      <c r="O886" s="3">
        <v>0</v>
      </c>
      <c r="P886" s="3">
        <v>0.2</v>
      </c>
      <c r="Q886" s="3">
        <v>10.33</v>
      </c>
      <c r="R886" s="3">
        <v>7.95</v>
      </c>
      <c r="S886" s="3">
        <f>VLOOKUP(C886,[1]page!$C$2:$M$3071,11,0)</f>
        <v>9.6300000000000008</v>
      </c>
      <c r="T886" s="6">
        <f t="shared" si="14"/>
        <v>1.9999999999999574E-2</v>
      </c>
    </row>
    <row r="887" spans="1:20" x14ac:dyDescent="0.2">
      <c r="A887" t="s">
        <v>2811</v>
      </c>
      <c r="B887" t="s">
        <v>2812</v>
      </c>
      <c r="C887" t="s">
        <v>2813</v>
      </c>
      <c r="D887" t="s">
        <v>2814</v>
      </c>
      <c r="E887" t="s">
        <v>2815</v>
      </c>
      <c r="F887" t="s">
        <v>23</v>
      </c>
      <c r="G887" s="2">
        <v>15.6</v>
      </c>
      <c r="H887" s="1">
        <v>6</v>
      </c>
      <c r="I887" t="s">
        <v>257</v>
      </c>
      <c r="K887" t="s">
        <v>2706</v>
      </c>
      <c r="L887" s="1">
        <v>1</v>
      </c>
      <c r="M887" s="3">
        <v>20.14</v>
      </c>
      <c r="N887" s="3">
        <v>1.01</v>
      </c>
      <c r="O887" s="3">
        <v>0</v>
      </c>
      <c r="P887" s="3">
        <v>0.2</v>
      </c>
      <c r="Q887" s="3">
        <v>21.35</v>
      </c>
      <c r="R887" s="3">
        <v>7.95</v>
      </c>
      <c r="S887" s="3">
        <f>VLOOKUP(C887,[1]page!$C$2:$M$3071,11,0)</f>
        <v>20.12</v>
      </c>
      <c r="T887" s="6">
        <f t="shared" si="14"/>
        <v>1.9999999999999574E-2</v>
      </c>
    </row>
    <row r="888" spans="1:20" x14ac:dyDescent="0.2">
      <c r="A888" t="s">
        <v>2811</v>
      </c>
      <c r="B888" t="s">
        <v>2816</v>
      </c>
      <c r="C888" t="s">
        <v>2817</v>
      </c>
      <c r="D888" t="s">
        <v>2818</v>
      </c>
      <c r="E888" t="s">
        <v>2819</v>
      </c>
      <c r="F888" t="s">
        <v>23</v>
      </c>
      <c r="G888" s="2">
        <v>14.6</v>
      </c>
      <c r="H888" s="1">
        <v>12</v>
      </c>
      <c r="I888" t="s">
        <v>257</v>
      </c>
      <c r="K888" t="s">
        <v>2706</v>
      </c>
      <c r="L888" s="1">
        <v>1</v>
      </c>
      <c r="M888" s="3">
        <v>9.4499999999999993</v>
      </c>
      <c r="N888" s="3">
        <v>0.47</v>
      </c>
      <c r="O888" s="3">
        <v>0</v>
      </c>
      <c r="P888" s="3">
        <v>0.2</v>
      </c>
      <c r="Q888" s="3">
        <v>10.119999999999999</v>
      </c>
      <c r="R888" s="3">
        <v>7.95</v>
      </c>
      <c r="S888" s="3">
        <f>VLOOKUP(C888,[1]page!$C$2:$M$3071,11,0)</f>
        <v>9.33</v>
      </c>
      <c r="T888" s="6">
        <f t="shared" si="14"/>
        <v>0.11999999999999922</v>
      </c>
    </row>
    <row r="889" spans="1:20" x14ac:dyDescent="0.2">
      <c r="A889" t="s">
        <v>2820</v>
      </c>
      <c r="B889" t="s">
        <v>2821</v>
      </c>
      <c r="C889" t="s">
        <v>2822</v>
      </c>
      <c r="D889" t="s">
        <v>2823</v>
      </c>
      <c r="E889" t="s">
        <v>2768</v>
      </c>
      <c r="F889" t="s">
        <v>23</v>
      </c>
      <c r="G889" s="2">
        <v>6.5</v>
      </c>
      <c r="H889" s="1">
        <v>12</v>
      </c>
      <c r="I889" t="s">
        <v>57</v>
      </c>
      <c r="K889" t="s">
        <v>2677</v>
      </c>
      <c r="L889" s="1">
        <v>1</v>
      </c>
      <c r="M889" s="3">
        <v>9.75</v>
      </c>
      <c r="N889" s="3">
        <v>0.49</v>
      </c>
      <c r="O889" s="3">
        <v>0</v>
      </c>
      <c r="P889" s="3">
        <v>0.2</v>
      </c>
      <c r="Q889" s="3">
        <v>10.44</v>
      </c>
      <c r="R889" s="3">
        <v>7.95</v>
      </c>
      <c r="S889" s="3">
        <f>VLOOKUP(C889,[1]page!$C$2:$M$3071,11,0)</f>
        <v>9.7799999999999994</v>
      </c>
      <c r="T889" s="6">
        <f t="shared" si="14"/>
        <v>-2.9999999999999361E-2</v>
      </c>
    </row>
    <row r="890" spans="1:20" x14ac:dyDescent="0.2">
      <c r="A890" t="s">
        <v>2824</v>
      </c>
      <c r="B890" t="s">
        <v>2825</v>
      </c>
      <c r="C890" t="s">
        <v>2826</v>
      </c>
      <c r="D890" t="s">
        <v>2827</v>
      </c>
      <c r="E890" t="s">
        <v>2699</v>
      </c>
      <c r="F890" t="s">
        <v>87</v>
      </c>
      <c r="G890" s="1">
        <v>12</v>
      </c>
      <c r="H890" s="1">
        <v>4</v>
      </c>
      <c r="I890" t="s">
        <v>2700</v>
      </c>
      <c r="K890" t="s">
        <v>2828</v>
      </c>
      <c r="L890" s="1">
        <v>1</v>
      </c>
      <c r="M890" s="3">
        <v>28.47</v>
      </c>
      <c r="N890" s="3">
        <v>1.42</v>
      </c>
      <c r="O890" s="3">
        <v>0</v>
      </c>
      <c r="P890" s="3">
        <v>0</v>
      </c>
      <c r="Q890" s="3">
        <v>29.89</v>
      </c>
      <c r="R890" s="3">
        <v>26.4</v>
      </c>
      <c r="S890" s="3">
        <f>VLOOKUP(C890,[1]page!$C$2:$M$3071,11,0)</f>
        <v>28.47</v>
      </c>
      <c r="T890" s="6">
        <f t="shared" si="14"/>
        <v>0</v>
      </c>
    </row>
    <row r="891" spans="1:20" x14ac:dyDescent="0.2">
      <c r="A891" t="s">
        <v>2824</v>
      </c>
      <c r="B891" t="s">
        <v>2829</v>
      </c>
      <c r="C891" t="s">
        <v>2830</v>
      </c>
      <c r="D891" t="s">
        <v>2831</v>
      </c>
      <c r="E891" t="s">
        <v>200</v>
      </c>
      <c r="F891" t="s">
        <v>23</v>
      </c>
      <c r="G891" s="1">
        <v>11</v>
      </c>
      <c r="H891" s="1">
        <v>12</v>
      </c>
      <c r="I891" t="s">
        <v>201</v>
      </c>
      <c r="K891" t="s">
        <v>2828</v>
      </c>
      <c r="L891" s="1">
        <v>1</v>
      </c>
      <c r="M891" s="3">
        <v>9.3000000000000007</v>
      </c>
      <c r="N891" s="3">
        <v>0.47</v>
      </c>
      <c r="O891" s="3">
        <v>0</v>
      </c>
      <c r="P891" s="3">
        <v>0.2</v>
      </c>
      <c r="Q891" s="3">
        <v>9.9700000000000006</v>
      </c>
      <c r="R891" s="3">
        <v>7.95</v>
      </c>
      <c r="S891" s="3">
        <f>VLOOKUP(C891,[1]page!$C$2:$M$3071,11,0)</f>
        <v>9.2100000000000009</v>
      </c>
      <c r="T891" s="6">
        <f t="shared" si="14"/>
        <v>8.9999999999999858E-2</v>
      </c>
    </row>
    <row r="892" spans="1:20" x14ac:dyDescent="0.2">
      <c r="A892" t="s">
        <v>2824</v>
      </c>
      <c r="B892" t="s">
        <v>2832</v>
      </c>
      <c r="C892" t="s">
        <v>2833</v>
      </c>
      <c r="D892" t="s">
        <v>2834</v>
      </c>
      <c r="E892" t="s">
        <v>2699</v>
      </c>
      <c r="F892" t="s">
        <v>2835</v>
      </c>
      <c r="G892" s="2">
        <v>11.5</v>
      </c>
      <c r="H892" s="1">
        <v>4</v>
      </c>
      <c r="I892" t="s">
        <v>2700</v>
      </c>
      <c r="K892" t="s">
        <v>2828</v>
      </c>
      <c r="L892" s="1">
        <v>1</v>
      </c>
      <c r="M892" s="3">
        <v>33.57</v>
      </c>
      <c r="N892" s="3">
        <v>1.68</v>
      </c>
      <c r="O892" s="3">
        <v>0</v>
      </c>
      <c r="P892" s="3">
        <v>0</v>
      </c>
      <c r="Q892" s="3">
        <v>35.25</v>
      </c>
      <c r="R892" s="3">
        <v>33.9</v>
      </c>
      <c r="S892" s="3">
        <f>VLOOKUP(C892,[1]page!$C$2:$M$3071,11,0)</f>
        <v>33.57</v>
      </c>
      <c r="T892" s="6">
        <f t="shared" si="14"/>
        <v>0</v>
      </c>
    </row>
    <row r="893" spans="1:20" x14ac:dyDescent="0.2">
      <c r="A893" t="s">
        <v>2824</v>
      </c>
      <c r="B893" t="s">
        <v>2836</v>
      </c>
      <c r="C893" t="s">
        <v>2837</v>
      </c>
      <c r="D893" t="s">
        <v>2838</v>
      </c>
      <c r="E893" t="s">
        <v>2839</v>
      </c>
      <c r="F893" t="s">
        <v>23</v>
      </c>
      <c r="G893" s="2">
        <v>11.5</v>
      </c>
      <c r="H893" s="1">
        <v>12</v>
      </c>
      <c r="I893" t="s">
        <v>201</v>
      </c>
      <c r="K893" t="s">
        <v>2712</v>
      </c>
      <c r="L893" s="1">
        <v>1</v>
      </c>
      <c r="M893" s="3">
        <v>9.26</v>
      </c>
      <c r="N893" s="3">
        <v>0.46</v>
      </c>
      <c r="O893" s="3">
        <v>0</v>
      </c>
      <c r="P893" s="3">
        <v>0.2</v>
      </c>
      <c r="Q893" s="3">
        <v>9.92</v>
      </c>
      <c r="R893" s="3">
        <v>7.95</v>
      </c>
      <c r="S893" s="3">
        <f>VLOOKUP(C893,[1]page!$C$2:$M$3071,11,0)</f>
        <v>9.17</v>
      </c>
      <c r="T893" s="6">
        <f t="shared" si="14"/>
        <v>8.9999999999999858E-2</v>
      </c>
    </row>
    <row r="894" spans="1:20" x14ac:dyDescent="0.2">
      <c r="A894" t="s">
        <v>2840</v>
      </c>
      <c r="B894" t="s">
        <v>2841</v>
      </c>
      <c r="C894" t="s">
        <v>2842</v>
      </c>
      <c r="D894" t="s">
        <v>2843</v>
      </c>
      <c r="E894" t="s">
        <v>2699</v>
      </c>
      <c r="F894" t="s">
        <v>23</v>
      </c>
      <c r="G894" s="2">
        <v>12.5</v>
      </c>
      <c r="H894" s="1">
        <v>12</v>
      </c>
      <c r="I894" t="s">
        <v>2700</v>
      </c>
      <c r="K894" t="s">
        <v>2828</v>
      </c>
      <c r="L894" s="1">
        <v>1</v>
      </c>
      <c r="M894" s="3">
        <v>9.3000000000000007</v>
      </c>
      <c r="N894" s="3">
        <v>0.47</v>
      </c>
      <c r="O894" s="3">
        <v>0</v>
      </c>
      <c r="P894" s="3">
        <v>0.2</v>
      </c>
      <c r="Q894" s="3">
        <v>9.9700000000000006</v>
      </c>
      <c r="R894" s="3">
        <v>7.95</v>
      </c>
      <c r="S894" s="3">
        <f>VLOOKUP(C894,[1]page!$C$2:$M$3071,11,0)</f>
        <v>9.3000000000000007</v>
      </c>
      <c r="T894" s="6">
        <f t="shared" si="14"/>
        <v>0</v>
      </c>
    </row>
    <row r="895" spans="1:20" x14ac:dyDescent="0.2">
      <c r="A895" t="s">
        <v>2840</v>
      </c>
      <c r="B895" t="s">
        <v>2844</v>
      </c>
      <c r="C895" t="s">
        <v>2845</v>
      </c>
      <c r="D895" t="s">
        <v>2843</v>
      </c>
      <c r="E895" t="s">
        <v>2699</v>
      </c>
      <c r="F895" t="s">
        <v>87</v>
      </c>
      <c r="G895" s="2">
        <v>12.5</v>
      </c>
      <c r="H895" s="1">
        <v>4</v>
      </c>
      <c r="I895" t="s">
        <v>2700</v>
      </c>
      <c r="K895" t="s">
        <v>2828</v>
      </c>
      <c r="L895" s="1">
        <v>1</v>
      </c>
      <c r="M895" s="3">
        <v>28.47</v>
      </c>
      <c r="N895" s="3">
        <v>1.42</v>
      </c>
      <c r="O895" s="3">
        <v>0</v>
      </c>
      <c r="P895" s="3">
        <v>0</v>
      </c>
      <c r="Q895" s="3">
        <v>29.89</v>
      </c>
      <c r="R895" s="3">
        <v>26.4</v>
      </c>
      <c r="S895" s="3">
        <f>VLOOKUP(C895,[1]page!$C$2:$M$3071,11,0)</f>
        <v>28.47</v>
      </c>
      <c r="T895" s="6">
        <f t="shared" si="14"/>
        <v>0</v>
      </c>
    </row>
    <row r="896" spans="1:20" x14ac:dyDescent="0.2">
      <c r="A896" t="s">
        <v>2840</v>
      </c>
      <c r="B896" t="s">
        <v>2846</v>
      </c>
      <c r="C896" t="s">
        <v>2847</v>
      </c>
      <c r="D896" t="s">
        <v>2848</v>
      </c>
      <c r="E896" t="s">
        <v>2699</v>
      </c>
      <c r="F896" t="s">
        <v>23</v>
      </c>
      <c r="G896" s="2">
        <v>13.5</v>
      </c>
      <c r="H896" s="1">
        <v>12</v>
      </c>
      <c r="I896" t="s">
        <v>2700</v>
      </c>
      <c r="K896" t="s">
        <v>2828</v>
      </c>
      <c r="L896" s="1">
        <v>1</v>
      </c>
      <c r="M896" s="3">
        <v>9.3000000000000007</v>
      </c>
      <c r="N896" s="3">
        <v>0.47</v>
      </c>
      <c r="O896" s="3">
        <v>0</v>
      </c>
      <c r="P896" s="3">
        <v>0.2</v>
      </c>
      <c r="Q896" s="3">
        <v>9.9700000000000006</v>
      </c>
      <c r="R896" s="3">
        <v>7.95</v>
      </c>
      <c r="S896" s="3">
        <f>VLOOKUP(C896,[1]page!$C$2:$M$3071,11,0)</f>
        <v>9.3000000000000007</v>
      </c>
      <c r="T896" s="6">
        <f t="shared" si="14"/>
        <v>0</v>
      </c>
    </row>
    <row r="897" spans="1:20" x14ac:dyDescent="0.2">
      <c r="A897" t="s">
        <v>2840</v>
      </c>
      <c r="B897" t="s">
        <v>2849</v>
      </c>
      <c r="C897" t="s">
        <v>2850</v>
      </c>
      <c r="D897" t="s">
        <v>2848</v>
      </c>
      <c r="E897" t="s">
        <v>2699</v>
      </c>
      <c r="F897" t="s">
        <v>87</v>
      </c>
      <c r="G897" s="2">
        <v>12.5</v>
      </c>
      <c r="H897" s="1">
        <v>4</v>
      </c>
      <c r="I897" t="s">
        <v>2700</v>
      </c>
      <c r="K897" t="s">
        <v>2828</v>
      </c>
      <c r="L897" s="1">
        <v>1</v>
      </c>
      <c r="M897" s="3">
        <v>28.47</v>
      </c>
      <c r="N897" s="3">
        <v>1.42</v>
      </c>
      <c r="O897" s="3">
        <v>0</v>
      </c>
      <c r="P897" s="3">
        <v>0</v>
      </c>
      <c r="Q897" s="3">
        <v>29.89</v>
      </c>
      <c r="R897" s="3">
        <v>26.4</v>
      </c>
      <c r="S897" s="3">
        <f>VLOOKUP(C897,[1]page!$C$2:$M$3071,11,0)</f>
        <v>28.47</v>
      </c>
      <c r="T897" s="6">
        <f t="shared" si="14"/>
        <v>0</v>
      </c>
    </row>
    <row r="898" spans="1:20" x14ac:dyDescent="0.2">
      <c r="A898" t="s">
        <v>2840</v>
      </c>
      <c r="B898" t="s">
        <v>2851</v>
      </c>
      <c r="C898" t="s">
        <v>2852</v>
      </c>
      <c r="D898" t="s">
        <v>2853</v>
      </c>
      <c r="E898" t="s">
        <v>200</v>
      </c>
      <c r="F898" t="s">
        <v>2835</v>
      </c>
      <c r="G898" s="2">
        <v>12.5</v>
      </c>
      <c r="H898" s="1">
        <v>4</v>
      </c>
      <c r="I898" t="s">
        <v>201</v>
      </c>
      <c r="K898" t="s">
        <v>2712</v>
      </c>
      <c r="L898" s="1">
        <v>1</v>
      </c>
      <c r="M898" s="3">
        <v>34.47</v>
      </c>
      <c r="N898" s="3">
        <v>1.72</v>
      </c>
      <c r="O898" s="3">
        <v>0</v>
      </c>
      <c r="P898" s="3">
        <v>0</v>
      </c>
      <c r="Q898" s="3">
        <v>36.19</v>
      </c>
      <c r="R898" s="3">
        <v>33.9</v>
      </c>
      <c r="S898" s="3">
        <f>VLOOKUP(C898,[1]page!$C$2:$M$3071,11,0)</f>
        <v>34.47</v>
      </c>
      <c r="T898" s="6">
        <f t="shared" si="14"/>
        <v>0</v>
      </c>
    </row>
    <row r="899" spans="1:20" x14ac:dyDescent="0.2">
      <c r="A899" t="s">
        <v>2840</v>
      </c>
      <c r="B899" t="s">
        <v>2854</v>
      </c>
      <c r="C899" t="s">
        <v>2855</v>
      </c>
      <c r="D899" t="s">
        <v>2856</v>
      </c>
      <c r="E899" t="s">
        <v>200</v>
      </c>
      <c r="F899" t="s">
        <v>2835</v>
      </c>
      <c r="G899" s="1">
        <v>13</v>
      </c>
      <c r="H899" s="1">
        <v>4</v>
      </c>
      <c r="I899" t="s">
        <v>201</v>
      </c>
      <c r="K899" t="s">
        <v>2712</v>
      </c>
      <c r="L899" s="1">
        <v>1</v>
      </c>
      <c r="M899" s="3">
        <v>34.47</v>
      </c>
      <c r="N899" s="3">
        <v>1.72</v>
      </c>
      <c r="O899" s="3">
        <v>0</v>
      </c>
      <c r="P899" s="3">
        <v>0</v>
      </c>
      <c r="Q899" s="3">
        <v>36.19</v>
      </c>
      <c r="R899" s="3">
        <v>33.9</v>
      </c>
      <c r="S899" s="3">
        <f>VLOOKUP(C899,[1]page!$C$2:$M$3071,11,0)</f>
        <v>34.47</v>
      </c>
      <c r="T899" s="6">
        <f t="shared" si="14"/>
        <v>0</v>
      </c>
    </row>
    <row r="900" spans="1:20" x14ac:dyDescent="0.2">
      <c r="A900" t="s">
        <v>2840</v>
      </c>
      <c r="B900" t="s">
        <v>2857</v>
      </c>
      <c r="C900" t="s">
        <v>2858</v>
      </c>
      <c r="D900" t="s">
        <v>2859</v>
      </c>
      <c r="E900" t="s">
        <v>200</v>
      </c>
      <c r="F900" t="s">
        <v>2835</v>
      </c>
      <c r="G900" s="1">
        <v>13</v>
      </c>
      <c r="H900" s="1">
        <v>4</v>
      </c>
      <c r="I900" t="s">
        <v>201</v>
      </c>
      <c r="K900" t="s">
        <v>2712</v>
      </c>
      <c r="L900" s="1">
        <v>1</v>
      </c>
      <c r="M900" s="3">
        <v>34.47</v>
      </c>
      <c r="N900" s="3">
        <v>1.72</v>
      </c>
      <c r="O900" s="3">
        <v>0</v>
      </c>
      <c r="P900" s="3">
        <v>0</v>
      </c>
      <c r="Q900" s="3">
        <v>36.19</v>
      </c>
      <c r="R900" s="3">
        <v>33.9</v>
      </c>
      <c r="S900" s="3">
        <f>VLOOKUP(C900,[1]page!$C$2:$M$3071,11,0)</f>
        <v>34.47</v>
      </c>
      <c r="T900" s="6">
        <f t="shared" si="14"/>
        <v>0</v>
      </c>
    </row>
    <row r="901" spans="1:20" x14ac:dyDescent="0.2">
      <c r="A901" t="s">
        <v>2840</v>
      </c>
      <c r="B901" t="s">
        <v>2860</v>
      </c>
      <c r="C901" t="s">
        <v>2861</v>
      </c>
      <c r="D901" t="s">
        <v>2862</v>
      </c>
      <c r="E901" t="s">
        <v>2699</v>
      </c>
      <c r="F901" t="s">
        <v>23</v>
      </c>
      <c r="G901" s="1">
        <v>12</v>
      </c>
      <c r="H901" s="1">
        <v>12</v>
      </c>
      <c r="I901" t="s">
        <v>2700</v>
      </c>
      <c r="K901" t="s">
        <v>2712</v>
      </c>
      <c r="L901" s="1">
        <v>1</v>
      </c>
      <c r="M901" s="3">
        <v>9.26</v>
      </c>
      <c r="N901" s="3">
        <v>0.46</v>
      </c>
      <c r="O901" s="3">
        <v>0</v>
      </c>
      <c r="P901" s="3">
        <v>0.2</v>
      </c>
      <c r="Q901" s="3">
        <v>9.92</v>
      </c>
      <c r="R901" s="3">
        <v>7.95</v>
      </c>
      <c r="S901" s="3">
        <f>VLOOKUP(C901,[1]page!$C$2:$M$3071,11,0)</f>
        <v>9.26</v>
      </c>
      <c r="T901" s="6">
        <f t="shared" si="14"/>
        <v>0</v>
      </c>
    </row>
    <row r="902" spans="1:20" x14ac:dyDescent="0.2">
      <c r="A902" t="s">
        <v>2840</v>
      </c>
      <c r="B902" t="s">
        <v>2863</v>
      </c>
      <c r="C902" t="s">
        <v>2864</v>
      </c>
      <c r="D902" t="s">
        <v>2865</v>
      </c>
      <c r="E902" t="s">
        <v>2699</v>
      </c>
      <c r="F902" t="s">
        <v>2835</v>
      </c>
      <c r="G902" s="1">
        <v>13</v>
      </c>
      <c r="H902" s="1">
        <v>4</v>
      </c>
      <c r="I902" t="s">
        <v>2700</v>
      </c>
      <c r="K902" t="s">
        <v>2712</v>
      </c>
      <c r="L902" s="1">
        <v>1</v>
      </c>
      <c r="M902" s="3">
        <v>34.47</v>
      </c>
      <c r="N902" s="3">
        <v>1.72</v>
      </c>
      <c r="O902" s="3">
        <v>0</v>
      </c>
      <c r="P902" s="3">
        <v>0</v>
      </c>
      <c r="Q902" s="3">
        <v>36.19</v>
      </c>
      <c r="R902" s="3">
        <v>33.9</v>
      </c>
      <c r="S902" s="3">
        <f>VLOOKUP(C902,[1]page!$C$2:$M$3071,11,0)</f>
        <v>34.47</v>
      </c>
      <c r="T902" s="6">
        <f t="shared" si="14"/>
        <v>0</v>
      </c>
    </row>
    <row r="903" spans="1:20" x14ac:dyDescent="0.2">
      <c r="A903" t="s">
        <v>2840</v>
      </c>
      <c r="B903" t="s">
        <v>2866</v>
      </c>
      <c r="C903" t="s">
        <v>2867</v>
      </c>
      <c r="D903" t="s">
        <v>2868</v>
      </c>
      <c r="E903" t="s">
        <v>2699</v>
      </c>
      <c r="F903" t="s">
        <v>23</v>
      </c>
      <c r="G903" s="2">
        <v>12.5</v>
      </c>
      <c r="H903" s="1">
        <v>12</v>
      </c>
      <c r="I903" t="s">
        <v>2700</v>
      </c>
      <c r="K903" t="s">
        <v>2712</v>
      </c>
      <c r="L903" s="1">
        <v>1</v>
      </c>
      <c r="M903" s="3">
        <v>9.26</v>
      </c>
      <c r="N903" s="3">
        <v>0.46</v>
      </c>
      <c r="O903" s="3">
        <v>0</v>
      </c>
      <c r="P903" s="3">
        <v>0.2</v>
      </c>
      <c r="Q903" s="3">
        <v>9.92</v>
      </c>
      <c r="R903" s="3">
        <v>7.95</v>
      </c>
      <c r="S903" s="3">
        <f>VLOOKUP(C903,[1]page!$C$2:$M$3071,11,0)</f>
        <v>9.26</v>
      </c>
      <c r="T903" s="6">
        <f t="shared" si="14"/>
        <v>0</v>
      </c>
    </row>
    <row r="904" spans="1:20" x14ac:dyDescent="0.2">
      <c r="A904" t="s">
        <v>2840</v>
      </c>
      <c r="B904" t="s">
        <v>2869</v>
      </c>
      <c r="C904" t="s">
        <v>2870</v>
      </c>
      <c r="D904" t="s">
        <v>2871</v>
      </c>
      <c r="E904" t="s">
        <v>2699</v>
      </c>
      <c r="F904" t="s">
        <v>23</v>
      </c>
      <c r="G904" s="2">
        <v>12.5</v>
      </c>
      <c r="H904" s="1">
        <v>12</v>
      </c>
      <c r="I904" t="s">
        <v>2700</v>
      </c>
      <c r="K904" t="s">
        <v>2687</v>
      </c>
      <c r="L904" s="1">
        <v>1</v>
      </c>
      <c r="M904" s="3">
        <v>9.26</v>
      </c>
      <c r="N904" s="3">
        <v>0.46</v>
      </c>
      <c r="O904" s="3">
        <v>0</v>
      </c>
      <c r="P904" s="3">
        <v>0.2</v>
      </c>
      <c r="Q904" s="3">
        <v>9.92</v>
      </c>
      <c r="R904" s="3">
        <v>7.95</v>
      </c>
      <c r="S904" s="3">
        <f>VLOOKUP(C904,[1]page!$C$2:$M$3071,11,0)</f>
        <v>9.26</v>
      </c>
      <c r="T904" s="6">
        <f t="shared" si="14"/>
        <v>0</v>
      </c>
    </row>
    <row r="905" spans="1:20" x14ac:dyDescent="0.2">
      <c r="A905" t="s">
        <v>2840</v>
      </c>
      <c r="B905" t="s">
        <v>2872</v>
      </c>
      <c r="C905" t="s">
        <v>2873</v>
      </c>
      <c r="D905" t="s">
        <v>2874</v>
      </c>
      <c r="E905" t="s">
        <v>2699</v>
      </c>
      <c r="F905" t="s">
        <v>2835</v>
      </c>
      <c r="G905" s="2">
        <v>12.5</v>
      </c>
      <c r="H905" s="1">
        <v>4</v>
      </c>
      <c r="I905" t="s">
        <v>2700</v>
      </c>
      <c r="K905" t="s">
        <v>2706</v>
      </c>
      <c r="L905" s="1">
        <v>1</v>
      </c>
      <c r="M905" s="3">
        <v>34.47</v>
      </c>
      <c r="N905" s="3">
        <v>1.72</v>
      </c>
      <c r="O905" s="3">
        <v>0</v>
      </c>
      <c r="P905" s="3">
        <v>0</v>
      </c>
      <c r="Q905" s="3">
        <v>36.19</v>
      </c>
      <c r="R905" s="3">
        <v>33.9</v>
      </c>
      <c r="S905" s="3">
        <f>VLOOKUP(C905,[1]page!$C$2:$M$3071,11,0)</f>
        <v>34.47</v>
      </c>
      <c r="T905" s="6">
        <f t="shared" si="14"/>
        <v>0</v>
      </c>
    </row>
    <row r="906" spans="1:20" x14ac:dyDescent="0.2">
      <c r="A906" t="s">
        <v>2840</v>
      </c>
      <c r="B906" t="s">
        <v>2875</v>
      </c>
      <c r="C906" t="s">
        <v>2876</v>
      </c>
      <c r="D906" t="s">
        <v>2877</v>
      </c>
      <c r="E906" t="s">
        <v>200</v>
      </c>
      <c r="F906" t="s">
        <v>23</v>
      </c>
      <c r="G906" s="2">
        <v>12.5</v>
      </c>
      <c r="H906" s="1">
        <v>12</v>
      </c>
      <c r="I906" t="s">
        <v>201</v>
      </c>
      <c r="K906" t="s">
        <v>2687</v>
      </c>
      <c r="L906" s="1">
        <v>1</v>
      </c>
      <c r="M906" s="3">
        <v>9</v>
      </c>
      <c r="N906" s="3">
        <v>0.45</v>
      </c>
      <c r="O906" s="3">
        <v>0</v>
      </c>
      <c r="P906" s="3">
        <v>0.2</v>
      </c>
      <c r="Q906" s="3">
        <v>9.65</v>
      </c>
      <c r="R906" s="3">
        <v>7.95</v>
      </c>
      <c r="S906" s="3">
        <f>VLOOKUP(C906,[1]page!$C$2:$M$3071,11,0)</f>
        <v>9</v>
      </c>
      <c r="T906" s="6">
        <f t="shared" si="14"/>
        <v>0</v>
      </c>
    </row>
    <row r="907" spans="1:20" x14ac:dyDescent="0.2">
      <c r="A907" t="s">
        <v>2840</v>
      </c>
      <c r="B907" t="s">
        <v>2878</v>
      </c>
      <c r="C907" t="s">
        <v>2879</v>
      </c>
      <c r="D907" t="s">
        <v>2880</v>
      </c>
      <c r="E907" t="s">
        <v>2881</v>
      </c>
      <c r="F907" t="s">
        <v>23</v>
      </c>
      <c r="G907" s="1">
        <v>13</v>
      </c>
      <c r="H907" s="1">
        <v>12</v>
      </c>
      <c r="I907" t="s">
        <v>57</v>
      </c>
      <c r="K907" t="s">
        <v>2828</v>
      </c>
      <c r="L907" s="1">
        <v>1</v>
      </c>
      <c r="M907" s="3">
        <v>10.01</v>
      </c>
      <c r="N907" s="3">
        <v>0.5</v>
      </c>
      <c r="O907" s="3">
        <v>0</v>
      </c>
      <c r="P907" s="3">
        <v>0.2</v>
      </c>
      <c r="Q907" s="3">
        <v>10.71</v>
      </c>
      <c r="R907" s="3">
        <v>7.95</v>
      </c>
      <c r="S907" s="3">
        <f>VLOOKUP(C907,[1]page!$C$2:$M$3071,11,0)</f>
        <v>10.01</v>
      </c>
      <c r="T907" s="6">
        <f t="shared" si="14"/>
        <v>0</v>
      </c>
    </row>
    <row r="908" spans="1:20" x14ac:dyDescent="0.2">
      <c r="A908" t="s">
        <v>2840</v>
      </c>
      <c r="B908" t="s">
        <v>2882</v>
      </c>
      <c r="C908" t="s">
        <v>2883</v>
      </c>
      <c r="D908" t="s">
        <v>2884</v>
      </c>
      <c r="E908" t="s">
        <v>200</v>
      </c>
      <c r="F908" t="s">
        <v>23</v>
      </c>
      <c r="G908" s="2">
        <v>12.5</v>
      </c>
      <c r="H908" s="1">
        <v>12</v>
      </c>
      <c r="I908" t="s">
        <v>201</v>
      </c>
      <c r="K908" t="s">
        <v>2828</v>
      </c>
      <c r="L908" s="1">
        <v>1</v>
      </c>
      <c r="M908" s="3">
        <v>9.3000000000000007</v>
      </c>
      <c r="N908" s="3">
        <v>0.47</v>
      </c>
      <c r="O908" s="3">
        <v>0</v>
      </c>
      <c r="P908" s="3">
        <v>0.2</v>
      </c>
      <c r="Q908" s="3">
        <v>9.9700000000000006</v>
      </c>
      <c r="R908" s="3">
        <v>7.95</v>
      </c>
      <c r="S908" s="3">
        <f>VLOOKUP(C908,[1]page!$C$2:$M$3071,11,0)</f>
        <v>9.3000000000000007</v>
      </c>
      <c r="T908" s="6">
        <f t="shared" si="14"/>
        <v>0</v>
      </c>
    </row>
    <row r="909" spans="1:20" x14ac:dyDescent="0.2">
      <c r="A909" t="s">
        <v>2840</v>
      </c>
      <c r="B909" t="s">
        <v>2885</v>
      </c>
      <c r="C909" t="s">
        <v>2886</v>
      </c>
      <c r="D909" t="s">
        <v>2884</v>
      </c>
      <c r="E909" t="s">
        <v>200</v>
      </c>
      <c r="F909" t="s">
        <v>2835</v>
      </c>
      <c r="G909" s="2">
        <v>12.5</v>
      </c>
      <c r="H909" s="1">
        <v>4</v>
      </c>
      <c r="I909" t="s">
        <v>201</v>
      </c>
      <c r="K909" t="s">
        <v>2828</v>
      </c>
      <c r="L909" s="1">
        <v>1</v>
      </c>
      <c r="M909" s="3">
        <v>34.49</v>
      </c>
      <c r="N909" s="3">
        <v>1.72</v>
      </c>
      <c r="O909" s="3">
        <v>0</v>
      </c>
      <c r="P909" s="3">
        <v>0</v>
      </c>
      <c r="Q909" s="3">
        <v>36.21</v>
      </c>
      <c r="R909" s="3">
        <v>33.9</v>
      </c>
      <c r="S909" s="3">
        <f>VLOOKUP(C909,[1]page!$C$2:$M$3071,11,0)</f>
        <v>34.07</v>
      </c>
      <c r="T909" s="6">
        <f t="shared" si="14"/>
        <v>0.42000000000000171</v>
      </c>
    </row>
    <row r="910" spans="1:20" x14ac:dyDescent="0.2">
      <c r="A910" t="s">
        <v>2840</v>
      </c>
      <c r="B910" t="s">
        <v>2887</v>
      </c>
      <c r="C910" t="s">
        <v>2888</v>
      </c>
      <c r="D910" t="s">
        <v>2889</v>
      </c>
      <c r="E910" t="s">
        <v>2699</v>
      </c>
      <c r="F910" t="s">
        <v>23</v>
      </c>
      <c r="G910" s="1">
        <v>8</v>
      </c>
      <c r="H910" s="1">
        <v>12</v>
      </c>
      <c r="I910" t="s">
        <v>2700</v>
      </c>
      <c r="K910" t="s">
        <v>2712</v>
      </c>
      <c r="L910" s="1">
        <v>1</v>
      </c>
      <c r="M910" s="3">
        <v>9</v>
      </c>
      <c r="N910" s="3">
        <v>0.45</v>
      </c>
      <c r="O910" s="3">
        <v>0</v>
      </c>
      <c r="P910" s="3">
        <v>0.2</v>
      </c>
      <c r="Q910" s="3">
        <v>9.65</v>
      </c>
      <c r="R910" s="3">
        <v>7.95</v>
      </c>
      <c r="S910" s="3">
        <f>VLOOKUP(C910,[1]page!$C$2:$M$3071,11,0)</f>
        <v>9</v>
      </c>
      <c r="T910" s="6">
        <f t="shared" si="14"/>
        <v>0</v>
      </c>
    </row>
    <row r="911" spans="1:20" x14ac:dyDescent="0.2">
      <c r="A911" t="s">
        <v>2840</v>
      </c>
      <c r="B911" t="s">
        <v>2890</v>
      </c>
      <c r="C911" t="s">
        <v>2891</v>
      </c>
      <c r="D911" t="s">
        <v>2892</v>
      </c>
      <c r="E911" t="s">
        <v>2699</v>
      </c>
      <c r="F911" t="s">
        <v>2835</v>
      </c>
      <c r="G911" s="1">
        <v>13</v>
      </c>
      <c r="H911" s="1">
        <v>4</v>
      </c>
      <c r="I911" t="s">
        <v>2700</v>
      </c>
      <c r="K911" t="s">
        <v>2828</v>
      </c>
      <c r="L911" s="1">
        <v>1</v>
      </c>
      <c r="M911" s="3">
        <v>33.43</v>
      </c>
      <c r="N911" s="3">
        <v>1.67</v>
      </c>
      <c r="O911" s="3">
        <v>0</v>
      </c>
      <c r="P911" s="3">
        <v>0</v>
      </c>
      <c r="Q911" s="3">
        <v>35.1</v>
      </c>
      <c r="R911" s="3">
        <v>33.9</v>
      </c>
      <c r="S911" s="3">
        <f>VLOOKUP(C911,[1]page!$C$2:$M$3071,11,0)</f>
        <v>33.43</v>
      </c>
      <c r="T911" s="6">
        <f t="shared" si="14"/>
        <v>0</v>
      </c>
    </row>
    <row r="912" spans="1:20" x14ac:dyDescent="0.2">
      <c r="A912" t="s">
        <v>2840</v>
      </c>
      <c r="B912" t="s">
        <v>2893</v>
      </c>
      <c r="C912" t="s">
        <v>2894</v>
      </c>
      <c r="D912" t="s">
        <v>2895</v>
      </c>
      <c r="E912" t="s">
        <v>518</v>
      </c>
      <c r="F912" t="s">
        <v>23</v>
      </c>
      <c r="G912" s="1">
        <v>13</v>
      </c>
      <c r="H912" s="1">
        <v>12</v>
      </c>
      <c r="I912" t="s">
        <v>397</v>
      </c>
      <c r="K912" t="s">
        <v>2687</v>
      </c>
      <c r="L912" s="1">
        <v>1</v>
      </c>
      <c r="M912" s="3">
        <v>8.81</v>
      </c>
      <c r="N912" s="3">
        <v>0.44</v>
      </c>
      <c r="O912" s="3">
        <v>0</v>
      </c>
      <c r="P912" s="3">
        <v>0.2</v>
      </c>
      <c r="Q912" s="3">
        <v>9.4499999999999993</v>
      </c>
      <c r="R912" s="3">
        <v>7.95</v>
      </c>
      <c r="S912" s="3">
        <f>VLOOKUP(C912,[1]page!$C$2:$M$3071,11,0)</f>
        <v>8.7899999999999991</v>
      </c>
      <c r="T912" s="6">
        <f t="shared" si="14"/>
        <v>2.000000000000135E-2</v>
      </c>
    </row>
    <row r="913" spans="1:20" x14ac:dyDescent="0.2">
      <c r="A913" t="s">
        <v>2840</v>
      </c>
      <c r="B913" t="s">
        <v>2896</v>
      </c>
      <c r="C913" t="s">
        <v>2897</v>
      </c>
      <c r="D913" t="s">
        <v>2898</v>
      </c>
      <c r="E913" t="s">
        <v>2899</v>
      </c>
      <c r="F913" t="s">
        <v>23</v>
      </c>
      <c r="G913" s="1">
        <v>13</v>
      </c>
      <c r="H913" s="1">
        <v>12</v>
      </c>
      <c r="I913" t="s">
        <v>397</v>
      </c>
      <c r="K913" t="s">
        <v>2828</v>
      </c>
      <c r="L913" s="1">
        <v>1</v>
      </c>
      <c r="M913" s="3">
        <v>8.81</v>
      </c>
      <c r="N913" s="3">
        <v>0.44</v>
      </c>
      <c r="O913" s="3">
        <v>0</v>
      </c>
      <c r="P913" s="3">
        <v>0.2</v>
      </c>
      <c r="Q913" s="3">
        <v>9.4499999999999993</v>
      </c>
      <c r="R913" s="3">
        <v>7.95</v>
      </c>
      <c r="S913" s="3">
        <f>VLOOKUP(C913,[1]page!$C$2:$M$3071,11,0)</f>
        <v>8.7899999999999991</v>
      </c>
      <c r="T913" s="6">
        <f t="shared" si="14"/>
        <v>2.000000000000135E-2</v>
      </c>
    </row>
    <row r="914" spans="1:20" x14ac:dyDescent="0.2">
      <c r="A914" t="s">
        <v>2840</v>
      </c>
      <c r="B914" t="s">
        <v>2900</v>
      </c>
      <c r="C914" t="s">
        <v>2901</v>
      </c>
      <c r="D914" t="s">
        <v>2902</v>
      </c>
      <c r="E914" t="s">
        <v>2699</v>
      </c>
      <c r="F914" t="s">
        <v>2835</v>
      </c>
      <c r="G914" s="2">
        <v>12.5</v>
      </c>
      <c r="H914" s="1">
        <v>4</v>
      </c>
      <c r="I914" t="s">
        <v>2700</v>
      </c>
      <c r="K914" t="s">
        <v>2828</v>
      </c>
      <c r="L914" s="1">
        <v>1</v>
      </c>
      <c r="M914" s="3">
        <v>32.93</v>
      </c>
      <c r="N914" s="3">
        <v>1.65</v>
      </c>
      <c r="O914" s="3">
        <v>0</v>
      </c>
      <c r="P914" s="3">
        <v>0</v>
      </c>
      <c r="Q914" s="3">
        <v>34.58</v>
      </c>
      <c r="R914" s="3">
        <v>33.9</v>
      </c>
      <c r="S914" s="3">
        <f>VLOOKUP(C914,[1]page!$C$2:$M$3071,11,0)</f>
        <v>32.93</v>
      </c>
      <c r="T914" s="6">
        <f t="shared" si="14"/>
        <v>0</v>
      </c>
    </row>
    <row r="915" spans="1:20" x14ac:dyDescent="0.2">
      <c r="A915" t="s">
        <v>2840</v>
      </c>
      <c r="B915" t="s">
        <v>2903</v>
      </c>
      <c r="C915" t="s">
        <v>2904</v>
      </c>
      <c r="D915" t="s">
        <v>2905</v>
      </c>
      <c r="E915" t="s">
        <v>200</v>
      </c>
      <c r="F915" t="s">
        <v>23</v>
      </c>
      <c r="G915" s="1">
        <v>11</v>
      </c>
      <c r="H915" s="1">
        <v>12</v>
      </c>
      <c r="I915" t="s">
        <v>201</v>
      </c>
      <c r="K915" t="s">
        <v>2712</v>
      </c>
      <c r="L915" s="1">
        <v>1</v>
      </c>
      <c r="M915" s="3">
        <v>8.6</v>
      </c>
      <c r="N915" s="3">
        <v>0.43</v>
      </c>
      <c r="O915" s="3">
        <v>0</v>
      </c>
      <c r="P915" s="3">
        <v>0.2</v>
      </c>
      <c r="Q915" s="3">
        <v>9.23</v>
      </c>
      <c r="R915" s="3">
        <v>7.95</v>
      </c>
      <c r="S915" s="3">
        <f>VLOOKUP(C915,[1]page!$C$2:$M$3071,11,0)</f>
        <v>8.6</v>
      </c>
      <c r="T915" s="6">
        <f t="shared" si="14"/>
        <v>0</v>
      </c>
    </row>
    <row r="916" spans="1:20" x14ac:dyDescent="0.2">
      <c r="A916" t="s">
        <v>2840</v>
      </c>
      <c r="B916" t="s">
        <v>2906</v>
      </c>
      <c r="C916" t="s">
        <v>2907</v>
      </c>
      <c r="D916" t="s">
        <v>2908</v>
      </c>
      <c r="E916" t="s">
        <v>200</v>
      </c>
      <c r="F916" t="s">
        <v>2835</v>
      </c>
      <c r="G916" s="2">
        <v>12.5</v>
      </c>
      <c r="H916" s="1">
        <v>4</v>
      </c>
      <c r="I916" t="s">
        <v>201</v>
      </c>
      <c r="K916" t="s">
        <v>2828</v>
      </c>
      <c r="L916" s="1">
        <v>1</v>
      </c>
      <c r="M916" s="3">
        <v>33.57</v>
      </c>
      <c r="N916" s="3">
        <v>1.68</v>
      </c>
      <c r="O916" s="3">
        <v>0</v>
      </c>
      <c r="P916" s="3">
        <v>0</v>
      </c>
      <c r="Q916" s="3">
        <v>35.25</v>
      </c>
      <c r="R916" s="3">
        <v>33.9</v>
      </c>
      <c r="S916" s="3">
        <f>VLOOKUP(C916,[1]page!$C$2:$M$3071,11,0)</f>
        <v>33.57</v>
      </c>
      <c r="T916" s="6">
        <f t="shared" si="14"/>
        <v>0</v>
      </c>
    </row>
    <row r="917" spans="1:20" x14ac:dyDescent="0.2">
      <c r="A917" t="s">
        <v>2840</v>
      </c>
      <c r="B917" t="s">
        <v>2909</v>
      </c>
      <c r="C917" t="s">
        <v>2910</v>
      </c>
      <c r="D917" t="s">
        <v>2911</v>
      </c>
      <c r="E917" t="s">
        <v>200</v>
      </c>
      <c r="F917" t="s">
        <v>23</v>
      </c>
      <c r="G917" s="1">
        <v>12</v>
      </c>
      <c r="H917" s="1">
        <v>12</v>
      </c>
      <c r="I917" t="s">
        <v>201</v>
      </c>
      <c r="K917" t="s">
        <v>2706</v>
      </c>
      <c r="L917" s="1">
        <v>1</v>
      </c>
      <c r="M917" s="3">
        <v>8.6</v>
      </c>
      <c r="N917" s="3">
        <v>0.43</v>
      </c>
      <c r="O917" s="3">
        <v>0</v>
      </c>
      <c r="P917" s="3">
        <v>0.2</v>
      </c>
      <c r="Q917" s="3">
        <v>9.23</v>
      </c>
      <c r="R917" s="3">
        <v>7.95</v>
      </c>
      <c r="S917" s="3">
        <f>VLOOKUP(C917,[1]page!$C$2:$M$3071,11,0)</f>
        <v>8.6</v>
      </c>
      <c r="T917" s="6">
        <f t="shared" si="14"/>
        <v>0</v>
      </c>
    </row>
    <row r="918" spans="1:20" x14ac:dyDescent="0.2">
      <c r="A918" t="s">
        <v>2840</v>
      </c>
      <c r="B918" t="s">
        <v>2912</v>
      </c>
      <c r="C918" t="s">
        <v>2913</v>
      </c>
      <c r="D918" t="s">
        <v>2914</v>
      </c>
      <c r="E918" t="s">
        <v>2839</v>
      </c>
      <c r="F918" t="s">
        <v>209</v>
      </c>
      <c r="G918" s="2">
        <v>12.5</v>
      </c>
      <c r="H918" s="1">
        <v>24</v>
      </c>
      <c r="I918" t="s">
        <v>201</v>
      </c>
      <c r="K918" t="s">
        <v>2828</v>
      </c>
      <c r="L918" s="1">
        <v>1</v>
      </c>
      <c r="M918" s="3">
        <v>4</v>
      </c>
      <c r="N918" s="3">
        <v>0.2</v>
      </c>
      <c r="O918" s="3">
        <v>0</v>
      </c>
      <c r="P918" s="3">
        <v>0.1</v>
      </c>
      <c r="Q918" s="3">
        <v>4.3</v>
      </c>
      <c r="R918" s="3">
        <v>2.5</v>
      </c>
      <c r="S918" s="3">
        <f>VLOOKUP(C918,[1]page!$C$2:$M$3071,11,0)</f>
        <v>4</v>
      </c>
      <c r="T918" s="6">
        <f t="shared" si="14"/>
        <v>0</v>
      </c>
    </row>
    <row r="919" spans="1:20" x14ac:dyDescent="0.2">
      <c r="A919" t="s">
        <v>2840</v>
      </c>
      <c r="B919" t="s">
        <v>2915</v>
      </c>
      <c r="C919" t="s">
        <v>2916</v>
      </c>
      <c r="D919" t="s">
        <v>2917</v>
      </c>
      <c r="E919" t="s">
        <v>2918</v>
      </c>
      <c r="F919" t="s">
        <v>2835</v>
      </c>
      <c r="G919" s="2">
        <v>12.5</v>
      </c>
      <c r="H919" s="1">
        <v>4</v>
      </c>
      <c r="I919" t="s">
        <v>2700</v>
      </c>
      <c r="K919" t="s">
        <v>2828</v>
      </c>
      <c r="L919" s="1">
        <v>1</v>
      </c>
      <c r="M919" s="3">
        <v>33.57</v>
      </c>
      <c r="N919" s="3">
        <v>1.68</v>
      </c>
      <c r="O919" s="3">
        <v>0</v>
      </c>
      <c r="P919" s="3">
        <v>0</v>
      </c>
      <c r="Q919" s="3">
        <v>35.25</v>
      </c>
      <c r="R919" s="3">
        <v>33.9</v>
      </c>
      <c r="S919" s="3">
        <f>VLOOKUP(C919,[1]page!$C$2:$M$3071,11,0)</f>
        <v>33.57</v>
      </c>
      <c r="T919" s="6">
        <f t="shared" si="14"/>
        <v>0</v>
      </c>
    </row>
    <row r="920" spans="1:20" x14ac:dyDescent="0.2">
      <c r="A920" t="s">
        <v>2919</v>
      </c>
      <c r="B920" t="s">
        <v>2920</v>
      </c>
      <c r="C920" t="s">
        <v>2921</v>
      </c>
      <c r="D920" t="s">
        <v>2922</v>
      </c>
      <c r="E920" t="s">
        <v>2699</v>
      </c>
      <c r="F920" t="s">
        <v>23</v>
      </c>
      <c r="G920" s="2">
        <v>12.5</v>
      </c>
      <c r="H920" s="1">
        <v>12</v>
      </c>
      <c r="I920" t="s">
        <v>2700</v>
      </c>
      <c r="K920" t="s">
        <v>2828</v>
      </c>
      <c r="L920" s="1">
        <v>1</v>
      </c>
      <c r="M920" s="3">
        <v>9.1999999999999993</v>
      </c>
      <c r="N920" s="3">
        <v>0.46</v>
      </c>
      <c r="O920" s="3">
        <v>0</v>
      </c>
      <c r="P920" s="3">
        <v>0.2</v>
      </c>
      <c r="Q920" s="3">
        <v>9.86</v>
      </c>
      <c r="R920" s="3">
        <v>7.95</v>
      </c>
      <c r="S920" s="3">
        <f>VLOOKUP(C920,[1]page!$C$2:$M$3071,11,0)</f>
        <v>9.1999999999999993</v>
      </c>
      <c r="T920" s="6">
        <f t="shared" si="14"/>
        <v>0</v>
      </c>
    </row>
    <row r="921" spans="1:20" x14ac:dyDescent="0.2">
      <c r="A921" t="s">
        <v>2919</v>
      </c>
      <c r="B921" t="s">
        <v>2923</v>
      </c>
      <c r="C921" t="s">
        <v>2924</v>
      </c>
      <c r="D921" t="s">
        <v>2925</v>
      </c>
      <c r="E921" t="s">
        <v>2699</v>
      </c>
      <c r="F921" t="s">
        <v>23</v>
      </c>
      <c r="G921" s="1">
        <v>12</v>
      </c>
      <c r="H921" s="1">
        <v>12</v>
      </c>
      <c r="I921" t="s">
        <v>2700</v>
      </c>
      <c r="K921" t="s">
        <v>2828</v>
      </c>
      <c r="L921" s="1">
        <v>1</v>
      </c>
      <c r="M921" s="3">
        <v>9.3000000000000007</v>
      </c>
      <c r="N921" s="3">
        <v>0.47</v>
      </c>
      <c r="O921" s="3">
        <v>0</v>
      </c>
      <c r="P921" s="3">
        <v>0.2</v>
      </c>
      <c r="Q921" s="3">
        <v>9.9700000000000006</v>
      </c>
      <c r="R921" s="3">
        <v>7.95</v>
      </c>
      <c r="S921" s="3">
        <f>VLOOKUP(C921,[1]page!$C$2:$M$3071,11,0)</f>
        <v>9.3000000000000007</v>
      </c>
      <c r="T921" s="6">
        <f t="shared" si="14"/>
        <v>0</v>
      </c>
    </row>
    <row r="922" spans="1:20" x14ac:dyDescent="0.2">
      <c r="A922" t="s">
        <v>2919</v>
      </c>
      <c r="B922" t="s">
        <v>2926</v>
      </c>
      <c r="C922" t="s">
        <v>2927</v>
      </c>
      <c r="D922" t="s">
        <v>2925</v>
      </c>
      <c r="E922" t="s">
        <v>2699</v>
      </c>
      <c r="F922" t="s">
        <v>87</v>
      </c>
      <c r="G922" s="1">
        <v>12</v>
      </c>
      <c r="H922" s="1">
        <v>4</v>
      </c>
      <c r="I922" t="s">
        <v>2700</v>
      </c>
      <c r="K922" t="s">
        <v>2828</v>
      </c>
      <c r="L922" s="1">
        <v>1</v>
      </c>
      <c r="M922" s="3">
        <v>28.47</v>
      </c>
      <c r="N922" s="3">
        <v>1.42</v>
      </c>
      <c r="O922" s="3">
        <v>0</v>
      </c>
      <c r="P922" s="3">
        <v>0</v>
      </c>
      <c r="Q922" s="3">
        <v>29.89</v>
      </c>
      <c r="R922" s="3">
        <v>26.4</v>
      </c>
      <c r="S922" s="3">
        <f>VLOOKUP(C922,[1]page!$C$2:$M$3071,11,0)</f>
        <v>28.47</v>
      </c>
      <c r="T922" s="6">
        <f t="shared" si="14"/>
        <v>0</v>
      </c>
    </row>
    <row r="923" spans="1:20" x14ac:dyDescent="0.2">
      <c r="A923" t="s">
        <v>2919</v>
      </c>
      <c r="B923" t="s">
        <v>2928</v>
      </c>
      <c r="C923" t="s">
        <v>2929</v>
      </c>
      <c r="D923" t="s">
        <v>2930</v>
      </c>
      <c r="E923" t="s">
        <v>2699</v>
      </c>
      <c r="F923" t="s">
        <v>87</v>
      </c>
      <c r="G923" s="1">
        <v>12</v>
      </c>
      <c r="H923" s="1">
        <v>4</v>
      </c>
      <c r="I923" t="s">
        <v>2700</v>
      </c>
      <c r="K923" t="s">
        <v>2828</v>
      </c>
      <c r="L923" s="1">
        <v>1</v>
      </c>
      <c r="M923" s="3">
        <v>28.47</v>
      </c>
      <c r="N923" s="3">
        <v>1.42</v>
      </c>
      <c r="O923" s="3">
        <v>0</v>
      </c>
      <c r="P923" s="3">
        <v>0</v>
      </c>
      <c r="Q923" s="3">
        <v>29.89</v>
      </c>
      <c r="R923" s="3">
        <v>26.4</v>
      </c>
      <c r="S923" s="3">
        <f>VLOOKUP(C923,[1]page!$C$2:$M$3071,11,0)</f>
        <v>28.47</v>
      </c>
      <c r="T923" s="6">
        <f t="shared" si="14"/>
        <v>0</v>
      </c>
    </row>
    <row r="924" spans="1:20" x14ac:dyDescent="0.2">
      <c r="A924" t="s">
        <v>2919</v>
      </c>
      <c r="B924" t="s">
        <v>2931</v>
      </c>
      <c r="C924" t="s">
        <v>2932</v>
      </c>
      <c r="D924" t="s">
        <v>2933</v>
      </c>
      <c r="E924" t="s">
        <v>200</v>
      </c>
      <c r="F924" t="s">
        <v>2835</v>
      </c>
      <c r="G924" s="1">
        <v>12</v>
      </c>
      <c r="H924" s="1">
        <v>4</v>
      </c>
      <c r="I924" t="s">
        <v>201</v>
      </c>
      <c r="K924" t="s">
        <v>2706</v>
      </c>
      <c r="L924" s="1">
        <v>1</v>
      </c>
      <c r="M924" s="3">
        <v>34.47</v>
      </c>
      <c r="N924" s="3">
        <v>1.72</v>
      </c>
      <c r="O924" s="3">
        <v>0</v>
      </c>
      <c r="P924" s="3">
        <v>0</v>
      </c>
      <c r="Q924" s="3">
        <v>36.19</v>
      </c>
      <c r="R924" s="3">
        <v>33.9</v>
      </c>
      <c r="S924" s="3">
        <f>VLOOKUP(C924,[1]page!$C$2:$M$3071,11,0)</f>
        <v>34.47</v>
      </c>
      <c r="T924" s="6">
        <f t="shared" si="14"/>
        <v>0</v>
      </c>
    </row>
    <row r="925" spans="1:20" x14ac:dyDescent="0.2">
      <c r="A925" t="s">
        <v>2919</v>
      </c>
      <c r="B925" t="s">
        <v>2934</v>
      </c>
      <c r="C925" t="s">
        <v>2935</v>
      </c>
      <c r="D925" t="s">
        <v>2936</v>
      </c>
      <c r="E925" t="s">
        <v>2699</v>
      </c>
      <c r="F925" t="s">
        <v>23</v>
      </c>
      <c r="G925" s="1">
        <v>12</v>
      </c>
      <c r="H925" s="1">
        <v>12</v>
      </c>
      <c r="I925" t="s">
        <v>2700</v>
      </c>
      <c r="K925" t="s">
        <v>2677</v>
      </c>
      <c r="L925" s="1">
        <v>1</v>
      </c>
      <c r="M925" s="3">
        <v>9.26</v>
      </c>
      <c r="N925" s="3">
        <v>0.46</v>
      </c>
      <c r="O925" s="3">
        <v>0</v>
      </c>
      <c r="P925" s="3">
        <v>0.2</v>
      </c>
      <c r="Q925" s="3">
        <v>9.92</v>
      </c>
      <c r="R925" s="3">
        <v>7.95</v>
      </c>
      <c r="S925" s="3">
        <f>VLOOKUP(C925,[1]page!$C$2:$M$3071,11,0)</f>
        <v>9.26</v>
      </c>
      <c r="T925" s="6">
        <f t="shared" si="14"/>
        <v>0</v>
      </c>
    </row>
    <row r="926" spans="1:20" x14ac:dyDescent="0.2">
      <c r="A926" t="s">
        <v>2919</v>
      </c>
      <c r="B926" t="s">
        <v>2937</v>
      </c>
      <c r="C926" t="s">
        <v>2938</v>
      </c>
      <c r="D926" t="s">
        <v>2939</v>
      </c>
      <c r="E926" t="s">
        <v>2699</v>
      </c>
      <c r="F926" t="s">
        <v>23</v>
      </c>
      <c r="G926" s="1">
        <v>12</v>
      </c>
      <c r="H926" s="1">
        <v>12</v>
      </c>
      <c r="I926" t="s">
        <v>2700</v>
      </c>
      <c r="K926" t="s">
        <v>2712</v>
      </c>
      <c r="L926" s="1">
        <v>1</v>
      </c>
      <c r="M926" s="3">
        <v>9.26</v>
      </c>
      <c r="N926" s="3">
        <v>0.46</v>
      </c>
      <c r="O926" s="3">
        <v>0</v>
      </c>
      <c r="P926" s="3">
        <v>0.2</v>
      </c>
      <c r="Q926" s="3">
        <v>9.92</v>
      </c>
      <c r="R926" s="3">
        <v>7.95</v>
      </c>
      <c r="S926" s="3">
        <f>VLOOKUP(C926,[1]page!$C$2:$M$3071,11,0)</f>
        <v>9.26</v>
      </c>
      <c r="T926" s="6">
        <f t="shared" si="14"/>
        <v>0</v>
      </c>
    </row>
    <row r="927" spans="1:20" x14ac:dyDescent="0.2">
      <c r="A927" t="s">
        <v>2919</v>
      </c>
      <c r="B927" t="s">
        <v>2940</v>
      </c>
      <c r="C927" t="s">
        <v>2941</v>
      </c>
      <c r="D927" t="s">
        <v>2939</v>
      </c>
      <c r="E927" t="s">
        <v>2699</v>
      </c>
      <c r="F927" t="s">
        <v>2835</v>
      </c>
      <c r="G927" s="1">
        <v>12</v>
      </c>
      <c r="H927" s="1">
        <v>4</v>
      </c>
      <c r="I927" t="s">
        <v>2700</v>
      </c>
      <c r="K927" t="s">
        <v>2712</v>
      </c>
      <c r="L927" s="1">
        <v>1</v>
      </c>
      <c r="M927" s="3">
        <v>34.47</v>
      </c>
      <c r="N927" s="3">
        <v>1.72</v>
      </c>
      <c r="O927" s="3">
        <v>0</v>
      </c>
      <c r="P927" s="3">
        <v>0</v>
      </c>
      <c r="Q927" s="3">
        <v>36.19</v>
      </c>
      <c r="R927" s="3">
        <v>33.9</v>
      </c>
      <c r="S927" s="3">
        <f>VLOOKUP(C927,[1]page!$C$2:$M$3071,11,0)</f>
        <v>34.47</v>
      </c>
      <c r="T927" s="6">
        <f t="shared" si="14"/>
        <v>0</v>
      </c>
    </row>
    <row r="928" spans="1:20" x14ac:dyDescent="0.2">
      <c r="A928" t="s">
        <v>2919</v>
      </c>
      <c r="B928" t="s">
        <v>2942</v>
      </c>
      <c r="C928" t="s">
        <v>2943</v>
      </c>
      <c r="D928" t="s">
        <v>2944</v>
      </c>
      <c r="E928" t="s">
        <v>2699</v>
      </c>
      <c r="F928" t="s">
        <v>2835</v>
      </c>
      <c r="G928" s="1">
        <v>12</v>
      </c>
      <c r="H928" s="1">
        <v>4</v>
      </c>
      <c r="I928" t="s">
        <v>2700</v>
      </c>
      <c r="K928" t="s">
        <v>2712</v>
      </c>
      <c r="L928" s="1">
        <v>1</v>
      </c>
      <c r="M928" s="3">
        <v>34.47</v>
      </c>
      <c r="N928" s="3">
        <v>1.72</v>
      </c>
      <c r="O928" s="3">
        <v>0</v>
      </c>
      <c r="P928" s="3">
        <v>0</v>
      </c>
      <c r="Q928" s="3">
        <v>36.19</v>
      </c>
      <c r="R928" s="3">
        <v>33.9</v>
      </c>
      <c r="S928" s="3">
        <f>VLOOKUP(C928,[1]page!$C$2:$M$3071,11,0)</f>
        <v>34.47</v>
      </c>
      <c r="T928" s="6">
        <f t="shared" si="14"/>
        <v>0</v>
      </c>
    </row>
    <row r="929" spans="1:20" x14ac:dyDescent="0.2">
      <c r="A929" t="s">
        <v>2919</v>
      </c>
      <c r="B929" t="s">
        <v>2945</v>
      </c>
      <c r="C929" t="s">
        <v>2946</v>
      </c>
      <c r="D929" t="s">
        <v>2947</v>
      </c>
      <c r="E929" t="s">
        <v>200</v>
      </c>
      <c r="F929" t="s">
        <v>2835</v>
      </c>
      <c r="G929" s="1">
        <v>13</v>
      </c>
      <c r="H929" s="1">
        <v>4</v>
      </c>
      <c r="I929" t="s">
        <v>201</v>
      </c>
      <c r="K929" t="s">
        <v>2706</v>
      </c>
      <c r="L929" s="1">
        <v>1</v>
      </c>
      <c r="M929" s="3">
        <v>34.47</v>
      </c>
      <c r="N929" s="3">
        <v>1.72</v>
      </c>
      <c r="O929" s="3">
        <v>0</v>
      </c>
      <c r="P929" s="3">
        <v>0</v>
      </c>
      <c r="Q929" s="3">
        <v>36.19</v>
      </c>
      <c r="R929" s="3">
        <v>33.9</v>
      </c>
      <c r="S929" s="3">
        <f>VLOOKUP(C929,[1]page!$C$2:$M$3071,11,0)</f>
        <v>34.47</v>
      </c>
      <c r="T929" s="6">
        <f t="shared" si="14"/>
        <v>0</v>
      </c>
    </row>
    <row r="930" spans="1:20" x14ac:dyDescent="0.2">
      <c r="A930" t="s">
        <v>2919</v>
      </c>
      <c r="B930" t="s">
        <v>2948</v>
      </c>
      <c r="C930" t="s">
        <v>2949</v>
      </c>
      <c r="D930" t="s">
        <v>2950</v>
      </c>
      <c r="E930" t="s">
        <v>200</v>
      </c>
      <c r="F930" t="s">
        <v>23</v>
      </c>
      <c r="G930" s="1">
        <v>12</v>
      </c>
      <c r="H930" s="1">
        <v>12</v>
      </c>
      <c r="I930" t="s">
        <v>201</v>
      </c>
      <c r="K930" t="s">
        <v>2712</v>
      </c>
      <c r="L930" s="1">
        <v>1</v>
      </c>
      <c r="M930" s="3">
        <v>9</v>
      </c>
      <c r="N930" s="3">
        <v>0.45</v>
      </c>
      <c r="O930" s="3">
        <v>0</v>
      </c>
      <c r="P930" s="3">
        <v>0.2</v>
      </c>
      <c r="Q930" s="3">
        <v>9.65</v>
      </c>
      <c r="R930" s="3">
        <v>7.95</v>
      </c>
      <c r="S930" s="3">
        <f>VLOOKUP(C930,[1]page!$C$2:$M$3071,11,0)</f>
        <v>9</v>
      </c>
      <c r="T930" s="6">
        <f t="shared" si="14"/>
        <v>0</v>
      </c>
    </row>
    <row r="931" spans="1:20" x14ac:dyDescent="0.2">
      <c r="A931" t="s">
        <v>2919</v>
      </c>
      <c r="B931" t="s">
        <v>2951</v>
      </c>
      <c r="C931" t="s">
        <v>2952</v>
      </c>
      <c r="D931" t="s">
        <v>2950</v>
      </c>
      <c r="E931" t="s">
        <v>200</v>
      </c>
      <c r="F931" t="s">
        <v>2835</v>
      </c>
      <c r="G931" s="2">
        <v>12.5</v>
      </c>
      <c r="H931" s="1">
        <v>4</v>
      </c>
      <c r="I931" t="s">
        <v>201</v>
      </c>
      <c r="K931" t="s">
        <v>2712</v>
      </c>
      <c r="L931" s="1">
        <v>1</v>
      </c>
      <c r="M931" s="3">
        <v>34.47</v>
      </c>
      <c r="N931" s="3">
        <v>1.72</v>
      </c>
      <c r="O931" s="3">
        <v>0</v>
      </c>
      <c r="P931" s="3">
        <v>0</v>
      </c>
      <c r="Q931" s="3">
        <v>36.19</v>
      </c>
      <c r="R931" s="3">
        <v>33.9</v>
      </c>
      <c r="S931" s="3">
        <f>VLOOKUP(C931,[1]page!$C$2:$M$3071,11,0)</f>
        <v>34.47</v>
      </c>
      <c r="T931" s="6">
        <f t="shared" si="14"/>
        <v>0</v>
      </c>
    </row>
    <row r="932" spans="1:20" x14ac:dyDescent="0.2">
      <c r="A932" t="s">
        <v>2919</v>
      </c>
      <c r="B932" t="s">
        <v>2953</v>
      </c>
      <c r="C932" t="s">
        <v>2954</v>
      </c>
      <c r="D932" t="s">
        <v>2955</v>
      </c>
      <c r="E932" t="s">
        <v>200</v>
      </c>
      <c r="F932" t="s">
        <v>23</v>
      </c>
      <c r="G932" s="2">
        <v>11.5</v>
      </c>
      <c r="H932" s="1">
        <v>12</v>
      </c>
      <c r="I932" t="s">
        <v>201</v>
      </c>
      <c r="K932" t="s">
        <v>2828</v>
      </c>
      <c r="L932" s="1">
        <v>1</v>
      </c>
      <c r="M932" s="3">
        <v>9.3000000000000007</v>
      </c>
      <c r="N932" s="3">
        <v>0.47</v>
      </c>
      <c r="O932" s="3">
        <v>0</v>
      </c>
      <c r="P932" s="3">
        <v>0.2</v>
      </c>
      <c r="Q932" s="3">
        <v>9.9700000000000006</v>
      </c>
      <c r="R932" s="3">
        <v>7.95</v>
      </c>
      <c r="S932" s="3">
        <f>VLOOKUP(C932,[1]page!$C$2:$M$3071,11,0)</f>
        <v>9.3000000000000007</v>
      </c>
      <c r="T932" s="6">
        <f t="shared" si="14"/>
        <v>0</v>
      </c>
    </row>
    <row r="933" spans="1:20" x14ac:dyDescent="0.2">
      <c r="A933" t="s">
        <v>2919</v>
      </c>
      <c r="B933" t="s">
        <v>2956</v>
      </c>
      <c r="C933" t="s">
        <v>2957</v>
      </c>
      <c r="D933" t="s">
        <v>2958</v>
      </c>
      <c r="E933" t="s">
        <v>200</v>
      </c>
      <c r="F933" t="s">
        <v>23</v>
      </c>
      <c r="G933" s="1">
        <v>12</v>
      </c>
      <c r="H933" s="1">
        <v>12</v>
      </c>
      <c r="I933" t="s">
        <v>201</v>
      </c>
      <c r="K933" t="s">
        <v>2828</v>
      </c>
      <c r="L933" s="1">
        <v>1</v>
      </c>
      <c r="M933" s="3">
        <v>9.3000000000000007</v>
      </c>
      <c r="N933" s="3">
        <v>0.47</v>
      </c>
      <c r="O933" s="3">
        <v>0</v>
      </c>
      <c r="P933" s="3">
        <v>0.2</v>
      </c>
      <c r="Q933" s="3">
        <v>9.9700000000000006</v>
      </c>
      <c r="R933" s="3">
        <v>7.95</v>
      </c>
      <c r="S933" s="3">
        <f>VLOOKUP(C933,[1]page!$C$2:$M$3071,11,0)</f>
        <v>9.3000000000000007</v>
      </c>
      <c r="T933" s="6">
        <f t="shared" si="14"/>
        <v>0</v>
      </c>
    </row>
    <row r="934" spans="1:20" x14ac:dyDescent="0.2">
      <c r="A934" t="s">
        <v>2919</v>
      </c>
      <c r="B934" t="s">
        <v>2959</v>
      </c>
      <c r="C934" t="s">
        <v>2960</v>
      </c>
      <c r="D934" t="s">
        <v>2961</v>
      </c>
      <c r="E934" t="s">
        <v>2699</v>
      </c>
      <c r="F934" t="s">
        <v>23</v>
      </c>
      <c r="G934" s="1">
        <v>8</v>
      </c>
      <c r="H934" s="1">
        <v>12</v>
      </c>
      <c r="I934" t="s">
        <v>2700</v>
      </c>
      <c r="K934" t="s">
        <v>2706</v>
      </c>
      <c r="L934" s="1">
        <v>1</v>
      </c>
      <c r="M934" s="3">
        <v>9</v>
      </c>
      <c r="N934" s="3">
        <v>0.45</v>
      </c>
      <c r="O934" s="3">
        <v>0</v>
      </c>
      <c r="P934" s="3">
        <v>0.2</v>
      </c>
      <c r="Q934" s="3">
        <v>9.65</v>
      </c>
      <c r="R934" s="3">
        <v>7.95</v>
      </c>
      <c r="S934" s="3">
        <f>VLOOKUP(C934,[1]page!$C$2:$M$3071,11,0)</f>
        <v>9</v>
      </c>
      <c r="T934" s="6">
        <f t="shared" si="14"/>
        <v>0</v>
      </c>
    </row>
    <row r="935" spans="1:20" x14ac:dyDescent="0.2">
      <c r="A935" t="s">
        <v>2919</v>
      </c>
      <c r="B935" t="s">
        <v>2962</v>
      </c>
      <c r="C935" t="s">
        <v>2963</v>
      </c>
      <c r="D935" t="s">
        <v>2964</v>
      </c>
      <c r="E935" t="s">
        <v>2899</v>
      </c>
      <c r="F935" t="s">
        <v>23</v>
      </c>
      <c r="G935" s="1">
        <v>12</v>
      </c>
      <c r="H935" s="1">
        <v>12</v>
      </c>
      <c r="I935" t="s">
        <v>397</v>
      </c>
      <c r="K935" t="s">
        <v>2828</v>
      </c>
      <c r="L935" s="1">
        <v>1</v>
      </c>
      <c r="M935" s="3">
        <v>8.81</v>
      </c>
      <c r="N935" s="3">
        <v>0.44</v>
      </c>
      <c r="O935" s="3">
        <v>0</v>
      </c>
      <c r="P935" s="3">
        <v>0.2</v>
      </c>
      <c r="Q935" s="3">
        <v>9.4499999999999993</v>
      </c>
      <c r="R935" s="3">
        <v>7.95</v>
      </c>
      <c r="S935" s="3">
        <f>VLOOKUP(C935,[1]page!$C$2:$M$3071,11,0)</f>
        <v>8.7899999999999991</v>
      </c>
      <c r="T935" s="6">
        <f t="shared" si="14"/>
        <v>2.000000000000135E-2</v>
      </c>
    </row>
    <row r="936" spans="1:20" x14ac:dyDescent="0.2">
      <c r="A936" t="s">
        <v>2919</v>
      </c>
      <c r="B936" t="s">
        <v>2965</v>
      </c>
      <c r="C936" t="s">
        <v>2966</v>
      </c>
      <c r="D936" t="s">
        <v>2967</v>
      </c>
      <c r="E936" t="s">
        <v>2699</v>
      </c>
      <c r="F936" t="s">
        <v>2835</v>
      </c>
      <c r="G936" s="1">
        <v>12</v>
      </c>
      <c r="H936" s="1">
        <v>4</v>
      </c>
      <c r="I936" t="s">
        <v>2700</v>
      </c>
      <c r="K936" t="s">
        <v>2828</v>
      </c>
      <c r="L936" s="1">
        <v>1</v>
      </c>
      <c r="M936" s="3">
        <v>32.93</v>
      </c>
      <c r="N936" s="3">
        <v>1.65</v>
      </c>
      <c r="O936" s="3">
        <v>0</v>
      </c>
      <c r="P936" s="3">
        <v>0</v>
      </c>
      <c r="Q936" s="3">
        <v>34.58</v>
      </c>
      <c r="R936" s="3">
        <v>33.9</v>
      </c>
      <c r="S936" s="3">
        <f>VLOOKUP(C936,[1]page!$C$2:$M$3071,11,0)</f>
        <v>32.93</v>
      </c>
      <c r="T936" s="6">
        <f t="shared" si="14"/>
        <v>0</v>
      </c>
    </row>
    <row r="937" spans="1:20" x14ac:dyDescent="0.2">
      <c r="A937" t="s">
        <v>2919</v>
      </c>
      <c r="B937" t="s">
        <v>2968</v>
      </c>
      <c r="C937" t="s">
        <v>2969</v>
      </c>
      <c r="D937" t="s">
        <v>2970</v>
      </c>
      <c r="E937" t="s">
        <v>2839</v>
      </c>
      <c r="F937" t="s">
        <v>209</v>
      </c>
      <c r="G937" s="1">
        <v>12</v>
      </c>
      <c r="H937" s="1">
        <v>24</v>
      </c>
      <c r="I937" t="s">
        <v>201</v>
      </c>
      <c r="K937" t="s">
        <v>2828</v>
      </c>
      <c r="L937" s="1">
        <v>1</v>
      </c>
      <c r="M937" s="3">
        <v>4</v>
      </c>
      <c r="N937" s="3">
        <v>0.2</v>
      </c>
      <c r="O937" s="3">
        <v>0</v>
      </c>
      <c r="P937" s="3">
        <v>0.1</v>
      </c>
      <c r="Q937" s="3">
        <v>4.3</v>
      </c>
      <c r="R937" s="3">
        <v>2.5</v>
      </c>
      <c r="S937" s="3">
        <f>VLOOKUP(C937,[1]page!$C$2:$M$3071,11,0)</f>
        <v>4</v>
      </c>
      <c r="T937" s="6">
        <f t="shared" si="14"/>
        <v>0</v>
      </c>
    </row>
    <row r="938" spans="1:20" x14ac:dyDescent="0.2">
      <c r="A938" t="s">
        <v>2919</v>
      </c>
      <c r="B938" t="s">
        <v>2971</v>
      </c>
      <c r="C938" t="s">
        <v>2972</v>
      </c>
      <c r="D938" t="s">
        <v>2973</v>
      </c>
      <c r="E938" t="s">
        <v>200</v>
      </c>
      <c r="F938" t="s">
        <v>23</v>
      </c>
      <c r="G938" s="2">
        <v>12.5</v>
      </c>
      <c r="H938" s="1">
        <v>12</v>
      </c>
      <c r="I938" t="s">
        <v>201</v>
      </c>
      <c r="K938" t="s">
        <v>2706</v>
      </c>
      <c r="L938" s="1">
        <v>1</v>
      </c>
      <c r="M938" s="3">
        <v>8.6</v>
      </c>
      <c r="N938" s="3">
        <v>0.43</v>
      </c>
      <c r="O938" s="3">
        <v>0</v>
      </c>
      <c r="P938" s="3">
        <v>0.2</v>
      </c>
      <c r="Q938" s="3">
        <v>9.23</v>
      </c>
      <c r="R938" s="3">
        <v>7.95</v>
      </c>
      <c r="S938" s="3">
        <f>VLOOKUP(C938,[1]page!$C$2:$M$3071,11,0)</f>
        <v>8.6</v>
      </c>
      <c r="T938" s="6">
        <f t="shared" si="14"/>
        <v>0</v>
      </c>
    </row>
    <row r="939" spans="1:20" x14ac:dyDescent="0.2">
      <c r="A939" t="s">
        <v>2919</v>
      </c>
      <c r="B939" t="s">
        <v>2974</v>
      </c>
      <c r="C939" t="s">
        <v>2975</v>
      </c>
      <c r="D939" t="s">
        <v>2976</v>
      </c>
      <c r="E939" t="s">
        <v>2699</v>
      </c>
      <c r="F939" t="s">
        <v>2835</v>
      </c>
      <c r="G939" s="1">
        <v>12</v>
      </c>
      <c r="H939" s="1">
        <v>4</v>
      </c>
      <c r="I939" t="s">
        <v>2700</v>
      </c>
      <c r="K939" t="s">
        <v>2706</v>
      </c>
      <c r="L939" s="1">
        <v>1</v>
      </c>
      <c r="M939" s="3">
        <v>33.57</v>
      </c>
      <c r="N939" s="3">
        <v>1.68</v>
      </c>
      <c r="O939" s="3">
        <v>0</v>
      </c>
      <c r="P939" s="3">
        <v>0</v>
      </c>
      <c r="Q939" s="3">
        <v>35.25</v>
      </c>
      <c r="R939" s="3">
        <v>33.9</v>
      </c>
      <c r="S939" s="3">
        <f>VLOOKUP(C939,[1]page!$C$2:$M$3071,11,0)</f>
        <v>33.57</v>
      </c>
      <c r="T939" s="6">
        <f t="shared" si="14"/>
        <v>0</v>
      </c>
    </row>
    <row r="940" spans="1:20" x14ac:dyDescent="0.2">
      <c r="A940" t="s">
        <v>2919</v>
      </c>
      <c r="B940" t="s">
        <v>2977</v>
      </c>
      <c r="C940" t="s">
        <v>2978</v>
      </c>
      <c r="D940" t="s">
        <v>2979</v>
      </c>
      <c r="E940" t="s">
        <v>2980</v>
      </c>
      <c r="F940" t="s">
        <v>2835</v>
      </c>
      <c r="G940" s="1">
        <v>12</v>
      </c>
      <c r="H940" s="1">
        <v>4</v>
      </c>
      <c r="I940" t="s">
        <v>57</v>
      </c>
      <c r="K940" t="s">
        <v>2687</v>
      </c>
      <c r="L940" s="1">
        <v>1</v>
      </c>
      <c r="M940" s="3">
        <v>35.08</v>
      </c>
      <c r="N940" s="3">
        <v>1.75</v>
      </c>
      <c r="O940" s="3">
        <v>0</v>
      </c>
      <c r="P940" s="3">
        <v>0</v>
      </c>
      <c r="Q940" s="3">
        <v>36.83</v>
      </c>
      <c r="R940" s="3">
        <v>33.9</v>
      </c>
      <c r="S940" s="3">
        <f>VLOOKUP(C940,[1]page!$C$2:$M$3071,11,0)</f>
        <v>35.08</v>
      </c>
      <c r="T940" s="6">
        <f t="shared" si="14"/>
        <v>0</v>
      </c>
    </row>
    <row r="941" spans="1:20" x14ac:dyDescent="0.2">
      <c r="A941" t="s">
        <v>2919</v>
      </c>
      <c r="B941" t="s">
        <v>2981</v>
      </c>
      <c r="C941" t="s">
        <v>2982</v>
      </c>
      <c r="D941" t="s">
        <v>2983</v>
      </c>
      <c r="E941" t="s">
        <v>200</v>
      </c>
      <c r="F941" t="s">
        <v>23</v>
      </c>
      <c r="G941" s="1">
        <v>12</v>
      </c>
      <c r="H941" s="1">
        <v>12</v>
      </c>
      <c r="I941" t="s">
        <v>201</v>
      </c>
      <c r="K941" t="s">
        <v>2706</v>
      </c>
      <c r="L941" s="1">
        <v>1</v>
      </c>
      <c r="M941" s="3">
        <v>9.26</v>
      </c>
      <c r="N941" s="3">
        <v>0.46</v>
      </c>
      <c r="O941" s="3">
        <v>0</v>
      </c>
      <c r="P941" s="3">
        <v>0.2</v>
      </c>
      <c r="Q941" s="3">
        <v>9.92</v>
      </c>
      <c r="R941" s="3">
        <v>7.95</v>
      </c>
      <c r="S941" s="3">
        <f>VLOOKUP(C941,[1]page!$C$2:$M$3071,11,0)</f>
        <v>9.17</v>
      </c>
      <c r="T941" s="6">
        <f t="shared" si="14"/>
        <v>8.9999999999999858E-2</v>
      </c>
    </row>
    <row r="942" spans="1:20" x14ac:dyDescent="0.2">
      <c r="A942" t="s">
        <v>2919</v>
      </c>
      <c r="B942" t="s">
        <v>2984</v>
      </c>
      <c r="C942" t="s">
        <v>2985</v>
      </c>
      <c r="D942" t="s">
        <v>2986</v>
      </c>
      <c r="E942" t="s">
        <v>200</v>
      </c>
      <c r="F942" t="s">
        <v>23</v>
      </c>
      <c r="G942" s="2">
        <v>8.8000000000000007</v>
      </c>
      <c r="H942" s="1">
        <v>12</v>
      </c>
      <c r="I942" t="s">
        <v>201</v>
      </c>
      <c r="K942" t="s">
        <v>2677</v>
      </c>
      <c r="L942" s="1">
        <v>1</v>
      </c>
      <c r="M942" s="3">
        <v>9.26</v>
      </c>
      <c r="N942" s="3">
        <v>0.46</v>
      </c>
      <c r="O942" s="3">
        <v>0</v>
      </c>
      <c r="P942" s="3">
        <v>0.2</v>
      </c>
      <c r="Q942" s="3">
        <v>9.92</v>
      </c>
      <c r="R942" s="3">
        <v>7.95</v>
      </c>
      <c r="S942" s="3">
        <f>VLOOKUP(C942,[1]page!$C$2:$M$3071,11,0)</f>
        <v>9.17</v>
      </c>
      <c r="T942" s="6">
        <f t="shared" ref="T942:T1003" si="15">SUM(M942-S942)</f>
        <v>8.9999999999999858E-2</v>
      </c>
    </row>
    <row r="943" spans="1:20" x14ac:dyDescent="0.2">
      <c r="A943" t="s">
        <v>2987</v>
      </c>
      <c r="B943" t="s">
        <v>2988</v>
      </c>
      <c r="C943" t="s">
        <v>2989</v>
      </c>
      <c r="D943" t="s">
        <v>2990</v>
      </c>
      <c r="E943" t="s">
        <v>2699</v>
      </c>
      <c r="F943" t="s">
        <v>23</v>
      </c>
      <c r="G943" s="2">
        <v>12.5</v>
      </c>
      <c r="H943" s="1">
        <v>12</v>
      </c>
      <c r="I943" t="s">
        <v>2700</v>
      </c>
      <c r="K943" t="s">
        <v>2687</v>
      </c>
      <c r="L943" s="1">
        <v>1</v>
      </c>
      <c r="M943" s="3">
        <v>19.09</v>
      </c>
      <c r="N943" s="3">
        <v>0.95</v>
      </c>
      <c r="O943" s="3">
        <v>0</v>
      </c>
      <c r="P943" s="3">
        <v>0.2</v>
      </c>
      <c r="Q943" s="3">
        <v>20.239999999999998</v>
      </c>
      <c r="R943" s="3">
        <v>7.95</v>
      </c>
      <c r="S943" s="3">
        <f>VLOOKUP(C943,[1]page!$C$2:$M$3071,11,0)</f>
        <v>19.09</v>
      </c>
      <c r="T943" s="6">
        <f t="shared" si="15"/>
        <v>0</v>
      </c>
    </row>
    <row r="944" spans="1:20" x14ac:dyDescent="0.2">
      <c r="A944" t="s">
        <v>2991</v>
      </c>
      <c r="B944" t="s">
        <v>2992</v>
      </c>
      <c r="C944" t="s">
        <v>2993</v>
      </c>
      <c r="D944" t="s">
        <v>2827</v>
      </c>
      <c r="E944" t="s">
        <v>2699</v>
      </c>
      <c r="F944" t="s">
        <v>23</v>
      </c>
      <c r="G944" s="1">
        <v>13</v>
      </c>
      <c r="H944" s="1">
        <v>12</v>
      </c>
      <c r="I944" t="s">
        <v>2700</v>
      </c>
      <c r="K944" t="s">
        <v>2828</v>
      </c>
      <c r="L944" s="1">
        <v>1</v>
      </c>
      <c r="M944" s="3">
        <v>9.3000000000000007</v>
      </c>
      <c r="N944" s="3">
        <v>0.47</v>
      </c>
      <c r="O944" s="3">
        <v>0</v>
      </c>
      <c r="P944" s="3">
        <v>0.2</v>
      </c>
      <c r="Q944" s="3">
        <v>9.9700000000000006</v>
      </c>
      <c r="R944" s="3">
        <v>7.95</v>
      </c>
      <c r="S944" s="3">
        <f>VLOOKUP(C944,[1]page!$C$2:$M$3071,11,0)</f>
        <v>9.3000000000000007</v>
      </c>
      <c r="T944" s="6">
        <f t="shared" si="15"/>
        <v>0</v>
      </c>
    </row>
    <row r="945" spans="1:20" x14ac:dyDescent="0.2">
      <c r="A945" t="s">
        <v>2991</v>
      </c>
      <c r="B945" t="s">
        <v>2994</v>
      </c>
      <c r="C945" t="s">
        <v>2995</v>
      </c>
      <c r="D945" t="s">
        <v>2996</v>
      </c>
      <c r="E945" t="s">
        <v>2699</v>
      </c>
      <c r="F945" t="s">
        <v>23</v>
      </c>
      <c r="G945" s="1">
        <v>11</v>
      </c>
      <c r="H945" s="1">
        <v>12</v>
      </c>
      <c r="I945" t="s">
        <v>2700</v>
      </c>
      <c r="K945" t="s">
        <v>2712</v>
      </c>
      <c r="L945" s="1">
        <v>1</v>
      </c>
      <c r="M945" s="3">
        <v>9.26</v>
      </c>
      <c r="N945" s="3">
        <v>0.46</v>
      </c>
      <c r="O945" s="3">
        <v>0</v>
      </c>
      <c r="P945" s="3">
        <v>0.2</v>
      </c>
      <c r="Q945" s="3">
        <v>9.92</v>
      </c>
      <c r="R945" s="3">
        <v>7.95</v>
      </c>
      <c r="S945" s="3">
        <f>VLOOKUP(C945,[1]page!$C$2:$M$3071,11,0)</f>
        <v>9.26</v>
      </c>
      <c r="T945" s="6">
        <f t="shared" si="15"/>
        <v>0</v>
      </c>
    </row>
    <row r="946" spans="1:20" x14ac:dyDescent="0.2">
      <c r="A946" t="s">
        <v>2991</v>
      </c>
      <c r="B946" t="s">
        <v>2997</v>
      </c>
      <c r="C946" t="s">
        <v>2998</v>
      </c>
      <c r="D946" t="s">
        <v>2999</v>
      </c>
      <c r="E946" t="s">
        <v>200</v>
      </c>
      <c r="F946" t="s">
        <v>23</v>
      </c>
      <c r="G946" s="2">
        <v>12.9</v>
      </c>
      <c r="H946" s="1">
        <v>12</v>
      </c>
      <c r="I946" t="s">
        <v>201</v>
      </c>
      <c r="K946" t="s">
        <v>2706</v>
      </c>
      <c r="L946" s="1">
        <v>1</v>
      </c>
      <c r="M946" s="3">
        <v>20.99</v>
      </c>
      <c r="N946" s="3">
        <v>1.05</v>
      </c>
      <c r="O946" s="3">
        <v>0</v>
      </c>
      <c r="P946" s="3">
        <v>0.2</v>
      </c>
      <c r="Q946" s="3">
        <v>22.24</v>
      </c>
      <c r="R946" s="3">
        <v>7.95</v>
      </c>
      <c r="S946" s="3">
        <f>VLOOKUP(C946,[1]page!$C$2:$M$3071,11,0)</f>
        <v>20.99</v>
      </c>
      <c r="T946" s="6">
        <f t="shared" si="15"/>
        <v>0</v>
      </c>
    </row>
    <row r="947" spans="1:20" x14ac:dyDescent="0.2">
      <c r="A947" t="s">
        <v>3000</v>
      </c>
      <c r="B947" t="s">
        <v>3001</v>
      </c>
      <c r="C947" t="s">
        <v>3002</v>
      </c>
      <c r="D947" t="s">
        <v>3003</v>
      </c>
      <c r="E947" t="s">
        <v>200</v>
      </c>
      <c r="F947" t="s">
        <v>2835</v>
      </c>
      <c r="G947" s="2">
        <v>12.5</v>
      </c>
      <c r="H947" s="1">
        <v>4</v>
      </c>
      <c r="I947" t="s">
        <v>201</v>
      </c>
      <c r="K947" t="s">
        <v>2828</v>
      </c>
      <c r="L947" s="1">
        <v>1</v>
      </c>
      <c r="M947" s="3">
        <v>34.47</v>
      </c>
      <c r="N947" s="3">
        <v>1.72</v>
      </c>
      <c r="O947" s="3">
        <v>0</v>
      </c>
      <c r="P947" s="3">
        <v>0</v>
      </c>
      <c r="Q947" s="3">
        <v>36.19</v>
      </c>
      <c r="R947" s="3">
        <v>33.9</v>
      </c>
      <c r="S947" s="3">
        <f>VLOOKUP(C947,[1]page!$C$2:$M$3071,11,0)</f>
        <v>34.47</v>
      </c>
      <c r="T947" s="6">
        <f t="shared" si="15"/>
        <v>0</v>
      </c>
    </row>
    <row r="948" spans="1:20" x14ac:dyDescent="0.2">
      <c r="A948" t="s">
        <v>3000</v>
      </c>
      <c r="B948" t="s">
        <v>3004</v>
      </c>
      <c r="C948" t="s">
        <v>3005</v>
      </c>
      <c r="D948" t="s">
        <v>3006</v>
      </c>
      <c r="E948" t="s">
        <v>200</v>
      </c>
      <c r="F948" t="s">
        <v>2835</v>
      </c>
      <c r="G948" s="1">
        <v>14</v>
      </c>
      <c r="H948" s="1">
        <v>4</v>
      </c>
      <c r="I948" t="s">
        <v>201</v>
      </c>
      <c r="K948" t="s">
        <v>2687</v>
      </c>
      <c r="L948" s="1">
        <v>1</v>
      </c>
      <c r="M948" s="3">
        <v>34.47</v>
      </c>
      <c r="N948" s="3">
        <v>1.72</v>
      </c>
      <c r="O948" s="3">
        <v>0</v>
      </c>
      <c r="P948" s="3">
        <v>0</v>
      </c>
      <c r="Q948" s="3">
        <v>36.19</v>
      </c>
      <c r="R948" s="3">
        <v>33.9</v>
      </c>
      <c r="S948" s="3">
        <f>VLOOKUP(C948,[1]page!$C$2:$M$3071,11,0)</f>
        <v>34.47</v>
      </c>
      <c r="T948" s="6">
        <f t="shared" si="15"/>
        <v>0</v>
      </c>
    </row>
    <row r="949" spans="1:20" x14ac:dyDescent="0.2">
      <c r="A949" t="s">
        <v>3000</v>
      </c>
      <c r="B949" t="s">
        <v>3007</v>
      </c>
      <c r="C949" t="s">
        <v>3008</v>
      </c>
      <c r="D949" t="s">
        <v>3009</v>
      </c>
      <c r="E949" t="s">
        <v>200</v>
      </c>
      <c r="F949" t="s">
        <v>2835</v>
      </c>
      <c r="G949" s="2">
        <v>12.5</v>
      </c>
      <c r="H949" s="1">
        <v>4</v>
      </c>
      <c r="I949" t="s">
        <v>201</v>
      </c>
      <c r="K949" t="s">
        <v>2828</v>
      </c>
      <c r="L949" s="1">
        <v>1</v>
      </c>
      <c r="M949" s="3">
        <v>34.47</v>
      </c>
      <c r="N949" s="3">
        <v>1.72</v>
      </c>
      <c r="O949" s="3">
        <v>0</v>
      </c>
      <c r="P949" s="3">
        <v>0</v>
      </c>
      <c r="Q949" s="3">
        <v>36.19</v>
      </c>
      <c r="R949" s="3">
        <v>33.9</v>
      </c>
      <c r="S949" s="3">
        <f>VLOOKUP(C949,[1]page!$C$2:$M$3071,11,0)</f>
        <v>34.47</v>
      </c>
      <c r="T949" s="6">
        <f t="shared" si="15"/>
        <v>0</v>
      </c>
    </row>
    <row r="950" spans="1:20" x14ac:dyDescent="0.2">
      <c r="A950" t="s">
        <v>3000</v>
      </c>
      <c r="B950" t="s">
        <v>3010</v>
      </c>
      <c r="C950" t="s">
        <v>3011</v>
      </c>
      <c r="D950" t="s">
        <v>3012</v>
      </c>
      <c r="E950" t="s">
        <v>200</v>
      </c>
      <c r="F950" t="s">
        <v>2835</v>
      </c>
      <c r="G950" s="1">
        <v>13</v>
      </c>
      <c r="H950" s="1">
        <v>4</v>
      </c>
      <c r="I950" t="s">
        <v>201</v>
      </c>
      <c r="K950" t="s">
        <v>2828</v>
      </c>
      <c r="L950" s="1">
        <v>1</v>
      </c>
      <c r="M950" s="3">
        <v>34.47</v>
      </c>
      <c r="N950" s="3">
        <v>1.72</v>
      </c>
      <c r="O950" s="3">
        <v>0</v>
      </c>
      <c r="P950" s="3">
        <v>0</v>
      </c>
      <c r="Q950" s="3">
        <v>36.19</v>
      </c>
      <c r="R950" s="3">
        <v>33.9</v>
      </c>
      <c r="S950" s="3">
        <f>VLOOKUP(C950,[1]page!$C$2:$M$3071,11,0)</f>
        <v>34.47</v>
      </c>
      <c r="T950" s="6">
        <f t="shared" si="15"/>
        <v>0</v>
      </c>
    </row>
    <row r="951" spans="1:20" x14ac:dyDescent="0.2">
      <c r="A951" t="s">
        <v>3000</v>
      </c>
      <c r="B951" t="s">
        <v>3013</v>
      </c>
      <c r="C951" t="s">
        <v>3014</v>
      </c>
      <c r="D951" t="s">
        <v>2877</v>
      </c>
      <c r="E951" t="s">
        <v>200</v>
      </c>
      <c r="F951" t="s">
        <v>2835</v>
      </c>
      <c r="G951" s="2">
        <v>12.5</v>
      </c>
      <c r="H951" s="1">
        <v>4</v>
      </c>
      <c r="I951" t="s">
        <v>201</v>
      </c>
      <c r="K951" t="s">
        <v>2706</v>
      </c>
      <c r="L951" s="1">
        <v>1</v>
      </c>
      <c r="M951" s="3">
        <v>34.47</v>
      </c>
      <c r="N951" s="3">
        <v>1.72</v>
      </c>
      <c r="O951" s="3">
        <v>0</v>
      </c>
      <c r="P951" s="3">
        <v>0</v>
      </c>
      <c r="Q951" s="3">
        <v>36.19</v>
      </c>
      <c r="R951" s="3">
        <v>33.9</v>
      </c>
      <c r="S951" s="3">
        <f>VLOOKUP(C951,[1]page!$C$2:$M$3071,11,0)</f>
        <v>34.47</v>
      </c>
      <c r="T951" s="6">
        <f t="shared" si="15"/>
        <v>0</v>
      </c>
    </row>
    <row r="952" spans="1:20" x14ac:dyDescent="0.2">
      <c r="A952" t="s">
        <v>3000</v>
      </c>
      <c r="B952" t="s">
        <v>3015</v>
      </c>
      <c r="C952" t="s">
        <v>3016</v>
      </c>
      <c r="D952" t="s">
        <v>3017</v>
      </c>
      <c r="E952" t="s">
        <v>3018</v>
      </c>
      <c r="F952" t="s">
        <v>23</v>
      </c>
      <c r="G952" s="2">
        <v>12.5</v>
      </c>
      <c r="H952" s="1">
        <v>12</v>
      </c>
      <c r="I952" t="s">
        <v>201</v>
      </c>
      <c r="K952" t="s">
        <v>2828</v>
      </c>
      <c r="L952" s="1">
        <v>1</v>
      </c>
      <c r="M952" s="3">
        <v>18.3</v>
      </c>
      <c r="N952" s="3">
        <v>0.92</v>
      </c>
      <c r="O952" s="3">
        <v>0</v>
      </c>
      <c r="P952" s="3">
        <v>0.2</v>
      </c>
      <c r="Q952" s="3">
        <v>19.420000000000002</v>
      </c>
      <c r="R952" s="3">
        <v>7.95</v>
      </c>
      <c r="S952" s="3">
        <f>VLOOKUP(C952,[1]page!$C$2:$M$3071,11,0)</f>
        <v>18.3</v>
      </c>
      <c r="T952" s="6">
        <f t="shared" si="15"/>
        <v>0</v>
      </c>
    </row>
    <row r="953" spans="1:20" x14ac:dyDescent="0.2">
      <c r="A953" t="s">
        <v>3000</v>
      </c>
      <c r="B953" t="s">
        <v>3019</v>
      </c>
      <c r="C953" t="s">
        <v>3020</v>
      </c>
      <c r="D953" t="s">
        <v>3021</v>
      </c>
      <c r="E953" t="s">
        <v>2699</v>
      </c>
      <c r="F953" t="s">
        <v>23</v>
      </c>
      <c r="G953" s="1">
        <v>12</v>
      </c>
      <c r="H953" s="1">
        <v>12</v>
      </c>
      <c r="I953" t="s">
        <v>2700</v>
      </c>
      <c r="K953" t="s">
        <v>2706</v>
      </c>
      <c r="L953" s="1">
        <v>1</v>
      </c>
      <c r="M953" s="3">
        <v>8.4700000000000006</v>
      </c>
      <c r="N953" s="3">
        <v>0.42</v>
      </c>
      <c r="O953" s="3">
        <v>0</v>
      </c>
      <c r="P953" s="3">
        <v>0.2</v>
      </c>
      <c r="Q953" s="3">
        <v>9.09</v>
      </c>
      <c r="R953" s="3">
        <v>7.95</v>
      </c>
      <c r="S953" s="3">
        <f>VLOOKUP(C953,[1]page!$C$2:$M$3071,11,0)</f>
        <v>8.4700000000000006</v>
      </c>
      <c r="T953" s="6">
        <f t="shared" si="15"/>
        <v>0</v>
      </c>
    </row>
    <row r="954" spans="1:20" x14ac:dyDescent="0.2">
      <c r="A954" t="s">
        <v>3000</v>
      </c>
      <c r="B954" t="s">
        <v>3022</v>
      </c>
      <c r="C954" t="s">
        <v>3023</v>
      </c>
      <c r="D954" t="s">
        <v>3024</v>
      </c>
      <c r="E954" t="s">
        <v>3025</v>
      </c>
      <c r="F954" t="s">
        <v>23</v>
      </c>
      <c r="G954" s="2">
        <v>13.5</v>
      </c>
      <c r="H954" s="1">
        <v>12</v>
      </c>
      <c r="I954" t="s">
        <v>57</v>
      </c>
      <c r="K954" t="s">
        <v>2828</v>
      </c>
      <c r="L954" s="1">
        <v>1</v>
      </c>
      <c r="M954" s="3">
        <v>24.5</v>
      </c>
      <c r="N954" s="3">
        <v>1.23</v>
      </c>
      <c r="O954" s="3">
        <v>0</v>
      </c>
      <c r="P954" s="3">
        <v>0.2</v>
      </c>
      <c r="Q954" s="3">
        <v>25.93</v>
      </c>
      <c r="R954" s="3">
        <v>7.95</v>
      </c>
      <c r="S954" s="3">
        <f>VLOOKUP(C954,[1]page!$C$2:$M$3071,11,0)</f>
        <v>24.5</v>
      </c>
      <c r="T954" s="6">
        <f t="shared" si="15"/>
        <v>0</v>
      </c>
    </row>
    <row r="955" spans="1:20" x14ac:dyDescent="0.2">
      <c r="A955" t="s">
        <v>3026</v>
      </c>
      <c r="B955" t="s">
        <v>3027</v>
      </c>
      <c r="C955" t="s">
        <v>3028</v>
      </c>
      <c r="D955" t="s">
        <v>2930</v>
      </c>
      <c r="E955" t="s">
        <v>2699</v>
      </c>
      <c r="F955" t="s">
        <v>23</v>
      </c>
      <c r="G955" s="1">
        <v>12</v>
      </c>
      <c r="H955" s="1">
        <v>12</v>
      </c>
      <c r="I955" t="s">
        <v>2700</v>
      </c>
      <c r="K955" t="s">
        <v>2828</v>
      </c>
      <c r="L955" s="1">
        <v>1</v>
      </c>
      <c r="M955" s="3">
        <v>9.3000000000000007</v>
      </c>
      <c r="N955" s="3">
        <v>0.47</v>
      </c>
      <c r="O955" s="3">
        <v>0</v>
      </c>
      <c r="P955" s="3">
        <v>0.2</v>
      </c>
      <c r="Q955" s="3">
        <v>9.9700000000000006</v>
      </c>
      <c r="R955" s="3">
        <v>7.95</v>
      </c>
      <c r="S955" s="3">
        <f>VLOOKUP(C955,[1]page!$C$2:$M$3071,11,0)</f>
        <v>9.3000000000000007</v>
      </c>
      <c r="T955" s="6">
        <f t="shared" si="15"/>
        <v>0</v>
      </c>
    </row>
    <row r="956" spans="1:20" x14ac:dyDescent="0.2">
      <c r="A956" t="s">
        <v>3026</v>
      </c>
      <c r="B956" t="s">
        <v>3029</v>
      </c>
      <c r="C956" t="s">
        <v>3030</v>
      </c>
      <c r="D956" t="s">
        <v>3031</v>
      </c>
      <c r="E956" t="s">
        <v>200</v>
      </c>
      <c r="F956" t="s">
        <v>2835</v>
      </c>
      <c r="G956" s="1">
        <v>12</v>
      </c>
      <c r="H956" s="1">
        <v>4</v>
      </c>
      <c r="I956" t="s">
        <v>201</v>
      </c>
      <c r="K956" t="s">
        <v>2828</v>
      </c>
      <c r="L956" s="1">
        <v>1</v>
      </c>
      <c r="M956" s="3">
        <v>34.47</v>
      </c>
      <c r="N956" s="3">
        <v>1.72</v>
      </c>
      <c r="O956" s="3">
        <v>0</v>
      </c>
      <c r="P956" s="3">
        <v>0</v>
      </c>
      <c r="Q956" s="3">
        <v>36.19</v>
      </c>
      <c r="R956" s="3">
        <v>33.9</v>
      </c>
      <c r="S956" s="3">
        <f>VLOOKUP(C956,[1]page!$C$2:$M$3071,11,0)</f>
        <v>34.47</v>
      </c>
      <c r="T956" s="6">
        <f t="shared" si="15"/>
        <v>0</v>
      </c>
    </row>
    <row r="957" spans="1:20" x14ac:dyDescent="0.2">
      <c r="A957" t="s">
        <v>3026</v>
      </c>
      <c r="B957" t="s">
        <v>3032</v>
      </c>
      <c r="C957" t="s">
        <v>3033</v>
      </c>
      <c r="D957" t="s">
        <v>3034</v>
      </c>
      <c r="E957" t="s">
        <v>200</v>
      </c>
      <c r="F957" t="s">
        <v>2835</v>
      </c>
      <c r="G957" s="2">
        <v>12.5</v>
      </c>
      <c r="H957" s="1">
        <v>4</v>
      </c>
      <c r="I957" t="s">
        <v>201</v>
      </c>
      <c r="K957" t="s">
        <v>2687</v>
      </c>
      <c r="L957" s="1">
        <v>1</v>
      </c>
      <c r="M957" s="3">
        <v>34.47</v>
      </c>
      <c r="N957" s="3">
        <v>1.72</v>
      </c>
      <c r="O957" s="3">
        <v>0</v>
      </c>
      <c r="P957" s="3">
        <v>0</v>
      </c>
      <c r="Q957" s="3">
        <v>36.19</v>
      </c>
      <c r="R957" s="3">
        <v>33.9</v>
      </c>
      <c r="S957" s="3">
        <f>VLOOKUP(C957,[1]page!$C$2:$M$3071,11,0)</f>
        <v>34.47</v>
      </c>
      <c r="T957" s="6">
        <f t="shared" si="15"/>
        <v>0</v>
      </c>
    </row>
    <row r="958" spans="1:20" x14ac:dyDescent="0.2">
      <c r="A958" t="s">
        <v>3026</v>
      </c>
      <c r="B958" t="s">
        <v>3035</v>
      </c>
      <c r="C958" t="s">
        <v>3036</v>
      </c>
      <c r="D958" t="s">
        <v>3037</v>
      </c>
      <c r="E958" t="s">
        <v>3018</v>
      </c>
      <c r="F958" t="s">
        <v>23</v>
      </c>
      <c r="G958" s="2">
        <v>13.1</v>
      </c>
      <c r="H958" s="1">
        <v>12</v>
      </c>
      <c r="I958" t="s">
        <v>201</v>
      </c>
      <c r="J958" s="1">
        <v>2015</v>
      </c>
      <c r="K958" t="s">
        <v>2828</v>
      </c>
      <c r="L958" s="1">
        <v>1</v>
      </c>
      <c r="M958" s="3">
        <v>22.01</v>
      </c>
      <c r="N958" s="3">
        <v>1.1000000000000001</v>
      </c>
      <c r="O958" s="3">
        <v>0</v>
      </c>
      <c r="P958" s="3">
        <v>0.2</v>
      </c>
      <c r="Q958" s="3">
        <v>23.31</v>
      </c>
      <c r="R958" s="3">
        <v>7.95</v>
      </c>
      <c r="S958" s="3">
        <f>VLOOKUP(C958,[1]page!$C$2:$M$3071,11,0)</f>
        <v>22.01</v>
      </c>
      <c r="T958" s="6">
        <f t="shared" si="15"/>
        <v>0</v>
      </c>
    </row>
    <row r="959" spans="1:20" x14ac:dyDescent="0.2">
      <c r="A959" t="s">
        <v>3026</v>
      </c>
      <c r="B959" t="s">
        <v>3038</v>
      </c>
      <c r="C959" t="s">
        <v>3039</v>
      </c>
      <c r="D959" t="s">
        <v>3040</v>
      </c>
      <c r="E959" t="s">
        <v>2699</v>
      </c>
      <c r="F959" t="s">
        <v>2835</v>
      </c>
      <c r="G959" s="2">
        <v>12.5</v>
      </c>
      <c r="H959" s="1">
        <v>4</v>
      </c>
      <c r="I959" t="s">
        <v>2700</v>
      </c>
      <c r="K959" t="s">
        <v>2706</v>
      </c>
      <c r="L959" s="1">
        <v>1</v>
      </c>
      <c r="M959" s="3">
        <v>34.47</v>
      </c>
      <c r="N959" s="3">
        <v>1.72</v>
      </c>
      <c r="O959" s="3">
        <v>0</v>
      </c>
      <c r="P959" s="3">
        <v>0</v>
      </c>
      <c r="Q959" s="3">
        <v>36.19</v>
      </c>
      <c r="R959" s="3">
        <v>33.9</v>
      </c>
      <c r="S959" s="3">
        <f>VLOOKUP(C959,[1]page!$C$2:$M$3071,11,0)</f>
        <v>34.47</v>
      </c>
      <c r="T959" s="6">
        <f t="shared" si="15"/>
        <v>0</v>
      </c>
    </row>
    <row r="960" spans="1:20" x14ac:dyDescent="0.2">
      <c r="A960" t="s">
        <v>3026</v>
      </c>
      <c r="B960" t="s">
        <v>3041</v>
      </c>
      <c r="C960" t="s">
        <v>3042</v>
      </c>
      <c r="D960" t="s">
        <v>3043</v>
      </c>
      <c r="E960" t="s">
        <v>3044</v>
      </c>
      <c r="F960" t="s">
        <v>23</v>
      </c>
      <c r="G960" s="1">
        <v>14</v>
      </c>
      <c r="H960" s="1">
        <v>12</v>
      </c>
      <c r="I960" t="s">
        <v>201</v>
      </c>
      <c r="J960" s="1">
        <v>2012</v>
      </c>
      <c r="K960" t="s">
        <v>2828</v>
      </c>
      <c r="L960" s="1">
        <v>1</v>
      </c>
      <c r="M960" s="3">
        <v>21.01</v>
      </c>
      <c r="N960" s="3">
        <v>1.05</v>
      </c>
      <c r="O960" s="3">
        <v>0</v>
      </c>
      <c r="P960" s="3">
        <v>0.2</v>
      </c>
      <c r="Q960" s="3">
        <v>22.26</v>
      </c>
      <c r="R960" s="3">
        <v>7.95</v>
      </c>
      <c r="S960" s="3">
        <f>VLOOKUP(C960,[1]page!$C$2:$M$3071,11,0)</f>
        <v>21.01</v>
      </c>
      <c r="T960" s="6">
        <f t="shared" si="15"/>
        <v>0</v>
      </c>
    </row>
    <row r="961" spans="1:20" x14ac:dyDescent="0.2">
      <c r="A961" t="s">
        <v>3026</v>
      </c>
      <c r="B961" t="s">
        <v>3045</v>
      </c>
      <c r="C961" t="s">
        <v>3046</v>
      </c>
      <c r="D961" t="s">
        <v>3047</v>
      </c>
      <c r="E961" t="s">
        <v>3048</v>
      </c>
      <c r="F961" t="s">
        <v>23</v>
      </c>
      <c r="G961" s="2">
        <v>12.5</v>
      </c>
      <c r="H961" s="1">
        <v>12</v>
      </c>
      <c r="I961" t="s">
        <v>57</v>
      </c>
      <c r="K961" t="s">
        <v>2706</v>
      </c>
      <c r="L961" s="1">
        <v>1</v>
      </c>
      <c r="M961" s="3">
        <v>9.01</v>
      </c>
      <c r="N961" s="3">
        <v>0.45</v>
      </c>
      <c r="O961" s="3">
        <v>0</v>
      </c>
      <c r="P961" s="3">
        <v>0.2</v>
      </c>
      <c r="Q961" s="3">
        <v>9.66</v>
      </c>
      <c r="R961" s="3">
        <v>7.95</v>
      </c>
      <c r="S961" s="3">
        <f>VLOOKUP(C961,[1]page!$C$2:$M$3071,11,0)</f>
        <v>9.01</v>
      </c>
      <c r="T961" s="6">
        <f t="shared" si="15"/>
        <v>0</v>
      </c>
    </row>
    <row r="962" spans="1:20" x14ac:dyDescent="0.2">
      <c r="A962" t="s">
        <v>3026</v>
      </c>
      <c r="B962" t="s">
        <v>3049</v>
      </c>
      <c r="C962" t="s">
        <v>3050</v>
      </c>
      <c r="D962" t="s">
        <v>3047</v>
      </c>
      <c r="E962" t="s">
        <v>3048</v>
      </c>
      <c r="F962" t="s">
        <v>2835</v>
      </c>
      <c r="G962" s="2">
        <v>12.5</v>
      </c>
      <c r="H962" s="1">
        <v>4</v>
      </c>
      <c r="I962" t="s">
        <v>57</v>
      </c>
      <c r="K962" t="s">
        <v>2706</v>
      </c>
      <c r="L962" s="1">
        <v>1</v>
      </c>
      <c r="M962" s="3">
        <v>35.08</v>
      </c>
      <c r="N962" s="3">
        <v>1.75</v>
      </c>
      <c r="O962" s="3">
        <v>0</v>
      </c>
      <c r="P962" s="3">
        <v>0</v>
      </c>
      <c r="Q962" s="3">
        <v>36.83</v>
      </c>
      <c r="R962" s="3">
        <v>33.9</v>
      </c>
      <c r="S962" s="3">
        <f>VLOOKUP(C962,[1]page!$C$2:$M$3071,11,0)</f>
        <v>35.08</v>
      </c>
      <c r="T962" s="6">
        <f t="shared" si="15"/>
        <v>0</v>
      </c>
    </row>
    <row r="963" spans="1:20" x14ac:dyDescent="0.2">
      <c r="A963" t="s">
        <v>3026</v>
      </c>
      <c r="B963" t="s">
        <v>3051</v>
      </c>
      <c r="C963" t="s">
        <v>3052</v>
      </c>
      <c r="D963" t="s">
        <v>3053</v>
      </c>
      <c r="E963" t="s">
        <v>3054</v>
      </c>
      <c r="F963" t="s">
        <v>23</v>
      </c>
      <c r="G963" s="1">
        <v>13</v>
      </c>
      <c r="H963" s="1">
        <v>12</v>
      </c>
      <c r="I963" t="s">
        <v>2700</v>
      </c>
      <c r="J963" s="1">
        <v>2006</v>
      </c>
      <c r="K963" t="s">
        <v>2706</v>
      </c>
      <c r="L963" s="1">
        <v>1</v>
      </c>
      <c r="M963" s="3">
        <v>15.1</v>
      </c>
      <c r="N963" s="3">
        <v>0.76</v>
      </c>
      <c r="O963" s="3">
        <v>0</v>
      </c>
      <c r="P963" s="3">
        <v>0.2</v>
      </c>
      <c r="Q963" s="3">
        <v>16.059999999999999</v>
      </c>
      <c r="R963" s="3">
        <v>7.95</v>
      </c>
      <c r="S963" s="3">
        <f>VLOOKUP(C963,[1]page!$C$2:$M$3071,11,0)</f>
        <v>15.1</v>
      </c>
      <c r="T963" s="6">
        <f t="shared" si="15"/>
        <v>0</v>
      </c>
    </row>
    <row r="964" spans="1:20" x14ac:dyDescent="0.2">
      <c r="A964" t="s">
        <v>3055</v>
      </c>
      <c r="B964" t="s">
        <v>3056</v>
      </c>
      <c r="C964" t="s">
        <v>3057</v>
      </c>
      <c r="D964" t="s">
        <v>3058</v>
      </c>
      <c r="E964" t="s">
        <v>200</v>
      </c>
      <c r="F964" t="s">
        <v>23</v>
      </c>
      <c r="G964" s="1">
        <v>12</v>
      </c>
      <c r="H964" s="1">
        <v>12</v>
      </c>
      <c r="I964" t="s">
        <v>201</v>
      </c>
      <c r="K964" t="s">
        <v>2712</v>
      </c>
      <c r="L964" s="1">
        <v>1</v>
      </c>
      <c r="M964" s="3">
        <v>9</v>
      </c>
      <c r="N964" s="3">
        <v>0.45</v>
      </c>
      <c r="O964" s="3">
        <v>0</v>
      </c>
      <c r="P964" s="3">
        <v>0.2</v>
      </c>
      <c r="Q964" s="3">
        <v>9.65</v>
      </c>
      <c r="R964" s="3">
        <v>7.95</v>
      </c>
      <c r="S964" s="3">
        <f>VLOOKUP(C964,[1]page!$C$2:$M$3071,11,0)</f>
        <v>9</v>
      </c>
      <c r="T964" s="6">
        <f t="shared" si="15"/>
        <v>0</v>
      </c>
    </row>
    <row r="965" spans="1:20" x14ac:dyDescent="0.2">
      <c r="A965" t="s">
        <v>3055</v>
      </c>
      <c r="B965" t="s">
        <v>3059</v>
      </c>
      <c r="C965" t="s">
        <v>3060</v>
      </c>
      <c r="D965" t="s">
        <v>3061</v>
      </c>
      <c r="E965" t="s">
        <v>2839</v>
      </c>
      <c r="F965" t="s">
        <v>23</v>
      </c>
      <c r="G965" s="2">
        <v>10.5</v>
      </c>
      <c r="H965" s="1">
        <v>12</v>
      </c>
      <c r="I965" t="s">
        <v>201</v>
      </c>
      <c r="K965" t="s">
        <v>2706</v>
      </c>
      <c r="L965" s="1">
        <v>1</v>
      </c>
      <c r="M965" s="3">
        <v>8.6</v>
      </c>
      <c r="N965" s="3">
        <v>0.43</v>
      </c>
      <c r="O965" s="3">
        <v>0</v>
      </c>
      <c r="P965" s="3">
        <v>0.2</v>
      </c>
      <c r="Q965" s="3">
        <v>9.23</v>
      </c>
      <c r="R965" s="3">
        <v>7.95</v>
      </c>
      <c r="S965" s="3">
        <f>VLOOKUP(C965,[1]page!$C$2:$M$3071,11,0)</f>
        <v>8.6</v>
      </c>
      <c r="T965" s="6">
        <f t="shared" si="15"/>
        <v>0</v>
      </c>
    </row>
    <row r="966" spans="1:20" x14ac:dyDescent="0.2">
      <c r="A966" t="s">
        <v>3055</v>
      </c>
      <c r="B966" t="s">
        <v>3062</v>
      </c>
      <c r="C966" t="s">
        <v>3063</v>
      </c>
      <c r="D966" t="s">
        <v>3061</v>
      </c>
      <c r="E966" t="s">
        <v>2839</v>
      </c>
      <c r="F966" t="s">
        <v>2835</v>
      </c>
      <c r="G966" s="2">
        <v>10.5</v>
      </c>
      <c r="H966" s="1">
        <v>4</v>
      </c>
      <c r="I966" t="s">
        <v>201</v>
      </c>
      <c r="K966" t="s">
        <v>2706</v>
      </c>
      <c r="L966" s="1">
        <v>1</v>
      </c>
      <c r="M966" s="3">
        <v>33.57</v>
      </c>
      <c r="N966" s="3">
        <v>1.68</v>
      </c>
      <c r="O966" s="3">
        <v>0</v>
      </c>
      <c r="P966" s="3">
        <v>0</v>
      </c>
      <c r="Q966" s="3">
        <v>35.25</v>
      </c>
      <c r="R966" s="3">
        <v>33.9</v>
      </c>
      <c r="S966" s="3">
        <f>VLOOKUP(C966,[1]page!$C$2:$M$3071,11,0)</f>
        <v>33.57</v>
      </c>
      <c r="T966" s="6">
        <f t="shared" si="15"/>
        <v>0</v>
      </c>
    </row>
    <row r="967" spans="1:20" x14ac:dyDescent="0.2">
      <c r="A967" t="s">
        <v>3064</v>
      </c>
      <c r="B967" t="s">
        <v>3065</v>
      </c>
      <c r="C967" t="s">
        <v>3066</v>
      </c>
      <c r="D967" t="s">
        <v>2853</v>
      </c>
      <c r="E967" t="s">
        <v>200</v>
      </c>
      <c r="F967" t="s">
        <v>23</v>
      </c>
      <c r="G967" s="2">
        <v>12.5</v>
      </c>
      <c r="H967" s="1">
        <v>12</v>
      </c>
      <c r="I967" t="s">
        <v>201</v>
      </c>
      <c r="K967" t="s">
        <v>2828</v>
      </c>
      <c r="L967" s="1">
        <v>1</v>
      </c>
      <c r="M967" s="3">
        <v>9.26</v>
      </c>
      <c r="N967" s="3">
        <v>0.46</v>
      </c>
      <c r="O967" s="3">
        <v>0</v>
      </c>
      <c r="P967" s="3">
        <v>0.2</v>
      </c>
      <c r="Q967" s="3">
        <v>9.92</v>
      </c>
      <c r="R967" s="3">
        <v>7.95</v>
      </c>
      <c r="S967" s="3">
        <f>VLOOKUP(C967,[1]page!$C$2:$M$3071,11,0)</f>
        <v>9.17</v>
      </c>
      <c r="T967" s="6">
        <f t="shared" si="15"/>
        <v>8.9999999999999858E-2</v>
      </c>
    </row>
    <row r="968" spans="1:20" x14ac:dyDescent="0.2">
      <c r="A968" t="s">
        <v>3064</v>
      </c>
      <c r="B968" t="s">
        <v>3067</v>
      </c>
      <c r="C968" t="s">
        <v>3068</v>
      </c>
      <c r="D968" t="s">
        <v>2856</v>
      </c>
      <c r="E968" t="s">
        <v>200</v>
      </c>
      <c r="F968" t="s">
        <v>23</v>
      </c>
      <c r="G968" s="1">
        <v>13</v>
      </c>
      <c r="H968" s="1">
        <v>12</v>
      </c>
      <c r="I968" t="s">
        <v>201</v>
      </c>
      <c r="K968" t="s">
        <v>2828</v>
      </c>
      <c r="L968" s="1">
        <v>1</v>
      </c>
      <c r="M968" s="3">
        <v>9.26</v>
      </c>
      <c r="N968" s="3">
        <v>0.46</v>
      </c>
      <c r="O968" s="3">
        <v>0</v>
      </c>
      <c r="P968" s="3">
        <v>0.2</v>
      </c>
      <c r="Q968" s="3">
        <v>9.92</v>
      </c>
      <c r="R968" s="3">
        <v>7.95</v>
      </c>
      <c r="S968" s="3">
        <f>VLOOKUP(C968,[1]page!$C$2:$M$3071,11,0)</f>
        <v>9.17</v>
      </c>
      <c r="T968" s="6">
        <f t="shared" si="15"/>
        <v>8.9999999999999858E-2</v>
      </c>
    </row>
    <row r="969" spans="1:20" x14ac:dyDescent="0.2">
      <c r="A969" t="s">
        <v>3064</v>
      </c>
      <c r="B969" t="s">
        <v>3069</v>
      </c>
      <c r="C969" t="s">
        <v>3070</v>
      </c>
      <c r="D969" t="s">
        <v>2859</v>
      </c>
      <c r="E969" t="s">
        <v>200</v>
      </c>
      <c r="F969" t="s">
        <v>23</v>
      </c>
      <c r="G969" s="1">
        <v>13</v>
      </c>
      <c r="H969" s="1">
        <v>12</v>
      </c>
      <c r="I969" t="s">
        <v>201</v>
      </c>
      <c r="K969" t="s">
        <v>2712</v>
      </c>
      <c r="L969" s="1">
        <v>1</v>
      </c>
      <c r="M969" s="3">
        <v>9.26</v>
      </c>
      <c r="N969" s="3">
        <v>0.46</v>
      </c>
      <c r="O969" s="3">
        <v>0</v>
      </c>
      <c r="P969" s="3">
        <v>0.2</v>
      </c>
      <c r="Q969" s="3">
        <v>9.92</v>
      </c>
      <c r="R969" s="3">
        <v>7.95</v>
      </c>
      <c r="S969" s="3">
        <f>VLOOKUP(C969,[1]page!$C$2:$M$3071,11,0)</f>
        <v>9.17</v>
      </c>
      <c r="T969" s="6">
        <f t="shared" si="15"/>
        <v>8.9999999999999858E-2</v>
      </c>
    </row>
    <row r="970" spans="1:20" x14ac:dyDescent="0.2">
      <c r="A970" t="s">
        <v>3064</v>
      </c>
      <c r="B970" t="s">
        <v>3071</v>
      </c>
      <c r="C970" t="s">
        <v>3072</v>
      </c>
      <c r="D970" t="s">
        <v>2865</v>
      </c>
      <c r="E970" t="s">
        <v>2699</v>
      </c>
      <c r="F970" t="s">
        <v>23</v>
      </c>
      <c r="G970" s="1">
        <v>13</v>
      </c>
      <c r="H970" s="1">
        <v>12</v>
      </c>
      <c r="I970" t="s">
        <v>2700</v>
      </c>
      <c r="K970" t="s">
        <v>2687</v>
      </c>
      <c r="L970" s="1">
        <v>1</v>
      </c>
      <c r="M970" s="3">
        <v>9.26</v>
      </c>
      <c r="N970" s="3">
        <v>0.46</v>
      </c>
      <c r="O970" s="3">
        <v>0</v>
      </c>
      <c r="P970" s="3">
        <v>0.2</v>
      </c>
      <c r="Q970" s="3">
        <v>9.92</v>
      </c>
      <c r="R970" s="3">
        <v>7.95</v>
      </c>
      <c r="S970" s="3">
        <f>VLOOKUP(C970,[1]page!$C$2:$M$3071,11,0)</f>
        <v>9.26</v>
      </c>
      <c r="T970" s="6">
        <f t="shared" si="15"/>
        <v>0</v>
      </c>
    </row>
    <row r="971" spans="1:20" x14ac:dyDescent="0.2">
      <c r="A971" t="s">
        <v>3064</v>
      </c>
      <c r="B971" t="s">
        <v>3073</v>
      </c>
      <c r="C971" t="s">
        <v>3074</v>
      </c>
      <c r="D971" t="s">
        <v>2874</v>
      </c>
      <c r="E971" t="s">
        <v>2699</v>
      </c>
      <c r="F971" t="s">
        <v>23</v>
      </c>
      <c r="G971" s="2">
        <v>12.5</v>
      </c>
      <c r="H971" s="1">
        <v>12</v>
      </c>
      <c r="I971" t="s">
        <v>2700</v>
      </c>
      <c r="K971" t="s">
        <v>2706</v>
      </c>
      <c r="L971" s="1">
        <v>1</v>
      </c>
      <c r="M971" s="3">
        <v>9.26</v>
      </c>
      <c r="N971" s="3">
        <v>0.46</v>
      </c>
      <c r="O971" s="3">
        <v>0</v>
      </c>
      <c r="P971" s="3">
        <v>0.2</v>
      </c>
      <c r="Q971" s="3">
        <v>9.92</v>
      </c>
      <c r="R971" s="3">
        <v>7.95</v>
      </c>
      <c r="S971" s="3">
        <f>VLOOKUP(C971,[1]page!$C$2:$M$3071,11,0)</f>
        <v>9.26</v>
      </c>
      <c r="T971" s="6">
        <f t="shared" si="15"/>
        <v>0</v>
      </c>
    </row>
    <row r="972" spans="1:20" x14ac:dyDescent="0.2">
      <c r="A972" t="s">
        <v>3064</v>
      </c>
      <c r="B972" t="s">
        <v>3075</v>
      </c>
      <c r="C972" t="s">
        <v>3076</v>
      </c>
      <c r="D972" t="s">
        <v>3077</v>
      </c>
      <c r="E972" t="s">
        <v>200</v>
      </c>
      <c r="F972" t="s">
        <v>1599</v>
      </c>
      <c r="G972" s="1">
        <v>14</v>
      </c>
      <c r="H972" s="1">
        <v>12</v>
      </c>
      <c r="I972" t="s">
        <v>201</v>
      </c>
      <c r="K972" t="s">
        <v>2712</v>
      </c>
      <c r="L972" s="1">
        <v>1</v>
      </c>
      <c r="M972" s="3">
        <v>10.01</v>
      </c>
      <c r="N972" s="3">
        <v>0.5</v>
      </c>
      <c r="O972" s="3">
        <v>0</v>
      </c>
      <c r="P972" s="3">
        <v>0.4</v>
      </c>
      <c r="Q972" s="3">
        <v>10.91</v>
      </c>
      <c r="R972" s="3">
        <v>10.199999999999999</v>
      </c>
      <c r="S972" s="3">
        <f>VLOOKUP(C972,[1]page!$C$2:$M$3071,11,0)</f>
        <v>10.01</v>
      </c>
      <c r="T972" s="6">
        <f t="shared" si="15"/>
        <v>0</v>
      </c>
    </row>
    <row r="973" spans="1:20" x14ac:dyDescent="0.2">
      <c r="A973" t="s">
        <v>3064</v>
      </c>
      <c r="B973" t="s">
        <v>3078</v>
      </c>
      <c r="C973" t="s">
        <v>3079</v>
      </c>
      <c r="D973" t="s">
        <v>3077</v>
      </c>
      <c r="E973" t="s">
        <v>200</v>
      </c>
      <c r="F973" t="s">
        <v>3080</v>
      </c>
      <c r="G973" s="1">
        <v>14</v>
      </c>
      <c r="H973" s="1">
        <v>6</v>
      </c>
      <c r="I973" t="s">
        <v>201</v>
      </c>
      <c r="K973" t="s">
        <v>2712</v>
      </c>
      <c r="L973" s="1">
        <v>1</v>
      </c>
      <c r="M973" s="3">
        <v>16.09</v>
      </c>
      <c r="N973" s="3">
        <v>0.8</v>
      </c>
      <c r="O973" s="3">
        <v>0</v>
      </c>
      <c r="P973" s="3">
        <v>0.25</v>
      </c>
      <c r="Q973" s="3">
        <v>17.14</v>
      </c>
      <c r="R973" s="3">
        <v>18</v>
      </c>
      <c r="S973" s="3">
        <f>VLOOKUP(C973,[1]page!$C$2:$M$3071,11,0)</f>
        <v>16.03</v>
      </c>
      <c r="T973" s="6">
        <f t="shared" si="15"/>
        <v>5.9999999999998721E-2</v>
      </c>
    </row>
    <row r="974" spans="1:20" x14ac:dyDescent="0.2">
      <c r="A974" t="s">
        <v>3064</v>
      </c>
      <c r="B974" t="s">
        <v>3081</v>
      </c>
      <c r="C974" t="s">
        <v>3082</v>
      </c>
      <c r="D974" t="s">
        <v>3077</v>
      </c>
      <c r="E974" t="s">
        <v>200</v>
      </c>
      <c r="F974" t="s">
        <v>2835</v>
      </c>
      <c r="G974" s="1">
        <v>14</v>
      </c>
      <c r="H974" s="1">
        <v>4</v>
      </c>
      <c r="I974" t="s">
        <v>201</v>
      </c>
      <c r="K974" t="s">
        <v>2712</v>
      </c>
      <c r="L974" s="1">
        <v>1</v>
      </c>
      <c r="M974" s="3">
        <v>30.49</v>
      </c>
      <c r="N974" s="3">
        <v>1.52</v>
      </c>
      <c r="O974" s="3">
        <v>0</v>
      </c>
      <c r="P974" s="3">
        <v>0</v>
      </c>
      <c r="Q974" s="3">
        <v>32.01</v>
      </c>
      <c r="R974" s="3">
        <v>33.9</v>
      </c>
      <c r="S974" s="3">
        <f>VLOOKUP(C974,[1]page!$C$2:$M$3071,11,0)</f>
        <v>30.07</v>
      </c>
      <c r="T974" s="6">
        <f t="shared" si="15"/>
        <v>0.41999999999999815</v>
      </c>
    </row>
    <row r="975" spans="1:20" x14ac:dyDescent="0.2">
      <c r="A975" t="s">
        <v>3064</v>
      </c>
      <c r="B975" t="s">
        <v>3083</v>
      </c>
      <c r="C975" t="s">
        <v>3084</v>
      </c>
      <c r="D975" t="s">
        <v>3085</v>
      </c>
      <c r="E975" t="s">
        <v>200</v>
      </c>
      <c r="F975" t="s">
        <v>2835</v>
      </c>
      <c r="G975" s="1">
        <v>12</v>
      </c>
      <c r="H975" s="1">
        <v>4</v>
      </c>
      <c r="I975" t="s">
        <v>201</v>
      </c>
      <c r="K975" t="s">
        <v>2828</v>
      </c>
      <c r="L975" s="1">
        <v>1</v>
      </c>
      <c r="M975" s="3">
        <v>31.49</v>
      </c>
      <c r="N975" s="3">
        <v>1.57</v>
      </c>
      <c r="O975" s="3">
        <v>0</v>
      </c>
      <c r="P975" s="3">
        <v>0</v>
      </c>
      <c r="Q975" s="3">
        <v>33.06</v>
      </c>
      <c r="R975" s="3">
        <v>33.9</v>
      </c>
      <c r="S975" s="3">
        <f>VLOOKUP(C975,[1]page!$C$2:$M$3071,11,0)</f>
        <v>31.07</v>
      </c>
      <c r="T975" s="6">
        <f t="shared" si="15"/>
        <v>0.41999999999999815</v>
      </c>
    </row>
    <row r="976" spans="1:20" x14ac:dyDescent="0.2">
      <c r="A976" t="s">
        <v>3064</v>
      </c>
      <c r="B976" t="s">
        <v>3086</v>
      </c>
      <c r="C976" t="s">
        <v>3087</v>
      </c>
      <c r="D976" t="s">
        <v>3003</v>
      </c>
      <c r="E976" t="s">
        <v>200</v>
      </c>
      <c r="F976" t="s">
        <v>23</v>
      </c>
      <c r="G976" s="1">
        <v>13</v>
      </c>
      <c r="H976" s="1">
        <v>12</v>
      </c>
      <c r="I976" t="s">
        <v>201</v>
      </c>
      <c r="K976" t="s">
        <v>2828</v>
      </c>
      <c r="L976" s="1">
        <v>1</v>
      </c>
      <c r="M976" s="3">
        <v>9</v>
      </c>
      <c r="N976" s="3">
        <v>0.45</v>
      </c>
      <c r="O976" s="3">
        <v>0</v>
      </c>
      <c r="P976" s="3">
        <v>0.2</v>
      </c>
      <c r="Q976" s="3">
        <v>9.65</v>
      </c>
      <c r="R976" s="3">
        <v>7.95</v>
      </c>
      <c r="S976" s="3">
        <f>VLOOKUP(C976,[1]page!$C$2:$M$3071,11,0)</f>
        <v>9</v>
      </c>
      <c r="T976" s="6">
        <f t="shared" si="15"/>
        <v>0</v>
      </c>
    </row>
    <row r="977" spans="1:20" x14ac:dyDescent="0.2">
      <c r="A977" t="s">
        <v>3064</v>
      </c>
      <c r="B977" t="s">
        <v>3088</v>
      </c>
      <c r="C977" t="s">
        <v>3089</v>
      </c>
      <c r="D977" t="s">
        <v>3003</v>
      </c>
      <c r="E977" t="s">
        <v>200</v>
      </c>
      <c r="F977" t="s">
        <v>2737</v>
      </c>
      <c r="G977" s="1">
        <v>13</v>
      </c>
      <c r="H977" s="1">
        <v>6</v>
      </c>
      <c r="I977" t="s">
        <v>201</v>
      </c>
      <c r="K977" t="s">
        <v>2828</v>
      </c>
      <c r="L977" s="1">
        <v>1</v>
      </c>
      <c r="M977" s="3">
        <v>14.61</v>
      </c>
      <c r="N977" s="3">
        <v>0.73</v>
      </c>
      <c r="O977" s="3">
        <v>0</v>
      </c>
      <c r="P977" s="3">
        <v>0.4</v>
      </c>
      <c r="Q977" s="3">
        <v>15.74</v>
      </c>
      <c r="R977" s="3">
        <v>14.45</v>
      </c>
      <c r="S977" s="3">
        <f>VLOOKUP(C977,[1]page!$C$2:$M$3071,11,0)</f>
        <v>14.61</v>
      </c>
      <c r="T977" s="6">
        <f t="shared" si="15"/>
        <v>0</v>
      </c>
    </row>
    <row r="978" spans="1:20" x14ac:dyDescent="0.2">
      <c r="A978" t="s">
        <v>3064</v>
      </c>
      <c r="B978" t="s">
        <v>3090</v>
      </c>
      <c r="C978" t="s">
        <v>3091</v>
      </c>
      <c r="D978" t="s">
        <v>3006</v>
      </c>
      <c r="E978" t="s">
        <v>200</v>
      </c>
      <c r="F978" t="s">
        <v>23</v>
      </c>
      <c r="G978" s="1">
        <v>14</v>
      </c>
      <c r="H978" s="1">
        <v>12</v>
      </c>
      <c r="I978" t="s">
        <v>201</v>
      </c>
      <c r="K978" t="s">
        <v>2828</v>
      </c>
      <c r="L978" s="1">
        <v>1</v>
      </c>
      <c r="M978" s="3">
        <v>9</v>
      </c>
      <c r="N978" s="3">
        <v>0.45</v>
      </c>
      <c r="O978" s="3">
        <v>0</v>
      </c>
      <c r="P978" s="3">
        <v>0.2</v>
      </c>
      <c r="Q978" s="3">
        <v>9.65</v>
      </c>
      <c r="R978" s="3">
        <v>7.95</v>
      </c>
      <c r="S978" s="3">
        <f>VLOOKUP(C978,[1]page!$C$2:$M$3071,11,0)</f>
        <v>9</v>
      </c>
      <c r="T978" s="6">
        <f t="shared" si="15"/>
        <v>0</v>
      </c>
    </row>
    <row r="979" spans="1:20" x14ac:dyDescent="0.2">
      <c r="A979" t="s">
        <v>3064</v>
      </c>
      <c r="B979" t="s">
        <v>3092</v>
      </c>
      <c r="C979" t="s">
        <v>3093</v>
      </c>
      <c r="D979" t="s">
        <v>3009</v>
      </c>
      <c r="E979" t="s">
        <v>200</v>
      </c>
      <c r="F979" t="s">
        <v>23</v>
      </c>
      <c r="G979" s="2">
        <v>12.5</v>
      </c>
      <c r="H979" s="1">
        <v>12</v>
      </c>
      <c r="I979" t="s">
        <v>201</v>
      </c>
      <c r="K979" t="s">
        <v>2828</v>
      </c>
      <c r="L979" s="1">
        <v>1</v>
      </c>
      <c r="M979" s="3">
        <v>9</v>
      </c>
      <c r="N979" s="3">
        <v>0.45</v>
      </c>
      <c r="O979" s="3">
        <v>0</v>
      </c>
      <c r="P979" s="3">
        <v>0.2</v>
      </c>
      <c r="Q979" s="3">
        <v>9.65</v>
      </c>
      <c r="R979" s="3">
        <v>7.95</v>
      </c>
      <c r="S979" s="3">
        <f>VLOOKUP(C979,[1]page!$C$2:$M$3071,11,0)</f>
        <v>9</v>
      </c>
      <c r="T979" s="6">
        <f t="shared" si="15"/>
        <v>0</v>
      </c>
    </row>
    <row r="980" spans="1:20" x14ac:dyDescent="0.2">
      <c r="A980" t="s">
        <v>3064</v>
      </c>
      <c r="B980" t="s">
        <v>3094</v>
      </c>
      <c r="C980" t="s">
        <v>3095</v>
      </c>
      <c r="D980" t="s">
        <v>3012</v>
      </c>
      <c r="E980" t="s">
        <v>200</v>
      </c>
      <c r="F980" t="s">
        <v>23</v>
      </c>
      <c r="G980" s="1">
        <v>13</v>
      </c>
      <c r="H980" s="1">
        <v>12</v>
      </c>
      <c r="I980" t="s">
        <v>201</v>
      </c>
      <c r="K980" t="s">
        <v>2828</v>
      </c>
      <c r="L980" s="1">
        <v>1</v>
      </c>
      <c r="M980" s="3">
        <v>9</v>
      </c>
      <c r="N980" s="3">
        <v>0.45</v>
      </c>
      <c r="O980" s="3">
        <v>0</v>
      </c>
      <c r="P980" s="3">
        <v>0.2</v>
      </c>
      <c r="Q980" s="3">
        <v>9.65</v>
      </c>
      <c r="R980" s="3">
        <v>7.95</v>
      </c>
      <c r="S980" s="3">
        <f>VLOOKUP(C980,[1]page!$C$2:$M$3071,11,0)</f>
        <v>9</v>
      </c>
      <c r="T980" s="6">
        <f t="shared" si="15"/>
        <v>0</v>
      </c>
    </row>
    <row r="981" spans="1:20" x14ac:dyDescent="0.2">
      <c r="A981" t="s">
        <v>3064</v>
      </c>
      <c r="B981" t="s">
        <v>3096</v>
      </c>
      <c r="C981" t="s">
        <v>3097</v>
      </c>
      <c r="D981" t="s">
        <v>3098</v>
      </c>
      <c r="E981" t="s">
        <v>2699</v>
      </c>
      <c r="F981" t="s">
        <v>3099</v>
      </c>
      <c r="G981" s="2">
        <v>12.5</v>
      </c>
      <c r="H981" s="1">
        <v>1</v>
      </c>
      <c r="I981" t="s">
        <v>2700</v>
      </c>
      <c r="K981" t="s">
        <v>2828</v>
      </c>
      <c r="L981" s="1">
        <v>1</v>
      </c>
      <c r="M981" s="3">
        <v>117.84</v>
      </c>
      <c r="N981" s="3">
        <v>5.89</v>
      </c>
      <c r="O981" s="3">
        <v>0</v>
      </c>
      <c r="P981" s="3">
        <v>0</v>
      </c>
      <c r="Q981" s="3">
        <v>123.73</v>
      </c>
      <c r="R981" s="3">
        <v>118.7</v>
      </c>
      <c r="S981" s="3">
        <f>VLOOKUP(C981,[1]page!$C$2:$M$3071,11,0)</f>
        <v>117.84</v>
      </c>
      <c r="T981" s="6">
        <f t="shared" si="15"/>
        <v>0</v>
      </c>
    </row>
    <row r="982" spans="1:20" x14ac:dyDescent="0.2">
      <c r="A982" t="s">
        <v>3064</v>
      </c>
      <c r="B982" t="s">
        <v>3100</v>
      </c>
      <c r="C982" t="s">
        <v>3101</v>
      </c>
      <c r="D982" t="s">
        <v>3102</v>
      </c>
      <c r="E982" t="s">
        <v>2699</v>
      </c>
      <c r="F982" t="s">
        <v>23</v>
      </c>
      <c r="G982" s="2">
        <v>12.5</v>
      </c>
      <c r="H982" s="1">
        <v>12</v>
      </c>
      <c r="I982" t="s">
        <v>2700</v>
      </c>
      <c r="K982" t="s">
        <v>2828</v>
      </c>
      <c r="L982" s="1">
        <v>1</v>
      </c>
      <c r="M982" s="3">
        <v>9</v>
      </c>
      <c r="N982" s="3">
        <v>0.45</v>
      </c>
      <c r="O982" s="3">
        <v>0</v>
      </c>
      <c r="P982" s="3">
        <v>0.2</v>
      </c>
      <c r="Q982" s="3">
        <v>9.65</v>
      </c>
      <c r="R982" s="3">
        <v>7.95</v>
      </c>
      <c r="S982" s="3">
        <f>VLOOKUP(C982,[1]page!$C$2:$M$3071,11,0)</f>
        <v>9</v>
      </c>
      <c r="T982" s="6">
        <f t="shared" si="15"/>
        <v>0</v>
      </c>
    </row>
    <row r="983" spans="1:20" x14ac:dyDescent="0.2">
      <c r="A983" t="s">
        <v>3064</v>
      </c>
      <c r="B983" t="s">
        <v>3103</v>
      </c>
      <c r="C983" t="s">
        <v>3104</v>
      </c>
      <c r="D983" t="s">
        <v>3102</v>
      </c>
      <c r="E983" t="s">
        <v>2699</v>
      </c>
      <c r="F983" t="s">
        <v>2737</v>
      </c>
      <c r="G983" s="2">
        <v>12.5</v>
      </c>
      <c r="H983" s="1">
        <v>6</v>
      </c>
      <c r="I983" t="s">
        <v>2700</v>
      </c>
      <c r="K983" t="s">
        <v>2828</v>
      </c>
      <c r="L983" s="1">
        <v>1</v>
      </c>
      <c r="M983" s="3">
        <v>14.61</v>
      </c>
      <c r="N983" s="3">
        <v>0.73</v>
      </c>
      <c r="O983" s="3">
        <v>0</v>
      </c>
      <c r="P983" s="3">
        <v>0.4</v>
      </c>
      <c r="Q983" s="3">
        <v>15.74</v>
      </c>
      <c r="R983" s="3">
        <v>14.45</v>
      </c>
      <c r="S983" s="3">
        <f>VLOOKUP(C983,[1]page!$C$2:$M$3071,11,0)</f>
        <v>14.61</v>
      </c>
      <c r="T983" s="6">
        <f t="shared" si="15"/>
        <v>0</v>
      </c>
    </row>
    <row r="984" spans="1:20" x14ac:dyDescent="0.2">
      <c r="A984" t="s">
        <v>3064</v>
      </c>
      <c r="B984" t="s">
        <v>3105</v>
      </c>
      <c r="C984" t="s">
        <v>3106</v>
      </c>
      <c r="D984" t="s">
        <v>2892</v>
      </c>
      <c r="E984" t="s">
        <v>2699</v>
      </c>
      <c r="F984" t="s">
        <v>23</v>
      </c>
      <c r="G984" s="1">
        <v>13</v>
      </c>
      <c r="H984" s="1">
        <v>12</v>
      </c>
      <c r="I984" t="s">
        <v>2700</v>
      </c>
      <c r="K984" t="s">
        <v>2828</v>
      </c>
      <c r="L984" s="1">
        <v>1</v>
      </c>
      <c r="M984" s="3">
        <v>9</v>
      </c>
      <c r="N984" s="3">
        <v>0.45</v>
      </c>
      <c r="O984" s="3">
        <v>0</v>
      </c>
      <c r="P984" s="3">
        <v>0.2</v>
      </c>
      <c r="Q984" s="3">
        <v>9.65</v>
      </c>
      <c r="R984" s="3">
        <v>7.95</v>
      </c>
      <c r="S984" s="3">
        <f>VLOOKUP(C984,[1]page!$C$2:$M$3071,11,0)</f>
        <v>9</v>
      </c>
      <c r="T984" s="6">
        <f t="shared" si="15"/>
        <v>0</v>
      </c>
    </row>
    <row r="985" spans="1:20" x14ac:dyDescent="0.2">
      <c r="A985" t="s">
        <v>3064</v>
      </c>
      <c r="B985" t="s">
        <v>3107</v>
      </c>
      <c r="C985" t="s">
        <v>3108</v>
      </c>
      <c r="D985" t="s">
        <v>3109</v>
      </c>
      <c r="E985" t="s">
        <v>2699</v>
      </c>
      <c r="F985" t="s">
        <v>23</v>
      </c>
      <c r="G985" s="2">
        <v>12.5</v>
      </c>
      <c r="H985" s="1">
        <v>12</v>
      </c>
      <c r="I985" t="s">
        <v>2700</v>
      </c>
      <c r="K985" t="s">
        <v>2828</v>
      </c>
      <c r="L985" s="1">
        <v>1</v>
      </c>
      <c r="M985" s="3">
        <v>9</v>
      </c>
      <c r="N985" s="3">
        <v>0.45</v>
      </c>
      <c r="O985" s="3">
        <v>0</v>
      </c>
      <c r="P985" s="3">
        <v>0.2</v>
      </c>
      <c r="Q985" s="3">
        <v>9.65</v>
      </c>
      <c r="R985" s="3">
        <v>7.95</v>
      </c>
      <c r="S985" s="3">
        <f>VLOOKUP(C985,[1]page!$C$2:$M$3071,11,0)</f>
        <v>9</v>
      </c>
      <c r="T985" s="6">
        <f t="shared" si="15"/>
        <v>0</v>
      </c>
    </row>
    <row r="986" spans="1:20" x14ac:dyDescent="0.2">
      <c r="A986" t="s">
        <v>3064</v>
      </c>
      <c r="B986" t="s">
        <v>3110</v>
      </c>
      <c r="C986" t="s">
        <v>3111</v>
      </c>
      <c r="D986" t="s">
        <v>3109</v>
      </c>
      <c r="E986" t="s">
        <v>2699</v>
      </c>
      <c r="F986" t="s">
        <v>2737</v>
      </c>
      <c r="G986" s="2">
        <v>12.5</v>
      </c>
      <c r="H986" s="1">
        <v>6</v>
      </c>
      <c r="I986" t="s">
        <v>2700</v>
      </c>
      <c r="K986" t="s">
        <v>2828</v>
      </c>
      <c r="L986" s="1">
        <v>1</v>
      </c>
      <c r="M986" s="3">
        <v>14.61</v>
      </c>
      <c r="N986" s="3">
        <v>0.73</v>
      </c>
      <c r="O986" s="3">
        <v>0</v>
      </c>
      <c r="P986" s="3">
        <v>0.4</v>
      </c>
      <c r="Q986" s="3">
        <v>15.74</v>
      </c>
      <c r="R986" s="3">
        <v>14.45</v>
      </c>
      <c r="S986" s="3">
        <f>VLOOKUP(C986,[1]page!$C$2:$M$3071,11,0)</f>
        <v>14.61</v>
      </c>
      <c r="T986" s="6">
        <f t="shared" si="15"/>
        <v>0</v>
      </c>
    </row>
    <row r="987" spans="1:20" x14ac:dyDescent="0.2">
      <c r="A987" t="s">
        <v>3064</v>
      </c>
      <c r="B987" t="s">
        <v>3112</v>
      </c>
      <c r="C987" t="s">
        <v>3113</v>
      </c>
      <c r="D987" t="s">
        <v>3114</v>
      </c>
      <c r="E987" t="s">
        <v>2699</v>
      </c>
      <c r="F987" t="s">
        <v>23</v>
      </c>
      <c r="G987" s="1">
        <v>13</v>
      </c>
      <c r="H987" s="1">
        <v>12</v>
      </c>
      <c r="I987" t="s">
        <v>2700</v>
      </c>
      <c r="K987" t="s">
        <v>2828</v>
      </c>
      <c r="L987" s="1">
        <v>1</v>
      </c>
      <c r="M987" s="3">
        <v>9</v>
      </c>
      <c r="N987" s="3">
        <v>0.45</v>
      </c>
      <c r="O987" s="3">
        <v>0</v>
      </c>
      <c r="P987" s="3">
        <v>0.2</v>
      </c>
      <c r="Q987" s="3">
        <v>9.65</v>
      </c>
      <c r="R987" s="3">
        <v>7.95</v>
      </c>
      <c r="S987" s="3">
        <f>VLOOKUP(C987,[1]page!$C$2:$M$3071,11,0)</f>
        <v>9</v>
      </c>
      <c r="T987" s="6">
        <f t="shared" si="15"/>
        <v>0</v>
      </c>
    </row>
    <row r="988" spans="1:20" x14ac:dyDescent="0.2">
      <c r="A988" t="s">
        <v>3064</v>
      </c>
      <c r="B988" t="s">
        <v>3115</v>
      </c>
      <c r="C988" t="s">
        <v>3116</v>
      </c>
      <c r="D988" t="s">
        <v>3117</v>
      </c>
      <c r="E988" t="s">
        <v>2699</v>
      </c>
      <c r="F988" t="s">
        <v>2835</v>
      </c>
      <c r="G988" s="2">
        <v>12.5</v>
      </c>
      <c r="H988" s="1">
        <v>4</v>
      </c>
      <c r="I988" t="s">
        <v>2700</v>
      </c>
      <c r="K988" t="s">
        <v>2828</v>
      </c>
      <c r="L988" s="1">
        <v>1</v>
      </c>
      <c r="M988" s="3">
        <v>34.47</v>
      </c>
      <c r="N988" s="3">
        <v>1.72</v>
      </c>
      <c r="O988" s="3">
        <v>0</v>
      </c>
      <c r="P988" s="3">
        <v>0</v>
      </c>
      <c r="Q988" s="3">
        <v>36.19</v>
      </c>
      <c r="R988" s="3">
        <v>33.9</v>
      </c>
      <c r="S988" s="3">
        <f>VLOOKUP(C988,[1]page!$C$2:$M$3071,11,0)</f>
        <v>34.47</v>
      </c>
      <c r="T988" s="6">
        <f t="shared" si="15"/>
        <v>0</v>
      </c>
    </row>
    <row r="989" spans="1:20" x14ac:dyDescent="0.2">
      <c r="A989" t="s">
        <v>3064</v>
      </c>
      <c r="B989" t="s">
        <v>3118</v>
      </c>
      <c r="C989" t="s">
        <v>3119</v>
      </c>
      <c r="D989" t="s">
        <v>3120</v>
      </c>
      <c r="E989" t="s">
        <v>2699</v>
      </c>
      <c r="F989" t="s">
        <v>2835</v>
      </c>
      <c r="G989" s="2">
        <v>12.5</v>
      </c>
      <c r="H989" s="1">
        <v>4</v>
      </c>
      <c r="I989" t="s">
        <v>2700</v>
      </c>
      <c r="K989" t="s">
        <v>2828</v>
      </c>
      <c r="L989" s="1">
        <v>1</v>
      </c>
      <c r="M989" s="3">
        <v>34.47</v>
      </c>
      <c r="N989" s="3">
        <v>1.72</v>
      </c>
      <c r="O989" s="3">
        <v>0</v>
      </c>
      <c r="P989" s="3">
        <v>0</v>
      </c>
      <c r="Q989" s="3">
        <v>36.19</v>
      </c>
      <c r="R989" s="3">
        <v>33.9</v>
      </c>
      <c r="S989" s="3">
        <f>VLOOKUP(C989,[1]page!$C$2:$M$3071,11,0)</f>
        <v>34.47</v>
      </c>
      <c r="T989" s="6">
        <f t="shared" si="15"/>
        <v>0</v>
      </c>
    </row>
    <row r="990" spans="1:20" x14ac:dyDescent="0.2">
      <c r="A990" t="s">
        <v>3064</v>
      </c>
      <c r="B990" t="s">
        <v>3121</v>
      </c>
      <c r="C990" t="s">
        <v>3122</v>
      </c>
      <c r="D990" t="s">
        <v>3123</v>
      </c>
      <c r="E990" t="s">
        <v>2699</v>
      </c>
      <c r="F990" t="s">
        <v>2835</v>
      </c>
      <c r="G990" s="1">
        <v>13</v>
      </c>
      <c r="H990" s="1">
        <v>4</v>
      </c>
      <c r="I990" t="s">
        <v>2700</v>
      </c>
      <c r="K990" t="s">
        <v>2828</v>
      </c>
      <c r="L990" s="1">
        <v>1</v>
      </c>
      <c r="M990" s="3">
        <v>34.47</v>
      </c>
      <c r="N990" s="3">
        <v>1.72</v>
      </c>
      <c r="O990" s="3">
        <v>0</v>
      </c>
      <c r="P990" s="3">
        <v>0</v>
      </c>
      <c r="Q990" s="3">
        <v>36.19</v>
      </c>
      <c r="R990" s="3">
        <v>33.9</v>
      </c>
      <c r="S990" s="3">
        <f>VLOOKUP(C990,[1]page!$C$2:$M$3071,11,0)</f>
        <v>34.47</v>
      </c>
      <c r="T990" s="6">
        <f t="shared" si="15"/>
        <v>0</v>
      </c>
    </row>
    <row r="991" spans="1:20" x14ac:dyDescent="0.2">
      <c r="A991" t="s">
        <v>3064</v>
      </c>
      <c r="B991" t="s">
        <v>3124</v>
      </c>
      <c r="C991" t="s">
        <v>3125</v>
      </c>
      <c r="D991" t="s">
        <v>3126</v>
      </c>
      <c r="E991" t="s">
        <v>2699</v>
      </c>
      <c r="F991" t="s">
        <v>2835</v>
      </c>
      <c r="G991" s="1">
        <v>11</v>
      </c>
      <c r="H991" s="1">
        <v>4</v>
      </c>
      <c r="I991" t="s">
        <v>2700</v>
      </c>
      <c r="K991" t="s">
        <v>2828</v>
      </c>
      <c r="L991" s="1">
        <v>1</v>
      </c>
      <c r="M991" s="3">
        <v>29.18</v>
      </c>
      <c r="N991" s="3">
        <v>1.46</v>
      </c>
      <c r="O991" s="3">
        <v>0</v>
      </c>
      <c r="P991" s="3">
        <v>0</v>
      </c>
      <c r="Q991" s="3">
        <v>30.64</v>
      </c>
      <c r="R991" s="3">
        <v>33.9</v>
      </c>
      <c r="S991" s="3">
        <f>VLOOKUP(C991,[1]page!$C$2:$M$3071,11,0)</f>
        <v>29.18</v>
      </c>
      <c r="T991" s="6">
        <f t="shared" si="15"/>
        <v>0</v>
      </c>
    </row>
    <row r="992" spans="1:20" x14ac:dyDescent="0.2">
      <c r="A992" t="s">
        <v>3064</v>
      </c>
      <c r="B992" t="s">
        <v>3127</v>
      </c>
      <c r="C992" t="s">
        <v>3128</v>
      </c>
      <c r="D992" t="s">
        <v>3129</v>
      </c>
      <c r="E992" t="s">
        <v>3048</v>
      </c>
      <c r="F992" t="s">
        <v>2835</v>
      </c>
      <c r="G992" s="1">
        <v>12</v>
      </c>
      <c r="H992" s="1">
        <v>4</v>
      </c>
      <c r="I992" t="s">
        <v>57</v>
      </c>
      <c r="K992" t="s">
        <v>2828</v>
      </c>
      <c r="L992" s="1">
        <v>1</v>
      </c>
      <c r="M992" s="3">
        <v>32.99</v>
      </c>
      <c r="N992" s="3">
        <v>1.65</v>
      </c>
      <c r="O992" s="3">
        <v>0</v>
      </c>
      <c r="P992" s="3">
        <v>0</v>
      </c>
      <c r="Q992" s="3">
        <v>34.64</v>
      </c>
      <c r="R992" s="3">
        <v>33.9</v>
      </c>
      <c r="S992" s="3">
        <f>VLOOKUP(C992,[1]page!$C$2:$M$3071,11,0)</f>
        <v>32.99</v>
      </c>
      <c r="T992" s="6">
        <f t="shared" si="15"/>
        <v>0</v>
      </c>
    </row>
    <row r="993" spans="1:20" x14ac:dyDescent="0.2">
      <c r="A993" t="s">
        <v>3064</v>
      </c>
      <c r="B993" t="s">
        <v>3130</v>
      </c>
      <c r="C993" t="s">
        <v>3131</v>
      </c>
      <c r="D993" t="s">
        <v>3132</v>
      </c>
      <c r="E993" t="s">
        <v>2699</v>
      </c>
      <c r="F993" t="s">
        <v>23</v>
      </c>
      <c r="G993" s="2">
        <v>12.5</v>
      </c>
      <c r="H993" s="1">
        <v>12</v>
      </c>
      <c r="I993" t="s">
        <v>2700</v>
      </c>
      <c r="K993" t="s">
        <v>2828</v>
      </c>
      <c r="L993" s="1">
        <v>1</v>
      </c>
      <c r="M993" s="3">
        <v>8.4700000000000006</v>
      </c>
      <c r="N993" s="3">
        <v>0.42</v>
      </c>
      <c r="O993" s="3">
        <v>0</v>
      </c>
      <c r="P993" s="3">
        <v>0.2</v>
      </c>
      <c r="Q993" s="3">
        <v>9.09</v>
      </c>
      <c r="R993" s="3">
        <v>7.95</v>
      </c>
      <c r="S993" s="3">
        <f>VLOOKUP(C993,[1]page!$C$2:$M$3071,11,0)</f>
        <v>8.4700000000000006</v>
      </c>
      <c r="T993" s="6">
        <f t="shared" si="15"/>
        <v>0</v>
      </c>
    </row>
    <row r="994" spans="1:20" x14ac:dyDescent="0.2">
      <c r="A994" t="s">
        <v>3064</v>
      </c>
      <c r="B994" t="s">
        <v>3133</v>
      </c>
      <c r="C994" t="s">
        <v>3134</v>
      </c>
      <c r="D994" t="s">
        <v>2902</v>
      </c>
      <c r="E994" t="s">
        <v>2699</v>
      </c>
      <c r="F994" t="s">
        <v>23</v>
      </c>
      <c r="G994" s="2">
        <v>12.5</v>
      </c>
      <c r="H994" s="1">
        <v>12</v>
      </c>
      <c r="I994" t="s">
        <v>2700</v>
      </c>
      <c r="K994" t="s">
        <v>2828</v>
      </c>
      <c r="L994" s="1">
        <v>1</v>
      </c>
      <c r="M994" s="3">
        <v>8.4700000000000006</v>
      </c>
      <c r="N994" s="3">
        <v>0.42</v>
      </c>
      <c r="O994" s="3">
        <v>0</v>
      </c>
      <c r="P994" s="3">
        <v>0.2</v>
      </c>
      <c r="Q994" s="3">
        <v>9.09</v>
      </c>
      <c r="R994" s="3">
        <v>7.95</v>
      </c>
      <c r="S994" s="3">
        <f>VLOOKUP(C994,[1]page!$C$2:$M$3071,11,0)</f>
        <v>8.4700000000000006</v>
      </c>
      <c r="T994" s="6">
        <f t="shared" si="15"/>
        <v>0</v>
      </c>
    </row>
    <row r="995" spans="1:20" x14ac:dyDescent="0.2">
      <c r="A995" t="s">
        <v>3064</v>
      </c>
      <c r="B995" t="s">
        <v>3135</v>
      </c>
      <c r="C995" t="s">
        <v>3136</v>
      </c>
      <c r="D995" t="s">
        <v>3137</v>
      </c>
      <c r="E995" t="s">
        <v>200</v>
      </c>
      <c r="F995" t="s">
        <v>2835</v>
      </c>
      <c r="G995" s="2">
        <v>12.5</v>
      </c>
      <c r="H995" s="1">
        <v>4</v>
      </c>
      <c r="I995" t="s">
        <v>201</v>
      </c>
      <c r="K995" t="s">
        <v>2828</v>
      </c>
      <c r="L995" s="1">
        <v>1</v>
      </c>
      <c r="M995" s="3">
        <v>33.57</v>
      </c>
      <c r="N995" s="3">
        <v>1.68</v>
      </c>
      <c r="O995" s="3">
        <v>0</v>
      </c>
      <c r="P995" s="3">
        <v>0</v>
      </c>
      <c r="Q995" s="3">
        <v>35.25</v>
      </c>
      <c r="R995" s="3">
        <v>33.9</v>
      </c>
      <c r="S995" s="3">
        <f>VLOOKUP(C995,[1]page!$C$2:$M$3071,11,0)</f>
        <v>33.57</v>
      </c>
      <c r="T995" s="6">
        <f t="shared" si="15"/>
        <v>0</v>
      </c>
    </row>
    <row r="996" spans="1:20" x14ac:dyDescent="0.2">
      <c r="A996" t="s">
        <v>3064</v>
      </c>
      <c r="B996" t="s">
        <v>3138</v>
      </c>
      <c r="C996" t="s">
        <v>3139</v>
      </c>
      <c r="D996" t="s">
        <v>2914</v>
      </c>
      <c r="E996" t="s">
        <v>2839</v>
      </c>
      <c r="F996" t="s">
        <v>23</v>
      </c>
      <c r="G996" s="2">
        <v>12.5</v>
      </c>
      <c r="H996" s="1">
        <v>12</v>
      </c>
      <c r="I996" t="s">
        <v>201</v>
      </c>
      <c r="K996" t="s">
        <v>2828</v>
      </c>
      <c r="L996" s="1">
        <v>1</v>
      </c>
      <c r="M996" s="3">
        <v>8.6</v>
      </c>
      <c r="N996" s="3">
        <v>0.43</v>
      </c>
      <c r="O996" s="3">
        <v>0</v>
      </c>
      <c r="P996" s="3">
        <v>0.2</v>
      </c>
      <c r="Q996" s="3">
        <v>9.23</v>
      </c>
      <c r="R996" s="3">
        <v>7.95</v>
      </c>
      <c r="S996" s="3">
        <f>VLOOKUP(C996,[1]page!$C$2:$M$3071,11,0)</f>
        <v>8.6</v>
      </c>
      <c r="T996" s="6">
        <f t="shared" si="15"/>
        <v>0</v>
      </c>
    </row>
    <row r="997" spans="1:20" x14ac:dyDescent="0.2">
      <c r="A997" t="s">
        <v>3064</v>
      </c>
      <c r="B997" t="s">
        <v>3140</v>
      </c>
      <c r="C997" t="s">
        <v>3141</v>
      </c>
      <c r="D997" t="s">
        <v>2914</v>
      </c>
      <c r="E997" t="s">
        <v>2839</v>
      </c>
      <c r="F997" t="s">
        <v>2737</v>
      </c>
      <c r="G997" s="2">
        <v>12.5</v>
      </c>
      <c r="H997" s="1">
        <v>6</v>
      </c>
      <c r="I997" t="s">
        <v>201</v>
      </c>
      <c r="K997" t="s">
        <v>2828</v>
      </c>
      <c r="L997" s="1">
        <v>1</v>
      </c>
      <c r="M997" s="3">
        <v>14.35</v>
      </c>
      <c r="N997" s="3">
        <v>0.72</v>
      </c>
      <c r="O997" s="3">
        <v>0</v>
      </c>
      <c r="P997" s="3">
        <v>0.4</v>
      </c>
      <c r="Q997" s="3">
        <v>15.47</v>
      </c>
      <c r="R997" s="3">
        <v>14.45</v>
      </c>
      <c r="S997" s="3">
        <f>VLOOKUP(C997,[1]page!$C$2:$M$3071,11,0)</f>
        <v>14.35</v>
      </c>
      <c r="T997" s="6">
        <f t="shared" si="15"/>
        <v>0</v>
      </c>
    </row>
    <row r="998" spans="1:20" x14ac:dyDescent="0.2">
      <c r="A998" t="s">
        <v>3064</v>
      </c>
      <c r="B998" t="s">
        <v>3142</v>
      </c>
      <c r="C998" t="s">
        <v>3143</v>
      </c>
      <c r="D998" t="s">
        <v>2914</v>
      </c>
      <c r="E998" t="s">
        <v>2839</v>
      </c>
      <c r="F998" t="s">
        <v>2835</v>
      </c>
      <c r="G998" s="2">
        <v>12.5</v>
      </c>
      <c r="H998" s="1">
        <v>4</v>
      </c>
      <c r="I998" t="s">
        <v>201</v>
      </c>
      <c r="K998" t="s">
        <v>2828</v>
      </c>
      <c r="L998" s="1">
        <v>1</v>
      </c>
      <c r="M998" s="3">
        <v>33.57</v>
      </c>
      <c r="N998" s="3">
        <v>1.68</v>
      </c>
      <c r="O998" s="3">
        <v>0</v>
      </c>
      <c r="P998" s="3">
        <v>0</v>
      </c>
      <c r="Q998" s="3">
        <v>35.25</v>
      </c>
      <c r="R998" s="3">
        <v>33.9</v>
      </c>
      <c r="S998" s="3">
        <f>VLOOKUP(C998,[1]page!$C$2:$M$3071,11,0)</f>
        <v>33.57</v>
      </c>
      <c r="T998" s="6">
        <f t="shared" si="15"/>
        <v>0</v>
      </c>
    </row>
    <row r="999" spans="1:20" x14ac:dyDescent="0.2">
      <c r="A999" t="s">
        <v>3064</v>
      </c>
      <c r="B999" t="s">
        <v>3144</v>
      </c>
      <c r="C999" t="s">
        <v>3145</v>
      </c>
      <c r="D999" t="s">
        <v>3146</v>
      </c>
      <c r="E999" t="s">
        <v>2839</v>
      </c>
      <c r="F999" t="s">
        <v>2835</v>
      </c>
      <c r="G999" s="2">
        <v>11.5</v>
      </c>
      <c r="H999" s="1">
        <v>4</v>
      </c>
      <c r="I999" t="s">
        <v>201</v>
      </c>
      <c r="K999" t="s">
        <v>2687</v>
      </c>
      <c r="L999" s="1">
        <v>1</v>
      </c>
      <c r="M999" s="3">
        <v>33.49</v>
      </c>
      <c r="N999" s="3">
        <v>1.67</v>
      </c>
      <c r="O999" s="3">
        <v>0</v>
      </c>
      <c r="P999" s="3">
        <v>0</v>
      </c>
      <c r="Q999" s="3">
        <v>35.159999999999997</v>
      </c>
      <c r="R999" s="3">
        <v>33.9</v>
      </c>
      <c r="S999" s="3">
        <f>VLOOKUP(C999,[1]page!$C$2:$M$3071,11,0)</f>
        <v>33.07</v>
      </c>
      <c r="T999" s="6">
        <f t="shared" si="15"/>
        <v>0.42000000000000171</v>
      </c>
    </row>
    <row r="1000" spans="1:20" x14ac:dyDescent="0.2">
      <c r="A1000" t="s">
        <v>3064</v>
      </c>
      <c r="B1000" t="s">
        <v>3147</v>
      </c>
      <c r="C1000" t="s">
        <v>3148</v>
      </c>
      <c r="D1000" t="s">
        <v>3149</v>
      </c>
      <c r="E1000" t="s">
        <v>2839</v>
      </c>
      <c r="F1000" t="s">
        <v>23</v>
      </c>
      <c r="G1000" s="2">
        <v>12.5</v>
      </c>
      <c r="H1000" s="1">
        <v>12</v>
      </c>
      <c r="I1000" t="s">
        <v>201</v>
      </c>
      <c r="K1000" t="s">
        <v>2828</v>
      </c>
      <c r="L1000" s="1">
        <v>1</v>
      </c>
      <c r="M1000" s="3">
        <v>8.6</v>
      </c>
      <c r="N1000" s="3">
        <v>0.43</v>
      </c>
      <c r="O1000" s="3">
        <v>0</v>
      </c>
      <c r="P1000" s="3">
        <v>0.2</v>
      </c>
      <c r="Q1000" s="3">
        <v>9.23</v>
      </c>
      <c r="R1000" s="3">
        <v>7.95</v>
      </c>
      <c r="S1000" s="3">
        <f>VLOOKUP(C1000,[1]page!$C$2:$M$3071,11,0)</f>
        <v>8.6</v>
      </c>
      <c r="T1000" s="6">
        <f t="shared" si="15"/>
        <v>0</v>
      </c>
    </row>
    <row r="1001" spans="1:20" x14ac:dyDescent="0.2">
      <c r="A1001" t="s">
        <v>3064</v>
      </c>
      <c r="B1001" t="s">
        <v>3150</v>
      </c>
      <c r="C1001" t="s">
        <v>3151</v>
      </c>
      <c r="D1001" t="s">
        <v>3149</v>
      </c>
      <c r="E1001" t="s">
        <v>2839</v>
      </c>
      <c r="F1001" t="s">
        <v>2835</v>
      </c>
      <c r="G1001" s="2">
        <v>12.5</v>
      </c>
      <c r="H1001" s="1">
        <v>4</v>
      </c>
      <c r="I1001" t="s">
        <v>201</v>
      </c>
      <c r="K1001" t="s">
        <v>2828</v>
      </c>
      <c r="L1001" s="1">
        <v>1</v>
      </c>
      <c r="M1001" s="3">
        <v>33.57</v>
      </c>
      <c r="N1001" s="3">
        <v>1.68</v>
      </c>
      <c r="O1001" s="3">
        <v>0</v>
      </c>
      <c r="P1001" s="3">
        <v>0</v>
      </c>
      <c r="Q1001" s="3">
        <v>35.25</v>
      </c>
      <c r="R1001" s="3">
        <v>33.9</v>
      </c>
      <c r="S1001" s="3">
        <f>VLOOKUP(C1001,[1]page!$C$2:$M$3071,11,0)</f>
        <v>33.57</v>
      </c>
      <c r="T1001" s="6">
        <f t="shared" si="15"/>
        <v>0</v>
      </c>
    </row>
    <row r="1002" spans="1:20" x14ac:dyDescent="0.2">
      <c r="A1002" t="s">
        <v>3064</v>
      </c>
      <c r="B1002" t="s">
        <v>3152</v>
      </c>
      <c r="C1002" t="s">
        <v>3153</v>
      </c>
      <c r="D1002" t="s">
        <v>3154</v>
      </c>
      <c r="E1002" t="s">
        <v>200</v>
      </c>
      <c r="F1002" t="s">
        <v>23</v>
      </c>
      <c r="G1002" s="1">
        <v>13</v>
      </c>
      <c r="H1002" s="1">
        <v>12</v>
      </c>
      <c r="I1002" t="s">
        <v>201</v>
      </c>
      <c r="K1002" t="s">
        <v>2828</v>
      </c>
      <c r="L1002" s="1">
        <v>1</v>
      </c>
      <c r="M1002" s="3">
        <v>8.6</v>
      </c>
      <c r="N1002" s="3">
        <v>0.43</v>
      </c>
      <c r="O1002" s="3">
        <v>0</v>
      </c>
      <c r="P1002" s="3">
        <v>0.2</v>
      </c>
      <c r="Q1002" s="3">
        <v>9.23</v>
      </c>
      <c r="R1002" s="3">
        <v>7.95</v>
      </c>
      <c r="S1002" s="3">
        <f>VLOOKUP(C1002,[1]page!$C$2:$M$3071,11,0)</f>
        <v>8.6</v>
      </c>
      <c r="T1002" s="6">
        <f t="shared" si="15"/>
        <v>0</v>
      </c>
    </row>
    <row r="1003" spans="1:20" x14ac:dyDescent="0.2">
      <c r="A1003" t="s">
        <v>3064</v>
      </c>
      <c r="B1003" t="s">
        <v>3155</v>
      </c>
      <c r="C1003" t="s">
        <v>3156</v>
      </c>
      <c r="D1003" t="s">
        <v>3154</v>
      </c>
      <c r="E1003" t="s">
        <v>200</v>
      </c>
      <c r="F1003" t="s">
        <v>2737</v>
      </c>
      <c r="G1003" s="1">
        <v>13</v>
      </c>
      <c r="H1003" s="1">
        <v>6</v>
      </c>
      <c r="I1003" t="s">
        <v>201</v>
      </c>
      <c r="K1003" t="s">
        <v>2828</v>
      </c>
      <c r="L1003" s="1">
        <v>1</v>
      </c>
      <c r="M1003" s="3">
        <v>14.35</v>
      </c>
      <c r="N1003" s="3">
        <v>0.72</v>
      </c>
      <c r="O1003" s="3">
        <v>0</v>
      </c>
      <c r="P1003" s="3">
        <v>0.4</v>
      </c>
      <c r="Q1003" s="3">
        <v>15.47</v>
      </c>
      <c r="R1003" s="3">
        <v>14.45</v>
      </c>
      <c r="S1003" s="3">
        <f>VLOOKUP(C1003,[1]page!$C$2:$M$3071,11,0)</f>
        <v>14.35</v>
      </c>
      <c r="T1003" s="6">
        <f t="shared" si="15"/>
        <v>0</v>
      </c>
    </row>
    <row r="1004" spans="1:20" x14ac:dyDescent="0.2">
      <c r="A1004" t="s">
        <v>3064</v>
      </c>
      <c r="B1004" t="s">
        <v>3157</v>
      </c>
      <c r="C1004" t="s">
        <v>3158</v>
      </c>
      <c r="D1004" t="s">
        <v>3154</v>
      </c>
      <c r="E1004" t="s">
        <v>200</v>
      </c>
      <c r="F1004" t="s">
        <v>2835</v>
      </c>
      <c r="G1004" s="1">
        <v>13</v>
      </c>
      <c r="H1004" s="1">
        <v>4</v>
      </c>
      <c r="I1004" t="s">
        <v>201</v>
      </c>
      <c r="K1004" t="s">
        <v>2828</v>
      </c>
      <c r="L1004" s="1">
        <v>1</v>
      </c>
      <c r="M1004" s="3">
        <v>33.57</v>
      </c>
      <c r="N1004" s="3">
        <v>1.68</v>
      </c>
      <c r="O1004" s="3">
        <v>0</v>
      </c>
      <c r="P1004" s="3">
        <v>0</v>
      </c>
      <c r="Q1004" s="3">
        <v>35.25</v>
      </c>
      <c r="R1004" s="3">
        <v>33.9</v>
      </c>
      <c r="S1004" s="3">
        <f>VLOOKUP(C1004,[1]page!$C$2:$M$3071,11,0)</f>
        <v>33.57</v>
      </c>
      <c r="T1004" s="6">
        <f t="shared" ref="T1004:T1067" si="16">SUM(M1004-S1004)</f>
        <v>0</v>
      </c>
    </row>
    <row r="1005" spans="1:20" x14ac:dyDescent="0.2">
      <c r="A1005" t="s">
        <v>3064</v>
      </c>
      <c r="B1005" t="s">
        <v>3159</v>
      </c>
      <c r="C1005" t="s">
        <v>3160</v>
      </c>
      <c r="D1005" t="s">
        <v>3161</v>
      </c>
      <c r="E1005" t="s">
        <v>2839</v>
      </c>
      <c r="F1005" t="s">
        <v>3099</v>
      </c>
      <c r="G1005" s="2">
        <v>11.5</v>
      </c>
      <c r="H1005" s="1">
        <v>1</v>
      </c>
      <c r="I1005" t="s">
        <v>201</v>
      </c>
      <c r="K1005" t="s">
        <v>2687</v>
      </c>
      <c r="L1005" s="1">
        <v>1</v>
      </c>
      <c r="M1005" s="3">
        <v>110.28</v>
      </c>
      <c r="N1005" s="3">
        <v>5.51</v>
      </c>
      <c r="O1005" s="3">
        <v>0</v>
      </c>
      <c r="P1005" s="3">
        <v>0</v>
      </c>
      <c r="Q1005" s="3">
        <v>115.79</v>
      </c>
      <c r="R1005" s="3">
        <v>118.7</v>
      </c>
      <c r="S1005" s="3">
        <f>VLOOKUP(C1005,[1]page!$C$2:$M$3071,11,0)</f>
        <v>110.28</v>
      </c>
      <c r="T1005" s="6">
        <f t="shared" si="16"/>
        <v>0</v>
      </c>
    </row>
    <row r="1006" spans="1:20" x14ac:dyDescent="0.2">
      <c r="A1006" t="s">
        <v>3064</v>
      </c>
      <c r="B1006" t="s">
        <v>3162</v>
      </c>
      <c r="C1006" t="s">
        <v>3163</v>
      </c>
      <c r="D1006" t="s">
        <v>3164</v>
      </c>
      <c r="E1006" t="s">
        <v>2918</v>
      </c>
      <c r="F1006" t="s">
        <v>23</v>
      </c>
      <c r="G1006" s="2">
        <v>11.5</v>
      </c>
      <c r="H1006" s="1">
        <v>12</v>
      </c>
      <c r="I1006" t="s">
        <v>2700</v>
      </c>
      <c r="K1006" t="s">
        <v>2828</v>
      </c>
      <c r="L1006" s="1">
        <v>1</v>
      </c>
      <c r="M1006" s="3">
        <v>8.6</v>
      </c>
      <c r="N1006" s="3">
        <v>0.43</v>
      </c>
      <c r="O1006" s="3">
        <v>0</v>
      </c>
      <c r="P1006" s="3">
        <v>0.2</v>
      </c>
      <c r="Q1006" s="3">
        <v>9.23</v>
      </c>
      <c r="R1006" s="3">
        <v>7.95</v>
      </c>
      <c r="S1006" s="3">
        <f>VLOOKUP(C1006,[1]page!$C$2:$M$3071,11,0)</f>
        <v>8.6</v>
      </c>
      <c r="T1006" s="6">
        <f t="shared" si="16"/>
        <v>0</v>
      </c>
    </row>
    <row r="1007" spans="1:20" x14ac:dyDescent="0.2">
      <c r="A1007" t="s">
        <v>3064</v>
      </c>
      <c r="B1007" t="s">
        <v>3165</v>
      </c>
      <c r="C1007" t="s">
        <v>3166</v>
      </c>
      <c r="D1007" t="s">
        <v>3167</v>
      </c>
      <c r="E1007" t="s">
        <v>2918</v>
      </c>
      <c r="F1007" t="s">
        <v>23</v>
      </c>
      <c r="G1007" s="2">
        <v>12.5</v>
      </c>
      <c r="H1007" s="1">
        <v>12</v>
      </c>
      <c r="I1007" t="s">
        <v>2700</v>
      </c>
      <c r="K1007" t="s">
        <v>2828</v>
      </c>
      <c r="L1007" s="1">
        <v>1</v>
      </c>
      <c r="M1007" s="3">
        <v>8.6</v>
      </c>
      <c r="N1007" s="3">
        <v>0.43</v>
      </c>
      <c r="O1007" s="3">
        <v>0</v>
      </c>
      <c r="P1007" s="3">
        <v>0.2</v>
      </c>
      <c r="Q1007" s="3">
        <v>9.23</v>
      </c>
      <c r="R1007" s="3">
        <v>7.95</v>
      </c>
      <c r="S1007" s="3">
        <f>VLOOKUP(C1007,[1]page!$C$2:$M$3071,11,0)</f>
        <v>8.6</v>
      </c>
      <c r="T1007" s="6">
        <f t="shared" si="16"/>
        <v>0</v>
      </c>
    </row>
    <row r="1008" spans="1:20" x14ac:dyDescent="0.2">
      <c r="A1008" t="s">
        <v>3064</v>
      </c>
      <c r="B1008" t="s">
        <v>3168</v>
      </c>
      <c r="C1008" t="s">
        <v>3169</v>
      </c>
      <c r="D1008" t="s">
        <v>3167</v>
      </c>
      <c r="E1008" t="s">
        <v>2918</v>
      </c>
      <c r="F1008" t="s">
        <v>2835</v>
      </c>
      <c r="G1008" s="2">
        <v>12.5</v>
      </c>
      <c r="H1008" s="1">
        <v>4</v>
      </c>
      <c r="I1008" t="s">
        <v>2700</v>
      </c>
      <c r="K1008" t="s">
        <v>2828</v>
      </c>
      <c r="L1008" s="1">
        <v>1</v>
      </c>
      <c r="M1008" s="3">
        <v>33.57</v>
      </c>
      <c r="N1008" s="3">
        <v>1.68</v>
      </c>
      <c r="O1008" s="3">
        <v>0</v>
      </c>
      <c r="P1008" s="3">
        <v>0</v>
      </c>
      <c r="Q1008" s="3">
        <v>35.25</v>
      </c>
      <c r="R1008" s="3">
        <v>33.9</v>
      </c>
      <c r="S1008" s="3">
        <f>VLOOKUP(C1008,[1]page!$C$2:$M$3071,11,0)</f>
        <v>33.57</v>
      </c>
      <c r="T1008" s="6">
        <f t="shared" si="16"/>
        <v>0</v>
      </c>
    </row>
    <row r="1009" spans="1:20" x14ac:dyDescent="0.2">
      <c r="A1009" t="s">
        <v>3064</v>
      </c>
      <c r="B1009" t="s">
        <v>3170</v>
      </c>
      <c r="C1009" t="s">
        <v>3171</v>
      </c>
      <c r="D1009" t="s">
        <v>3172</v>
      </c>
      <c r="E1009" t="s">
        <v>2699</v>
      </c>
      <c r="F1009" t="s">
        <v>23</v>
      </c>
      <c r="G1009" s="1">
        <v>13</v>
      </c>
      <c r="H1009" s="1">
        <v>12</v>
      </c>
      <c r="I1009" t="s">
        <v>2700</v>
      </c>
      <c r="K1009" t="s">
        <v>2706</v>
      </c>
      <c r="L1009" s="1">
        <v>1</v>
      </c>
      <c r="M1009" s="3">
        <v>9.19</v>
      </c>
      <c r="N1009" s="3">
        <v>0.46</v>
      </c>
      <c r="O1009" s="3">
        <v>0</v>
      </c>
      <c r="P1009" s="3">
        <v>0.2</v>
      </c>
      <c r="Q1009" s="3">
        <v>9.85</v>
      </c>
      <c r="R1009" s="3">
        <v>7.95</v>
      </c>
      <c r="S1009" s="3">
        <f>VLOOKUP(C1009,[1]page!$C$2:$M$3071,11,0)</f>
        <v>9.19</v>
      </c>
      <c r="T1009" s="6">
        <f t="shared" si="16"/>
        <v>0</v>
      </c>
    </row>
    <row r="1010" spans="1:20" x14ac:dyDescent="0.2">
      <c r="A1010" t="s">
        <v>3173</v>
      </c>
      <c r="B1010" t="s">
        <v>3174</v>
      </c>
      <c r="C1010" t="s">
        <v>3175</v>
      </c>
      <c r="D1010" t="s">
        <v>3176</v>
      </c>
      <c r="E1010" t="s">
        <v>200</v>
      </c>
      <c r="F1010" t="s">
        <v>2835</v>
      </c>
      <c r="G1010" s="1">
        <v>11</v>
      </c>
      <c r="H1010" s="1">
        <v>4</v>
      </c>
      <c r="I1010" t="s">
        <v>201</v>
      </c>
      <c r="K1010" t="s">
        <v>2828</v>
      </c>
      <c r="L1010" s="1">
        <v>1</v>
      </c>
      <c r="M1010" s="3">
        <v>31.99</v>
      </c>
      <c r="N1010" s="3">
        <v>1.6</v>
      </c>
      <c r="O1010" s="3">
        <v>0</v>
      </c>
      <c r="P1010" s="3">
        <v>0</v>
      </c>
      <c r="Q1010" s="3">
        <v>33.590000000000003</v>
      </c>
      <c r="R1010" s="3">
        <v>33.9</v>
      </c>
      <c r="S1010" s="3">
        <f>VLOOKUP(C1010,[1]page!$C$2:$M$3071,11,0)</f>
        <v>31.57</v>
      </c>
      <c r="T1010" s="6">
        <f t="shared" si="16"/>
        <v>0.41999999999999815</v>
      </c>
    </row>
    <row r="1011" spans="1:20" x14ac:dyDescent="0.2">
      <c r="A1011" t="s">
        <v>3173</v>
      </c>
      <c r="B1011" t="s">
        <v>3177</v>
      </c>
      <c r="C1011" t="s">
        <v>3178</v>
      </c>
      <c r="D1011" t="s">
        <v>3179</v>
      </c>
      <c r="E1011" t="s">
        <v>200</v>
      </c>
      <c r="F1011" t="s">
        <v>2737</v>
      </c>
      <c r="G1011" s="1">
        <v>11</v>
      </c>
      <c r="H1011" s="1">
        <v>6</v>
      </c>
      <c r="I1011" t="s">
        <v>201</v>
      </c>
      <c r="K1011" t="s">
        <v>2706</v>
      </c>
      <c r="L1011" s="1">
        <v>1</v>
      </c>
      <c r="M1011" s="3">
        <v>14.39</v>
      </c>
      <c r="N1011" s="3">
        <v>0.72</v>
      </c>
      <c r="O1011" s="3">
        <v>0</v>
      </c>
      <c r="P1011" s="3">
        <v>0.4</v>
      </c>
      <c r="Q1011" s="3">
        <v>15.51</v>
      </c>
      <c r="R1011" s="3">
        <v>14.45</v>
      </c>
      <c r="S1011" s="3">
        <f>VLOOKUP(C1011,[1]page!$C$2:$M$3071,11,0)</f>
        <v>14.02</v>
      </c>
      <c r="T1011" s="6">
        <f t="shared" si="16"/>
        <v>0.37000000000000099</v>
      </c>
    </row>
    <row r="1012" spans="1:20" x14ac:dyDescent="0.2">
      <c r="A1012" t="s">
        <v>3173</v>
      </c>
      <c r="B1012" t="s">
        <v>3180</v>
      </c>
      <c r="C1012" t="s">
        <v>3181</v>
      </c>
      <c r="D1012" t="s">
        <v>3179</v>
      </c>
      <c r="E1012" t="s">
        <v>200</v>
      </c>
      <c r="F1012" t="s">
        <v>2835</v>
      </c>
      <c r="G1012" s="1">
        <v>11</v>
      </c>
      <c r="H1012" s="1">
        <v>4</v>
      </c>
      <c r="I1012" t="s">
        <v>201</v>
      </c>
      <c r="K1012" t="s">
        <v>2706</v>
      </c>
      <c r="L1012" s="1">
        <v>1</v>
      </c>
      <c r="M1012" s="3">
        <v>31.99</v>
      </c>
      <c r="N1012" s="3">
        <v>1.6</v>
      </c>
      <c r="O1012" s="3">
        <v>0</v>
      </c>
      <c r="P1012" s="3">
        <v>0</v>
      </c>
      <c r="Q1012" s="3">
        <v>33.590000000000003</v>
      </c>
      <c r="R1012" s="3">
        <v>33.9</v>
      </c>
      <c r="S1012" s="3">
        <f>VLOOKUP(C1012,[1]page!$C$2:$M$3071,11,0)</f>
        <v>31.57</v>
      </c>
      <c r="T1012" s="6">
        <f t="shared" si="16"/>
        <v>0.41999999999999815</v>
      </c>
    </row>
    <row r="1013" spans="1:20" x14ac:dyDescent="0.2">
      <c r="A1013" t="s">
        <v>3173</v>
      </c>
      <c r="B1013" t="s">
        <v>3182</v>
      </c>
      <c r="C1013" t="s">
        <v>3183</v>
      </c>
      <c r="D1013" t="s">
        <v>2933</v>
      </c>
      <c r="E1013" t="s">
        <v>200</v>
      </c>
      <c r="F1013" t="s">
        <v>23</v>
      </c>
      <c r="G1013" s="1">
        <v>12</v>
      </c>
      <c r="H1013" s="1">
        <v>12</v>
      </c>
      <c r="I1013" t="s">
        <v>201</v>
      </c>
      <c r="K1013" t="s">
        <v>2828</v>
      </c>
      <c r="L1013" s="1">
        <v>1</v>
      </c>
      <c r="M1013" s="3">
        <v>9.26</v>
      </c>
      <c r="N1013" s="3">
        <v>0.46</v>
      </c>
      <c r="O1013" s="3">
        <v>0</v>
      </c>
      <c r="P1013" s="3">
        <v>0.2</v>
      </c>
      <c r="Q1013" s="3">
        <v>9.92</v>
      </c>
      <c r="R1013" s="3">
        <v>7.95</v>
      </c>
      <c r="S1013" s="3">
        <f>VLOOKUP(C1013,[1]page!$C$2:$M$3071,11,0)</f>
        <v>9.17</v>
      </c>
      <c r="T1013" s="6">
        <f t="shared" si="16"/>
        <v>8.9999999999999858E-2</v>
      </c>
    </row>
    <row r="1014" spans="1:20" x14ac:dyDescent="0.2">
      <c r="A1014" t="s">
        <v>3173</v>
      </c>
      <c r="B1014" t="s">
        <v>3184</v>
      </c>
      <c r="C1014" t="s">
        <v>3185</v>
      </c>
      <c r="D1014" t="s">
        <v>2944</v>
      </c>
      <c r="E1014" t="s">
        <v>2699</v>
      </c>
      <c r="F1014" t="s">
        <v>23</v>
      </c>
      <c r="G1014" s="2">
        <v>12.5</v>
      </c>
      <c r="H1014" s="1">
        <v>12</v>
      </c>
      <c r="I1014" t="s">
        <v>2700</v>
      </c>
      <c r="K1014" t="s">
        <v>2706</v>
      </c>
      <c r="L1014" s="1">
        <v>1</v>
      </c>
      <c r="M1014" s="3">
        <v>9.26</v>
      </c>
      <c r="N1014" s="3">
        <v>0.46</v>
      </c>
      <c r="O1014" s="3">
        <v>0</v>
      </c>
      <c r="P1014" s="3">
        <v>0.2</v>
      </c>
      <c r="Q1014" s="3">
        <v>9.92</v>
      </c>
      <c r="R1014" s="3">
        <v>7.95</v>
      </c>
      <c r="S1014" s="3">
        <f>VLOOKUP(C1014,[1]page!$C$2:$M$3071,11,0)</f>
        <v>9.26</v>
      </c>
      <c r="T1014" s="6">
        <f t="shared" si="16"/>
        <v>0</v>
      </c>
    </row>
    <row r="1015" spans="1:20" x14ac:dyDescent="0.2">
      <c r="A1015" t="s">
        <v>3173</v>
      </c>
      <c r="B1015" t="s">
        <v>3186</v>
      </c>
      <c r="C1015" t="s">
        <v>3187</v>
      </c>
      <c r="D1015" t="s">
        <v>3188</v>
      </c>
      <c r="E1015" t="s">
        <v>200</v>
      </c>
      <c r="F1015" t="s">
        <v>3080</v>
      </c>
      <c r="G1015" s="2">
        <v>12.5</v>
      </c>
      <c r="H1015" s="1">
        <v>6</v>
      </c>
      <c r="I1015" t="s">
        <v>201</v>
      </c>
      <c r="K1015" t="s">
        <v>2712</v>
      </c>
      <c r="L1015" s="1">
        <v>1</v>
      </c>
      <c r="M1015" s="3">
        <v>16.09</v>
      </c>
      <c r="N1015" s="3">
        <v>0.8</v>
      </c>
      <c r="O1015" s="3">
        <v>0</v>
      </c>
      <c r="P1015" s="3">
        <v>0.25</v>
      </c>
      <c r="Q1015" s="3">
        <v>17.14</v>
      </c>
      <c r="R1015" s="3">
        <v>18</v>
      </c>
      <c r="S1015" s="3">
        <f>VLOOKUP(C1015,[1]page!$C$2:$M$3071,11,0)</f>
        <v>16.03</v>
      </c>
      <c r="T1015" s="6">
        <f t="shared" si="16"/>
        <v>5.9999999999998721E-2</v>
      </c>
    </row>
    <row r="1016" spans="1:20" x14ac:dyDescent="0.2">
      <c r="A1016" t="s">
        <v>3173</v>
      </c>
      <c r="B1016" t="s">
        <v>3189</v>
      </c>
      <c r="C1016" t="s">
        <v>3190</v>
      </c>
      <c r="D1016" t="s">
        <v>3191</v>
      </c>
      <c r="E1016" t="s">
        <v>200</v>
      </c>
      <c r="F1016" t="s">
        <v>2737</v>
      </c>
      <c r="G1016" s="2">
        <v>11.5</v>
      </c>
      <c r="H1016" s="1">
        <v>6</v>
      </c>
      <c r="I1016" t="s">
        <v>201</v>
      </c>
      <c r="K1016" t="s">
        <v>2706</v>
      </c>
      <c r="L1016" s="1">
        <v>1</v>
      </c>
      <c r="M1016" s="3">
        <v>14.35</v>
      </c>
      <c r="N1016" s="3">
        <v>0.72</v>
      </c>
      <c r="O1016" s="3">
        <v>0</v>
      </c>
      <c r="P1016" s="3">
        <v>0.4</v>
      </c>
      <c r="Q1016" s="3">
        <v>15.47</v>
      </c>
      <c r="R1016" s="3">
        <v>14.45</v>
      </c>
      <c r="S1016" s="3">
        <f>VLOOKUP(C1016,[1]page!$C$2:$M$3071,11,0)</f>
        <v>14.02</v>
      </c>
      <c r="T1016" s="6">
        <f t="shared" si="16"/>
        <v>0.33000000000000007</v>
      </c>
    </row>
    <row r="1017" spans="1:20" x14ac:dyDescent="0.2">
      <c r="A1017" t="s">
        <v>3173</v>
      </c>
      <c r="B1017" t="s">
        <v>3192</v>
      </c>
      <c r="C1017" t="s">
        <v>3193</v>
      </c>
      <c r="D1017" t="s">
        <v>3191</v>
      </c>
      <c r="E1017" t="s">
        <v>200</v>
      </c>
      <c r="F1017" t="s">
        <v>2835</v>
      </c>
      <c r="G1017" s="2">
        <v>11.5</v>
      </c>
      <c r="H1017" s="1">
        <v>4</v>
      </c>
      <c r="I1017" t="s">
        <v>201</v>
      </c>
      <c r="K1017" t="s">
        <v>2706</v>
      </c>
      <c r="L1017" s="1">
        <v>1</v>
      </c>
      <c r="M1017" s="3">
        <v>31.99</v>
      </c>
      <c r="N1017" s="3">
        <v>1.6</v>
      </c>
      <c r="O1017" s="3">
        <v>0</v>
      </c>
      <c r="P1017" s="3">
        <v>0</v>
      </c>
      <c r="Q1017" s="3">
        <v>33.590000000000003</v>
      </c>
      <c r="R1017" s="3">
        <v>33.9</v>
      </c>
      <c r="S1017" s="3">
        <f>VLOOKUP(C1017,[1]page!$C$2:$M$3071,11,0)</f>
        <v>31.57</v>
      </c>
      <c r="T1017" s="6">
        <f t="shared" si="16"/>
        <v>0.41999999999999815</v>
      </c>
    </row>
    <row r="1018" spans="1:20" x14ac:dyDescent="0.2">
      <c r="A1018" t="s">
        <v>3173</v>
      </c>
      <c r="B1018" t="s">
        <v>3194</v>
      </c>
      <c r="C1018" t="s">
        <v>3195</v>
      </c>
      <c r="D1018" t="s">
        <v>3196</v>
      </c>
      <c r="E1018" t="s">
        <v>200</v>
      </c>
      <c r="F1018" t="s">
        <v>2835</v>
      </c>
      <c r="G1018" s="2">
        <v>12.5</v>
      </c>
      <c r="H1018" s="1">
        <v>4</v>
      </c>
      <c r="I1018" t="s">
        <v>201</v>
      </c>
      <c r="K1018" t="s">
        <v>2828</v>
      </c>
      <c r="L1018" s="1">
        <v>1</v>
      </c>
      <c r="M1018" s="3">
        <v>31.49</v>
      </c>
      <c r="N1018" s="3">
        <v>1.57</v>
      </c>
      <c r="O1018" s="3">
        <v>0</v>
      </c>
      <c r="P1018" s="3">
        <v>0</v>
      </c>
      <c r="Q1018" s="3">
        <v>33.06</v>
      </c>
      <c r="R1018" s="3">
        <v>33.9</v>
      </c>
      <c r="S1018" s="3">
        <f>VLOOKUP(C1018,[1]page!$C$2:$M$3071,11,0)</f>
        <v>31.07</v>
      </c>
      <c r="T1018" s="6">
        <f t="shared" si="16"/>
        <v>0.41999999999999815</v>
      </c>
    </row>
    <row r="1019" spans="1:20" x14ac:dyDescent="0.2">
      <c r="A1019" t="s">
        <v>3173</v>
      </c>
      <c r="B1019" t="s">
        <v>3197</v>
      </c>
      <c r="C1019" t="s">
        <v>3198</v>
      </c>
      <c r="D1019" t="s">
        <v>2947</v>
      </c>
      <c r="E1019" t="s">
        <v>200</v>
      </c>
      <c r="F1019" t="s">
        <v>23</v>
      </c>
      <c r="G1019" s="1">
        <v>13</v>
      </c>
      <c r="H1019" s="1">
        <v>12</v>
      </c>
      <c r="I1019" t="s">
        <v>201</v>
      </c>
      <c r="K1019" t="s">
        <v>2828</v>
      </c>
      <c r="L1019" s="1">
        <v>1</v>
      </c>
      <c r="M1019" s="3">
        <v>9</v>
      </c>
      <c r="N1019" s="3">
        <v>0.45</v>
      </c>
      <c r="O1019" s="3">
        <v>0</v>
      </c>
      <c r="P1019" s="3">
        <v>0.2</v>
      </c>
      <c r="Q1019" s="3">
        <v>9.65</v>
      </c>
      <c r="R1019" s="3">
        <v>7.95</v>
      </c>
      <c r="S1019" s="3">
        <f>VLOOKUP(C1019,[1]page!$C$2:$M$3071,11,0)</f>
        <v>9</v>
      </c>
      <c r="T1019" s="6">
        <f t="shared" si="16"/>
        <v>0</v>
      </c>
    </row>
    <row r="1020" spans="1:20" x14ac:dyDescent="0.2">
      <c r="A1020" t="s">
        <v>3173</v>
      </c>
      <c r="B1020" t="s">
        <v>3199</v>
      </c>
      <c r="C1020" t="s">
        <v>3200</v>
      </c>
      <c r="D1020" t="s">
        <v>3031</v>
      </c>
      <c r="E1020" t="s">
        <v>200</v>
      </c>
      <c r="F1020" t="s">
        <v>23</v>
      </c>
      <c r="G1020" s="2">
        <v>12.5</v>
      </c>
      <c r="H1020" s="1">
        <v>12</v>
      </c>
      <c r="I1020" t="s">
        <v>201</v>
      </c>
      <c r="K1020" t="s">
        <v>2828</v>
      </c>
      <c r="L1020" s="1">
        <v>1</v>
      </c>
      <c r="M1020" s="3">
        <v>9</v>
      </c>
      <c r="N1020" s="3">
        <v>0.45</v>
      </c>
      <c r="O1020" s="3">
        <v>0</v>
      </c>
      <c r="P1020" s="3">
        <v>0.2</v>
      </c>
      <c r="Q1020" s="3">
        <v>9.65</v>
      </c>
      <c r="R1020" s="3">
        <v>7.95</v>
      </c>
      <c r="S1020" s="3">
        <f>VLOOKUP(C1020,[1]page!$C$2:$M$3071,11,0)</f>
        <v>9</v>
      </c>
      <c r="T1020" s="6">
        <f t="shared" si="16"/>
        <v>0</v>
      </c>
    </row>
    <row r="1021" spans="1:20" x14ac:dyDescent="0.2">
      <c r="A1021" t="s">
        <v>3173</v>
      </c>
      <c r="B1021" t="s">
        <v>3201</v>
      </c>
      <c r="C1021" t="s">
        <v>3202</v>
      </c>
      <c r="D1021" t="s">
        <v>3034</v>
      </c>
      <c r="E1021" t="s">
        <v>200</v>
      </c>
      <c r="F1021" t="s">
        <v>23</v>
      </c>
      <c r="G1021" s="2">
        <v>12.5</v>
      </c>
      <c r="H1021" s="1">
        <v>12</v>
      </c>
      <c r="I1021" t="s">
        <v>201</v>
      </c>
      <c r="K1021" t="s">
        <v>2828</v>
      </c>
      <c r="L1021" s="1">
        <v>1</v>
      </c>
      <c r="M1021" s="3">
        <v>9</v>
      </c>
      <c r="N1021" s="3">
        <v>0.45</v>
      </c>
      <c r="O1021" s="3">
        <v>0</v>
      </c>
      <c r="P1021" s="3">
        <v>0.2</v>
      </c>
      <c r="Q1021" s="3">
        <v>9.65</v>
      </c>
      <c r="R1021" s="3">
        <v>7.95</v>
      </c>
      <c r="S1021" s="3">
        <f>VLOOKUP(C1021,[1]page!$C$2:$M$3071,11,0)</f>
        <v>9</v>
      </c>
      <c r="T1021" s="6">
        <f t="shared" si="16"/>
        <v>0</v>
      </c>
    </row>
    <row r="1022" spans="1:20" x14ac:dyDescent="0.2">
      <c r="A1022" t="s">
        <v>3173</v>
      </c>
      <c r="B1022" t="s">
        <v>3203</v>
      </c>
      <c r="C1022" t="s">
        <v>3204</v>
      </c>
      <c r="D1022" t="s">
        <v>3205</v>
      </c>
      <c r="E1022" t="s">
        <v>2699</v>
      </c>
      <c r="F1022" t="s">
        <v>23</v>
      </c>
      <c r="G1022" s="2">
        <v>12.5</v>
      </c>
      <c r="H1022" s="1">
        <v>12</v>
      </c>
      <c r="I1022" t="s">
        <v>2700</v>
      </c>
      <c r="K1022" t="s">
        <v>2828</v>
      </c>
      <c r="L1022" s="1">
        <v>1</v>
      </c>
      <c r="M1022" s="3">
        <v>9</v>
      </c>
      <c r="N1022" s="3">
        <v>0.45</v>
      </c>
      <c r="O1022" s="3">
        <v>0</v>
      </c>
      <c r="P1022" s="3">
        <v>0.2</v>
      </c>
      <c r="Q1022" s="3">
        <v>9.65</v>
      </c>
      <c r="R1022" s="3">
        <v>7.95</v>
      </c>
      <c r="S1022" s="3">
        <f>VLOOKUP(C1022,[1]page!$C$2:$M$3071,11,0)</f>
        <v>9</v>
      </c>
      <c r="T1022" s="6">
        <f t="shared" si="16"/>
        <v>0</v>
      </c>
    </row>
    <row r="1023" spans="1:20" x14ac:dyDescent="0.2">
      <c r="A1023" t="s">
        <v>3173</v>
      </c>
      <c r="B1023" t="s">
        <v>3206</v>
      </c>
      <c r="C1023" t="s">
        <v>3207</v>
      </c>
      <c r="D1023" t="s">
        <v>3205</v>
      </c>
      <c r="E1023" t="s">
        <v>2699</v>
      </c>
      <c r="F1023" t="s">
        <v>2737</v>
      </c>
      <c r="G1023" s="2">
        <v>12.5</v>
      </c>
      <c r="H1023" s="1">
        <v>6</v>
      </c>
      <c r="I1023" t="s">
        <v>2700</v>
      </c>
      <c r="K1023" t="s">
        <v>2828</v>
      </c>
      <c r="L1023" s="1">
        <v>1</v>
      </c>
      <c r="M1023" s="3">
        <v>14.61</v>
      </c>
      <c r="N1023" s="3">
        <v>0.73</v>
      </c>
      <c r="O1023" s="3">
        <v>0</v>
      </c>
      <c r="P1023" s="3">
        <v>0.4</v>
      </c>
      <c r="Q1023" s="3">
        <v>15.74</v>
      </c>
      <c r="R1023" s="3">
        <v>14.45</v>
      </c>
      <c r="S1023" s="3">
        <f>VLOOKUP(C1023,[1]page!$C$2:$M$3071,11,0)</f>
        <v>14.61</v>
      </c>
      <c r="T1023" s="6">
        <f t="shared" si="16"/>
        <v>0</v>
      </c>
    </row>
    <row r="1024" spans="1:20" x14ac:dyDescent="0.2">
      <c r="A1024" t="s">
        <v>3173</v>
      </c>
      <c r="B1024" t="s">
        <v>3208</v>
      </c>
      <c r="C1024" t="s">
        <v>3209</v>
      </c>
      <c r="D1024" t="s">
        <v>3210</v>
      </c>
      <c r="E1024" t="s">
        <v>2699</v>
      </c>
      <c r="F1024" t="s">
        <v>23</v>
      </c>
      <c r="G1024" s="1">
        <v>12</v>
      </c>
      <c r="H1024" s="1">
        <v>12</v>
      </c>
      <c r="I1024" t="s">
        <v>2700</v>
      </c>
      <c r="K1024" t="s">
        <v>2828</v>
      </c>
      <c r="L1024" s="1">
        <v>1</v>
      </c>
      <c r="M1024" s="3">
        <v>9</v>
      </c>
      <c r="N1024" s="3">
        <v>0.45</v>
      </c>
      <c r="O1024" s="3">
        <v>0</v>
      </c>
      <c r="P1024" s="3">
        <v>0.2</v>
      </c>
      <c r="Q1024" s="3">
        <v>9.65</v>
      </c>
      <c r="R1024" s="3">
        <v>7.95</v>
      </c>
      <c r="S1024" s="3">
        <f>VLOOKUP(C1024,[1]page!$C$2:$M$3071,11,0)</f>
        <v>9</v>
      </c>
      <c r="T1024" s="6">
        <f t="shared" si="16"/>
        <v>0</v>
      </c>
    </row>
    <row r="1025" spans="1:20" x14ac:dyDescent="0.2">
      <c r="A1025" t="s">
        <v>3173</v>
      </c>
      <c r="B1025" t="s">
        <v>3211</v>
      </c>
      <c r="C1025" t="s">
        <v>3212</v>
      </c>
      <c r="D1025" t="s">
        <v>3213</v>
      </c>
      <c r="E1025" t="s">
        <v>2699</v>
      </c>
      <c r="F1025" t="s">
        <v>23</v>
      </c>
      <c r="G1025" s="2">
        <v>12.5</v>
      </c>
      <c r="H1025" s="1">
        <v>12</v>
      </c>
      <c r="I1025" t="s">
        <v>2700</v>
      </c>
      <c r="K1025" t="s">
        <v>2828</v>
      </c>
      <c r="L1025" s="1">
        <v>1</v>
      </c>
      <c r="M1025" s="3">
        <v>9</v>
      </c>
      <c r="N1025" s="3">
        <v>0.45</v>
      </c>
      <c r="O1025" s="3">
        <v>0</v>
      </c>
      <c r="P1025" s="3">
        <v>0.2</v>
      </c>
      <c r="Q1025" s="3">
        <v>9.65</v>
      </c>
      <c r="R1025" s="3">
        <v>7.95</v>
      </c>
      <c r="S1025" s="3">
        <f>VLOOKUP(C1025,[1]page!$C$2:$M$3071,11,0)</f>
        <v>9</v>
      </c>
      <c r="T1025" s="6">
        <f t="shared" si="16"/>
        <v>0</v>
      </c>
    </row>
    <row r="1026" spans="1:20" x14ac:dyDescent="0.2">
      <c r="A1026" t="s">
        <v>3173</v>
      </c>
      <c r="B1026" t="s">
        <v>3214</v>
      </c>
      <c r="C1026" t="s">
        <v>3215</v>
      </c>
      <c r="D1026" t="s">
        <v>3213</v>
      </c>
      <c r="E1026" t="s">
        <v>2699</v>
      </c>
      <c r="F1026" t="s">
        <v>2737</v>
      </c>
      <c r="G1026" s="2">
        <v>12.5</v>
      </c>
      <c r="H1026" s="1">
        <v>6</v>
      </c>
      <c r="I1026" t="s">
        <v>2700</v>
      </c>
      <c r="K1026" t="s">
        <v>2828</v>
      </c>
      <c r="L1026" s="1">
        <v>1</v>
      </c>
      <c r="M1026" s="3">
        <v>14.61</v>
      </c>
      <c r="N1026" s="3">
        <v>0.73</v>
      </c>
      <c r="O1026" s="3">
        <v>0</v>
      </c>
      <c r="P1026" s="3">
        <v>0.4</v>
      </c>
      <c r="Q1026" s="3">
        <v>15.74</v>
      </c>
      <c r="R1026" s="3">
        <v>14.45</v>
      </c>
      <c r="S1026" s="3">
        <f>VLOOKUP(C1026,[1]page!$C$2:$M$3071,11,0)</f>
        <v>14.61</v>
      </c>
      <c r="T1026" s="6">
        <f t="shared" si="16"/>
        <v>0</v>
      </c>
    </row>
    <row r="1027" spans="1:20" x14ac:dyDescent="0.2">
      <c r="A1027" t="s">
        <v>3173</v>
      </c>
      <c r="B1027" t="s">
        <v>3216</v>
      </c>
      <c r="C1027" t="s">
        <v>3217</v>
      </c>
      <c r="D1027" t="s">
        <v>3218</v>
      </c>
      <c r="E1027" t="s">
        <v>2699</v>
      </c>
      <c r="F1027" t="s">
        <v>2835</v>
      </c>
      <c r="G1027" s="2">
        <v>12.5</v>
      </c>
      <c r="H1027" s="1">
        <v>4</v>
      </c>
      <c r="I1027" t="s">
        <v>2700</v>
      </c>
      <c r="K1027" t="s">
        <v>2828</v>
      </c>
      <c r="L1027" s="1">
        <v>1</v>
      </c>
      <c r="M1027" s="3">
        <v>34.47</v>
      </c>
      <c r="N1027" s="3">
        <v>1.72</v>
      </c>
      <c r="O1027" s="3">
        <v>0</v>
      </c>
      <c r="P1027" s="3">
        <v>0</v>
      </c>
      <c r="Q1027" s="3">
        <v>36.19</v>
      </c>
      <c r="R1027" s="3">
        <v>33.9</v>
      </c>
      <c r="S1027" s="3">
        <f>VLOOKUP(C1027,[1]page!$C$2:$M$3071,11,0)</f>
        <v>34.47</v>
      </c>
      <c r="T1027" s="6">
        <f t="shared" si="16"/>
        <v>0</v>
      </c>
    </row>
    <row r="1028" spans="1:20" x14ac:dyDescent="0.2">
      <c r="A1028" t="s">
        <v>3173</v>
      </c>
      <c r="B1028" t="s">
        <v>3219</v>
      </c>
      <c r="C1028" t="s">
        <v>3220</v>
      </c>
      <c r="D1028" t="s">
        <v>3221</v>
      </c>
      <c r="E1028" t="s">
        <v>2699</v>
      </c>
      <c r="F1028" t="s">
        <v>2835</v>
      </c>
      <c r="G1028" s="1">
        <v>12</v>
      </c>
      <c r="H1028" s="1">
        <v>4</v>
      </c>
      <c r="I1028" t="s">
        <v>2700</v>
      </c>
      <c r="K1028" t="s">
        <v>2828</v>
      </c>
      <c r="L1028" s="1">
        <v>1</v>
      </c>
      <c r="M1028" s="3">
        <v>34.47</v>
      </c>
      <c r="N1028" s="3">
        <v>1.72</v>
      </c>
      <c r="O1028" s="3">
        <v>0</v>
      </c>
      <c r="P1028" s="3">
        <v>0</v>
      </c>
      <c r="Q1028" s="3">
        <v>36.19</v>
      </c>
      <c r="R1028" s="3">
        <v>33.9</v>
      </c>
      <c r="S1028" s="3">
        <f>VLOOKUP(C1028,[1]page!$C$2:$M$3071,11,0)</f>
        <v>34.47</v>
      </c>
      <c r="T1028" s="6">
        <f t="shared" si="16"/>
        <v>0</v>
      </c>
    </row>
    <row r="1029" spans="1:20" x14ac:dyDescent="0.2">
      <c r="A1029" t="s">
        <v>3173</v>
      </c>
      <c r="B1029" t="s">
        <v>3222</v>
      </c>
      <c r="C1029" t="s">
        <v>3223</v>
      </c>
      <c r="D1029" t="s">
        <v>3224</v>
      </c>
      <c r="E1029" t="s">
        <v>2699</v>
      </c>
      <c r="F1029" t="s">
        <v>2835</v>
      </c>
      <c r="G1029" s="2">
        <v>12.5</v>
      </c>
      <c r="H1029" s="1">
        <v>4</v>
      </c>
      <c r="I1029" t="s">
        <v>2700</v>
      </c>
      <c r="K1029" t="s">
        <v>2828</v>
      </c>
      <c r="L1029" s="1">
        <v>1</v>
      </c>
      <c r="M1029" s="3">
        <v>34.47</v>
      </c>
      <c r="N1029" s="3">
        <v>1.72</v>
      </c>
      <c r="O1029" s="3">
        <v>0</v>
      </c>
      <c r="P1029" s="3">
        <v>0</v>
      </c>
      <c r="Q1029" s="3">
        <v>36.19</v>
      </c>
      <c r="R1029" s="3">
        <v>33.9</v>
      </c>
      <c r="S1029" s="3">
        <f>VLOOKUP(C1029,[1]page!$C$2:$M$3071,11,0)</f>
        <v>34.47</v>
      </c>
      <c r="T1029" s="6">
        <f t="shared" si="16"/>
        <v>0</v>
      </c>
    </row>
    <row r="1030" spans="1:20" x14ac:dyDescent="0.2">
      <c r="A1030" t="s">
        <v>3173</v>
      </c>
      <c r="B1030" t="s">
        <v>3225</v>
      </c>
      <c r="C1030" t="s">
        <v>3226</v>
      </c>
      <c r="D1030" t="s">
        <v>3227</v>
      </c>
      <c r="E1030" t="s">
        <v>2699</v>
      </c>
      <c r="F1030" t="s">
        <v>2835</v>
      </c>
      <c r="G1030" s="1">
        <v>11</v>
      </c>
      <c r="H1030" s="1">
        <v>4</v>
      </c>
      <c r="I1030" t="s">
        <v>3228</v>
      </c>
      <c r="K1030" t="s">
        <v>2687</v>
      </c>
      <c r="L1030" s="1">
        <v>1</v>
      </c>
      <c r="M1030" s="3">
        <v>29.18</v>
      </c>
      <c r="N1030" s="3">
        <v>1.46</v>
      </c>
      <c r="O1030" s="3">
        <v>0</v>
      </c>
      <c r="P1030" s="3">
        <v>0</v>
      </c>
      <c r="Q1030" s="3">
        <v>30.64</v>
      </c>
      <c r="R1030" s="3">
        <v>33.9</v>
      </c>
      <c r="S1030" s="3">
        <f>VLOOKUP(C1030,[1]page!$C$2:$M$3071,11,0)</f>
        <v>29.18</v>
      </c>
      <c r="T1030" s="6">
        <f t="shared" si="16"/>
        <v>0</v>
      </c>
    </row>
    <row r="1031" spans="1:20" x14ac:dyDescent="0.2">
      <c r="A1031" t="s">
        <v>3173</v>
      </c>
      <c r="B1031" t="s">
        <v>3229</v>
      </c>
      <c r="C1031" t="s">
        <v>3230</v>
      </c>
      <c r="D1031" t="s">
        <v>3231</v>
      </c>
      <c r="E1031" t="s">
        <v>3048</v>
      </c>
      <c r="F1031" t="s">
        <v>2835</v>
      </c>
      <c r="G1031" s="2">
        <v>9.5</v>
      </c>
      <c r="H1031" s="1">
        <v>4</v>
      </c>
      <c r="I1031" t="s">
        <v>57</v>
      </c>
      <c r="K1031" t="s">
        <v>2828</v>
      </c>
      <c r="L1031" s="1">
        <v>1</v>
      </c>
      <c r="M1031" s="3">
        <v>32.99</v>
      </c>
      <c r="N1031" s="3">
        <v>1.65</v>
      </c>
      <c r="O1031" s="3">
        <v>0</v>
      </c>
      <c r="P1031" s="3">
        <v>0</v>
      </c>
      <c r="Q1031" s="3">
        <v>34.64</v>
      </c>
      <c r="R1031" s="3">
        <v>33.9</v>
      </c>
      <c r="S1031" s="3">
        <f>VLOOKUP(C1031,[1]page!$C$2:$M$3071,11,0)</f>
        <v>32.99</v>
      </c>
      <c r="T1031" s="6">
        <f t="shared" si="16"/>
        <v>0</v>
      </c>
    </row>
    <row r="1032" spans="1:20" x14ac:dyDescent="0.2">
      <c r="A1032" t="s">
        <v>3173</v>
      </c>
      <c r="B1032" t="s">
        <v>3232</v>
      </c>
      <c r="C1032" t="s">
        <v>3233</v>
      </c>
      <c r="D1032" t="s">
        <v>3234</v>
      </c>
      <c r="E1032" t="s">
        <v>2699</v>
      </c>
      <c r="F1032" t="s">
        <v>23</v>
      </c>
      <c r="G1032" s="2">
        <v>12.5</v>
      </c>
      <c r="H1032" s="1">
        <v>12</v>
      </c>
      <c r="I1032" t="s">
        <v>2700</v>
      </c>
      <c r="K1032" t="s">
        <v>2687</v>
      </c>
      <c r="L1032" s="1">
        <v>1</v>
      </c>
      <c r="M1032" s="3">
        <v>8.4700000000000006</v>
      </c>
      <c r="N1032" s="3">
        <v>0.42</v>
      </c>
      <c r="O1032" s="3">
        <v>0</v>
      </c>
      <c r="P1032" s="3">
        <v>0.2</v>
      </c>
      <c r="Q1032" s="3">
        <v>9.09</v>
      </c>
      <c r="R1032" s="3">
        <v>7.95</v>
      </c>
      <c r="S1032" s="3">
        <f>VLOOKUP(C1032,[1]page!$C$2:$M$3071,11,0)</f>
        <v>8.4700000000000006</v>
      </c>
      <c r="T1032" s="6">
        <f t="shared" si="16"/>
        <v>0</v>
      </c>
    </row>
    <row r="1033" spans="1:20" x14ac:dyDescent="0.2">
      <c r="A1033" t="s">
        <v>3173</v>
      </c>
      <c r="B1033" t="s">
        <v>3235</v>
      </c>
      <c r="C1033" t="s">
        <v>3236</v>
      </c>
      <c r="D1033" t="s">
        <v>2967</v>
      </c>
      <c r="E1033" t="s">
        <v>2699</v>
      </c>
      <c r="F1033" t="s">
        <v>23</v>
      </c>
      <c r="G1033" s="1">
        <v>12</v>
      </c>
      <c r="H1033" s="1">
        <v>12</v>
      </c>
      <c r="I1033" t="s">
        <v>2700</v>
      </c>
      <c r="K1033" t="s">
        <v>2828</v>
      </c>
      <c r="L1033" s="1">
        <v>1</v>
      </c>
      <c r="M1033" s="3">
        <v>8.4700000000000006</v>
      </c>
      <c r="N1033" s="3">
        <v>0.42</v>
      </c>
      <c r="O1033" s="3">
        <v>0</v>
      </c>
      <c r="P1033" s="3">
        <v>0.2</v>
      </c>
      <c r="Q1033" s="3">
        <v>9.09</v>
      </c>
      <c r="R1033" s="3">
        <v>7.95</v>
      </c>
      <c r="S1033" s="3">
        <f>VLOOKUP(C1033,[1]page!$C$2:$M$3071,11,0)</f>
        <v>8.4700000000000006</v>
      </c>
      <c r="T1033" s="6">
        <f t="shared" si="16"/>
        <v>0</v>
      </c>
    </row>
    <row r="1034" spans="1:20" x14ac:dyDescent="0.2">
      <c r="A1034" t="s">
        <v>3173</v>
      </c>
      <c r="B1034" t="s">
        <v>3237</v>
      </c>
      <c r="C1034" t="s">
        <v>3238</v>
      </c>
      <c r="D1034" t="s">
        <v>3239</v>
      </c>
      <c r="E1034" t="s">
        <v>2699</v>
      </c>
      <c r="F1034" t="s">
        <v>23</v>
      </c>
      <c r="G1034" s="1">
        <v>12</v>
      </c>
      <c r="H1034" s="1">
        <v>12</v>
      </c>
      <c r="I1034" t="s">
        <v>2700</v>
      </c>
      <c r="K1034" t="s">
        <v>2687</v>
      </c>
      <c r="L1034" s="1">
        <v>1</v>
      </c>
      <c r="M1034" s="3">
        <v>8.4700000000000006</v>
      </c>
      <c r="N1034" s="3">
        <v>0.42</v>
      </c>
      <c r="O1034" s="3">
        <v>0</v>
      </c>
      <c r="P1034" s="3">
        <v>0.2</v>
      </c>
      <c r="Q1034" s="3">
        <v>9.09</v>
      </c>
      <c r="R1034" s="3">
        <v>7.95</v>
      </c>
      <c r="S1034" s="3">
        <f>VLOOKUP(C1034,[1]page!$C$2:$M$3071,11,0)</f>
        <v>8.4700000000000006</v>
      </c>
      <c r="T1034" s="6">
        <f t="shared" si="16"/>
        <v>0</v>
      </c>
    </row>
    <row r="1035" spans="1:20" x14ac:dyDescent="0.2">
      <c r="A1035" t="s">
        <v>3173</v>
      </c>
      <c r="B1035" t="s">
        <v>3240</v>
      </c>
      <c r="C1035" t="s">
        <v>3241</v>
      </c>
      <c r="D1035" t="s">
        <v>3242</v>
      </c>
      <c r="E1035" t="s">
        <v>200</v>
      </c>
      <c r="F1035" t="s">
        <v>23</v>
      </c>
      <c r="G1035" s="2">
        <v>12.5</v>
      </c>
      <c r="H1035" s="1">
        <v>12</v>
      </c>
      <c r="I1035" t="s">
        <v>201</v>
      </c>
      <c r="K1035" t="s">
        <v>2828</v>
      </c>
      <c r="L1035" s="1">
        <v>1</v>
      </c>
      <c r="M1035" s="3">
        <v>8.6</v>
      </c>
      <c r="N1035" s="3">
        <v>0.43</v>
      </c>
      <c r="O1035" s="3">
        <v>0</v>
      </c>
      <c r="P1035" s="3">
        <v>0.2</v>
      </c>
      <c r="Q1035" s="3">
        <v>9.23</v>
      </c>
      <c r="R1035" s="3">
        <v>7.95</v>
      </c>
      <c r="S1035" s="3">
        <f>VLOOKUP(C1035,[1]page!$C$2:$M$3071,11,0)</f>
        <v>8.6</v>
      </c>
      <c r="T1035" s="6">
        <f t="shared" si="16"/>
        <v>0</v>
      </c>
    </row>
    <row r="1036" spans="1:20" x14ac:dyDescent="0.2">
      <c r="A1036" t="s">
        <v>3173</v>
      </c>
      <c r="B1036" t="s">
        <v>3243</v>
      </c>
      <c r="C1036" t="s">
        <v>3244</v>
      </c>
      <c r="D1036" t="s">
        <v>3242</v>
      </c>
      <c r="E1036" t="s">
        <v>200</v>
      </c>
      <c r="F1036" t="s">
        <v>2737</v>
      </c>
      <c r="G1036" s="2">
        <v>12.5</v>
      </c>
      <c r="H1036" s="1">
        <v>6</v>
      </c>
      <c r="I1036" t="s">
        <v>201</v>
      </c>
      <c r="K1036" t="s">
        <v>2828</v>
      </c>
      <c r="L1036" s="1">
        <v>1</v>
      </c>
      <c r="M1036" s="3">
        <v>14.35</v>
      </c>
      <c r="N1036" s="3">
        <v>0.72</v>
      </c>
      <c r="O1036" s="3">
        <v>0</v>
      </c>
      <c r="P1036" s="3">
        <v>0.4</v>
      </c>
      <c r="Q1036" s="3">
        <v>15.47</v>
      </c>
      <c r="R1036" s="3">
        <v>14.45</v>
      </c>
      <c r="S1036" s="3">
        <f>VLOOKUP(C1036,[1]page!$C$2:$M$3071,11,0)</f>
        <v>14.35</v>
      </c>
      <c r="T1036" s="6">
        <f t="shared" si="16"/>
        <v>0</v>
      </c>
    </row>
    <row r="1037" spans="1:20" x14ac:dyDescent="0.2">
      <c r="A1037" t="s">
        <v>3173</v>
      </c>
      <c r="B1037" t="s">
        <v>3245</v>
      </c>
      <c r="C1037" t="s">
        <v>3246</v>
      </c>
      <c r="D1037" t="s">
        <v>3242</v>
      </c>
      <c r="E1037" t="s">
        <v>200</v>
      </c>
      <c r="F1037" t="s">
        <v>2835</v>
      </c>
      <c r="G1037" s="2">
        <v>12.5</v>
      </c>
      <c r="H1037" s="1">
        <v>4</v>
      </c>
      <c r="I1037" t="s">
        <v>201</v>
      </c>
      <c r="K1037" t="s">
        <v>2828</v>
      </c>
      <c r="L1037" s="1">
        <v>1</v>
      </c>
      <c r="M1037" s="3">
        <v>33.57</v>
      </c>
      <c r="N1037" s="3">
        <v>1.68</v>
      </c>
      <c r="O1037" s="3">
        <v>0</v>
      </c>
      <c r="P1037" s="3">
        <v>0</v>
      </c>
      <c r="Q1037" s="3">
        <v>35.25</v>
      </c>
      <c r="R1037" s="3">
        <v>33.9</v>
      </c>
      <c r="S1037" s="3">
        <f>VLOOKUP(C1037,[1]page!$C$2:$M$3071,11,0)</f>
        <v>33.57</v>
      </c>
      <c r="T1037" s="6">
        <f t="shared" si="16"/>
        <v>0</v>
      </c>
    </row>
    <row r="1038" spans="1:20" x14ac:dyDescent="0.2">
      <c r="A1038" t="s">
        <v>3173</v>
      </c>
      <c r="B1038" t="s">
        <v>3247</v>
      </c>
      <c r="C1038" t="s">
        <v>3248</v>
      </c>
      <c r="D1038" t="s">
        <v>3249</v>
      </c>
      <c r="E1038" t="s">
        <v>2839</v>
      </c>
      <c r="F1038" t="s">
        <v>2835</v>
      </c>
      <c r="G1038" s="2">
        <v>11.5</v>
      </c>
      <c r="H1038" s="1">
        <v>4</v>
      </c>
      <c r="I1038" t="s">
        <v>201</v>
      </c>
      <c r="K1038" t="s">
        <v>2687</v>
      </c>
      <c r="L1038" s="1">
        <v>1</v>
      </c>
      <c r="M1038" s="3">
        <v>33.49</v>
      </c>
      <c r="N1038" s="3">
        <v>1.67</v>
      </c>
      <c r="O1038" s="3">
        <v>0</v>
      </c>
      <c r="P1038" s="3">
        <v>0</v>
      </c>
      <c r="Q1038" s="3">
        <v>35.159999999999997</v>
      </c>
      <c r="R1038" s="3">
        <v>33.9</v>
      </c>
      <c r="S1038" s="3">
        <f>VLOOKUP(C1038,[1]page!$C$2:$M$3071,11,0)</f>
        <v>33.07</v>
      </c>
      <c r="T1038" s="6">
        <f t="shared" si="16"/>
        <v>0.42000000000000171</v>
      </c>
    </row>
    <row r="1039" spans="1:20" x14ac:dyDescent="0.2">
      <c r="A1039" t="s">
        <v>3173</v>
      </c>
      <c r="B1039" t="s">
        <v>3250</v>
      </c>
      <c r="C1039" t="s">
        <v>3251</v>
      </c>
      <c r="D1039" t="s">
        <v>2970</v>
      </c>
      <c r="E1039" t="s">
        <v>200</v>
      </c>
      <c r="F1039" t="s">
        <v>23</v>
      </c>
      <c r="G1039" s="1">
        <v>12</v>
      </c>
      <c r="H1039" s="1">
        <v>12</v>
      </c>
      <c r="I1039" t="s">
        <v>201</v>
      </c>
      <c r="K1039" t="s">
        <v>2828</v>
      </c>
      <c r="L1039" s="1">
        <v>1</v>
      </c>
      <c r="M1039" s="3">
        <v>8.6</v>
      </c>
      <c r="N1039" s="3">
        <v>0.43</v>
      </c>
      <c r="O1039" s="3">
        <v>0</v>
      </c>
      <c r="P1039" s="3">
        <v>0.2</v>
      </c>
      <c r="Q1039" s="3">
        <v>9.23</v>
      </c>
      <c r="R1039" s="3">
        <v>7.95</v>
      </c>
      <c r="S1039" s="3">
        <f>VLOOKUP(C1039,[1]page!$C$2:$M$3071,11,0)</f>
        <v>8.6</v>
      </c>
      <c r="T1039" s="6">
        <f t="shared" si="16"/>
        <v>0</v>
      </c>
    </row>
    <row r="1040" spans="1:20" x14ac:dyDescent="0.2">
      <c r="A1040" t="s">
        <v>3173</v>
      </c>
      <c r="B1040" t="s">
        <v>3252</v>
      </c>
      <c r="C1040" t="s">
        <v>3253</v>
      </c>
      <c r="D1040" t="s">
        <v>2970</v>
      </c>
      <c r="E1040" t="s">
        <v>200</v>
      </c>
      <c r="F1040" t="s">
        <v>2737</v>
      </c>
      <c r="G1040" s="1">
        <v>12</v>
      </c>
      <c r="H1040" s="1">
        <v>6</v>
      </c>
      <c r="I1040" t="s">
        <v>201</v>
      </c>
      <c r="K1040" t="s">
        <v>2828</v>
      </c>
      <c r="L1040" s="1">
        <v>1</v>
      </c>
      <c r="M1040" s="3">
        <v>14.35</v>
      </c>
      <c r="N1040" s="3">
        <v>0.72</v>
      </c>
      <c r="O1040" s="3">
        <v>0</v>
      </c>
      <c r="P1040" s="3">
        <v>0.4</v>
      </c>
      <c r="Q1040" s="3">
        <v>15.47</v>
      </c>
      <c r="R1040" s="3">
        <v>14.45</v>
      </c>
      <c r="S1040" s="3">
        <f>VLOOKUP(C1040,[1]page!$C$2:$M$3071,11,0)</f>
        <v>14.35</v>
      </c>
      <c r="T1040" s="6">
        <f t="shared" si="16"/>
        <v>0</v>
      </c>
    </row>
    <row r="1041" spans="1:20" x14ac:dyDescent="0.2">
      <c r="A1041" t="s">
        <v>3173</v>
      </c>
      <c r="B1041" t="s">
        <v>3254</v>
      </c>
      <c r="C1041" t="s">
        <v>3255</v>
      </c>
      <c r="D1041" t="s">
        <v>2970</v>
      </c>
      <c r="E1041" t="s">
        <v>200</v>
      </c>
      <c r="F1041" t="s">
        <v>2835</v>
      </c>
      <c r="G1041" s="1">
        <v>12</v>
      </c>
      <c r="H1041" s="1">
        <v>4</v>
      </c>
      <c r="I1041" t="s">
        <v>201</v>
      </c>
      <c r="K1041" t="s">
        <v>2828</v>
      </c>
      <c r="L1041" s="1">
        <v>1</v>
      </c>
      <c r="M1041" s="3">
        <v>33.57</v>
      </c>
      <c r="N1041" s="3">
        <v>1.68</v>
      </c>
      <c r="O1041" s="3">
        <v>0</v>
      </c>
      <c r="P1041" s="3">
        <v>0</v>
      </c>
      <c r="Q1041" s="3">
        <v>35.25</v>
      </c>
      <c r="R1041" s="3">
        <v>33.9</v>
      </c>
      <c r="S1041" s="3">
        <f>VLOOKUP(C1041,[1]page!$C$2:$M$3071,11,0)</f>
        <v>33.57</v>
      </c>
      <c r="T1041" s="6">
        <f t="shared" si="16"/>
        <v>0</v>
      </c>
    </row>
    <row r="1042" spans="1:20" x14ac:dyDescent="0.2">
      <c r="A1042" t="s">
        <v>3173</v>
      </c>
      <c r="B1042" t="s">
        <v>3256</v>
      </c>
      <c r="C1042" t="s">
        <v>3257</v>
      </c>
      <c r="D1042" t="s">
        <v>2973</v>
      </c>
      <c r="E1042" t="s">
        <v>200</v>
      </c>
      <c r="F1042" t="s">
        <v>2835</v>
      </c>
      <c r="G1042" s="1">
        <v>12</v>
      </c>
      <c r="H1042" s="1">
        <v>4</v>
      </c>
      <c r="I1042" t="s">
        <v>201</v>
      </c>
      <c r="K1042" t="s">
        <v>2828</v>
      </c>
      <c r="L1042" s="1">
        <v>1</v>
      </c>
      <c r="M1042" s="3">
        <v>33.57</v>
      </c>
      <c r="N1042" s="3">
        <v>1.68</v>
      </c>
      <c r="O1042" s="3">
        <v>0</v>
      </c>
      <c r="P1042" s="3">
        <v>0</v>
      </c>
      <c r="Q1042" s="3">
        <v>35.25</v>
      </c>
      <c r="R1042" s="3">
        <v>33.9</v>
      </c>
      <c r="S1042" s="3">
        <f>VLOOKUP(C1042,[1]page!$C$2:$M$3071,11,0)</f>
        <v>33.57</v>
      </c>
      <c r="T1042" s="6">
        <f t="shared" si="16"/>
        <v>0</v>
      </c>
    </row>
    <row r="1043" spans="1:20" x14ac:dyDescent="0.2">
      <c r="A1043" t="s">
        <v>3173</v>
      </c>
      <c r="B1043" t="s">
        <v>3258</v>
      </c>
      <c r="C1043" t="s">
        <v>3259</v>
      </c>
      <c r="D1043" t="s">
        <v>3260</v>
      </c>
      <c r="E1043" t="s">
        <v>2839</v>
      </c>
      <c r="F1043" t="s">
        <v>3099</v>
      </c>
      <c r="G1043" s="2">
        <v>11.5</v>
      </c>
      <c r="H1043" s="1">
        <v>1</v>
      </c>
      <c r="I1043" t="s">
        <v>201</v>
      </c>
      <c r="K1043" t="s">
        <v>2687</v>
      </c>
      <c r="L1043" s="1">
        <v>1</v>
      </c>
      <c r="M1043" s="3">
        <v>110.28</v>
      </c>
      <c r="N1043" s="3">
        <v>5.51</v>
      </c>
      <c r="O1043" s="3">
        <v>0</v>
      </c>
      <c r="P1043" s="3">
        <v>0</v>
      </c>
      <c r="Q1043" s="3">
        <v>115.79</v>
      </c>
      <c r="R1043" s="3">
        <v>118.7</v>
      </c>
      <c r="S1043" s="3">
        <f>VLOOKUP(C1043,[1]page!$C$2:$M$3071,11,0)</f>
        <v>110.28</v>
      </c>
      <c r="T1043" s="6">
        <f t="shared" si="16"/>
        <v>0</v>
      </c>
    </row>
    <row r="1044" spans="1:20" x14ac:dyDescent="0.2">
      <c r="A1044" t="s">
        <v>3173</v>
      </c>
      <c r="B1044" t="s">
        <v>3261</v>
      </c>
      <c r="C1044" t="s">
        <v>3262</v>
      </c>
      <c r="D1044" t="s">
        <v>3263</v>
      </c>
      <c r="E1044" t="s">
        <v>2918</v>
      </c>
      <c r="F1044" t="s">
        <v>23</v>
      </c>
      <c r="G1044" s="2">
        <v>12.5</v>
      </c>
      <c r="H1044" s="1">
        <v>12</v>
      </c>
      <c r="I1044" t="s">
        <v>2700</v>
      </c>
      <c r="K1044" t="s">
        <v>2828</v>
      </c>
      <c r="L1044" s="1">
        <v>1</v>
      </c>
      <c r="M1044" s="3">
        <v>8.6</v>
      </c>
      <c r="N1044" s="3">
        <v>0.43</v>
      </c>
      <c r="O1044" s="3">
        <v>0</v>
      </c>
      <c r="P1044" s="3">
        <v>0.2</v>
      </c>
      <c r="Q1044" s="3">
        <v>9.23</v>
      </c>
      <c r="R1044" s="3">
        <v>7.95</v>
      </c>
      <c r="S1044" s="3">
        <f>VLOOKUP(C1044,[1]page!$C$2:$M$3071,11,0)</f>
        <v>8.6</v>
      </c>
      <c r="T1044" s="6">
        <f t="shared" si="16"/>
        <v>0</v>
      </c>
    </row>
    <row r="1045" spans="1:20" x14ac:dyDescent="0.2">
      <c r="A1045" t="s">
        <v>3173</v>
      </c>
      <c r="B1045" t="s">
        <v>3264</v>
      </c>
      <c r="C1045" t="s">
        <v>3265</v>
      </c>
      <c r="D1045" t="s">
        <v>3263</v>
      </c>
      <c r="E1045" t="s">
        <v>2918</v>
      </c>
      <c r="F1045" t="s">
        <v>2835</v>
      </c>
      <c r="G1045" s="2">
        <v>12.5</v>
      </c>
      <c r="H1045" s="1">
        <v>4</v>
      </c>
      <c r="I1045" t="s">
        <v>2700</v>
      </c>
      <c r="K1045" t="s">
        <v>2828</v>
      </c>
      <c r="L1045" s="1">
        <v>1</v>
      </c>
      <c r="M1045" s="3">
        <v>33.57</v>
      </c>
      <c r="N1045" s="3">
        <v>1.68</v>
      </c>
      <c r="O1045" s="3">
        <v>0</v>
      </c>
      <c r="P1045" s="3">
        <v>0</v>
      </c>
      <c r="Q1045" s="3">
        <v>35.25</v>
      </c>
      <c r="R1045" s="3">
        <v>33.9</v>
      </c>
      <c r="S1045" s="3">
        <f>VLOOKUP(C1045,[1]page!$C$2:$M$3071,11,0)</f>
        <v>33.57</v>
      </c>
      <c r="T1045" s="6">
        <f t="shared" si="16"/>
        <v>0</v>
      </c>
    </row>
    <row r="1046" spans="1:20" x14ac:dyDescent="0.2">
      <c r="A1046" t="s">
        <v>3173</v>
      </c>
      <c r="B1046" t="s">
        <v>3266</v>
      </c>
      <c r="C1046" t="s">
        <v>3267</v>
      </c>
      <c r="D1046" t="s">
        <v>2976</v>
      </c>
      <c r="E1046" t="s">
        <v>2918</v>
      </c>
      <c r="F1046" t="s">
        <v>23</v>
      </c>
      <c r="G1046" s="1">
        <v>12</v>
      </c>
      <c r="H1046" s="1">
        <v>12</v>
      </c>
      <c r="I1046" t="s">
        <v>2700</v>
      </c>
      <c r="K1046" t="s">
        <v>2828</v>
      </c>
      <c r="L1046" s="1">
        <v>1</v>
      </c>
      <c r="M1046" s="3">
        <v>8.6</v>
      </c>
      <c r="N1046" s="3">
        <v>0.43</v>
      </c>
      <c r="O1046" s="3">
        <v>0</v>
      </c>
      <c r="P1046" s="3">
        <v>0.2</v>
      </c>
      <c r="Q1046" s="3">
        <v>9.23</v>
      </c>
      <c r="R1046" s="3">
        <v>7.95</v>
      </c>
      <c r="S1046" s="3">
        <f>VLOOKUP(C1046,[1]page!$C$2:$M$3071,11,0)</f>
        <v>8.6</v>
      </c>
      <c r="T1046" s="6">
        <f t="shared" si="16"/>
        <v>0</v>
      </c>
    </row>
    <row r="1047" spans="1:20" x14ac:dyDescent="0.2">
      <c r="A1047" t="s">
        <v>3173</v>
      </c>
      <c r="B1047" t="s">
        <v>3268</v>
      </c>
      <c r="C1047" t="s">
        <v>3269</v>
      </c>
      <c r="D1047" t="s">
        <v>3270</v>
      </c>
      <c r="E1047" t="s">
        <v>2918</v>
      </c>
      <c r="F1047" t="s">
        <v>23</v>
      </c>
      <c r="G1047" s="1">
        <v>12</v>
      </c>
      <c r="H1047" s="1">
        <v>12</v>
      </c>
      <c r="I1047" t="s">
        <v>2700</v>
      </c>
      <c r="K1047" t="s">
        <v>2828</v>
      </c>
      <c r="L1047" s="1">
        <v>1</v>
      </c>
      <c r="M1047" s="3">
        <v>8.6</v>
      </c>
      <c r="N1047" s="3">
        <v>0.43</v>
      </c>
      <c r="O1047" s="3">
        <v>0</v>
      </c>
      <c r="P1047" s="3">
        <v>0.2</v>
      </c>
      <c r="Q1047" s="3">
        <v>9.23</v>
      </c>
      <c r="R1047" s="3">
        <v>7.95</v>
      </c>
      <c r="S1047" s="3">
        <f>VLOOKUP(C1047,[1]page!$C$2:$M$3071,11,0)</f>
        <v>8.6</v>
      </c>
      <c r="T1047" s="6">
        <f t="shared" si="16"/>
        <v>0</v>
      </c>
    </row>
    <row r="1048" spans="1:20" x14ac:dyDescent="0.2">
      <c r="A1048" t="s">
        <v>3173</v>
      </c>
      <c r="B1048" t="s">
        <v>3271</v>
      </c>
      <c r="C1048" t="s">
        <v>3272</v>
      </c>
      <c r="D1048" t="s">
        <v>3273</v>
      </c>
      <c r="E1048" t="s">
        <v>2699</v>
      </c>
      <c r="F1048" t="s">
        <v>23</v>
      </c>
      <c r="G1048" s="2">
        <v>12.5</v>
      </c>
      <c r="H1048" s="1">
        <v>12</v>
      </c>
      <c r="I1048" t="s">
        <v>2700</v>
      </c>
      <c r="K1048" t="s">
        <v>2706</v>
      </c>
      <c r="L1048" s="1">
        <v>1</v>
      </c>
      <c r="M1048" s="3">
        <v>9.19</v>
      </c>
      <c r="N1048" s="3">
        <v>0.46</v>
      </c>
      <c r="O1048" s="3">
        <v>0</v>
      </c>
      <c r="P1048" s="3">
        <v>0.2</v>
      </c>
      <c r="Q1048" s="3">
        <v>9.85</v>
      </c>
      <c r="R1048" s="3">
        <v>7.95</v>
      </c>
      <c r="S1048" s="3">
        <f>VLOOKUP(C1048,[1]page!$C$2:$M$3071,11,0)</f>
        <v>9.19</v>
      </c>
      <c r="T1048" s="6">
        <f t="shared" si="16"/>
        <v>0</v>
      </c>
    </row>
    <row r="1049" spans="1:20" x14ac:dyDescent="0.2">
      <c r="A1049" t="s">
        <v>3274</v>
      </c>
      <c r="B1049" t="s">
        <v>3275</v>
      </c>
      <c r="C1049" t="s">
        <v>3276</v>
      </c>
      <c r="D1049" t="s">
        <v>3277</v>
      </c>
      <c r="E1049" t="s">
        <v>3278</v>
      </c>
      <c r="F1049" t="s">
        <v>23</v>
      </c>
      <c r="G1049" s="1">
        <v>13</v>
      </c>
      <c r="H1049" s="1">
        <v>12</v>
      </c>
      <c r="I1049" t="s">
        <v>3279</v>
      </c>
      <c r="K1049" t="s">
        <v>2706</v>
      </c>
      <c r="L1049" s="1">
        <v>1</v>
      </c>
      <c r="M1049" s="3">
        <v>19.68</v>
      </c>
      <c r="N1049" s="3">
        <v>0.98</v>
      </c>
      <c r="O1049" s="3">
        <v>0</v>
      </c>
      <c r="P1049" s="3">
        <v>0.2</v>
      </c>
      <c r="Q1049" s="3">
        <v>20.86</v>
      </c>
      <c r="R1049" s="3">
        <v>7.95</v>
      </c>
      <c r="S1049" s="3">
        <f>VLOOKUP(C1049,[1]page!$C$2:$M$3071,11,0)</f>
        <v>19.68</v>
      </c>
      <c r="T1049" s="6">
        <f t="shared" si="16"/>
        <v>0</v>
      </c>
    </row>
    <row r="1050" spans="1:20" x14ac:dyDescent="0.2">
      <c r="A1050" t="s">
        <v>3280</v>
      </c>
      <c r="B1050" t="s">
        <v>3281</v>
      </c>
      <c r="C1050" t="s">
        <v>3282</v>
      </c>
      <c r="D1050" t="s">
        <v>3283</v>
      </c>
      <c r="E1050" t="s">
        <v>2881</v>
      </c>
      <c r="F1050" t="s">
        <v>23</v>
      </c>
      <c r="G1050" s="2">
        <v>13.5</v>
      </c>
      <c r="H1050" s="1">
        <v>12</v>
      </c>
      <c r="I1050" t="s">
        <v>57</v>
      </c>
      <c r="K1050" t="s">
        <v>2706</v>
      </c>
      <c r="L1050" s="1">
        <v>1</v>
      </c>
      <c r="M1050" s="3">
        <v>14.49</v>
      </c>
      <c r="N1050" s="3">
        <v>0.72</v>
      </c>
      <c r="O1050" s="3">
        <v>0</v>
      </c>
      <c r="P1050" s="3">
        <v>0.2</v>
      </c>
      <c r="Q1050" s="3">
        <v>15.41</v>
      </c>
      <c r="R1050" s="3">
        <v>7.95</v>
      </c>
      <c r="S1050" s="3">
        <f>VLOOKUP(C1050,[1]page!$C$2:$M$3071,11,0)</f>
        <v>14.49</v>
      </c>
      <c r="T1050" s="6">
        <f t="shared" si="16"/>
        <v>0</v>
      </c>
    </row>
    <row r="1051" spans="1:20" x14ac:dyDescent="0.2">
      <c r="A1051" t="s">
        <v>3280</v>
      </c>
      <c r="B1051" t="s">
        <v>3284</v>
      </c>
      <c r="C1051" t="s">
        <v>3285</v>
      </c>
      <c r="D1051" t="s">
        <v>3286</v>
      </c>
      <c r="E1051" t="s">
        <v>3018</v>
      </c>
      <c r="F1051" t="s">
        <v>23</v>
      </c>
      <c r="G1051" s="2">
        <v>13.4</v>
      </c>
      <c r="H1051" s="1">
        <v>12</v>
      </c>
      <c r="I1051" t="s">
        <v>201</v>
      </c>
      <c r="J1051" s="1">
        <v>2011</v>
      </c>
      <c r="K1051" t="s">
        <v>2828</v>
      </c>
      <c r="L1051" s="1">
        <v>1</v>
      </c>
      <c r="M1051" s="3">
        <v>28.01</v>
      </c>
      <c r="N1051" s="3">
        <v>1.4</v>
      </c>
      <c r="O1051" s="3">
        <v>0</v>
      </c>
      <c r="P1051" s="3">
        <v>0.2</v>
      </c>
      <c r="Q1051" s="3">
        <v>29.61</v>
      </c>
      <c r="R1051" s="3">
        <v>7.95</v>
      </c>
      <c r="S1051" s="3">
        <f>VLOOKUP(C1051,[1]page!$C$2:$M$3071,11,0)</f>
        <v>28.01</v>
      </c>
      <c r="T1051" s="6">
        <f t="shared" si="16"/>
        <v>0</v>
      </c>
    </row>
    <row r="1052" spans="1:20" x14ac:dyDescent="0.2">
      <c r="A1052" t="s">
        <v>3280</v>
      </c>
      <c r="B1052" t="s">
        <v>3287</v>
      </c>
      <c r="C1052" t="s">
        <v>3288</v>
      </c>
      <c r="D1052" t="s">
        <v>3289</v>
      </c>
      <c r="E1052" t="s">
        <v>2699</v>
      </c>
      <c r="F1052" t="s">
        <v>23</v>
      </c>
      <c r="G1052" s="2">
        <v>13.7</v>
      </c>
      <c r="H1052" s="1">
        <v>12</v>
      </c>
      <c r="I1052" t="s">
        <v>2700</v>
      </c>
      <c r="J1052" s="1">
        <v>2005</v>
      </c>
      <c r="K1052" t="s">
        <v>2828</v>
      </c>
      <c r="L1052" s="1">
        <v>1</v>
      </c>
      <c r="M1052" s="3">
        <v>14.04</v>
      </c>
      <c r="N1052" s="3">
        <v>0.7</v>
      </c>
      <c r="O1052" s="3">
        <v>0</v>
      </c>
      <c r="P1052" s="3">
        <v>0.2</v>
      </c>
      <c r="Q1052" s="3">
        <v>14.94</v>
      </c>
      <c r="R1052" s="3">
        <v>7.95</v>
      </c>
      <c r="S1052" s="3">
        <f>VLOOKUP(C1052,[1]page!$C$2:$M$3071,11,0)</f>
        <v>14.04</v>
      </c>
      <c r="T1052" s="6">
        <f t="shared" si="16"/>
        <v>0</v>
      </c>
    </row>
    <row r="1053" spans="1:20" x14ac:dyDescent="0.2">
      <c r="A1053" t="s">
        <v>3280</v>
      </c>
      <c r="B1053" t="s">
        <v>3290</v>
      </c>
      <c r="C1053" t="s">
        <v>3291</v>
      </c>
      <c r="D1053" t="s">
        <v>3292</v>
      </c>
      <c r="E1053" t="s">
        <v>2699</v>
      </c>
      <c r="F1053" t="s">
        <v>23</v>
      </c>
      <c r="G1053" s="2">
        <v>12.5</v>
      </c>
      <c r="H1053" s="1">
        <v>12</v>
      </c>
      <c r="I1053" t="s">
        <v>2700</v>
      </c>
      <c r="K1053" t="s">
        <v>2828</v>
      </c>
      <c r="L1053" s="1">
        <v>1</v>
      </c>
      <c r="M1053" s="3">
        <v>14.04</v>
      </c>
      <c r="N1053" s="3">
        <v>0.7</v>
      </c>
      <c r="O1053" s="3">
        <v>0</v>
      </c>
      <c r="P1053" s="3">
        <v>0.2</v>
      </c>
      <c r="Q1053" s="3">
        <v>14.94</v>
      </c>
      <c r="R1053" s="3">
        <v>7.95</v>
      </c>
      <c r="S1053" s="3">
        <f>VLOOKUP(C1053,[1]page!$C$2:$M$3071,11,0)</f>
        <v>14.04</v>
      </c>
      <c r="T1053" s="6">
        <f t="shared" si="16"/>
        <v>0</v>
      </c>
    </row>
    <row r="1054" spans="1:20" x14ac:dyDescent="0.2">
      <c r="A1054" t="s">
        <v>3280</v>
      </c>
      <c r="B1054" t="s">
        <v>3293</v>
      </c>
      <c r="C1054" t="s">
        <v>3294</v>
      </c>
      <c r="D1054" t="s">
        <v>3295</v>
      </c>
      <c r="E1054" t="s">
        <v>3296</v>
      </c>
      <c r="F1054" t="s">
        <v>23</v>
      </c>
      <c r="G1054" s="2">
        <v>13.6</v>
      </c>
      <c r="H1054" s="1">
        <v>12</v>
      </c>
      <c r="I1054" t="s">
        <v>2759</v>
      </c>
      <c r="K1054" t="s">
        <v>2828</v>
      </c>
      <c r="L1054" s="1">
        <v>1</v>
      </c>
      <c r="M1054" s="3">
        <v>26.56</v>
      </c>
      <c r="N1054" s="3">
        <v>1.33</v>
      </c>
      <c r="O1054" s="3">
        <v>0</v>
      </c>
      <c r="P1054" s="3">
        <v>0.2</v>
      </c>
      <c r="Q1054" s="3">
        <v>28.09</v>
      </c>
      <c r="R1054" s="3">
        <v>7.95</v>
      </c>
      <c r="S1054" s="3">
        <f>VLOOKUP(C1054,[1]page!$C$2:$M$3071,11,0)</f>
        <v>26.56</v>
      </c>
      <c r="T1054" s="6">
        <f t="shared" si="16"/>
        <v>0</v>
      </c>
    </row>
    <row r="1055" spans="1:20" x14ac:dyDescent="0.2">
      <c r="A1055" t="s">
        <v>3280</v>
      </c>
      <c r="B1055" t="s">
        <v>3297</v>
      </c>
      <c r="C1055" t="s">
        <v>3298</v>
      </c>
      <c r="D1055" t="s">
        <v>3299</v>
      </c>
      <c r="E1055" t="s">
        <v>3300</v>
      </c>
      <c r="F1055" t="s">
        <v>23</v>
      </c>
      <c r="G1055" s="2">
        <v>13.8</v>
      </c>
      <c r="H1055" s="1">
        <v>12</v>
      </c>
      <c r="I1055" t="s">
        <v>3301</v>
      </c>
      <c r="K1055" t="s">
        <v>2828</v>
      </c>
      <c r="L1055" s="1">
        <v>1</v>
      </c>
      <c r="M1055" s="3">
        <v>26.61</v>
      </c>
      <c r="N1055" s="3">
        <v>1.33</v>
      </c>
      <c r="O1055" s="3">
        <v>0</v>
      </c>
      <c r="P1055" s="3">
        <v>0.2</v>
      </c>
      <c r="Q1055" s="3">
        <v>28.14</v>
      </c>
      <c r="R1055" s="3">
        <v>7.95</v>
      </c>
      <c r="S1055" s="3">
        <f>VLOOKUP(C1055,[1]page!$C$2:$M$3071,11,0)</f>
        <v>26.61</v>
      </c>
      <c r="T1055" s="6">
        <f t="shared" si="16"/>
        <v>0</v>
      </c>
    </row>
    <row r="1056" spans="1:20" x14ac:dyDescent="0.2">
      <c r="A1056" t="s">
        <v>3280</v>
      </c>
      <c r="B1056" t="s">
        <v>3302</v>
      </c>
      <c r="C1056" t="s">
        <v>3303</v>
      </c>
      <c r="D1056" t="s">
        <v>3304</v>
      </c>
      <c r="E1056" t="s">
        <v>3305</v>
      </c>
      <c r="F1056" t="s">
        <v>23</v>
      </c>
      <c r="G1056" s="2">
        <v>13.5</v>
      </c>
      <c r="H1056" s="1">
        <v>6</v>
      </c>
      <c r="I1056" t="s">
        <v>3306</v>
      </c>
      <c r="J1056" s="1">
        <v>2010</v>
      </c>
      <c r="K1056" t="s">
        <v>2828</v>
      </c>
      <c r="L1056" s="1">
        <v>1</v>
      </c>
      <c r="M1056" s="3">
        <v>46.46</v>
      </c>
      <c r="N1056" s="3">
        <v>2.3199999999999998</v>
      </c>
      <c r="O1056" s="3">
        <v>0</v>
      </c>
      <c r="P1056" s="3">
        <v>0.2</v>
      </c>
      <c r="Q1056" s="3">
        <v>48.98</v>
      </c>
      <c r="R1056" s="3">
        <v>7.95</v>
      </c>
      <c r="S1056" s="3">
        <f>VLOOKUP(C1056,[1]page!$C$2:$M$3071,11,0)</f>
        <v>46.46</v>
      </c>
      <c r="T1056" s="6">
        <f t="shared" si="16"/>
        <v>0</v>
      </c>
    </row>
    <row r="1057" spans="1:20" x14ac:dyDescent="0.2">
      <c r="A1057" t="s">
        <v>3280</v>
      </c>
      <c r="B1057" t="s">
        <v>3307</v>
      </c>
      <c r="C1057" t="s">
        <v>3308</v>
      </c>
      <c r="D1057" t="s">
        <v>3309</v>
      </c>
      <c r="E1057" t="s">
        <v>3310</v>
      </c>
      <c r="F1057" t="s">
        <v>23</v>
      </c>
      <c r="G1057" s="2">
        <v>13.9</v>
      </c>
      <c r="H1057" s="1">
        <v>12</v>
      </c>
      <c r="I1057" t="s">
        <v>449</v>
      </c>
      <c r="K1057" t="s">
        <v>2828</v>
      </c>
      <c r="L1057" s="1">
        <v>1</v>
      </c>
      <c r="M1057" s="3">
        <v>22.01</v>
      </c>
      <c r="N1057" s="3">
        <v>1.1000000000000001</v>
      </c>
      <c r="O1057" s="3">
        <v>0</v>
      </c>
      <c r="P1057" s="3">
        <v>0.2</v>
      </c>
      <c r="Q1057" s="3">
        <v>23.31</v>
      </c>
      <c r="R1057" s="3">
        <v>7.95</v>
      </c>
      <c r="S1057" s="3">
        <f>VLOOKUP(C1057,[1]page!$C$2:$M$3071,11,0)</f>
        <v>22.01</v>
      </c>
      <c r="T1057" s="6">
        <f t="shared" si="16"/>
        <v>0</v>
      </c>
    </row>
    <row r="1058" spans="1:20" x14ac:dyDescent="0.2">
      <c r="A1058" t="s">
        <v>3280</v>
      </c>
      <c r="B1058" t="s">
        <v>3311</v>
      </c>
      <c r="C1058" t="s">
        <v>3312</v>
      </c>
      <c r="D1058" t="s">
        <v>3313</v>
      </c>
      <c r="E1058" t="s">
        <v>3044</v>
      </c>
      <c r="F1058" t="s">
        <v>23</v>
      </c>
      <c r="G1058" s="1">
        <v>12</v>
      </c>
      <c r="H1058" s="1">
        <v>12</v>
      </c>
      <c r="I1058" t="s">
        <v>201</v>
      </c>
      <c r="K1058" t="s">
        <v>2828</v>
      </c>
      <c r="L1058" s="1">
        <v>1</v>
      </c>
      <c r="M1058" s="3">
        <v>24.51</v>
      </c>
      <c r="N1058" s="3">
        <v>1.23</v>
      </c>
      <c r="O1058" s="3">
        <v>0</v>
      </c>
      <c r="P1058" s="3">
        <v>0.2</v>
      </c>
      <c r="Q1058" s="3">
        <v>25.94</v>
      </c>
      <c r="R1058" s="3">
        <v>7.95</v>
      </c>
      <c r="S1058" s="3">
        <f>VLOOKUP(C1058,[1]page!$C$2:$M$3071,11,0)</f>
        <v>24.51</v>
      </c>
      <c r="T1058" s="6">
        <f t="shared" si="16"/>
        <v>0</v>
      </c>
    </row>
    <row r="1059" spans="1:20" x14ac:dyDescent="0.2">
      <c r="A1059" t="s">
        <v>3280</v>
      </c>
      <c r="B1059" t="s">
        <v>3314</v>
      </c>
      <c r="C1059" t="s">
        <v>3315</v>
      </c>
      <c r="D1059" t="s">
        <v>3316</v>
      </c>
      <c r="E1059" t="s">
        <v>3054</v>
      </c>
      <c r="F1059" t="s">
        <v>23</v>
      </c>
      <c r="G1059" s="1">
        <v>14</v>
      </c>
      <c r="H1059" s="1">
        <v>12</v>
      </c>
      <c r="I1059" t="s">
        <v>2700</v>
      </c>
      <c r="J1059" s="1">
        <v>2005</v>
      </c>
      <c r="K1059" t="s">
        <v>2828</v>
      </c>
      <c r="L1059" s="1">
        <v>1</v>
      </c>
      <c r="M1059" s="3">
        <v>15.1</v>
      </c>
      <c r="N1059" s="3">
        <v>0.76</v>
      </c>
      <c r="O1059" s="3">
        <v>0</v>
      </c>
      <c r="P1059" s="3">
        <v>0.2</v>
      </c>
      <c r="Q1059" s="3">
        <v>16.059999999999999</v>
      </c>
      <c r="R1059" s="3">
        <v>7.95</v>
      </c>
      <c r="S1059" s="3">
        <f>VLOOKUP(C1059,[1]page!$C$2:$M$3071,11,0)</f>
        <v>15.1</v>
      </c>
      <c r="T1059" s="6">
        <f t="shared" si="16"/>
        <v>0</v>
      </c>
    </row>
    <row r="1060" spans="1:20" x14ac:dyDescent="0.2">
      <c r="A1060" t="s">
        <v>3280</v>
      </c>
      <c r="B1060" t="s">
        <v>3317</v>
      </c>
      <c r="C1060" t="s">
        <v>3318</v>
      </c>
      <c r="D1060" t="s">
        <v>3319</v>
      </c>
      <c r="E1060" t="s">
        <v>3320</v>
      </c>
      <c r="F1060" t="s">
        <v>23</v>
      </c>
      <c r="G1060" s="1">
        <v>14</v>
      </c>
      <c r="H1060" s="1">
        <v>12</v>
      </c>
      <c r="I1060" t="s">
        <v>201</v>
      </c>
      <c r="K1060" t="s">
        <v>2828</v>
      </c>
      <c r="L1060" s="1">
        <v>1</v>
      </c>
      <c r="M1060" s="3">
        <v>21.62</v>
      </c>
      <c r="N1060" s="3">
        <v>1.08</v>
      </c>
      <c r="O1060" s="3">
        <v>0</v>
      </c>
      <c r="P1060" s="3">
        <v>0.2</v>
      </c>
      <c r="Q1060" s="3">
        <v>22.9</v>
      </c>
      <c r="R1060" s="3">
        <v>7.95</v>
      </c>
      <c r="S1060" s="3">
        <f>VLOOKUP(C1060,[1]page!$C$2:$M$3071,11,0)</f>
        <v>21.62</v>
      </c>
      <c r="T1060" s="6">
        <f t="shared" si="16"/>
        <v>0</v>
      </c>
    </row>
    <row r="1061" spans="1:20" x14ac:dyDescent="0.2">
      <c r="A1061" t="s">
        <v>3280</v>
      </c>
      <c r="B1061" t="s">
        <v>3321</v>
      </c>
      <c r="C1061" t="s">
        <v>3322</v>
      </c>
      <c r="D1061" t="s">
        <v>3323</v>
      </c>
      <c r="E1061" t="s">
        <v>2699</v>
      </c>
      <c r="F1061" t="s">
        <v>23</v>
      </c>
      <c r="G1061" s="2">
        <v>13.5</v>
      </c>
      <c r="H1061" s="1">
        <v>12</v>
      </c>
      <c r="I1061" t="s">
        <v>2700</v>
      </c>
      <c r="J1061" s="1">
        <v>2012</v>
      </c>
      <c r="K1061" t="s">
        <v>2687</v>
      </c>
      <c r="L1061" s="1">
        <v>1</v>
      </c>
      <c r="M1061" s="3">
        <v>14.04</v>
      </c>
      <c r="N1061" s="3">
        <v>0.7</v>
      </c>
      <c r="O1061" s="3">
        <v>0</v>
      </c>
      <c r="P1061" s="3">
        <v>0.2</v>
      </c>
      <c r="Q1061" s="3">
        <v>14.94</v>
      </c>
      <c r="R1061" s="3">
        <v>7.95</v>
      </c>
      <c r="S1061" s="3">
        <f>VLOOKUP(C1061,[1]page!$C$2:$M$3071,11,0)</f>
        <v>14.04</v>
      </c>
      <c r="T1061" s="6">
        <f t="shared" si="16"/>
        <v>0</v>
      </c>
    </row>
    <row r="1062" spans="1:20" x14ac:dyDescent="0.2">
      <c r="A1062" t="s">
        <v>3280</v>
      </c>
      <c r="B1062" t="s">
        <v>3324</v>
      </c>
      <c r="C1062" t="s">
        <v>3325</v>
      </c>
      <c r="D1062" t="s">
        <v>3326</v>
      </c>
      <c r="E1062" t="s">
        <v>2699</v>
      </c>
      <c r="F1062" t="s">
        <v>23</v>
      </c>
      <c r="G1062" s="2">
        <v>14.5</v>
      </c>
      <c r="H1062" s="1">
        <v>12</v>
      </c>
      <c r="I1062" t="s">
        <v>2700</v>
      </c>
      <c r="K1062" t="s">
        <v>2687</v>
      </c>
      <c r="L1062" s="1">
        <v>1</v>
      </c>
      <c r="M1062" s="3">
        <v>14.04</v>
      </c>
      <c r="N1062" s="3">
        <v>0.7</v>
      </c>
      <c r="O1062" s="3">
        <v>0</v>
      </c>
      <c r="P1062" s="3">
        <v>0.2</v>
      </c>
      <c r="Q1062" s="3">
        <v>14.94</v>
      </c>
      <c r="R1062" s="3">
        <v>7.95</v>
      </c>
      <c r="S1062" s="3">
        <f>VLOOKUP(C1062,[1]page!$C$2:$M$3071,11,0)</f>
        <v>14.04</v>
      </c>
      <c r="T1062" s="6">
        <f t="shared" si="16"/>
        <v>0</v>
      </c>
    </row>
    <row r="1063" spans="1:20" x14ac:dyDescent="0.2">
      <c r="A1063" t="s">
        <v>3280</v>
      </c>
      <c r="B1063" t="s">
        <v>3327</v>
      </c>
      <c r="C1063" t="s">
        <v>3328</v>
      </c>
      <c r="D1063" t="s">
        <v>3329</v>
      </c>
      <c r="E1063" t="s">
        <v>200</v>
      </c>
      <c r="F1063" t="s">
        <v>23</v>
      </c>
      <c r="G1063" s="1">
        <v>13</v>
      </c>
      <c r="H1063" s="1">
        <v>12</v>
      </c>
      <c r="I1063" t="s">
        <v>201</v>
      </c>
      <c r="K1063" t="s">
        <v>2828</v>
      </c>
      <c r="L1063" s="1">
        <v>1</v>
      </c>
      <c r="M1063" s="3">
        <v>19.59</v>
      </c>
      <c r="N1063" s="3">
        <v>0.98</v>
      </c>
      <c r="O1063" s="3">
        <v>0</v>
      </c>
      <c r="P1063" s="3">
        <v>0.2</v>
      </c>
      <c r="Q1063" s="3">
        <v>20.77</v>
      </c>
      <c r="R1063" s="3">
        <v>7.95</v>
      </c>
      <c r="S1063" s="3">
        <f>VLOOKUP(C1063,[1]page!$C$2:$M$3071,11,0)</f>
        <v>19.510000000000002</v>
      </c>
      <c r="T1063" s="6">
        <f t="shared" si="16"/>
        <v>7.9999999999998295E-2</v>
      </c>
    </row>
    <row r="1064" spans="1:20" x14ac:dyDescent="0.2">
      <c r="A1064" t="s">
        <v>3330</v>
      </c>
      <c r="B1064" t="s">
        <v>3331</v>
      </c>
      <c r="C1064" t="s">
        <v>3332</v>
      </c>
      <c r="D1064" t="s">
        <v>3333</v>
      </c>
      <c r="E1064" t="s">
        <v>3018</v>
      </c>
      <c r="F1064" t="s">
        <v>23</v>
      </c>
      <c r="G1064" s="2">
        <v>12.9</v>
      </c>
      <c r="H1064" s="1">
        <v>12</v>
      </c>
      <c r="I1064" t="s">
        <v>201</v>
      </c>
      <c r="J1064" s="1">
        <v>2013</v>
      </c>
      <c r="K1064" t="s">
        <v>2687</v>
      </c>
      <c r="L1064" s="1">
        <v>1</v>
      </c>
      <c r="M1064" s="3">
        <v>22.01</v>
      </c>
      <c r="N1064" s="3">
        <v>1.1000000000000001</v>
      </c>
      <c r="O1064" s="3">
        <v>0</v>
      </c>
      <c r="P1064" s="3">
        <v>0.2</v>
      </c>
      <c r="Q1064" s="3">
        <v>23.31</v>
      </c>
      <c r="R1064" s="3">
        <v>7.95</v>
      </c>
      <c r="S1064" s="3">
        <f>VLOOKUP(C1064,[1]page!$C$2:$M$3071,11,0)</f>
        <v>22.01</v>
      </c>
      <c r="T1064" s="6">
        <f t="shared" si="16"/>
        <v>0</v>
      </c>
    </row>
    <row r="1065" spans="1:20" x14ac:dyDescent="0.2">
      <c r="A1065" t="s">
        <v>3330</v>
      </c>
      <c r="B1065" t="s">
        <v>3334</v>
      </c>
      <c r="C1065" t="s">
        <v>3335</v>
      </c>
      <c r="D1065" t="s">
        <v>3336</v>
      </c>
      <c r="E1065" t="s">
        <v>3025</v>
      </c>
      <c r="F1065" t="s">
        <v>23</v>
      </c>
      <c r="G1065" s="2">
        <v>13.5</v>
      </c>
      <c r="H1065" s="1">
        <v>12</v>
      </c>
      <c r="I1065" t="s">
        <v>57</v>
      </c>
      <c r="K1065" t="s">
        <v>2687</v>
      </c>
      <c r="L1065" s="1">
        <v>1</v>
      </c>
      <c r="M1065" s="3">
        <v>23.71</v>
      </c>
      <c r="N1065" s="3">
        <v>1.19</v>
      </c>
      <c r="O1065" s="3">
        <v>0</v>
      </c>
      <c r="P1065" s="3">
        <v>0.2</v>
      </c>
      <c r="Q1065" s="3">
        <v>25.1</v>
      </c>
      <c r="R1065" s="3">
        <v>7.95</v>
      </c>
      <c r="S1065" s="3">
        <f>VLOOKUP(C1065,[1]page!$C$2:$M$3071,11,0)</f>
        <v>23.71</v>
      </c>
      <c r="T1065" s="6">
        <f t="shared" si="16"/>
        <v>0</v>
      </c>
    </row>
    <row r="1066" spans="1:20" x14ac:dyDescent="0.2">
      <c r="A1066" t="s">
        <v>3330</v>
      </c>
      <c r="B1066" t="s">
        <v>3337</v>
      </c>
      <c r="C1066" t="s">
        <v>3338</v>
      </c>
      <c r="D1066" t="s">
        <v>3339</v>
      </c>
      <c r="E1066" t="s">
        <v>3025</v>
      </c>
      <c r="F1066" t="s">
        <v>23</v>
      </c>
      <c r="G1066" s="2">
        <v>12.5</v>
      </c>
      <c r="H1066" s="1">
        <v>12</v>
      </c>
      <c r="I1066" t="s">
        <v>57</v>
      </c>
      <c r="K1066" t="s">
        <v>2828</v>
      </c>
      <c r="L1066" s="1">
        <v>1</v>
      </c>
      <c r="M1066" s="3">
        <v>20.29</v>
      </c>
      <c r="N1066" s="3">
        <v>1.01</v>
      </c>
      <c r="O1066" s="3">
        <v>0</v>
      </c>
      <c r="P1066" s="3">
        <v>0.2</v>
      </c>
      <c r="Q1066" s="3">
        <v>21.5</v>
      </c>
      <c r="R1066" s="3">
        <v>7.95</v>
      </c>
      <c r="S1066" s="3">
        <f>VLOOKUP(C1066,[1]page!$C$2:$M$3071,11,0)</f>
        <v>20.29</v>
      </c>
      <c r="T1066" s="6">
        <f t="shared" si="16"/>
        <v>0</v>
      </c>
    </row>
    <row r="1067" spans="1:20" x14ac:dyDescent="0.2">
      <c r="A1067" t="s">
        <v>3330</v>
      </c>
      <c r="B1067" t="s">
        <v>3340</v>
      </c>
      <c r="C1067" t="s">
        <v>3341</v>
      </c>
      <c r="D1067" t="s">
        <v>3342</v>
      </c>
      <c r="E1067" t="s">
        <v>3343</v>
      </c>
      <c r="F1067" t="s">
        <v>23</v>
      </c>
      <c r="G1067" s="2">
        <v>13.5</v>
      </c>
      <c r="H1067" s="1">
        <v>12</v>
      </c>
      <c r="I1067" t="s">
        <v>3344</v>
      </c>
      <c r="K1067" t="s">
        <v>2828</v>
      </c>
      <c r="L1067" s="1">
        <v>1</v>
      </c>
      <c r="M1067" s="3">
        <v>24.77</v>
      </c>
      <c r="N1067" s="3">
        <v>1.24</v>
      </c>
      <c r="O1067" s="3">
        <v>0</v>
      </c>
      <c r="P1067" s="3">
        <v>0.2</v>
      </c>
      <c r="Q1067" s="3">
        <v>26.21</v>
      </c>
      <c r="R1067" s="3">
        <v>7.95</v>
      </c>
      <c r="S1067" s="3">
        <f>VLOOKUP(C1067,[1]page!$C$2:$M$3071,11,0)</f>
        <v>20.51</v>
      </c>
      <c r="T1067" s="6">
        <f t="shared" si="16"/>
        <v>4.259999999999998</v>
      </c>
    </row>
    <row r="1068" spans="1:20" x14ac:dyDescent="0.2">
      <c r="A1068" t="s">
        <v>3330</v>
      </c>
      <c r="B1068" t="s">
        <v>3345</v>
      </c>
      <c r="C1068" t="s">
        <v>3346</v>
      </c>
      <c r="D1068" t="s">
        <v>3347</v>
      </c>
      <c r="E1068" t="s">
        <v>3044</v>
      </c>
      <c r="F1068" t="s">
        <v>23</v>
      </c>
      <c r="G1068" s="2">
        <v>14.5</v>
      </c>
      <c r="H1068" s="1">
        <v>12</v>
      </c>
      <c r="I1068" t="s">
        <v>201</v>
      </c>
      <c r="J1068" s="1">
        <v>2010</v>
      </c>
      <c r="K1068" t="s">
        <v>2828</v>
      </c>
      <c r="L1068" s="1">
        <v>1</v>
      </c>
      <c r="M1068" s="3">
        <v>21.01</v>
      </c>
      <c r="N1068" s="3">
        <v>1.05</v>
      </c>
      <c r="O1068" s="3">
        <v>0</v>
      </c>
      <c r="P1068" s="3">
        <v>0.2</v>
      </c>
      <c r="Q1068" s="3">
        <v>22.26</v>
      </c>
      <c r="R1068" s="3">
        <v>7.95</v>
      </c>
      <c r="S1068" s="3">
        <f>VLOOKUP(C1068,[1]page!$C$2:$M$3071,11,0)</f>
        <v>21.01</v>
      </c>
      <c r="T1068" s="6">
        <f t="shared" ref="T1068:T1130" si="17">SUM(M1068-S1068)</f>
        <v>0</v>
      </c>
    </row>
    <row r="1069" spans="1:20" x14ac:dyDescent="0.2">
      <c r="A1069" t="s">
        <v>3348</v>
      </c>
      <c r="B1069" t="s">
        <v>3349</v>
      </c>
      <c r="C1069" t="s">
        <v>3350</v>
      </c>
      <c r="D1069" t="s">
        <v>3351</v>
      </c>
      <c r="E1069" t="s">
        <v>3352</v>
      </c>
      <c r="F1069" t="s">
        <v>87</v>
      </c>
      <c r="G1069" s="2">
        <v>12.5</v>
      </c>
      <c r="H1069" s="1">
        <v>4</v>
      </c>
      <c r="I1069" t="s">
        <v>3353</v>
      </c>
      <c r="K1069" t="s">
        <v>2677</v>
      </c>
      <c r="L1069" s="1">
        <v>1</v>
      </c>
      <c r="M1069" s="3">
        <v>37.15</v>
      </c>
      <c r="N1069" s="3">
        <v>1.86</v>
      </c>
      <c r="O1069" s="3">
        <v>0</v>
      </c>
      <c r="P1069" s="3">
        <v>0</v>
      </c>
      <c r="Q1069" s="3">
        <v>39.01</v>
      </c>
      <c r="R1069" s="3">
        <v>26.4</v>
      </c>
      <c r="S1069" s="3">
        <f>VLOOKUP(C1069,[1]page!$C$2:$M$3071,11,0)</f>
        <v>37.15</v>
      </c>
      <c r="T1069" s="6">
        <f t="shared" si="17"/>
        <v>0</v>
      </c>
    </row>
    <row r="1070" spans="1:20" x14ac:dyDescent="0.2">
      <c r="A1070" t="s">
        <v>3348</v>
      </c>
      <c r="B1070" t="s">
        <v>3354</v>
      </c>
      <c r="C1070" t="s">
        <v>3355</v>
      </c>
      <c r="D1070" t="s">
        <v>3356</v>
      </c>
      <c r="E1070" t="s">
        <v>3357</v>
      </c>
      <c r="F1070" t="s">
        <v>23</v>
      </c>
      <c r="G1070" s="1">
        <v>13</v>
      </c>
      <c r="H1070" s="1">
        <v>12</v>
      </c>
      <c r="I1070" t="s">
        <v>3306</v>
      </c>
      <c r="K1070" t="s">
        <v>2828</v>
      </c>
      <c r="L1070" s="1">
        <v>1</v>
      </c>
      <c r="M1070" s="3">
        <v>19.64</v>
      </c>
      <c r="N1070" s="3">
        <v>0.98</v>
      </c>
      <c r="O1070" s="3">
        <v>0</v>
      </c>
      <c r="P1070" s="3">
        <v>0.2</v>
      </c>
      <c r="Q1070" s="3">
        <v>20.82</v>
      </c>
      <c r="R1070" s="3">
        <v>7.95</v>
      </c>
      <c r="S1070" s="3">
        <f>VLOOKUP(C1070,[1]page!$C$2:$M$3071,11,0)</f>
        <v>19.64</v>
      </c>
      <c r="T1070" s="6">
        <f t="shared" si="17"/>
        <v>0</v>
      </c>
    </row>
    <row r="1071" spans="1:20" x14ac:dyDescent="0.2">
      <c r="A1071" t="s">
        <v>3358</v>
      </c>
      <c r="B1071" t="s">
        <v>3359</v>
      </c>
      <c r="C1071" t="s">
        <v>3360</v>
      </c>
      <c r="D1071" t="s">
        <v>3361</v>
      </c>
      <c r="E1071" t="s">
        <v>3357</v>
      </c>
      <c r="F1071" t="s">
        <v>23</v>
      </c>
      <c r="G1071" s="1">
        <v>10</v>
      </c>
      <c r="H1071" s="1">
        <v>12</v>
      </c>
      <c r="I1071" t="s">
        <v>3306</v>
      </c>
      <c r="K1071" t="s">
        <v>2828</v>
      </c>
      <c r="L1071" s="1">
        <v>1</v>
      </c>
      <c r="M1071" s="3">
        <v>18.98</v>
      </c>
      <c r="N1071" s="3">
        <v>0.95</v>
      </c>
      <c r="O1071" s="3">
        <v>0</v>
      </c>
      <c r="P1071" s="3">
        <v>0.2</v>
      </c>
      <c r="Q1071" s="3">
        <v>20.13</v>
      </c>
      <c r="R1071" s="3">
        <v>7.95</v>
      </c>
      <c r="S1071" s="3">
        <f>VLOOKUP(C1071,[1]page!$C$2:$M$3071,11,0)</f>
        <v>18.98</v>
      </c>
      <c r="T1071" s="6">
        <f t="shared" si="17"/>
        <v>0</v>
      </c>
    </row>
    <row r="1072" spans="1:20" x14ac:dyDescent="0.2">
      <c r="A1072" t="s">
        <v>3362</v>
      </c>
      <c r="B1072" t="s">
        <v>3363</v>
      </c>
      <c r="C1072" t="s">
        <v>3364</v>
      </c>
      <c r="D1072" t="s">
        <v>3365</v>
      </c>
      <c r="E1072" t="s">
        <v>2699</v>
      </c>
      <c r="F1072" t="s">
        <v>23</v>
      </c>
      <c r="G1072" s="2">
        <v>11.5</v>
      </c>
      <c r="H1072" s="1">
        <v>12</v>
      </c>
      <c r="I1072" t="s">
        <v>2700</v>
      </c>
      <c r="K1072" t="s">
        <v>2687</v>
      </c>
      <c r="L1072" s="1">
        <v>1</v>
      </c>
      <c r="M1072" s="3">
        <v>9</v>
      </c>
      <c r="N1072" s="3">
        <v>0.45</v>
      </c>
      <c r="O1072" s="3">
        <v>0</v>
      </c>
      <c r="P1072" s="3">
        <v>0.2</v>
      </c>
      <c r="Q1072" s="3">
        <v>9.65</v>
      </c>
      <c r="R1072" s="3">
        <v>7.95</v>
      </c>
      <c r="S1072" s="3">
        <f>VLOOKUP(C1072,[1]page!$C$2:$M$3071,11,0)</f>
        <v>9</v>
      </c>
      <c r="T1072" s="6">
        <f t="shared" si="17"/>
        <v>0</v>
      </c>
    </row>
    <row r="1073" spans="1:20" x14ac:dyDescent="0.2">
      <c r="A1073" t="s">
        <v>3366</v>
      </c>
      <c r="B1073" t="s">
        <v>3367</v>
      </c>
      <c r="C1073" t="s">
        <v>3368</v>
      </c>
      <c r="D1073" t="s">
        <v>3369</v>
      </c>
      <c r="E1073" t="s">
        <v>3352</v>
      </c>
      <c r="F1073" t="s">
        <v>23</v>
      </c>
      <c r="G1073" s="2">
        <v>12.5</v>
      </c>
      <c r="H1073" s="1">
        <v>12</v>
      </c>
      <c r="I1073" t="s">
        <v>3353</v>
      </c>
      <c r="K1073" t="s">
        <v>2687</v>
      </c>
      <c r="L1073" s="1">
        <v>1</v>
      </c>
      <c r="M1073" s="3">
        <v>12.51</v>
      </c>
      <c r="N1073" s="3">
        <v>0.63</v>
      </c>
      <c r="O1073" s="3">
        <v>0</v>
      </c>
      <c r="P1073" s="3">
        <v>0.2</v>
      </c>
      <c r="Q1073" s="3">
        <v>13.34</v>
      </c>
      <c r="R1073" s="3">
        <v>7.95</v>
      </c>
      <c r="S1073" s="3">
        <f>VLOOKUP(C1073,[1]page!$C$2:$M$3071,11,0)</f>
        <v>12.51</v>
      </c>
      <c r="T1073" s="6">
        <f t="shared" si="17"/>
        <v>0</v>
      </c>
    </row>
    <row r="1074" spans="1:20" x14ac:dyDescent="0.2">
      <c r="A1074" t="s">
        <v>3370</v>
      </c>
      <c r="B1074" t="s">
        <v>3371</v>
      </c>
      <c r="C1074" t="s">
        <v>3372</v>
      </c>
      <c r="D1074" t="s">
        <v>3373</v>
      </c>
      <c r="E1074" t="s">
        <v>3352</v>
      </c>
      <c r="F1074" t="s">
        <v>23</v>
      </c>
      <c r="G1074" s="2">
        <v>12.5</v>
      </c>
      <c r="H1074" s="1">
        <v>12</v>
      </c>
      <c r="I1074" t="s">
        <v>3353</v>
      </c>
      <c r="K1074" t="s">
        <v>2706</v>
      </c>
      <c r="L1074" s="1">
        <v>1</v>
      </c>
      <c r="M1074" s="3">
        <v>12.39</v>
      </c>
      <c r="N1074" s="3">
        <v>0.62</v>
      </c>
      <c r="O1074" s="3">
        <v>0</v>
      </c>
      <c r="P1074" s="3">
        <v>0.2</v>
      </c>
      <c r="Q1074" s="3">
        <v>13.21</v>
      </c>
      <c r="R1074" s="3">
        <v>7.95</v>
      </c>
      <c r="S1074" s="3">
        <f>VLOOKUP(C1074,[1]page!$C$2:$M$3071,11,0)</f>
        <v>12.39</v>
      </c>
      <c r="T1074" s="6">
        <f t="shared" si="17"/>
        <v>0</v>
      </c>
    </row>
    <row r="1075" spans="1:20" x14ac:dyDescent="0.2">
      <c r="A1075" t="s">
        <v>3374</v>
      </c>
      <c r="B1075" t="s">
        <v>3375</v>
      </c>
      <c r="C1075" t="s">
        <v>3376</v>
      </c>
      <c r="D1075" t="s">
        <v>3377</v>
      </c>
      <c r="E1075" t="s">
        <v>3378</v>
      </c>
      <c r="F1075" t="s">
        <v>23</v>
      </c>
      <c r="G1075" s="1">
        <v>12</v>
      </c>
      <c r="H1075" s="1">
        <v>12</v>
      </c>
      <c r="I1075" t="s">
        <v>3379</v>
      </c>
      <c r="K1075" t="s">
        <v>2706</v>
      </c>
      <c r="L1075" s="1">
        <v>1</v>
      </c>
      <c r="M1075" s="3">
        <v>15.56</v>
      </c>
      <c r="N1075" s="3">
        <v>0.78</v>
      </c>
      <c r="O1075" s="3">
        <v>0</v>
      </c>
      <c r="P1075" s="3">
        <v>0.2</v>
      </c>
      <c r="Q1075" s="3">
        <v>16.54</v>
      </c>
      <c r="R1075" s="3">
        <v>7.95</v>
      </c>
      <c r="S1075" s="3">
        <f>VLOOKUP(C1075,[1]page!$C$2:$M$3071,11,0)</f>
        <v>15.56</v>
      </c>
      <c r="T1075" s="6">
        <f t="shared" si="17"/>
        <v>0</v>
      </c>
    </row>
    <row r="1076" spans="1:20" x14ac:dyDescent="0.2">
      <c r="A1076" t="s">
        <v>3374</v>
      </c>
      <c r="B1076" t="s">
        <v>3380</v>
      </c>
      <c r="C1076" t="s">
        <v>3381</v>
      </c>
      <c r="D1076" t="s">
        <v>3382</v>
      </c>
      <c r="E1076" t="s">
        <v>3352</v>
      </c>
      <c r="F1076" t="s">
        <v>23</v>
      </c>
      <c r="G1076" s="1">
        <v>12</v>
      </c>
      <c r="H1076" s="1">
        <v>12</v>
      </c>
      <c r="I1076" t="s">
        <v>3353</v>
      </c>
      <c r="K1076" t="s">
        <v>2828</v>
      </c>
      <c r="L1076" s="1">
        <v>1</v>
      </c>
      <c r="M1076" s="3">
        <v>13.42</v>
      </c>
      <c r="N1076" s="3">
        <v>0.67</v>
      </c>
      <c r="O1076" s="3">
        <v>0</v>
      </c>
      <c r="P1076" s="3">
        <v>0.2</v>
      </c>
      <c r="Q1076" s="3">
        <v>14.29</v>
      </c>
      <c r="R1076" s="3">
        <v>7.95</v>
      </c>
      <c r="S1076" s="3">
        <f>VLOOKUP(C1076,[1]page!$C$2:$M$3071,11,0)</f>
        <v>13.42</v>
      </c>
      <c r="T1076" s="6">
        <f t="shared" si="17"/>
        <v>0</v>
      </c>
    </row>
    <row r="1077" spans="1:20" x14ac:dyDescent="0.2">
      <c r="A1077" t="s">
        <v>3383</v>
      </c>
      <c r="B1077" t="s">
        <v>3384</v>
      </c>
      <c r="C1077" t="s">
        <v>3385</v>
      </c>
      <c r="D1077" t="s">
        <v>3386</v>
      </c>
      <c r="E1077" t="s">
        <v>3387</v>
      </c>
      <c r="F1077" t="s">
        <v>23</v>
      </c>
      <c r="G1077" s="1">
        <v>12</v>
      </c>
      <c r="H1077" s="1">
        <v>12</v>
      </c>
      <c r="I1077" t="s">
        <v>3388</v>
      </c>
      <c r="K1077" t="s">
        <v>2706</v>
      </c>
      <c r="L1077" s="1">
        <v>1</v>
      </c>
      <c r="M1077" s="3">
        <v>15.29</v>
      </c>
      <c r="N1077" s="3">
        <v>0.76</v>
      </c>
      <c r="O1077" s="3">
        <v>0</v>
      </c>
      <c r="P1077" s="3">
        <v>0.2</v>
      </c>
      <c r="Q1077" s="3">
        <v>16.25</v>
      </c>
      <c r="R1077" s="3">
        <v>7.95</v>
      </c>
      <c r="S1077" s="3">
        <f>VLOOKUP(C1077,[1]page!$C$2:$M$3071,11,0)</f>
        <v>15.29</v>
      </c>
      <c r="T1077" s="6">
        <f t="shared" si="17"/>
        <v>0</v>
      </c>
    </row>
    <row r="1078" spans="1:20" x14ac:dyDescent="0.2">
      <c r="A1078" t="s">
        <v>3383</v>
      </c>
      <c r="B1078" t="s">
        <v>3389</v>
      </c>
      <c r="C1078" t="s">
        <v>3390</v>
      </c>
      <c r="D1078" t="s">
        <v>3391</v>
      </c>
      <c r="E1078" t="s">
        <v>3392</v>
      </c>
      <c r="F1078" t="s">
        <v>23</v>
      </c>
      <c r="G1078" s="1">
        <v>13</v>
      </c>
      <c r="H1078" s="1">
        <v>12</v>
      </c>
      <c r="I1078" t="s">
        <v>2179</v>
      </c>
      <c r="J1078" s="1">
        <v>2005</v>
      </c>
      <c r="K1078" t="s">
        <v>2828</v>
      </c>
      <c r="L1078" s="1">
        <v>1</v>
      </c>
      <c r="M1078" s="3">
        <v>16</v>
      </c>
      <c r="N1078" s="3">
        <v>0.8</v>
      </c>
      <c r="O1078" s="3">
        <v>0</v>
      </c>
      <c r="P1078" s="3">
        <v>0.2</v>
      </c>
      <c r="Q1078" s="3">
        <v>17</v>
      </c>
      <c r="R1078" s="3">
        <v>7.95</v>
      </c>
      <c r="S1078" s="3">
        <f>VLOOKUP(C1078,[1]page!$C$2:$M$3071,11,0)</f>
        <v>16</v>
      </c>
      <c r="T1078" s="6">
        <f t="shared" si="17"/>
        <v>0</v>
      </c>
    </row>
    <row r="1079" spans="1:20" x14ac:dyDescent="0.2">
      <c r="A1079" t="s">
        <v>3383</v>
      </c>
      <c r="B1079" t="s">
        <v>3393</v>
      </c>
      <c r="C1079" t="s">
        <v>3394</v>
      </c>
      <c r="D1079" t="s">
        <v>3395</v>
      </c>
      <c r="E1079" t="s">
        <v>3392</v>
      </c>
      <c r="F1079" t="s">
        <v>23</v>
      </c>
      <c r="G1079" s="1">
        <v>13</v>
      </c>
      <c r="H1079" s="1">
        <v>12</v>
      </c>
      <c r="I1079" t="s">
        <v>2179</v>
      </c>
      <c r="K1079" t="s">
        <v>2706</v>
      </c>
      <c r="L1079" s="1">
        <v>1</v>
      </c>
      <c r="M1079" s="3">
        <v>19.27</v>
      </c>
      <c r="N1079" s="3">
        <v>0.96</v>
      </c>
      <c r="O1079" s="3">
        <v>0</v>
      </c>
      <c r="P1079" s="3">
        <v>0.2</v>
      </c>
      <c r="Q1079" s="3">
        <v>20.43</v>
      </c>
      <c r="R1079" s="3">
        <v>7.95</v>
      </c>
      <c r="S1079" s="3">
        <f>VLOOKUP(C1079,[1]page!$C$2:$M$3071,11,0)</f>
        <v>19.27</v>
      </c>
      <c r="T1079" s="6">
        <f t="shared" si="17"/>
        <v>0</v>
      </c>
    </row>
    <row r="1080" spans="1:20" x14ac:dyDescent="0.2">
      <c r="A1080" t="s">
        <v>3383</v>
      </c>
      <c r="B1080" t="s">
        <v>3396</v>
      </c>
      <c r="C1080" t="s">
        <v>3397</v>
      </c>
      <c r="D1080" t="s">
        <v>3398</v>
      </c>
      <c r="E1080" t="s">
        <v>2699</v>
      </c>
      <c r="F1080" t="s">
        <v>23</v>
      </c>
      <c r="G1080" s="2">
        <v>12.5</v>
      </c>
      <c r="H1080" s="1">
        <v>12</v>
      </c>
      <c r="I1080" t="s">
        <v>2700</v>
      </c>
      <c r="K1080" t="s">
        <v>2677</v>
      </c>
      <c r="L1080" s="1">
        <v>1</v>
      </c>
      <c r="M1080" s="3">
        <v>12.08</v>
      </c>
      <c r="N1080" s="3">
        <v>0.6</v>
      </c>
      <c r="O1080" s="3">
        <v>0</v>
      </c>
      <c r="P1080" s="3">
        <v>0.2</v>
      </c>
      <c r="Q1080" s="3">
        <v>12.88</v>
      </c>
      <c r="R1080" s="3">
        <v>7.95</v>
      </c>
      <c r="S1080" s="3">
        <f>VLOOKUP(C1080,[1]page!$C$2:$M$3071,11,0)</f>
        <v>12.08</v>
      </c>
      <c r="T1080" s="6">
        <f t="shared" si="17"/>
        <v>0</v>
      </c>
    </row>
    <row r="1081" spans="1:20" x14ac:dyDescent="0.2">
      <c r="A1081" t="s">
        <v>3383</v>
      </c>
      <c r="B1081" t="s">
        <v>3399</v>
      </c>
      <c r="C1081" t="s">
        <v>3400</v>
      </c>
      <c r="D1081" t="s">
        <v>3401</v>
      </c>
      <c r="E1081" t="s">
        <v>2980</v>
      </c>
      <c r="F1081" t="s">
        <v>23</v>
      </c>
      <c r="G1081" s="1">
        <v>13</v>
      </c>
      <c r="H1081" s="1">
        <v>12</v>
      </c>
      <c r="I1081" t="s">
        <v>57</v>
      </c>
      <c r="K1081" t="s">
        <v>2706</v>
      </c>
      <c r="L1081" s="1">
        <v>1</v>
      </c>
      <c r="M1081" s="3">
        <v>15.01</v>
      </c>
      <c r="N1081" s="3">
        <v>0.75</v>
      </c>
      <c r="O1081" s="3">
        <v>0</v>
      </c>
      <c r="P1081" s="3">
        <v>0.2</v>
      </c>
      <c r="Q1081" s="3">
        <v>15.96</v>
      </c>
      <c r="R1081" s="3">
        <v>7.95</v>
      </c>
      <c r="S1081" s="3">
        <f>VLOOKUP(C1081,[1]page!$C$2:$M$3071,11,0)</f>
        <v>15.01</v>
      </c>
      <c r="T1081" s="6">
        <f t="shared" si="17"/>
        <v>0</v>
      </c>
    </row>
    <row r="1082" spans="1:20" x14ac:dyDescent="0.2">
      <c r="A1082" t="s">
        <v>3383</v>
      </c>
      <c r="B1082" t="s">
        <v>3402</v>
      </c>
      <c r="C1082" t="s">
        <v>3403</v>
      </c>
      <c r="D1082" t="s">
        <v>3404</v>
      </c>
      <c r="E1082" t="s">
        <v>3352</v>
      </c>
      <c r="F1082" t="s">
        <v>23</v>
      </c>
      <c r="G1082" s="1">
        <v>13</v>
      </c>
      <c r="H1082" s="1">
        <v>12</v>
      </c>
      <c r="I1082" t="s">
        <v>3353</v>
      </c>
      <c r="K1082" t="s">
        <v>2828</v>
      </c>
      <c r="L1082" s="1">
        <v>1</v>
      </c>
      <c r="M1082" s="3">
        <v>15.47</v>
      </c>
      <c r="N1082" s="3">
        <v>0.77</v>
      </c>
      <c r="O1082" s="3">
        <v>0</v>
      </c>
      <c r="P1082" s="3">
        <v>0.2</v>
      </c>
      <c r="Q1082" s="3">
        <v>16.440000000000001</v>
      </c>
      <c r="R1082" s="3">
        <v>7.95</v>
      </c>
      <c r="S1082" s="3">
        <f>VLOOKUP(C1082,[1]page!$C$2:$M$3071,11,0)</f>
        <v>15.47</v>
      </c>
      <c r="T1082" s="6">
        <f t="shared" si="17"/>
        <v>0</v>
      </c>
    </row>
    <row r="1083" spans="1:20" x14ac:dyDescent="0.2">
      <c r="A1083" t="s">
        <v>3383</v>
      </c>
      <c r="B1083" t="s">
        <v>3405</v>
      </c>
      <c r="C1083" t="s">
        <v>3406</v>
      </c>
      <c r="D1083" t="s">
        <v>3407</v>
      </c>
      <c r="E1083" t="s">
        <v>3352</v>
      </c>
      <c r="F1083" t="s">
        <v>23</v>
      </c>
      <c r="G1083" s="2">
        <v>12.5</v>
      </c>
      <c r="H1083" s="1">
        <v>12</v>
      </c>
      <c r="I1083" t="s">
        <v>3353</v>
      </c>
      <c r="J1083" s="1">
        <v>2006</v>
      </c>
      <c r="K1083" t="s">
        <v>2828</v>
      </c>
      <c r="L1083" s="1">
        <v>1</v>
      </c>
      <c r="M1083" s="3">
        <v>16.5</v>
      </c>
      <c r="N1083" s="3">
        <v>0.83</v>
      </c>
      <c r="O1083" s="3">
        <v>0</v>
      </c>
      <c r="P1083" s="3">
        <v>0.2</v>
      </c>
      <c r="Q1083" s="3">
        <v>17.53</v>
      </c>
      <c r="R1083" s="3">
        <v>7.95</v>
      </c>
      <c r="S1083" s="3">
        <f>VLOOKUP(C1083,[1]page!$C$2:$M$3071,11,0)</f>
        <v>16.5</v>
      </c>
      <c r="T1083" s="6">
        <f t="shared" si="17"/>
        <v>0</v>
      </c>
    </row>
    <row r="1084" spans="1:20" x14ac:dyDescent="0.2">
      <c r="A1084" t="s">
        <v>3383</v>
      </c>
      <c r="B1084" t="s">
        <v>3408</v>
      </c>
      <c r="C1084" t="s">
        <v>3409</v>
      </c>
      <c r="D1084" t="s">
        <v>3410</v>
      </c>
      <c r="E1084" t="s">
        <v>3352</v>
      </c>
      <c r="F1084" t="s">
        <v>23</v>
      </c>
      <c r="G1084" s="1">
        <v>13</v>
      </c>
      <c r="H1084" s="1">
        <v>12</v>
      </c>
      <c r="I1084" t="s">
        <v>3353</v>
      </c>
      <c r="K1084" t="s">
        <v>2828</v>
      </c>
      <c r="L1084" s="1">
        <v>1</v>
      </c>
      <c r="M1084" s="3">
        <v>15.64</v>
      </c>
      <c r="N1084" s="3">
        <v>0.78</v>
      </c>
      <c r="O1084" s="3">
        <v>0</v>
      </c>
      <c r="P1084" s="3">
        <v>0.2</v>
      </c>
      <c r="Q1084" s="3">
        <v>16.62</v>
      </c>
      <c r="R1084" s="3">
        <v>7.95</v>
      </c>
      <c r="S1084" s="3">
        <f>VLOOKUP(C1084,[1]page!$C$2:$M$3071,11,0)</f>
        <v>15.64</v>
      </c>
      <c r="T1084" s="6">
        <f t="shared" si="17"/>
        <v>0</v>
      </c>
    </row>
    <row r="1085" spans="1:20" x14ac:dyDescent="0.2">
      <c r="A1085" t="s">
        <v>3383</v>
      </c>
      <c r="B1085" t="s">
        <v>3411</v>
      </c>
      <c r="C1085" t="s">
        <v>3412</v>
      </c>
      <c r="D1085" t="s">
        <v>3413</v>
      </c>
      <c r="E1085" t="s">
        <v>3414</v>
      </c>
      <c r="F1085" t="s">
        <v>23</v>
      </c>
      <c r="G1085" s="1">
        <v>13</v>
      </c>
      <c r="H1085" s="1">
        <v>12</v>
      </c>
      <c r="I1085" t="s">
        <v>201</v>
      </c>
      <c r="K1085" t="s">
        <v>2687</v>
      </c>
      <c r="L1085" s="1">
        <v>1</v>
      </c>
      <c r="M1085" s="3">
        <v>19.59</v>
      </c>
      <c r="N1085" s="3">
        <v>0.98</v>
      </c>
      <c r="O1085" s="3">
        <v>0</v>
      </c>
      <c r="P1085" s="3">
        <v>0.2</v>
      </c>
      <c r="Q1085" s="3">
        <v>20.77</v>
      </c>
      <c r="R1085" s="3">
        <v>7.95</v>
      </c>
      <c r="S1085" s="3">
        <f>VLOOKUP(C1085,[1]page!$C$2:$M$3071,11,0)</f>
        <v>19.510000000000002</v>
      </c>
      <c r="T1085" s="6">
        <f t="shared" si="17"/>
        <v>7.9999999999998295E-2</v>
      </c>
    </row>
    <row r="1086" spans="1:20" x14ac:dyDescent="0.2">
      <c r="A1086" t="s">
        <v>3415</v>
      </c>
      <c r="B1086" t="s">
        <v>3416</v>
      </c>
      <c r="C1086" t="s">
        <v>3417</v>
      </c>
      <c r="D1086" t="s">
        <v>3418</v>
      </c>
      <c r="E1086" t="s">
        <v>3378</v>
      </c>
      <c r="F1086" t="s">
        <v>23</v>
      </c>
      <c r="G1086" s="1">
        <v>12</v>
      </c>
      <c r="H1086" s="1">
        <v>12</v>
      </c>
      <c r="I1086" t="s">
        <v>3379</v>
      </c>
      <c r="K1086" t="s">
        <v>2712</v>
      </c>
      <c r="L1086" s="1">
        <v>1</v>
      </c>
      <c r="M1086" s="3">
        <v>15.56</v>
      </c>
      <c r="N1086" s="3">
        <v>0.78</v>
      </c>
      <c r="O1086" s="3">
        <v>0</v>
      </c>
      <c r="P1086" s="3">
        <v>0.2</v>
      </c>
      <c r="Q1086" s="3">
        <v>16.54</v>
      </c>
      <c r="R1086" s="3">
        <v>7.95</v>
      </c>
      <c r="S1086" s="3">
        <f>VLOOKUP(C1086,[1]page!$C$2:$M$3071,11,0)</f>
        <v>15.56</v>
      </c>
      <c r="T1086" s="6">
        <f t="shared" si="17"/>
        <v>0</v>
      </c>
    </row>
    <row r="1087" spans="1:20" x14ac:dyDescent="0.2">
      <c r="A1087" t="s">
        <v>3415</v>
      </c>
      <c r="B1087" t="s">
        <v>3419</v>
      </c>
      <c r="C1087" t="s">
        <v>3420</v>
      </c>
      <c r="D1087" t="s">
        <v>3421</v>
      </c>
      <c r="E1087" t="s">
        <v>3392</v>
      </c>
      <c r="F1087" t="s">
        <v>23</v>
      </c>
      <c r="G1087" s="2">
        <v>12.5</v>
      </c>
      <c r="H1087" s="1">
        <v>12</v>
      </c>
      <c r="I1087" t="s">
        <v>2179</v>
      </c>
      <c r="K1087" t="s">
        <v>2706</v>
      </c>
      <c r="L1087" s="1">
        <v>1</v>
      </c>
      <c r="M1087" s="3">
        <v>16</v>
      </c>
      <c r="N1087" s="3">
        <v>0.8</v>
      </c>
      <c r="O1087" s="3">
        <v>0</v>
      </c>
      <c r="P1087" s="3">
        <v>0.2</v>
      </c>
      <c r="Q1087" s="3">
        <v>17</v>
      </c>
      <c r="R1087" s="3">
        <v>7.95</v>
      </c>
      <c r="S1087" s="3">
        <f>VLOOKUP(C1087,[1]page!$C$2:$M$3071,11,0)</f>
        <v>16</v>
      </c>
      <c r="T1087" s="6">
        <f t="shared" si="17"/>
        <v>0</v>
      </c>
    </row>
    <row r="1088" spans="1:20" x14ac:dyDescent="0.2">
      <c r="A1088" t="s">
        <v>3415</v>
      </c>
      <c r="B1088" t="s">
        <v>3422</v>
      </c>
      <c r="C1088" t="s">
        <v>3423</v>
      </c>
      <c r="D1088" t="s">
        <v>3424</v>
      </c>
      <c r="E1088" t="s">
        <v>3352</v>
      </c>
      <c r="F1088" t="s">
        <v>23</v>
      </c>
      <c r="G1088" s="2">
        <v>12.5</v>
      </c>
      <c r="H1088" s="1">
        <v>12</v>
      </c>
      <c r="I1088" t="s">
        <v>3353</v>
      </c>
      <c r="K1088" t="s">
        <v>2687</v>
      </c>
      <c r="L1088" s="1">
        <v>1</v>
      </c>
      <c r="M1088" s="3">
        <v>15.75</v>
      </c>
      <c r="N1088" s="3">
        <v>0.79</v>
      </c>
      <c r="O1088" s="3">
        <v>0</v>
      </c>
      <c r="P1088" s="3">
        <v>0.2</v>
      </c>
      <c r="Q1088" s="3">
        <v>16.739999999999998</v>
      </c>
      <c r="R1088" s="3">
        <v>7.95</v>
      </c>
      <c r="S1088" s="3">
        <f>VLOOKUP(C1088,[1]page!$C$2:$M$3071,11,0)</f>
        <v>15.75</v>
      </c>
      <c r="T1088" s="6">
        <f t="shared" si="17"/>
        <v>0</v>
      </c>
    </row>
    <row r="1089" spans="1:20" x14ac:dyDescent="0.2">
      <c r="A1089" t="s">
        <v>3415</v>
      </c>
      <c r="B1089" t="s">
        <v>3425</v>
      </c>
      <c r="C1089" t="s">
        <v>3426</v>
      </c>
      <c r="D1089" t="s">
        <v>3427</v>
      </c>
      <c r="E1089" t="s">
        <v>3352</v>
      </c>
      <c r="F1089" t="s">
        <v>23</v>
      </c>
      <c r="G1089" s="2">
        <v>12.5</v>
      </c>
      <c r="H1089" s="1">
        <v>12</v>
      </c>
      <c r="I1089" t="s">
        <v>3353</v>
      </c>
      <c r="K1089" t="s">
        <v>2706</v>
      </c>
      <c r="L1089" s="1">
        <v>1</v>
      </c>
      <c r="M1089" s="3">
        <v>16.5</v>
      </c>
      <c r="N1089" s="3">
        <v>0.83</v>
      </c>
      <c r="O1089" s="3">
        <v>0</v>
      </c>
      <c r="P1089" s="3">
        <v>0.2</v>
      </c>
      <c r="Q1089" s="3">
        <v>17.53</v>
      </c>
      <c r="R1089" s="3">
        <v>7.95</v>
      </c>
      <c r="S1089" s="3">
        <f>VLOOKUP(C1089,[1]page!$C$2:$M$3071,11,0)</f>
        <v>16.5</v>
      </c>
      <c r="T1089" s="6">
        <f t="shared" si="17"/>
        <v>0</v>
      </c>
    </row>
    <row r="1090" spans="1:20" x14ac:dyDescent="0.2">
      <c r="A1090" t="s">
        <v>3415</v>
      </c>
      <c r="B1090" t="s">
        <v>3428</v>
      </c>
      <c r="C1090" t="s">
        <v>3429</v>
      </c>
      <c r="D1090" t="s">
        <v>3430</v>
      </c>
      <c r="E1090" t="s">
        <v>3352</v>
      </c>
      <c r="F1090" t="s">
        <v>23</v>
      </c>
      <c r="G1090" s="2">
        <v>12.5</v>
      </c>
      <c r="H1090" s="1">
        <v>12</v>
      </c>
      <c r="I1090" t="s">
        <v>3353</v>
      </c>
      <c r="K1090" t="s">
        <v>2828</v>
      </c>
      <c r="L1090" s="1">
        <v>1</v>
      </c>
      <c r="M1090" s="3">
        <v>15.47</v>
      </c>
      <c r="N1090" s="3">
        <v>0.77</v>
      </c>
      <c r="O1090" s="3">
        <v>0</v>
      </c>
      <c r="P1090" s="3">
        <v>0.2</v>
      </c>
      <c r="Q1090" s="3">
        <v>16.440000000000001</v>
      </c>
      <c r="R1090" s="3">
        <v>7.95</v>
      </c>
      <c r="S1090" s="3">
        <f>VLOOKUP(C1090,[1]page!$C$2:$M$3071,11,0)</f>
        <v>15.47</v>
      </c>
      <c r="T1090" s="6">
        <f t="shared" si="17"/>
        <v>0</v>
      </c>
    </row>
    <row r="1091" spans="1:20" x14ac:dyDescent="0.2">
      <c r="A1091" t="s">
        <v>3415</v>
      </c>
      <c r="B1091" t="s">
        <v>3431</v>
      </c>
      <c r="C1091" t="s">
        <v>3432</v>
      </c>
      <c r="D1091" t="s">
        <v>3433</v>
      </c>
      <c r="E1091" t="s">
        <v>3414</v>
      </c>
      <c r="F1091" t="s">
        <v>23</v>
      </c>
      <c r="G1091" s="1">
        <v>12</v>
      </c>
      <c r="H1091" s="1">
        <v>12</v>
      </c>
      <c r="I1091" t="s">
        <v>201</v>
      </c>
      <c r="K1091" t="s">
        <v>2687</v>
      </c>
      <c r="L1091" s="1">
        <v>1</v>
      </c>
      <c r="M1091" s="3">
        <v>19.59</v>
      </c>
      <c r="N1091" s="3">
        <v>0.98</v>
      </c>
      <c r="O1091" s="3">
        <v>0</v>
      </c>
      <c r="P1091" s="3">
        <v>0.2</v>
      </c>
      <c r="Q1091" s="3">
        <v>20.77</v>
      </c>
      <c r="R1091" s="3">
        <v>7.95</v>
      </c>
      <c r="S1091" s="3">
        <f>VLOOKUP(C1091,[1]page!$C$2:$M$3071,11,0)</f>
        <v>19.510000000000002</v>
      </c>
      <c r="T1091" s="6">
        <f t="shared" si="17"/>
        <v>7.9999999999998295E-2</v>
      </c>
    </row>
    <row r="1092" spans="1:20" x14ac:dyDescent="0.2">
      <c r="A1092" t="s">
        <v>3434</v>
      </c>
      <c r="B1092" t="s">
        <v>3435</v>
      </c>
      <c r="C1092" t="s">
        <v>3436</v>
      </c>
      <c r="D1092" t="s">
        <v>3437</v>
      </c>
      <c r="E1092" t="s">
        <v>3438</v>
      </c>
      <c r="F1092" t="s">
        <v>23</v>
      </c>
      <c r="G1092" s="1">
        <v>14</v>
      </c>
      <c r="H1092" s="1">
        <v>12</v>
      </c>
      <c r="I1092" t="s">
        <v>449</v>
      </c>
      <c r="K1092" t="s">
        <v>2828</v>
      </c>
      <c r="L1092" s="1">
        <v>1</v>
      </c>
      <c r="M1092" s="3">
        <v>15.03</v>
      </c>
      <c r="N1092" s="3">
        <v>0.75</v>
      </c>
      <c r="O1092" s="3">
        <v>0</v>
      </c>
      <c r="P1092" s="3">
        <v>0.2</v>
      </c>
      <c r="Q1092" s="3">
        <v>15.98</v>
      </c>
      <c r="R1092" s="3">
        <v>7.95</v>
      </c>
      <c r="S1092" s="3">
        <f>VLOOKUP(C1092,[1]page!$C$2:$M$3071,11,0)</f>
        <v>15</v>
      </c>
      <c r="T1092" s="6">
        <f t="shared" si="17"/>
        <v>2.9999999999999361E-2</v>
      </c>
    </row>
    <row r="1093" spans="1:20" x14ac:dyDescent="0.2">
      <c r="A1093" t="s">
        <v>3434</v>
      </c>
      <c r="B1093" t="s">
        <v>3439</v>
      </c>
      <c r="C1093" t="s">
        <v>3440</v>
      </c>
      <c r="D1093" t="s">
        <v>3441</v>
      </c>
      <c r="E1093" t="s">
        <v>3442</v>
      </c>
      <c r="F1093" t="s">
        <v>23</v>
      </c>
      <c r="G1093" s="1">
        <v>14</v>
      </c>
      <c r="H1093" s="1">
        <v>12</v>
      </c>
      <c r="I1093" t="s">
        <v>57</v>
      </c>
      <c r="K1093" t="s">
        <v>2828</v>
      </c>
      <c r="L1093" s="1">
        <v>1</v>
      </c>
      <c r="M1093" s="3">
        <v>14.02</v>
      </c>
      <c r="N1093" s="3">
        <v>0.7</v>
      </c>
      <c r="O1093" s="3">
        <v>0</v>
      </c>
      <c r="P1093" s="3">
        <v>0.2</v>
      </c>
      <c r="Q1093" s="3">
        <v>14.92</v>
      </c>
      <c r="R1093" s="3">
        <v>7.95</v>
      </c>
      <c r="S1093" s="3">
        <f>VLOOKUP(C1093,[1]page!$C$2:$M$3071,11,0)</f>
        <v>14</v>
      </c>
      <c r="T1093" s="6">
        <f t="shared" si="17"/>
        <v>1.9999999999999574E-2</v>
      </c>
    </row>
    <row r="1094" spans="1:20" x14ac:dyDescent="0.2">
      <c r="A1094" t="s">
        <v>3434</v>
      </c>
      <c r="B1094" t="s">
        <v>3443</v>
      </c>
      <c r="C1094" t="s">
        <v>3444</v>
      </c>
      <c r="D1094" t="s">
        <v>3445</v>
      </c>
      <c r="E1094" t="s">
        <v>3446</v>
      </c>
      <c r="F1094" t="s">
        <v>23</v>
      </c>
      <c r="G1094" s="2">
        <v>13.5</v>
      </c>
      <c r="H1094" s="1">
        <v>12</v>
      </c>
      <c r="I1094" t="s">
        <v>183</v>
      </c>
      <c r="K1094" t="s">
        <v>2828</v>
      </c>
      <c r="L1094" s="1">
        <v>1</v>
      </c>
      <c r="M1094" s="3">
        <v>12.45</v>
      </c>
      <c r="N1094" s="3">
        <v>0.62</v>
      </c>
      <c r="O1094" s="3">
        <v>0</v>
      </c>
      <c r="P1094" s="3">
        <v>0.2</v>
      </c>
      <c r="Q1094" s="3">
        <v>13.27</v>
      </c>
      <c r="R1094" s="3">
        <v>7.95</v>
      </c>
      <c r="S1094" s="3">
        <f>VLOOKUP(C1094,[1]page!$C$2:$M$3071,11,0)</f>
        <v>12.43</v>
      </c>
      <c r="T1094" s="6">
        <f t="shared" si="17"/>
        <v>1.9999999999999574E-2</v>
      </c>
    </row>
    <row r="1095" spans="1:20" x14ac:dyDescent="0.2">
      <c r="A1095" t="s">
        <v>3434</v>
      </c>
      <c r="B1095" t="s">
        <v>3447</v>
      </c>
      <c r="C1095" t="s">
        <v>3448</v>
      </c>
      <c r="D1095" t="s">
        <v>3449</v>
      </c>
      <c r="E1095" t="s">
        <v>3450</v>
      </c>
      <c r="F1095" t="s">
        <v>23</v>
      </c>
      <c r="G1095" s="1">
        <v>13</v>
      </c>
      <c r="H1095" s="1">
        <v>12</v>
      </c>
      <c r="I1095" t="s">
        <v>3451</v>
      </c>
      <c r="K1095" t="s">
        <v>2712</v>
      </c>
      <c r="L1095" s="1">
        <v>1</v>
      </c>
      <c r="M1095" s="3">
        <v>16.36</v>
      </c>
      <c r="N1095" s="3">
        <v>0.82</v>
      </c>
      <c r="O1095" s="3">
        <v>0</v>
      </c>
      <c r="P1095" s="3">
        <v>0.2</v>
      </c>
      <c r="Q1095" s="3">
        <v>17.38</v>
      </c>
      <c r="R1095" s="3">
        <v>7.95</v>
      </c>
      <c r="S1095" s="3">
        <f>VLOOKUP(C1095,[1]page!$C$2:$M$3071,11,0)</f>
        <v>16.36</v>
      </c>
      <c r="T1095" s="6">
        <f t="shared" si="17"/>
        <v>0</v>
      </c>
    </row>
    <row r="1096" spans="1:20" x14ac:dyDescent="0.2">
      <c r="A1096" t="s">
        <v>3452</v>
      </c>
      <c r="B1096" t="s">
        <v>3453</v>
      </c>
      <c r="C1096" t="s">
        <v>3454</v>
      </c>
      <c r="D1096" t="s">
        <v>3455</v>
      </c>
      <c r="E1096" t="s">
        <v>3446</v>
      </c>
      <c r="F1096" t="s">
        <v>23</v>
      </c>
      <c r="G1096" s="1">
        <v>13</v>
      </c>
      <c r="H1096" s="1">
        <v>12</v>
      </c>
      <c r="I1096" t="s">
        <v>183</v>
      </c>
      <c r="K1096" t="s">
        <v>2706</v>
      </c>
      <c r="L1096" s="1">
        <v>1</v>
      </c>
      <c r="M1096" s="3">
        <v>14.03</v>
      </c>
      <c r="N1096" s="3">
        <v>0.7</v>
      </c>
      <c r="O1096" s="3">
        <v>0</v>
      </c>
      <c r="P1096" s="3">
        <v>0.2</v>
      </c>
      <c r="Q1096" s="3">
        <v>14.93</v>
      </c>
      <c r="R1096" s="3">
        <v>7.95</v>
      </c>
      <c r="S1096" s="3">
        <f>VLOOKUP(C1096,[1]page!$C$2:$M$3071,11,0)</f>
        <v>14.01</v>
      </c>
      <c r="T1096" s="6">
        <f t="shared" si="17"/>
        <v>1.9999999999999574E-2</v>
      </c>
    </row>
    <row r="1097" spans="1:20" x14ac:dyDescent="0.2">
      <c r="A1097" t="s">
        <v>3456</v>
      </c>
      <c r="B1097" t="s">
        <v>3457</v>
      </c>
      <c r="C1097" t="s">
        <v>3458</v>
      </c>
      <c r="D1097" t="s">
        <v>3459</v>
      </c>
      <c r="E1097" t="s">
        <v>3446</v>
      </c>
      <c r="F1097" t="s">
        <v>23</v>
      </c>
      <c r="G1097" s="1">
        <v>14</v>
      </c>
      <c r="H1097" s="1">
        <v>12</v>
      </c>
      <c r="I1097" t="s">
        <v>183</v>
      </c>
      <c r="K1097" t="s">
        <v>2828</v>
      </c>
      <c r="L1097" s="1">
        <v>1</v>
      </c>
      <c r="M1097" s="3">
        <v>15.05</v>
      </c>
      <c r="N1097" s="3">
        <v>0.75</v>
      </c>
      <c r="O1097" s="3">
        <v>0</v>
      </c>
      <c r="P1097" s="3">
        <v>0.2</v>
      </c>
      <c r="Q1097" s="3">
        <v>16</v>
      </c>
      <c r="R1097" s="3">
        <v>7.95</v>
      </c>
      <c r="S1097" s="3">
        <f>VLOOKUP(C1097,[1]page!$C$2:$M$3071,11,0)</f>
        <v>15.03</v>
      </c>
      <c r="T1097" s="6">
        <f t="shared" si="17"/>
        <v>2.000000000000135E-2</v>
      </c>
    </row>
    <row r="1098" spans="1:20" x14ac:dyDescent="0.2">
      <c r="A1098" t="s">
        <v>3456</v>
      </c>
      <c r="B1098" t="s">
        <v>3460</v>
      </c>
      <c r="C1098" t="s">
        <v>3461</v>
      </c>
      <c r="D1098" t="s">
        <v>3462</v>
      </c>
      <c r="E1098" t="s">
        <v>3446</v>
      </c>
      <c r="F1098" t="s">
        <v>23</v>
      </c>
      <c r="G1098" s="1">
        <v>14</v>
      </c>
      <c r="H1098" s="1">
        <v>12</v>
      </c>
      <c r="I1098" t="s">
        <v>183</v>
      </c>
      <c r="K1098" t="s">
        <v>2828</v>
      </c>
      <c r="L1098" s="1">
        <v>1</v>
      </c>
      <c r="M1098" s="3">
        <v>15.05</v>
      </c>
      <c r="N1098" s="3">
        <v>0.75</v>
      </c>
      <c r="O1098" s="3">
        <v>0</v>
      </c>
      <c r="P1098" s="3">
        <v>0.2</v>
      </c>
      <c r="Q1098" s="3">
        <v>16</v>
      </c>
      <c r="R1098" s="3">
        <v>7.95</v>
      </c>
      <c r="S1098" s="3">
        <f>VLOOKUP(C1098,[1]page!$C$2:$M$3071,11,0)</f>
        <v>15.03</v>
      </c>
      <c r="T1098" s="6">
        <f t="shared" si="17"/>
        <v>2.000000000000135E-2</v>
      </c>
    </row>
    <row r="1099" spans="1:20" x14ac:dyDescent="0.2">
      <c r="A1099" t="s">
        <v>3456</v>
      </c>
      <c r="B1099" t="s">
        <v>3463</v>
      </c>
      <c r="C1099" t="s">
        <v>3464</v>
      </c>
      <c r="D1099" t="s">
        <v>3465</v>
      </c>
      <c r="E1099" t="s">
        <v>3466</v>
      </c>
      <c r="F1099" t="s">
        <v>23</v>
      </c>
      <c r="G1099" s="2">
        <v>13.5</v>
      </c>
      <c r="H1099" s="1">
        <v>12</v>
      </c>
      <c r="I1099" t="s">
        <v>397</v>
      </c>
      <c r="K1099" t="s">
        <v>2828</v>
      </c>
      <c r="L1099" s="1">
        <v>1</v>
      </c>
      <c r="M1099" s="3">
        <v>11.58</v>
      </c>
      <c r="N1099" s="3">
        <v>0.57999999999999996</v>
      </c>
      <c r="O1099" s="3">
        <v>0</v>
      </c>
      <c r="P1099" s="3">
        <v>0.2</v>
      </c>
      <c r="Q1099" s="3">
        <v>12.36</v>
      </c>
      <c r="R1099" s="3">
        <v>7.95</v>
      </c>
      <c r="S1099" s="3">
        <f>VLOOKUP(C1099,[1]page!$C$2:$M$3071,11,0)</f>
        <v>11.55</v>
      </c>
      <c r="T1099" s="6">
        <f t="shared" si="17"/>
        <v>2.9999999999999361E-2</v>
      </c>
    </row>
    <row r="1100" spans="1:20" x14ac:dyDescent="0.2">
      <c r="A1100" t="s">
        <v>3467</v>
      </c>
      <c r="B1100" t="s">
        <v>3468</v>
      </c>
      <c r="C1100" t="s">
        <v>3469</v>
      </c>
      <c r="D1100" t="s">
        <v>3470</v>
      </c>
      <c r="E1100" t="s">
        <v>3466</v>
      </c>
      <c r="F1100" t="s">
        <v>23</v>
      </c>
      <c r="G1100" s="2">
        <v>13.5</v>
      </c>
      <c r="H1100" s="1">
        <v>12</v>
      </c>
      <c r="I1100" t="s">
        <v>397</v>
      </c>
      <c r="K1100" t="s">
        <v>2828</v>
      </c>
      <c r="L1100" s="1">
        <v>1</v>
      </c>
      <c r="M1100" s="3">
        <v>11.58</v>
      </c>
      <c r="N1100" s="3">
        <v>0.57999999999999996</v>
      </c>
      <c r="O1100" s="3">
        <v>0</v>
      </c>
      <c r="P1100" s="3">
        <v>0.2</v>
      </c>
      <c r="Q1100" s="3">
        <v>12.36</v>
      </c>
      <c r="R1100" s="3">
        <v>7.95</v>
      </c>
      <c r="S1100" s="3">
        <f>VLOOKUP(C1100,[1]page!$C$2:$M$3071,11,0)</f>
        <v>11.55</v>
      </c>
      <c r="T1100" s="6">
        <f t="shared" si="17"/>
        <v>2.9999999999999361E-2</v>
      </c>
    </row>
    <row r="1101" spans="1:20" x14ac:dyDescent="0.2">
      <c r="A1101" t="s">
        <v>3471</v>
      </c>
      <c r="B1101" t="s">
        <v>3472</v>
      </c>
      <c r="C1101" t="s">
        <v>3473</v>
      </c>
      <c r="D1101" t="s">
        <v>3474</v>
      </c>
      <c r="E1101" t="s">
        <v>3475</v>
      </c>
      <c r="F1101" t="s">
        <v>23</v>
      </c>
      <c r="G1101" s="2">
        <v>12.5</v>
      </c>
      <c r="H1101" s="1">
        <v>12</v>
      </c>
      <c r="I1101" t="s">
        <v>183</v>
      </c>
      <c r="K1101" t="s">
        <v>2828</v>
      </c>
      <c r="L1101" s="1">
        <v>1</v>
      </c>
      <c r="M1101" s="3">
        <v>11.06</v>
      </c>
      <c r="N1101" s="3">
        <v>0.55000000000000004</v>
      </c>
      <c r="O1101" s="3">
        <v>0</v>
      </c>
      <c r="P1101" s="3">
        <v>0.2</v>
      </c>
      <c r="Q1101" s="3">
        <v>11.81</v>
      </c>
      <c r="R1101" s="3">
        <v>7.95</v>
      </c>
      <c r="S1101" s="3">
        <f>VLOOKUP(C1101,[1]page!$C$2:$M$3071,11,0)</f>
        <v>11.04</v>
      </c>
      <c r="T1101" s="6">
        <f t="shared" si="17"/>
        <v>2.000000000000135E-2</v>
      </c>
    </row>
    <row r="1102" spans="1:20" x14ac:dyDescent="0.2">
      <c r="A1102" t="s">
        <v>3476</v>
      </c>
      <c r="B1102" t="s">
        <v>3477</v>
      </c>
      <c r="C1102" t="s">
        <v>3478</v>
      </c>
      <c r="D1102" t="s">
        <v>3479</v>
      </c>
      <c r="E1102" t="s">
        <v>3480</v>
      </c>
      <c r="F1102" t="s">
        <v>23</v>
      </c>
      <c r="G1102" s="2">
        <v>13.7</v>
      </c>
      <c r="H1102" s="1">
        <v>12</v>
      </c>
      <c r="I1102" t="s">
        <v>3481</v>
      </c>
      <c r="K1102" t="s">
        <v>2828</v>
      </c>
      <c r="L1102" s="1">
        <v>1</v>
      </c>
      <c r="M1102" s="3">
        <v>18.64</v>
      </c>
      <c r="N1102" s="3">
        <v>0.93</v>
      </c>
      <c r="O1102" s="3">
        <v>0</v>
      </c>
      <c r="P1102" s="3">
        <v>0.2</v>
      </c>
      <c r="Q1102" s="3">
        <v>19.77</v>
      </c>
      <c r="R1102" s="3">
        <v>7.95</v>
      </c>
      <c r="S1102" s="3">
        <f>VLOOKUP(C1102,[1]page!$C$2:$M$3071,11,0)</f>
        <v>18.62</v>
      </c>
      <c r="T1102" s="6">
        <f t="shared" si="17"/>
        <v>1.9999999999999574E-2</v>
      </c>
    </row>
    <row r="1103" spans="1:20" x14ac:dyDescent="0.2">
      <c r="A1103" t="s">
        <v>3476</v>
      </c>
      <c r="B1103" t="s">
        <v>3482</v>
      </c>
      <c r="C1103" t="s">
        <v>3483</v>
      </c>
      <c r="D1103" t="s">
        <v>3484</v>
      </c>
      <c r="E1103" t="s">
        <v>3485</v>
      </c>
      <c r="F1103" t="s">
        <v>23</v>
      </c>
      <c r="G1103" s="2">
        <v>13.5</v>
      </c>
      <c r="H1103" s="1">
        <v>12</v>
      </c>
      <c r="I1103" t="s">
        <v>3486</v>
      </c>
      <c r="K1103" t="s">
        <v>2828</v>
      </c>
      <c r="L1103" s="1">
        <v>1</v>
      </c>
      <c r="M1103" s="3">
        <v>14.16</v>
      </c>
      <c r="N1103" s="3">
        <v>0.71</v>
      </c>
      <c r="O1103" s="3">
        <v>0</v>
      </c>
      <c r="P1103" s="3">
        <v>0.2</v>
      </c>
      <c r="Q1103" s="3">
        <v>15.07</v>
      </c>
      <c r="R1103" s="3">
        <v>7.95</v>
      </c>
      <c r="S1103" s="3">
        <f>VLOOKUP(C1103,[1]page!$C$2:$M$3071,11,0)</f>
        <v>14.14</v>
      </c>
      <c r="T1103" s="6">
        <f t="shared" si="17"/>
        <v>1.9999999999999574E-2</v>
      </c>
    </row>
    <row r="1104" spans="1:20" x14ac:dyDescent="0.2">
      <c r="A1104" t="s">
        <v>3476</v>
      </c>
      <c r="B1104" t="s">
        <v>3487</v>
      </c>
      <c r="C1104" t="s">
        <v>3488</v>
      </c>
      <c r="D1104" t="s">
        <v>3489</v>
      </c>
      <c r="E1104" t="s">
        <v>3490</v>
      </c>
      <c r="F1104" t="s">
        <v>23</v>
      </c>
      <c r="G1104" s="2">
        <v>13.5</v>
      </c>
      <c r="H1104" s="1">
        <v>12</v>
      </c>
      <c r="I1104" t="s">
        <v>1604</v>
      </c>
      <c r="K1104" t="s">
        <v>2828</v>
      </c>
      <c r="L1104" s="1">
        <v>1</v>
      </c>
      <c r="M1104" s="3">
        <v>14.16</v>
      </c>
      <c r="N1104" s="3">
        <v>0.71</v>
      </c>
      <c r="O1104" s="3">
        <v>0</v>
      </c>
      <c r="P1104" s="3">
        <v>0.2</v>
      </c>
      <c r="Q1104" s="3">
        <v>15.07</v>
      </c>
      <c r="R1104" s="3">
        <v>7.95</v>
      </c>
      <c r="S1104" s="3">
        <f>VLOOKUP(C1104,[1]page!$C$2:$M$3071,11,0)</f>
        <v>14.14</v>
      </c>
      <c r="T1104" s="6">
        <f t="shared" si="17"/>
        <v>1.9999999999999574E-2</v>
      </c>
    </row>
    <row r="1105" spans="1:20" x14ac:dyDescent="0.2">
      <c r="A1105" t="s">
        <v>3476</v>
      </c>
      <c r="B1105" t="s">
        <v>3491</v>
      </c>
      <c r="C1105" t="s">
        <v>3492</v>
      </c>
      <c r="D1105" t="s">
        <v>3493</v>
      </c>
      <c r="E1105" t="s">
        <v>2077</v>
      </c>
      <c r="F1105" t="s">
        <v>23</v>
      </c>
      <c r="G1105" s="2">
        <v>13.5</v>
      </c>
      <c r="H1105" s="1">
        <v>12</v>
      </c>
      <c r="I1105" t="s">
        <v>1604</v>
      </c>
      <c r="K1105" t="s">
        <v>2828</v>
      </c>
      <c r="L1105" s="1">
        <v>1</v>
      </c>
      <c r="M1105" s="3">
        <v>15.16</v>
      </c>
      <c r="N1105" s="3">
        <v>0.76</v>
      </c>
      <c r="O1105" s="3">
        <v>0</v>
      </c>
      <c r="P1105" s="3">
        <v>0.2</v>
      </c>
      <c r="Q1105" s="3">
        <v>16.12</v>
      </c>
      <c r="R1105" s="3">
        <v>7.95</v>
      </c>
      <c r="S1105" s="3">
        <f>VLOOKUP(C1105,[1]page!$C$2:$M$3071,11,0)</f>
        <v>15.14</v>
      </c>
      <c r="T1105" s="6">
        <f t="shared" si="17"/>
        <v>1.9999999999999574E-2</v>
      </c>
    </row>
    <row r="1106" spans="1:20" x14ac:dyDescent="0.2">
      <c r="A1106" t="s">
        <v>3476</v>
      </c>
      <c r="B1106" t="s">
        <v>3494</v>
      </c>
      <c r="C1106" t="s">
        <v>3495</v>
      </c>
      <c r="D1106" t="s">
        <v>3496</v>
      </c>
      <c r="E1106" t="s">
        <v>3497</v>
      </c>
      <c r="F1106" t="s">
        <v>23</v>
      </c>
      <c r="G1106" s="2">
        <v>13.5</v>
      </c>
      <c r="H1106" s="1">
        <v>12</v>
      </c>
      <c r="I1106" t="s">
        <v>3498</v>
      </c>
      <c r="K1106" t="s">
        <v>2828</v>
      </c>
      <c r="L1106" s="1">
        <v>1</v>
      </c>
      <c r="M1106" s="3">
        <v>24.75</v>
      </c>
      <c r="N1106" s="3">
        <v>1.24</v>
      </c>
      <c r="O1106" s="3">
        <v>0</v>
      </c>
      <c r="P1106" s="3">
        <v>0.2</v>
      </c>
      <c r="Q1106" s="3">
        <v>26.19</v>
      </c>
      <c r="R1106" s="3">
        <v>7.95</v>
      </c>
      <c r="S1106" s="3">
        <f>VLOOKUP(C1106,[1]page!$C$2:$M$3071,11,0)</f>
        <v>24.75</v>
      </c>
      <c r="T1106" s="6">
        <f t="shared" si="17"/>
        <v>0</v>
      </c>
    </row>
    <row r="1107" spans="1:20" x14ac:dyDescent="0.2">
      <c r="A1107" t="s">
        <v>3476</v>
      </c>
      <c r="B1107" t="s">
        <v>3499</v>
      </c>
      <c r="C1107" t="s">
        <v>3500</v>
      </c>
      <c r="D1107" t="s">
        <v>3501</v>
      </c>
      <c r="E1107" t="s">
        <v>3485</v>
      </c>
      <c r="F1107" t="s">
        <v>23</v>
      </c>
      <c r="G1107" s="2">
        <v>13.5</v>
      </c>
      <c r="H1107" s="1">
        <v>12</v>
      </c>
      <c r="I1107" t="s">
        <v>3498</v>
      </c>
      <c r="K1107" t="s">
        <v>2828</v>
      </c>
      <c r="L1107" s="1">
        <v>1</v>
      </c>
      <c r="M1107" s="3">
        <v>22.1</v>
      </c>
      <c r="N1107" s="3">
        <v>1.1100000000000001</v>
      </c>
      <c r="O1107" s="3">
        <v>0</v>
      </c>
      <c r="P1107" s="3">
        <v>0.2</v>
      </c>
      <c r="Q1107" s="3">
        <v>23.41</v>
      </c>
      <c r="R1107" s="3">
        <v>7.95</v>
      </c>
      <c r="S1107" s="3">
        <f>VLOOKUP(C1107,[1]page!$C$2:$M$3071,11,0)</f>
        <v>22.09</v>
      </c>
      <c r="T1107" s="6">
        <f t="shared" si="17"/>
        <v>1.0000000000001563E-2</v>
      </c>
    </row>
    <row r="1108" spans="1:20" x14ac:dyDescent="0.2">
      <c r="A1108" t="s">
        <v>3476</v>
      </c>
      <c r="B1108" t="s">
        <v>3502</v>
      </c>
      <c r="C1108" t="s">
        <v>3503</v>
      </c>
      <c r="D1108" t="s">
        <v>3504</v>
      </c>
      <c r="E1108" t="s">
        <v>3480</v>
      </c>
      <c r="F1108" t="s">
        <v>23</v>
      </c>
      <c r="G1108" s="2">
        <v>12.8</v>
      </c>
      <c r="H1108" s="1">
        <v>12</v>
      </c>
      <c r="I1108" t="s">
        <v>3505</v>
      </c>
      <c r="K1108" t="s">
        <v>2828</v>
      </c>
      <c r="L1108" s="1">
        <v>1</v>
      </c>
      <c r="M1108" s="3">
        <v>12.92</v>
      </c>
      <c r="N1108" s="3">
        <v>0.65</v>
      </c>
      <c r="O1108" s="3">
        <v>0</v>
      </c>
      <c r="P1108" s="3">
        <v>0.2</v>
      </c>
      <c r="Q1108" s="3">
        <v>13.77</v>
      </c>
      <c r="R1108" s="3">
        <v>7.95</v>
      </c>
      <c r="S1108" s="3">
        <f>VLOOKUP(C1108,[1]page!$C$2:$M$3071,11,0)</f>
        <v>12.89</v>
      </c>
      <c r="T1108" s="6">
        <f t="shared" si="17"/>
        <v>2.9999999999999361E-2</v>
      </c>
    </row>
    <row r="1109" spans="1:20" x14ac:dyDescent="0.2">
      <c r="A1109" t="s">
        <v>3476</v>
      </c>
      <c r="B1109" t="s">
        <v>3506</v>
      </c>
      <c r="C1109" t="s">
        <v>3507</v>
      </c>
      <c r="D1109" t="s">
        <v>3508</v>
      </c>
      <c r="E1109" t="s">
        <v>3509</v>
      </c>
      <c r="F1109" t="s">
        <v>23</v>
      </c>
      <c r="G1109" s="1">
        <v>14</v>
      </c>
      <c r="H1109" s="1">
        <v>12</v>
      </c>
      <c r="I1109" t="s">
        <v>257</v>
      </c>
      <c r="K1109" t="s">
        <v>2828</v>
      </c>
      <c r="L1109" s="1">
        <v>1</v>
      </c>
      <c r="M1109" s="3">
        <v>14.73</v>
      </c>
      <c r="N1109" s="3">
        <v>0.74</v>
      </c>
      <c r="O1109" s="3">
        <v>0</v>
      </c>
      <c r="P1109" s="3">
        <v>0.2</v>
      </c>
      <c r="Q1109" s="3">
        <v>15.67</v>
      </c>
      <c r="R1109" s="3">
        <v>7.95</v>
      </c>
      <c r="S1109" s="3">
        <f>VLOOKUP(C1109,[1]page!$C$2:$M$3071,11,0)</f>
        <v>14.71</v>
      </c>
      <c r="T1109" s="6">
        <f t="shared" si="17"/>
        <v>1.9999999999999574E-2</v>
      </c>
    </row>
    <row r="1110" spans="1:20" x14ac:dyDescent="0.2">
      <c r="A1110" t="s">
        <v>3476</v>
      </c>
      <c r="B1110" t="s">
        <v>3510</v>
      </c>
      <c r="C1110" t="s">
        <v>3511</v>
      </c>
      <c r="D1110" t="s">
        <v>3512</v>
      </c>
      <c r="E1110" t="s">
        <v>3513</v>
      </c>
      <c r="F1110" t="s">
        <v>23</v>
      </c>
      <c r="G1110" s="2">
        <v>12.9</v>
      </c>
      <c r="H1110" s="1">
        <v>12</v>
      </c>
      <c r="I1110" t="s">
        <v>70</v>
      </c>
      <c r="K1110" t="s">
        <v>2828</v>
      </c>
      <c r="L1110" s="1">
        <v>1</v>
      </c>
      <c r="M1110" s="3">
        <v>11.99</v>
      </c>
      <c r="N1110" s="3">
        <v>0.6</v>
      </c>
      <c r="O1110" s="3">
        <v>0</v>
      </c>
      <c r="P1110" s="3">
        <v>0.2</v>
      </c>
      <c r="Q1110" s="3">
        <v>12.79</v>
      </c>
      <c r="R1110" s="3">
        <v>7.95</v>
      </c>
      <c r="S1110" s="3">
        <f>VLOOKUP(C1110,[1]page!$C$2:$M$3071,11,0)</f>
        <v>11.99</v>
      </c>
      <c r="T1110" s="6">
        <f t="shared" si="17"/>
        <v>0</v>
      </c>
    </row>
    <row r="1111" spans="1:20" x14ac:dyDescent="0.2">
      <c r="A1111" t="s">
        <v>3476</v>
      </c>
      <c r="B1111" t="s">
        <v>3514</v>
      </c>
      <c r="C1111" t="s">
        <v>3515</v>
      </c>
      <c r="D1111" t="s">
        <v>3516</v>
      </c>
      <c r="E1111" t="s">
        <v>3438</v>
      </c>
      <c r="F1111" t="s">
        <v>23</v>
      </c>
      <c r="G1111" s="1">
        <v>13</v>
      </c>
      <c r="H1111" s="1">
        <v>12</v>
      </c>
      <c r="I1111" t="s">
        <v>2179</v>
      </c>
      <c r="K1111" t="s">
        <v>2828</v>
      </c>
      <c r="L1111" s="1">
        <v>1</v>
      </c>
      <c r="M1111" s="3">
        <v>14.03</v>
      </c>
      <c r="N1111" s="3">
        <v>0.7</v>
      </c>
      <c r="O1111" s="3">
        <v>0</v>
      </c>
      <c r="P1111" s="3">
        <v>0.2</v>
      </c>
      <c r="Q1111" s="3">
        <v>14.93</v>
      </c>
      <c r="R1111" s="3">
        <v>7.95</v>
      </c>
      <c r="S1111" s="3">
        <f>VLOOKUP(C1111,[1]page!$C$2:$M$3071,11,0)</f>
        <v>14.01</v>
      </c>
      <c r="T1111" s="6">
        <f t="shared" si="17"/>
        <v>1.9999999999999574E-2</v>
      </c>
    </row>
    <row r="1112" spans="1:20" x14ac:dyDescent="0.2">
      <c r="A1112" t="s">
        <v>3476</v>
      </c>
      <c r="B1112" t="s">
        <v>3517</v>
      </c>
      <c r="C1112" t="s">
        <v>3518</v>
      </c>
      <c r="D1112" t="s">
        <v>3519</v>
      </c>
      <c r="E1112" t="s">
        <v>3520</v>
      </c>
      <c r="F1112" t="s">
        <v>23</v>
      </c>
      <c r="G1112" s="2">
        <v>14.5</v>
      </c>
      <c r="H1112" s="1">
        <v>12</v>
      </c>
      <c r="I1112" t="s">
        <v>188</v>
      </c>
      <c r="K1112" t="s">
        <v>2828</v>
      </c>
      <c r="L1112" s="1">
        <v>1</v>
      </c>
      <c r="M1112" s="3">
        <v>15.04</v>
      </c>
      <c r="N1112" s="3">
        <v>0.75</v>
      </c>
      <c r="O1112" s="3">
        <v>0</v>
      </c>
      <c r="P1112" s="3">
        <v>0.2</v>
      </c>
      <c r="Q1112" s="3">
        <v>15.99</v>
      </c>
      <c r="R1112" s="3">
        <v>7.95</v>
      </c>
      <c r="S1112" s="3">
        <f>VLOOKUP(C1112,[1]page!$C$2:$M$3071,11,0)</f>
        <v>15.02</v>
      </c>
      <c r="T1112" s="6">
        <f t="shared" si="17"/>
        <v>1.9999999999999574E-2</v>
      </c>
    </row>
    <row r="1113" spans="1:20" x14ac:dyDescent="0.2">
      <c r="A1113" t="s">
        <v>3476</v>
      </c>
      <c r="B1113" t="s">
        <v>3521</v>
      </c>
      <c r="C1113" t="s">
        <v>3522</v>
      </c>
      <c r="D1113" t="s">
        <v>3523</v>
      </c>
      <c r="E1113" t="s">
        <v>3446</v>
      </c>
      <c r="F1113" t="s">
        <v>23</v>
      </c>
      <c r="G1113" s="1">
        <v>14</v>
      </c>
      <c r="H1113" s="1">
        <v>12</v>
      </c>
      <c r="I1113" t="s">
        <v>183</v>
      </c>
      <c r="K1113" t="s">
        <v>2687</v>
      </c>
      <c r="L1113" s="1">
        <v>1</v>
      </c>
      <c r="M1113" s="3">
        <v>15.05</v>
      </c>
      <c r="N1113" s="3">
        <v>0.75</v>
      </c>
      <c r="O1113" s="3">
        <v>0</v>
      </c>
      <c r="P1113" s="3">
        <v>0.2</v>
      </c>
      <c r="Q1113" s="3">
        <v>16</v>
      </c>
      <c r="R1113" s="3">
        <v>7.95</v>
      </c>
      <c r="S1113" s="3">
        <f>VLOOKUP(C1113,[1]page!$C$2:$M$3071,11,0)</f>
        <v>15.02</v>
      </c>
      <c r="T1113" s="6">
        <f t="shared" si="17"/>
        <v>3.0000000000001137E-2</v>
      </c>
    </row>
    <row r="1114" spans="1:20" x14ac:dyDescent="0.2">
      <c r="A1114" t="s">
        <v>3476</v>
      </c>
      <c r="B1114" t="s">
        <v>3524</v>
      </c>
      <c r="C1114" t="s">
        <v>3525</v>
      </c>
      <c r="D1114" t="s">
        <v>3526</v>
      </c>
      <c r="E1114" t="s">
        <v>3527</v>
      </c>
      <c r="F1114" t="s">
        <v>23</v>
      </c>
      <c r="G1114" s="2">
        <v>14.5</v>
      </c>
      <c r="H1114" s="1">
        <v>12</v>
      </c>
      <c r="I1114" t="s">
        <v>600</v>
      </c>
      <c r="K1114" t="s">
        <v>2828</v>
      </c>
      <c r="L1114" s="1">
        <v>1</v>
      </c>
      <c r="M1114" s="3">
        <v>23.28</v>
      </c>
      <c r="N1114" s="3">
        <v>1.1599999999999999</v>
      </c>
      <c r="O1114" s="3">
        <v>0</v>
      </c>
      <c r="P1114" s="3">
        <v>0.2</v>
      </c>
      <c r="Q1114" s="3">
        <v>24.64</v>
      </c>
      <c r="R1114" s="3">
        <v>7.95</v>
      </c>
      <c r="S1114" s="3">
        <f>VLOOKUP(C1114,[1]page!$C$2:$M$3071,11,0)</f>
        <v>23.27</v>
      </c>
      <c r="T1114" s="6">
        <f t="shared" si="17"/>
        <v>1.0000000000001563E-2</v>
      </c>
    </row>
    <row r="1115" spans="1:20" x14ac:dyDescent="0.2">
      <c r="A1115" t="s">
        <v>3476</v>
      </c>
      <c r="B1115" t="s">
        <v>3528</v>
      </c>
      <c r="C1115" t="s">
        <v>3529</v>
      </c>
      <c r="D1115" t="s">
        <v>3530</v>
      </c>
      <c r="E1115" t="s">
        <v>3531</v>
      </c>
      <c r="F1115" t="s">
        <v>23</v>
      </c>
      <c r="G1115" s="2">
        <v>13.7</v>
      </c>
      <c r="H1115" s="1">
        <v>12</v>
      </c>
      <c r="I1115" t="s">
        <v>728</v>
      </c>
      <c r="K1115" t="s">
        <v>2828</v>
      </c>
      <c r="L1115" s="1">
        <v>1</v>
      </c>
      <c r="M1115" s="3">
        <v>19.87</v>
      </c>
      <c r="N1115" s="3">
        <v>0.99</v>
      </c>
      <c r="O1115" s="3">
        <v>0</v>
      </c>
      <c r="P1115" s="3">
        <v>0.2</v>
      </c>
      <c r="Q1115" s="3">
        <v>21.06</v>
      </c>
      <c r="R1115" s="3">
        <v>7.95</v>
      </c>
      <c r="S1115" s="3">
        <f>VLOOKUP(C1115,[1]page!$C$2:$M$3071,11,0)</f>
        <v>19.850000000000001</v>
      </c>
      <c r="T1115" s="6">
        <f t="shared" si="17"/>
        <v>1.9999999999999574E-2</v>
      </c>
    </row>
    <row r="1116" spans="1:20" x14ac:dyDescent="0.2">
      <c r="A1116" t="s">
        <v>3476</v>
      </c>
      <c r="B1116" t="s">
        <v>3532</v>
      </c>
      <c r="C1116" t="s">
        <v>3533</v>
      </c>
      <c r="D1116" t="s">
        <v>3534</v>
      </c>
      <c r="E1116" t="s">
        <v>3531</v>
      </c>
      <c r="F1116" t="s">
        <v>23</v>
      </c>
      <c r="G1116" s="1">
        <v>12</v>
      </c>
      <c r="H1116" s="1">
        <v>12</v>
      </c>
      <c r="I1116" t="s">
        <v>728</v>
      </c>
      <c r="K1116" t="s">
        <v>2828</v>
      </c>
      <c r="L1116" s="1">
        <v>1</v>
      </c>
      <c r="M1116" s="3">
        <v>22.88</v>
      </c>
      <c r="N1116" s="3">
        <v>1.1399999999999999</v>
      </c>
      <c r="O1116" s="3">
        <v>0</v>
      </c>
      <c r="P1116" s="3">
        <v>0.2</v>
      </c>
      <c r="Q1116" s="3">
        <v>24.22</v>
      </c>
      <c r="R1116" s="3">
        <v>7.95</v>
      </c>
      <c r="S1116" s="3">
        <f>VLOOKUP(C1116,[1]page!$C$2:$M$3071,11,0)</f>
        <v>22.86</v>
      </c>
      <c r="T1116" s="6">
        <f t="shared" si="17"/>
        <v>1.9999999999999574E-2</v>
      </c>
    </row>
    <row r="1117" spans="1:20" x14ac:dyDescent="0.2">
      <c r="A1117" t="s">
        <v>3476</v>
      </c>
      <c r="B1117" t="s">
        <v>3535</v>
      </c>
      <c r="C1117" t="s">
        <v>3536</v>
      </c>
      <c r="D1117" t="s">
        <v>3537</v>
      </c>
      <c r="E1117" t="s">
        <v>3538</v>
      </c>
      <c r="F1117" t="s">
        <v>23</v>
      </c>
      <c r="G1117" s="1">
        <v>14</v>
      </c>
      <c r="H1117" s="1">
        <v>12</v>
      </c>
      <c r="I1117" t="s">
        <v>600</v>
      </c>
      <c r="K1117" t="s">
        <v>2828</v>
      </c>
      <c r="L1117" s="1">
        <v>1</v>
      </c>
      <c r="M1117" s="3">
        <v>15.34</v>
      </c>
      <c r="N1117" s="3">
        <v>0.77</v>
      </c>
      <c r="O1117" s="3">
        <v>0</v>
      </c>
      <c r="P1117" s="3">
        <v>0.2</v>
      </c>
      <c r="Q1117" s="3">
        <v>16.309999999999999</v>
      </c>
      <c r="R1117" s="3">
        <v>7.95</v>
      </c>
      <c r="S1117" s="3">
        <f>VLOOKUP(C1117,[1]page!$C$2:$M$3071,11,0)</f>
        <v>15.32</v>
      </c>
      <c r="T1117" s="6">
        <f t="shared" si="17"/>
        <v>1.9999999999999574E-2</v>
      </c>
    </row>
    <row r="1118" spans="1:20" x14ac:dyDescent="0.2">
      <c r="A1118" t="s">
        <v>3476</v>
      </c>
      <c r="B1118" t="s">
        <v>3539</v>
      </c>
      <c r="C1118" t="s">
        <v>3540</v>
      </c>
      <c r="D1118" t="s">
        <v>3541</v>
      </c>
      <c r="E1118" t="s">
        <v>3538</v>
      </c>
      <c r="F1118" t="s">
        <v>23</v>
      </c>
      <c r="G1118" s="1">
        <v>14</v>
      </c>
      <c r="H1118" s="1">
        <v>12</v>
      </c>
      <c r="I1118" t="s">
        <v>600</v>
      </c>
      <c r="K1118" t="s">
        <v>2828</v>
      </c>
      <c r="L1118" s="1">
        <v>1</v>
      </c>
      <c r="M1118" s="3">
        <v>10.039999999999999</v>
      </c>
      <c r="N1118" s="3">
        <v>0.5</v>
      </c>
      <c r="O1118" s="3">
        <v>0</v>
      </c>
      <c r="P1118" s="3">
        <v>0.2</v>
      </c>
      <c r="Q1118" s="3">
        <v>10.74</v>
      </c>
      <c r="R1118" s="3">
        <v>7.95</v>
      </c>
      <c r="S1118" s="3">
        <f>VLOOKUP(C1118,[1]page!$C$2:$M$3071,11,0)</f>
        <v>10.02</v>
      </c>
      <c r="T1118" s="6">
        <f t="shared" si="17"/>
        <v>1.9999999999999574E-2</v>
      </c>
    </row>
    <row r="1119" spans="1:20" x14ac:dyDescent="0.2">
      <c r="A1119" t="s">
        <v>3476</v>
      </c>
      <c r="B1119" t="s">
        <v>3542</v>
      </c>
      <c r="C1119" t="s">
        <v>3543</v>
      </c>
      <c r="D1119" t="s">
        <v>3544</v>
      </c>
      <c r="E1119" t="s">
        <v>3438</v>
      </c>
      <c r="F1119" t="s">
        <v>23</v>
      </c>
      <c r="G1119" s="2">
        <v>13.5</v>
      </c>
      <c r="H1119" s="1">
        <v>12</v>
      </c>
      <c r="I1119" t="s">
        <v>2179</v>
      </c>
      <c r="K1119" t="s">
        <v>2828</v>
      </c>
      <c r="L1119" s="1">
        <v>1</v>
      </c>
      <c r="M1119" s="3">
        <v>14.03</v>
      </c>
      <c r="N1119" s="3">
        <v>0.7</v>
      </c>
      <c r="O1119" s="3">
        <v>0</v>
      </c>
      <c r="P1119" s="3">
        <v>0.2</v>
      </c>
      <c r="Q1119" s="3">
        <v>14.93</v>
      </c>
      <c r="R1119" s="3">
        <v>7.95</v>
      </c>
      <c r="S1119" s="3">
        <f>VLOOKUP(C1119,[1]page!$C$2:$M$3071,11,0)</f>
        <v>14.01</v>
      </c>
      <c r="T1119" s="6">
        <f t="shared" si="17"/>
        <v>1.9999999999999574E-2</v>
      </c>
    </row>
    <row r="1120" spans="1:20" x14ac:dyDescent="0.2">
      <c r="A1120" t="s">
        <v>3476</v>
      </c>
      <c r="B1120" t="s">
        <v>3545</v>
      </c>
      <c r="C1120" t="s">
        <v>3546</v>
      </c>
      <c r="D1120" t="s">
        <v>3547</v>
      </c>
      <c r="E1120" t="s">
        <v>3438</v>
      </c>
      <c r="F1120" t="s">
        <v>23</v>
      </c>
      <c r="G1120" s="2">
        <v>13.5</v>
      </c>
      <c r="H1120" s="1">
        <v>12</v>
      </c>
      <c r="I1120" t="s">
        <v>2179</v>
      </c>
      <c r="K1120" t="s">
        <v>2828</v>
      </c>
      <c r="L1120" s="1">
        <v>1</v>
      </c>
      <c r="M1120" s="3">
        <v>17.53</v>
      </c>
      <c r="N1120" s="3">
        <v>0.88</v>
      </c>
      <c r="O1120" s="3">
        <v>0</v>
      </c>
      <c r="P1120" s="3">
        <v>0.2</v>
      </c>
      <c r="Q1120" s="3">
        <v>18.61</v>
      </c>
      <c r="R1120" s="3">
        <v>7.95</v>
      </c>
      <c r="S1120" s="3">
        <f>VLOOKUP(C1120,[1]page!$C$2:$M$3071,11,0)</f>
        <v>17.510000000000002</v>
      </c>
      <c r="T1120" s="6">
        <f t="shared" si="17"/>
        <v>1.9999999999999574E-2</v>
      </c>
    </row>
    <row r="1121" spans="1:20" x14ac:dyDescent="0.2">
      <c r="A1121" t="s">
        <v>3476</v>
      </c>
      <c r="B1121" t="s">
        <v>3548</v>
      </c>
      <c r="C1121" t="s">
        <v>3549</v>
      </c>
      <c r="D1121" t="s">
        <v>3550</v>
      </c>
      <c r="E1121" t="s">
        <v>3446</v>
      </c>
      <c r="F1121" t="s">
        <v>23</v>
      </c>
      <c r="G1121" s="2">
        <v>13.5</v>
      </c>
      <c r="H1121" s="1">
        <v>12</v>
      </c>
      <c r="I1121" t="s">
        <v>183</v>
      </c>
      <c r="K1121" t="s">
        <v>2828</v>
      </c>
      <c r="L1121" s="1">
        <v>1</v>
      </c>
      <c r="M1121" s="3">
        <v>11.06</v>
      </c>
      <c r="N1121" s="3">
        <v>0.55000000000000004</v>
      </c>
      <c r="O1121" s="3">
        <v>0</v>
      </c>
      <c r="P1121" s="3">
        <v>0.2</v>
      </c>
      <c r="Q1121" s="3">
        <v>11.81</v>
      </c>
      <c r="R1121" s="3">
        <v>7.95</v>
      </c>
      <c r="S1121" s="3">
        <f>VLOOKUP(C1121,[1]page!$C$2:$M$3071,11,0)</f>
        <v>11.04</v>
      </c>
      <c r="T1121" s="6">
        <f t="shared" si="17"/>
        <v>2.000000000000135E-2</v>
      </c>
    </row>
    <row r="1122" spans="1:20" x14ac:dyDescent="0.2">
      <c r="A1122" t="s">
        <v>3476</v>
      </c>
      <c r="B1122" t="s">
        <v>3551</v>
      </c>
      <c r="C1122" t="s">
        <v>3552</v>
      </c>
      <c r="D1122" t="s">
        <v>3553</v>
      </c>
      <c r="E1122" t="s">
        <v>3475</v>
      </c>
      <c r="F1122" t="s">
        <v>23</v>
      </c>
      <c r="G1122" s="1">
        <v>13</v>
      </c>
      <c r="H1122" s="1">
        <v>12</v>
      </c>
      <c r="I1122" t="s">
        <v>183</v>
      </c>
      <c r="K1122" t="s">
        <v>2828</v>
      </c>
      <c r="L1122" s="1">
        <v>1</v>
      </c>
      <c r="M1122" s="3">
        <v>11.06</v>
      </c>
      <c r="N1122" s="3">
        <v>0.55000000000000004</v>
      </c>
      <c r="O1122" s="3">
        <v>0</v>
      </c>
      <c r="P1122" s="3">
        <v>0.2</v>
      </c>
      <c r="Q1122" s="3">
        <v>11.81</v>
      </c>
      <c r="R1122" s="3">
        <v>7.95</v>
      </c>
      <c r="S1122" s="3">
        <f>VLOOKUP(C1122,[1]page!$C$2:$M$3071,11,0)</f>
        <v>11.04</v>
      </c>
      <c r="T1122" s="6">
        <f t="shared" si="17"/>
        <v>2.000000000000135E-2</v>
      </c>
    </row>
    <row r="1123" spans="1:20" x14ac:dyDescent="0.2">
      <c r="A1123" t="s">
        <v>3476</v>
      </c>
      <c r="B1123" t="s">
        <v>3554</v>
      </c>
      <c r="C1123" t="s">
        <v>3555</v>
      </c>
      <c r="D1123" t="s">
        <v>3556</v>
      </c>
      <c r="E1123" t="s">
        <v>3475</v>
      </c>
      <c r="F1123" t="s">
        <v>23</v>
      </c>
      <c r="G1123" s="1">
        <v>14</v>
      </c>
      <c r="H1123" s="1">
        <v>12</v>
      </c>
      <c r="I1123" t="s">
        <v>183</v>
      </c>
      <c r="K1123" t="s">
        <v>2828</v>
      </c>
      <c r="L1123" s="1">
        <v>1</v>
      </c>
      <c r="M1123" s="3">
        <v>14.19</v>
      </c>
      <c r="N1123" s="3">
        <v>0.71</v>
      </c>
      <c r="O1123" s="3">
        <v>0</v>
      </c>
      <c r="P1123" s="3">
        <v>0.2</v>
      </c>
      <c r="Q1123" s="3">
        <v>15.1</v>
      </c>
      <c r="R1123" s="3">
        <v>7.95</v>
      </c>
      <c r="S1123" s="3">
        <f>VLOOKUP(C1123,[1]page!$C$2:$M$3071,11,0)</f>
        <v>14.17</v>
      </c>
      <c r="T1123" s="6">
        <f t="shared" si="17"/>
        <v>1.9999999999999574E-2</v>
      </c>
    </row>
    <row r="1124" spans="1:20" x14ac:dyDescent="0.2">
      <c r="A1124" t="s">
        <v>3476</v>
      </c>
      <c r="B1124" t="s">
        <v>3557</v>
      </c>
      <c r="C1124" t="s">
        <v>3558</v>
      </c>
      <c r="D1124" t="s">
        <v>3559</v>
      </c>
      <c r="E1124" t="s">
        <v>3475</v>
      </c>
      <c r="F1124" t="s">
        <v>23</v>
      </c>
      <c r="G1124" s="1">
        <v>14</v>
      </c>
      <c r="H1124" s="1">
        <v>12</v>
      </c>
      <c r="I1124" t="s">
        <v>183</v>
      </c>
      <c r="K1124" t="s">
        <v>2828</v>
      </c>
      <c r="L1124" s="1">
        <v>1</v>
      </c>
      <c r="M1124" s="3">
        <v>12.55</v>
      </c>
      <c r="N1124" s="3">
        <v>0.63</v>
      </c>
      <c r="O1124" s="3">
        <v>0</v>
      </c>
      <c r="P1124" s="3">
        <v>0.2</v>
      </c>
      <c r="Q1124" s="3">
        <v>13.38</v>
      </c>
      <c r="R1124" s="3">
        <v>7.95</v>
      </c>
      <c r="S1124" s="3">
        <f>VLOOKUP(C1124,[1]page!$C$2:$M$3071,11,0)</f>
        <v>12.53</v>
      </c>
      <c r="T1124" s="6">
        <f t="shared" si="17"/>
        <v>2.000000000000135E-2</v>
      </c>
    </row>
    <row r="1125" spans="1:20" x14ac:dyDescent="0.2">
      <c r="A1125" t="s">
        <v>3476</v>
      </c>
      <c r="B1125" t="s">
        <v>3560</v>
      </c>
      <c r="C1125" t="s">
        <v>3561</v>
      </c>
      <c r="D1125" t="s">
        <v>3562</v>
      </c>
      <c r="E1125" t="s">
        <v>3475</v>
      </c>
      <c r="F1125" t="s">
        <v>23</v>
      </c>
      <c r="G1125" s="1">
        <v>14</v>
      </c>
      <c r="H1125" s="1">
        <v>12</v>
      </c>
      <c r="I1125" t="s">
        <v>183</v>
      </c>
      <c r="K1125" t="s">
        <v>2828</v>
      </c>
      <c r="L1125" s="1">
        <v>1</v>
      </c>
      <c r="M1125" s="3">
        <v>15.05</v>
      </c>
      <c r="N1125" s="3">
        <v>0.75</v>
      </c>
      <c r="O1125" s="3">
        <v>0</v>
      </c>
      <c r="P1125" s="3">
        <v>0.2</v>
      </c>
      <c r="Q1125" s="3">
        <v>16</v>
      </c>
      <c r="R1125" s="3">
        <v>7.95</v>
      </c>
      <c r="S1125" s="3">
        <f>VLOOKUP(C1125,[1]page!$C$2:$M$3071,11,0)</f>
        <v>15.03</v>
      </c>
      <c r="T1125" s="6">
        <f t="shared" si="17"/>
        <v>2.000000000000135E-2</v>
      </c>
    </row>
    <row r="1126" spans="1:20" x14ac:dyDescent="0.2">
      <c r="A1126" t="s">
        <v>3476</v>
      </c>
      <c r="B1126" t="s">
        <v>3563</v>
      </c>
      <c r="C1126" t="s">
        <v>3564</v>
      </c>
      <c r="D1126" t="s">
        <v>3565</v>
      </c>
      <c r="E1126" t="s">
        <v>3475</v>
      </c>
      <c r="F1126" t="s">
        <v>87</v>
      </c>
      <c r="G1126" s="2">
        <v>13.5</v>
      </c>
      <c r="H1126" s="1">
        <v>4</v>
      </c>
      <c r="I1126" t="s">
        <v>183</v>
      </c>
      <c r="K1126" t="s">
        <v>2828</v>
      </c>
      <c r="L1126" s="1">
        <v>1</v>
      </c>
      <c r="M1126" s="3">
        <v>36.5</v>
      </c>
      <c r="N1126" s="3">
        <v>1.83</v>
      </c>
      <c r="O1126" s="3">
        <v>0</v>
      </c>
      <c r="P1126" s="3">
        <v>0</v>
      </c>
      <c r="Q1126" s="3">
        <v>38.33</v>
      </c>
      <c r="R1126" s="3">
        <v>26.4</v>
      </c>
      <c r="S1126" s="3">
        <f>VLOOKUP(C1126,[1]page!$C$2:$M$3071,11,0)</f>
        <v>36.409999999999997</v>
      </c>
      <c r="T1126" s="6">
        <f t="shared" si="17"/>
        <v>9.0000000000003411E-2</v>
      </c>
    </row>
    <row r="1127" spans="1:20" x14ac:dyDescent="0.2">
      <c r="A1127" t="s">
        <v>3476</v>
      </c>
      <c r="B1127" t="s">
        <v>3566</v>
      </c>
      <c r="C1127" t="s">
        <v>3567</v>
      </c>
      <c r="D1127" t="s">
        <v>3568</v>
      </c>
      <c r="E1127" t="s">
        <v>3475</v>
      </c>
      <c r="F1127" t="s">
        <v>23</v>
      </c>
      <c r="G1127" s="1">
        <v>14</v>
      </c>
      <c r="H1127" s="1">
        <v>12</v>
      </c>
      <c r="I1127" t="s">
        <v>183</v>
      </c>
      <c r="K1127" t="s">
        <v>2828</v>
      </c>
      <c r="L1127" s="1">
        <v>1</v>
      </c>
      <c r="M1127" s="3">
        <v>12.55</v>
      </c>
      <c r="N1127" s="3">
        <v>0.63</v>
      </c>
      <c r="O1127" s="3">
        <v>0</v>
      </c>
      <c r="P1127" s="3">
        <v>0.2</v>
      </c>
      <c r="Q1127" s="3">
        <v>13.38</v>
      </c>
      <c r="R1127" s="3">
        <v>7.95</v>
      </c>
      <c r="S1127" s="3">
        <f>VLOOKUP(C1127,[1]page!$C$2:$M$3071,11,0)</f>
        <v>12.53</v>
      </c>
      <c r="T1127" s="6">
        <f t="shared" si="17"/>
        <v>2.000000000000135E-2</v>
      </c>
    </row>
    <row r="1128" spans="1:20" x14ac:dyDescent="0.2">
      <c r="A1128" t="s">
        <v>3476</v>
      </c>
      <c r="B1128" t="s">
        <v>3569</v>
      </c>
      <c r="C1128" t="s">
        <v>3570</v>
      </c>
      <c r="D1128" t="s">
        <v>3571</v>
      </c>
      <c r="E1128" t="s">
        <v>3572</v>
      </c>
      <c r="F1128" t="s">
        <v>23</v>
      </c>
      <c r="G1128" s="2">
        <v>14.5</v>
      </c>
      <c r="H1128" s="1">
        <v>12</v>
      </c>
      <c r="I1128" t="s">
        <v>3451</v>
      </c>
      <c r="K1128" t="s">
        <v>2828</v>
      </c>
      <c r="L1128" s="1">
        <v>1</v>
      </c>
      <c r="M1128" s="3">
        <v>21.05</v>
      </c>
      <c r="N1128" s="3">
        <v>1.05</v>
      </c>
      <c r="O1128" s="3">
        <v>0</v>
      </c>
      <c r="P1128" s="3">
        <v>0.2</v>
      </c>
      <c r="Q1128" s="3">
        <v>22.3</v>
      </c>
      <c r="R1128" s="3">
        <v>7.95</v>
      </c>
      <c r="S1128" s="3">
        <f>VLOOKUP(C1128,[1]page!$C$2:$M$3071,11,0)</f>
        <v>21.03</v>
      </c>
      <c r="T1128" s="6">
        <f t="shared" si="17"/>
        <v>1.9999999999999574E-2</v>
      </c>
    </row>
    <row r="1129" spans="1:20" x14ac:dyDescent="0.2">
      <c r="A1129" t="s">
        <v>3476</v>
      </c>
      <c r="B1129" t="s">
        <v>3573</v>
      </c>
      <c r="C1129" t="s">
        <v>3574</v>
      </c>
      <c r="D1129" t="s">
        <v>3575</v>
      </c>
      <c r="E1129" t="s">
        <v>3450</v>
      </c>
      <c r="F1129" t="s">
        <v>23</v>
      </c>
      <c r="G1129" s="1">
        <v>14</v>
      </c>
      <c r="H1129" s="1">
        <v>12</v>
      </c>
      <c r="I1129" t="s">
        <v>2700</v>
      </c>
      <c r="K1129" t="s">
        <v>2828</v>
      </c>
      <c r="L1129" s="1">
        <v>1</v>
      </c>
      <c r="M1129" s="3">
        <v>12.79</v>
      </c>
      <c r="N1129" s="3">
        <v>0.64</v>
      </c>
      <c r="O1129" s="3">
        <v>0</v>
      </c>
      <c r="P1129" s="3">
        <v>0.2</v>
      </c>
      <c r="Q1129" s="3">
        <v>13.63</v>
      </c>
      <c r="R1129" s="3">
        <v>7.95</v>
      </c>
      <c r="S1129" s="3">
        <f>VLOOKUP(C1129,[1]page!$C$2:$M$3071,11,0)</f>
        <v>12.77</v>
      </c>
      <c r="T1129" s="6">
        <f t="shared" si="17"/>
        <v>1.9999999999999574E-2</v>
      </c>
    </row>
    <row r="1130" spans="1:20" x14ac:dyDescent="0.2">
      <c r="A1130" t="s">
        <v>3476</v>
      </c>
      <c r="B1130" t="s">
        <v>3576</v>
      </c>
      <c r="C1130" t="s">
        <v>3577</v>
      </c>
      <c r="D1130" t="s">
        <v>3578</v>
      </c>
      <c r="E1130" t="s">
        <v>3450</v>
      </c>
      <c r="F1130" t="s">
        <v>23</v>
      </c>
      <c r="G1130" s="1">
        <v>14</v>
      </c>
      <c r="H1130" s="1">
        <v>12</v>
      </c>
      <c r="I1130" t="s">
        <v>2700</v>
      </c>
      <c r="K1130" t="s">
        <v>2828</v>
      </c>
      <c r="L1130" s="1">
        <v>1</v>
      </c>
      <c r="M1130" s="3">
        <v>10.57</v>
      </c>
      <c r="N1130" s="3">
        <v>0.53</v>
      </c>
      <c r="O1130" s="3">
        <v>0</v>
      </c>
      <c r="P1130" s="3">
        <v>0.2</v>
      </c>
      <c r="Q1130" s="3">
        <v>11.3</v>
      </c>
      <c r="R1130" s="3">
        <v>7.95</v>
      </c>
      <c r="S1130" s="3">
        <f>VLOOKUP(C1130,[1]page!$C$2:$M$3071,11,0)</f>
        <v>10.54</v>
      </c>
      <c r="T1130" s="6">
        <f t="shared" si="17"/>
        <v>3.0000000000001137E-2</v>
      </c>
    </row>
    <row r="1131" spans="1:20" x14ac:dyDescent="0.2">
      <c r="A1131" t="s">
        <v>3476</v>
      </c>
      <c r="B1131" t="s">
        <v>3579</v>
      </c>
      <c r="C1131" t="s">
        <v>3580</v>
      </c>
      <c r="D1131" t="s">
        <v>3581</v>
      </c>
      <c r="E1131" t="s">
        <v>200</v>
      </c>
      <c r="F1131" t="s">
        <v>2835</v>
      </c>
      <c r="G1131" s="1">
        <v>13</v>
      </c>
      <c r="H1131" s="1">
        <v>4</v>
      </c>
      <c r="I1131" t="s">
        <v>201</v>
      </c>
      <c r="K1131" t="s">
        <v>2712</v>
      </c>
      <c r="L1131" s="1">
        <v>1</v>
      </c>
      <c r="M1131" s="3">
        <v>37.090000000000003</v>
      </c>
      <c r="N1131" s="3">
        <v>1.85</v>
      </c>
      <c r="O1131" s="3">
        <v>0</v>
      </c>
      <c r="P1131" s="3">
        <v>0</v>
      </c>
      <c r="Q1131" s="3">
        <v>38.94</v>
      </c>
      <c r="R1131" s="3">
        <v>33.9</v>
      </c>
      <c r="S1131" s="3">
        <f>VLOOKUP(C1131,[1]page!$C$2:$M$3071,11,0)</f>
        <v>37.07</v>
      </c>
      <c r="T1131" s="6">
        <f t="shared" ref="T1131:T1194" si="18">SUM(M1131-S1131)</f>
        <v>2.0000000000003126E-2</v>
      </c>
    </row>
    <row r="1132" spans="1:20" x14ac:dyDescent="0.2">
      <c r="A1132" t="s">
        <v>3582</v>
      </c>
      <c r="B1132" t="s">
        <v>3583</v>
      </c>
      <c r="C1132" t="s">
        <v>3584</v>
      </c>
      <c r="D1132" t="s">
        <v>3585</v>
      </c>
      <c r="E1132" t="s">
        <v>3485</v>
      </c>
      <c r="F1132" t="s">
        <v>23</v>
      </c>
      <c r="G1132" s="2">
        <v>13.5</v>
      </c>
      <c r="H1132" s="1">
        <v>12</v>
      </c>
      <c r="I1132" t="s">
        <v>3486</v>
      </c>
      <c r="K1132" t="s">
        <v>2828</v>
      </c>
      <c r="L1132" s="1">
        <v>1</v>
      </c>
      <c r="M1132" s="3">
        <v>14.16</v>
      </c>
      <c r="N1132" s="3">
        <v>0.71</v>
      </c>
      <c r="O1132" s="3">
        <v>0</v>
      </c>
      <c r="P1132" s="3">
        <v>0.2</v>
      </c>
      <c r="Q1132" s="3">
        <v>15.07</v>
      </c>
      <c r="R1132" s="3">
        <v>7.95</v>
      </c>
      <c r="S1132" s="3">
        <f>VLOOKUP(C1132,[1]page!$C$2:$M$3071,11,0)</f>
        <v>14.14</v>
      </c>
      <c r="T1132" s="6">
        <f t="shared" si="18"/>
        <v>1.9999999999999574E-2</v>
      </c>
    </row>
    <row r="1133" spans="1:20" x14ac:dyDescent="0.2">
      <c r="A1133" t="s">
        <v>3582</v>
      </c>
      <c r="B1133" t="s">
        <v>3586</v>
      </c>
      <c r="C1133" t="s">
        <v>3587</v>
      </c>
      <c r="D1133" t="s">
        <v>3588</v>
      </c>
      <c r="E1133" t="s">
        <v>3475</v>
      </c>
      <c r="F1133" t="s">
        <v>23</v>
      </c>
      <c r="G1133" s="1">
        <v>12</v>
      </c>
      <c r="H1133" s="1">
        <v>12</v>
      </c>
      <c r="I1133" t="s">
        <v>183</v>
      </c>
      <c r="K1133" t="s">
        <v>2828</v>
      </c>
      <c r="L1133" s="1">
        <v>1</v>
      </c>
      <c r="M1133" s="3">
        <v>11.06</v>
      </c>
      <c r="N1133" s="3">
        <v>0.55000000000000004</v>
      </c>
      <c r="O1133" s="3">
        <v>0</v>
      </c>
      <c r="P1133" s="3">
        <v>0.2</v>
      </c>
      <c r="Q1133" s="3">
        <v>11.81</v>
      </c>
      <c r="R1133" s="3">
        <v>7.95</v>
      </c>
      <c r="S1133" s="3">
        <f>VLOOKUP(C1133,[1]page!$C$2:$M$3071,11,0)</f>
        <v>11.04</v>
      </c>
      <c r="T1133" s="6">
        <f t="shared" si="18"/>
        <v>2.000000000000135E-2</v>
      </c>
    </row>
    <row r="1134" spans="1:20" x14ac:dyDescent="0.2">
      <c r="A1134" t="s">
        <v>3582</v>
      </c>
      <c r="B1134" t="s">
        <v>3589</v>
      </c>
      <c r="C1134" t="s">
        <v>3590</v>
      </c>
      <c r="D1134" t="s">
        <v>3591</v>
      </c>
      <c r="E1134" t="s">
        <v>3446</v>
      </c>
      <c r="F1134" t="s">
        <v>23</v>
      </c>
      <c r="G1134" s="1">
        <v>13</v>
      </c>
      <c r="H1134" s="1">
        <v>12</v>
      </c>
      <c r="I1134" t="s">
        <v>183</v>
      </c>
      <c r="K1134" t="s">
        <v>2828</v>
      </c>
      <c r="L1134" s="1">
        <v>1</v>
      </c>
      <c r="M1134" s="3">
        <v>13.04</v>
      </c>
      <c r="N1134" s="3">
        <v>0.65</v>
      </c>
      <c r="O1134" s="3">
        <v>0</v>
      </c>
      <c r="P1134" s="3">
        <v>0.2</v>
      </c>
      <c r="Q1134" s="3">
        <v>13.89</v>
      </c>
      <c r="R1134" s="3">
        <v>7.95</v>
      </c>
      <c r="S1134" s="3">
        <f>VLOOKUP(C1134,[1]page!$C$2:$M$3071,11,0)</f>
        <v>13.02</v>
      </c>
      <c r="T1134" s="6">
        <f t="shared" si="18"/>
        <v>1.9999999999999574E-2</v>
      </c>
    </row>
    <row r="1135" spans="1:20" x14ac:dyDescent="0.2">
      <c r="A1135" t="s">
        <v>3582</v>
      </c>
      <c r="B1135" t="s">
        <v>3592</v>
      </c>
      <c r="C1135" t="s">
        <v>3593</v>
      </c>
      <c r="D1135" t="s">
        <v>3594</v>
      </c>
      <c r="E1135" t="s">
        <v>3450</v>
      </c>
      <c r="F1135" t="s">
        <v>23</v>
      </c>
      <c r="G1135" s="1">
        <v>11</v>
      </c>
      <c r="H1135" s="1">
        <v>12</v>
      </c>
      <c r="I1135" t="s">
        <v>2700</v>
      </c>
      <c r="K1135" t="s">
        <v>2687</v>
      </c>
      <c r="L1135" s="1">
        <v>1</v>
      </c>
      <c r="M1135" s="3">
        <v>12.95</v>
      </c>
      <c r="N1135" s="3">
        <v>0.65</v>
      </c>
      <c r="O1135" s="3">
        <v>0</v>
      </c>
      <c r="P1135" s="3">
        <v>0.2</v>
      </c>
      <c r="Q1135" s="3">
        <v>13.8</v>
      </c>
      <c r="R1135" s="3">
        <v>7.95</v>
      </c>
      <c r="S1135" s="3">
        <f>VLOOKUP(C1135,[1]page!$C$2:$M$3071,11,0)</f>
        <v>12.93</v>
      </c>
      <c r="T1135" s="6">
        <f t="shared" si="18"/>
        <v>1.9999999999999574E-2</v>
      </c>
    </row>
    <row r="1136" spans="1:20" x14ac:dyDescent="0.2">
      <c r="A1136" t="s">
        <v>3582</v>
      </c>
      <c r="B1136" t="s">
        <v>3595</v>
      </c>
      <c r="C1136" t="s">
        <v>3596</v>
      </c>
      <c r="D1136" t="s">
        <v>3597</v>
      </c>
      <c r="E1136" t="s">
        <v>200</v>
      </c>
      <c r="F1136" t="s">
        <v>2835</v>
      </c>
      <c r="G1136" s="1">
        <v>12</v>
      </c>
      <c r="H1136" s="1">
        <v>4</v>
      </c>
      <c r="I1136" t="s">
        <v>201</v>
      </c>
      <c r="K1136" t="s">
        <v>2706</v>
      </c>
      <c r="L1136" s="1">
        <v>1</v>
      </c>
      <c r="M1136" s="3">
        <v>37.090000000000003</v>
      </c>
      <c r="N1136" s="3">
        <v>1.85</v>
      </c>
      <c r="O1136" s="3">
        <v>0</v>
      </c>
      <c r="P1136" s="3">
        <v>0</v>
      </c>
      <c r="Q1136" s="3">
        <v>38.94</v>
      </c>
      <c r="R1136" s="3">
        <v>33.9</v>
      </c>
      <c r="S1136" s="3">
        <f>VLOOKUP(C1136,[1]page!$C$2:$M$3071,11,0)</f>
        <v>37.07</v>
      </c>
      <c r="T1136" s="6">
        <f t="shared" si="18"/>
        <v>2.0000000000003126E-2</v>
      </c>
    </row>
    <row r="1137" spans="1:20" x14ac:dyDescent="0.2">
      <c r="A1137" t="s">
        <v>3598</v>
      </c>
      <c r="B1137" t="s">
        <v>3599</v>
      </c>
      <c r="C1137" t="s">
        <v>3600</v>
      </c>
      <c r="D1137" t="s">
        <v>3601</v>
      </c>
      <c r="E1137" t="s">
        <v>3602</v>
      </c>
      <c r="F1137" t="s">
        <v>23</v>
      </c>
      <c r="G1137" s="2">
        <v>14.1</v>
      </c>
      <c r="H1137" s="1">
        <v>12</v>
      </c>
      <c r="I1137" t="s">
        <v>183</v>
      </c>
      <c r="K1137" t="s">
        <v>2828</v>
      </c>
      <c r="L1137" s="1">
        <v>1</v>
      </c>
      <c r="M1137" s="3">
        <v>21.01</v>
      </c>
      <c r="N1137" s="3">
        <v>1.05</v>
      </c>
      <c r="O1137" s="3">
        <v>0</v>
      </c>
      <c r="P1137" s="3">
        <v>0.2</v>
      </c>
      <c r="Q1137" s="3">
        <v>22.26</v>
      </c>
      <c r="R1137" s="3">
        <v>7.95</v>
      </c>
      <c r="S1137" s="3">
        <f>VLOOKUP(C1137,[1]page!$C$2:$M$3071,11,0)</f>
        <v>21</v>
      </c>
      <c r="T1137" s="6">
        <f t="shared" si="18"/>
        <v>1.0000000000001563E-2</v>
      </c>
    </row>
    <row r="1138" spans="1:20" x14ac:dyDescent="0.2">
      <c r="A1138" t="s">
        <v>3603</v>
      </c>
      <c r="B1138" t="s">
        <v>3604</v>
      </c>
      <c r="C1138" t="s">
        <v>3605</v>
      </c>
      <c r="D1138" t="s">
        <v>3606</v>
      </c>
      <c r="E1138" t="s">
        <v>3607</v>
      </c>
      <c r="F1138" t="s">
        <v>23</v>
      </c>
      <c r="G1138" s="2">
        <v>13.5</v>
      </c>
      <c r="H1138" s="1">
        <v>12</v>
      </c>
      <c r="I1138" t="s">
        <v>397</v>
      </c>
      <c r="K1138" t="s">
        <v>2828</v>
      </c>
      <c r="L1138" s="1">
        <v>1</v>
      </c>
      <c r="M1138" s="3">
        <v>10.050000000000001</v>
      </c>
      <c r="N1138" s="3">
        <v>0.5</v>
      </c>
      <c r="O1138" s="3">
        <v>0</v>
      </c>
      <c r="P1138" s="3">
        <v>0.2</v>
      </c>
      <c r="Q1138" s="3">
        <v>10.75</v>
      </c>
      <c r="R1138" s="3">
        <v>7.95</v>
      </c>
      <c r="S1138" s="3">
        <f>VLOOKUP(C1138,[1]page!$C$2:$M$3071,11,0)</f>
        <v>10.029999999999999</v>
      </c>
      <c r="T1138" s="6">
        <f t="shared" si="18"/>
        <v>2.000000000000135E-2</v>
      </c>
    </row>
    <row r="1139" spans="1:20" x14ac:dyDescent="0.2">
      <c r="A1139" t="s">
        <v>3608</v>
      </c>
      <c r="B1139" t="s">
        <v>3609</v>
      </c>
      <c r="C1139" t="s">
        <v>3610</v>
      </c>
      <c r="D1139" t="s">
        <v>3611</v>
      </c>
      <c r="E1139" t="s">
        <v>3607</v>
      </c>
      <c r="F1139" t="s">
        <v>23</v>
      </c>
      <c r="G1139" s="2">
        <v>13.5</v>
      </c>
      <c r="H1139" s="1">
        <v>12</v>
      </c>
      <c r="I1139" t="s">
        <v>397</v>
      </c>
      <c r="K1139" t="s">
        <v>2828</v>
      </c>
      <c r="L1139" s="1">
        <v>1</v>
      </c>
      <c r="M1139" s="3">
        <v>10.050000000000001</v>
      </c>
      <c r="N1139" s="3">
        <v>0.5</v>
      </c>
      <c r="O1139" s="3">
        <v>0</v>
      </c>
      <c r="P1139" s="3">
        <v>0.2</v>
      </c>
      <c r="Q1139" s="3">
        <v>10.75</v>
      </c>
      <c r="R1139" s="3">
        <v>7.95</v>
      </c>
      <c r="S1139" s="3">
        <f>VLOOKUP(C1139,[1]page!$C$2:$M$3071,11,0)</f>
        <v>10.029999999999999</v>
      </c>
      <c r="T1139" s="6">
        <f t="shared" si="18"/>
        <v>2.000000000000135E-2</v>
      </c>
    </row>
    <row r="1140" spans="1:20" x14ac:dyDescent="0.2">
      <c r="A1140" t="s">
        <v>3608</v>
      </c>
      <c r="B1140" t="s">
        <v>3612</v>
      </c>
      <c r="C1140" t="s">
        <v>3613</v>
      </c>
      <c r="D1140" t="s">
        <v>3614</v>
      </c>
      <c r="E1140" t="s">
        <v>3442</v>
      </c>
      <c r="F1140" t="s">
        <v>23</v>
      </c>
      <c r="G1140" s="2">
        <v>13.5</v>
      </c>
      <c r="H1140" s="1">
        <v>12</v>
      </c>
      <c r="I1140" t="s">
        <v>57</v>
      </c>
      <c r="K1140" t="s">
        <v>2828</v>
      </c>
      <c r="L1140" s="1">
        <v>1</v>
      </c>
      <c r="M1140" s="3">
        <v>13.02</v>
      </c>
      <c r="N1140" s="3">
        <v>0.65</v>
      </c>
      <c r="O1140" s="3">
        <v>0</v>
      </c>
      <c r="P1140" s="3">
        <v>0.2</v>
      </c>
      <c r="Q1140" s="3">
        <v>13.87</v>
      </c>
      <c r="R1140" s="3">
        <v>7.95</v>
      </c>
      <c r="S1140" s="3">
        <f>VLOOKUP(C1140,[1]page!$C$2:$M$3071,11,0)</f>
        <v>13</v>
      </c>
      <c r="T1140" s="6">
        <f t="shared" si="18"/>
        <v>1.9999999999999574E-2</v>
      </c>
    </row>
    <row r="1141" spans="1:20" x14ac:dyDescent="0.2">
      <c r="A1141" t="s">
        <v>3615</v>
      </c>
      <c r="B1141" t="s">
        <v>3616</v>
      </c>
      <c r="C1141" t="s">
        <v>3617</v>
      </c>
      <c r="D1141" t="s">
        <v>3618</v>
      </c>
      <c r="E1141" t="s">
        <v>3438</v>
      </c>
      <c r="F1141" t="s">
        <v>23</v>
      </c>
      <c r="G1141" s="2">
        <v>14.5</v>
      </c>
      <c r="H1141" s="1">
        <v>12</v>
      </c>
      <c r="I1141" t="s">
        <v>2179</v>
      </c>
      <c r="K1141" t="s">
        <v>2828</v>
      </c>
      <c r="L1141" s="1">
        <v>1</v>
      </c>
      <c r="M1141" s="3">
        <v>24.02</v>
      </c>
      <c r="N1141" s="3">
        <v>1.2</v>
      </c>
      <c r="O1141" s="3">
        <v>0</v>
      </c>
      <c r="P1141" s="3">
        <v>0.2</v>
      </c>
      <c r="Q1141" s="3">
        <v>25.42</v>
      </c>
      <c r="R1141" s="3">
        <v>7.95</v>
      </c>
      <c r="S1141" s="3">
        <f>VLOOKUP(C1141,[1]page!$C$2:$M$3071,11,0)</f>
        <v>24.01</v>
      </c>
      <c r="T1141" s="6">
        <f t="shared" si="18"/>
        <v>9.9999999999980105E-3</v>
      </c>
    </row>
    <row r="1142" spans="1:20" x14ac:dyDescent="0.2">
      <c r="A1142" t="s">
        <v>3619</v>
      </c>
      <c r="B1142" t="s">
        <v>3620</v>
      </c>
      <c r="C1142" t="s">
        <v>3621</v>
      </c>
      <c r="D1142" t="s">
        <v>3622</v>
      </c>
      <c r="E1142" t="s">
        <v>3623</v>
      </c>
      <c r="F1142" t="s">
        <v>23</v>
      </c>
      <c r="G1142" s="2">
        <v>12.5</v>
      </c>
      <c r="H1142" s="1">
        <v>12</v>
      </c>
      <c r="I1142" t="s">
        <v>607</v>
      </c>
      <c r="K1142" t="s">
        <v>2828</v>
      </c>
      <c r="L1142" s="1">
        <v>1</v>
      </c>
      <c r="M1142" s="3">
        <v>13.33</v>
      </c>
      <c r="N1142" s="3">
        <v>0.67</v>
      </c>
      <c r="O1142" s="3">
        <v>0</v>
      </c>
      <c r="P1142" s="3">
        <v>0.2</v>
      </c>
      <c r="Q1142" s="3">
        <v>14.2</v>
      </c>
      <c r="R1142" s="3">
        <v>7.95</v>
      </c>
      <c r="S1142" s="3">
        <f>VLOOKUP(C1142,[1]page!$C$2:$M$3071,11,0)</f>
        <v>13.31</v>
      </c>
      <c r="T1142" s="6">
        <f t="shared" si="18"/>
        <v>1.9999999999999574E-2</v>
      </c>
    </row>
    <row r="1143" spans="1:20" x14ac:dyDescent="0.2">
      <c r="A1143" t="s">
        <v>3624</v>
      </c>
      <c r="B1143" t="s">
        <v>3625</v>
      </c>
      <c r="C1143" t="s">
        <v>3626</v>
      </c>
      <c r="D1143" t="s">
        <v>3627</v>
      </c>
      <c r="E1143" t="s">
        <v>3628</v>
      </c>
      <c r="F1143" t="s">
        <v>23</v>
      </c>
      <c r="G1143" s="1">
        <v>6</v>
      </c>
      <c r="H1143" s="1">
        <v>12</v>
      </c>
      <c r="I1143" t="s">
        <v>449</v>
      </c>
      <c r="K1143" t="s">
        <v>2773</v>
      </c>
      <c r="L1143" s="1">
        <v>1</v>
      </c>
      <c r="M1143" s="3">
        <v>12.11</v>
      </c>
      <c r="N1143" s="3">
        <v>0.61</v>
      </c>
      <c r="O1143" s="3">
        <v>0</v>
      </c>
      <c r="P1143" s="3">
        <v>0.2</v>
      </c>
      <c r="Q1143" s="3">
        <v>12.92</v>
      </c>
      <c r="R1143" s="3">
        <v>7.95</v>
      </c>
      <c r="S1143" s="3">
        <f>VLOOKUP(C1143,[1]page!$C$2:$M$3071,11,0)</f>
        <v>12.1</v>
      </c>
      <c r="T1143" s="6">
        <f t="shared" si="18"/>
        <v>9.9999999999997868E-3</v>
      </c>
    </row>
    <row r="1144" spans="1:20" x14ac:dyDescent="0.2">
      <c r="A1144" t="s">
        <v>3624</v>
      </c>
      <c r="B1144" t="s">
        <v>3629</v>
      </c>
      <c r="C1144" t="s">
        <v>3630</v>
      </c>
      <c r="D1144" t="s">
        <v>3631</v>
      </c>
      <c r="E1144" t="s">
        <v>3632</v>
      </c>
      <c r="F1144" t="s">
        <v>23</v>
      </c>
      <c r="G1144" s="1">
        <v>8</v>
      </c>
      <c r="H1144" s="1">
        <v>12</v>
      </c>
      <c r="I1144" t="s">
        <v>39</v>
      </c>
      <c r="K1144" t="s">
        <v>2677</v>
      </c>
      <c r="L1144" s="1">
        <v>1</v>
      </c>
      <c r="M1144" s="3">
        <v>11.22</v>
      </c>
      <c r="N1144" s="3">
        <v>0.56000000000000005</v>
      </c>
      <c r="O1144" s="3">
        <v>0</v>
      </c>
      <c r="P1144" s="3">
        <v>0.2</v>
      </c>
      <c r="Q1144" s="3">
        <v>11.98</v>
      </c>
      <c r="R1144" s="3">
        <v>7.95</v>
      </c>
      <c r="S1144" s="3">
        <f>VLOOKUP(C1144,[1]page!$C$2:$M$3071,11,0)</f>
        <v>11.2</v>
      </c>
      <c r="T1144" s="6">
        <f t="shared" si="18"/>
        <v>2.000000000000135E-2</v>
      </c>
    </row>
    <row r="1145" spans="1:20" x14ac:dyDescent="0.2">
      <c r="A1145" t="s">
        <v>3624</v>
      </c>
      <c r="B1145" t="s">
        <v>3633</v>
      </c>
      <c r="C1145" t="s">
        <v>3634</v>
      </c>
      <c r="D1145" t="s">
        <v>3635</v>
      </c>
      <c r="E1145" t="s">
        <v>3632</v>
      </c>
      <c r="F1145" t="s">
        <v>23</v>
      </c>
      <c r="G1145" s="2">
        <v>7.5</v>
      </c>
      <c r="H1145" s="1">
        <v>12</v>
      </c>
      <c r="I1145" t="s">
        <v>39</v>
      </c>
      <c r="K1145" t="s">
        <v>2773</v>
      </c>
      <c r="L1145" s="1">
        <v>1</v>
      </c>
      <c r="M1145" s="3">
        <v>11.22</v>
      </c>
      <c r="N1145" s="3">
        <v>0.56000000000000005</v>
      </c>
      <c r="O1145" s="3">
        <v>0</v>
      </c>
      <c r="P1145" s="3">
        <v>0.2</v>
      </c>
      <c r="Q1145" s="3">
        <v>11.98</v>
      </c>
      <c r="R1145" s="3">
        <v>7.95</v>
      </c>
      <c r="S1145" s="3">
        <f>VLOOKUP(C1145,[1]page!$C$2:$M$3071,11,0)</f>
        <v>11.2</v>
      </c>
      <c r="T1145" s="6">
        <f t="shared" si="18"/>
        <v>2.000000000000135E-2</v>
      </c>
    </row>
    <row r="1146" spans="1:20" x14ac:dyDescent="0.2">
      <c r="A1146" t="s">
        <v>3624</v>
      </c>
      <c r="B1146" t="s">
        <v>3636</v>
      </c>
      <c r="C1146" t="s">
        <v>3637</v>
      </c>
      <c r="D1146" t="s">
        <v>3635</v>
      </c>
      <c r="E1146" t="s">
        <v>3632</v>
      </c>
      <c r="F1146" t="s">
        <v>2737</v>
      </c>
      <c r="G1146" s="2">
        <v>7.5</v>
      </c>
      <c r="H1146" s="1">
        <v>6</v>
      </c>
      <c r="I1146" t="s">
        <v>39</v>
      </c>
      <c r="K1146" t="s">
        <v>2773</v>
      </c>
      <c r="L1146" s="1">
        <v>1</v>
      </c>
      <c r="M1146" s="3">
        <v>21.96</v>
      </c>
      <c r="N1146" s="3">
        <v>1.1000000000000001</v>
      </c>
      <c r="O1146" s="3">
        <v>0</v>
      </c>
      <c r="P1146" s="3">
        <v>0.4</v>
      </c>
      <c r="Q1146" s="3">
        <v>23.46</v>
      </c>
      <c r="R1146" s="3">
        <v>14.45</v>
      </c>
      <c r="S1146" s="3">
        <f>VLOOKUP(C1146,[1]page!$C$2:$M$3071,11,0)</f>
        <v>21.92</v>
      </c>
      <c r="T1146" s="6">
        <f t="shared" si="18"/>
        <v>3.9999999999999147E-2</v>
      </c>
    </row>
    <row r="1147" spans="1:20" x14ac:dyDescent="0.2">
      <c r="A1147" t="s">
        <v>3638</v>
      </c>
      <c r="B1147" t="s">
        <v>3639</v>
      </c>
      <c r="C1147" t="s">
        <v>3640</v>
      </c>
      <c r="D1147" t="s">
        <v>3641</v>
      </c>
      <c r="E1147" t="s">
        <v>3642</v>
      </c>
      <c r="F1147" t="s">
        <v>23</v>
      </c>
      <c r="G1147" s="1">
        <v>14</v>
      </c>
      <c r="H1147" s="1">
        <v>12</v>
      </c>
      <c r="I1147" t="s">
        <v>57</v>
      </c>
      <c r="K1147" t="s">
        <v>2828</v>
      </c>
      <c r="L1147" s="1">
        <v>1</v>
      </c>
      <c r="M1147" s="3">
        <v>17</v>
      </c>
      <c r="N1147" s="3">
        <v>0.85</v>
      </c>
      <c r="O1147" s="3">
        <v>0</v>
      </c>
      <c r="P1147" s="3">
        <v>0.2</v>
      </c>
      <c r="Q1147" s="3">
        <v>18.05</v>
      </c>
      <c r="R1147" s="3">
        <v>7.95</v>
      </c>
      <c r="S1147" s="3">
        <f>VLOOKUP(C1147,[1]page!$C$2:$M$3071,11,0)</f>
        <v>16.97</v>
      </c>
      <c r="T1147" s="6">
        <f t="shared" si="18"/>
        <v>3.0000000000001137E-2</v>
      </c>
    </row>
    <row r="1148" spans="1:20" x14ac:dyDescent="0.2">
      <c r="A1148" t="s">
        <v>3638</v>
      </c>
      <c r="B1148" t="s">
        <v>3643</v>
      </c>
      <c r="C1148" t="s">
        <v>3644</v>
      </c>
      <c r="D1148" t="s">
        <v>3645</v>
      </c>
      <c r="E1148" t="s">
        <v>3642</v>
      </c>
      <c r="F1148" t="s">
        <v>23</v>
      </c>
      <c r="G1148" s="2">
        <v>13.5</v>
      </c>
      <c r="H1148" s="1">
        <v>12</v>
      </c>
      <c r="I1148" t="s">
        <v>57</v>
      </c>
      <c r="K1148" t="s">
        <v>2687</v>
      </c>
      <c r="L1148" s="1">
        <v>1</v>
      </c>
      <c r="M1148" s="3">
        <v>17</v>
      </c>
      <c r="N1148" s="3">
        <v>0.85</v>
      </c>
      <c r="O1148" s="3">
        <v>0</v>
      </c>
      <c r="P1148" s="3">
        <v>0.2</v>
      </c>
      <c r="Q1148" s="3">
        <v>18.05</v>
      </c>
      <c r="R1148" s="3">
        <v>7.95</v>
      </c>
      <c r="S1148" s="3">
        <f>VLOOKUP(C1148,[1]page!$C$2:$M$3071,11,0)</f>
        <v>16.97</v>
      </c>
      <c r="T1148" s="6">
        <f t="shared" si="18"/>
        <v>3.0000000000001137E-2</v>
      </c>
    </row>
    <row r="1149" spans="1:20" x14ac:dyDescent="0.2">
      <c r="A1149" t="s">
        <v>3638</v>
      </c>
      <c r="B1149" t="s">
        <v>3646</v>
      </c>
      <c r="C1149" t="s">
        <v>3647</v>
      </c>
      <c r="D1149" t="s">
        <v>3648</v>
      </c>
      <c r="E1149" t="s">
        <v>3628</v>
      </c>
      <c r="F1149" t="s">
        <v>23</v>
      </c>
      <c r="G1149" s="2">
        <v>13.5</v>
      </c>
      <c r="H1149" s="1">
        <v>12</v>
      </c>
      <c r="I1149" t="s">
        <v>449</v>
      </c>
      <c r="K1149" t="s">
        <v>2687</v>
      </c>
      <c r="L1149" s="1">
        <v>1</v>
      </c>
      <c r="M1149" s="3">
        <v>12.03</v>
      </c>
      <c r="N1149" s="3">
        <v>0.6</v>
      </c>
      <c r="O1149" s="3">
        <v>0</v>
      </c>
      <c r="P1149" s="3">
        <v>0.2</v>
      </c>
      <c r="Q1149" s="3">
        <v>12.83</v>
      </c>
      <c r="R1149" s="3">
        <v>7.95</v>
      </c>
      <c r="S1149" s="3">
        <f>VLOOKUP(C1149,[1]page!$C$2:$M$3071,11,0)</f>
        <v>12.01</v>
      </c>
      <c r="T1149" s="6">
        <f t="shared" si="18"/>
        <v>1.9999999999999574E-2</v>
      </c>
    </row>
    <row r="1150" spans="1:20" x14ac:dyDescent="0.2">
      <c r="A1150" t="s">
        <v>3638</v>
      </c>
      <c r="B1150" t="s">
        <v>3649</v>
      </c>
      <c r="C1150" t="s">
        <v>3650</v>
      </c>
      <c r="D1150" t="s">
        <v>3651</v>
      </c>
      <c r="E1150" t="s">
        <v>3652</v>
      </c>
      <c r="F1150" t="s">
        <v>23</v>
      </c>
      <c r="G1150" s="2">
        <v>14.3</v>
      </c>
      <c r="H1150" s="1">
        <v>6</v>
      </c>
      <c r="I1150" t="s">
        <v>3653</v>
      </c>
      <c r="K1150" t="s">
        <v>2828</v>
      </c>
      <c r="L1150" s="1">
        <v>1</v>
      </c>
      <c r="M1150" s="3">
        <v>39.79</v>
      </c>
      <c r="N1150" s="3">
        <v>1.99</v>
      </c>
      <c r="O1150" s="3">
        <v>0</v>
      </c>
      <c r="P1150" s="3">
        <v>0.2</v>
      </c>
      <c r="Q1150" s="3">
        <v>41.98</v>
      </c>
      <c r="R1150" s="3">
        <v>7.95</v>
      </c>
      <c r="S1150" s="3">
        <f>VLOOKUP(C1150,[1]page!$C$2:$M$3071,11,0)</f>
        <v>39.78</v>
      </c>
      <c r="T1150" s="6">
        <f t="shared" si="18"/>
        <v>9.9999999999980105E-3</v>
      </c>
    </row>
    <row r="1151" spans="1:20" x14ac:dyDescent="0.2">
      <c r="A1151" t="s">
        <v>3638</v>
      </c>
      <c r="B1151" t="s">
        <v>3654</v>
      </c>
      <c r="C1151" t="s">
        <v>3655</v>
      </c>
      <c r="D1151" t="s">
        <v>3656</v>
      </c>
      <c r="E1151" t="s">
        <v>3632</v>
      </c>
      <c r="F1151" t="s">
        <v>23</v>
      </c>
      <c r="G1151" s="1">
        <v>14</v>
      </c>
      <c r="H1151" s="1">
        <v>12</v>
      </c>
      <c r="I1151" t="s">
        <v>39</v>
      </c>
      <c r="K1151" t="s">
        <v>2687</v>
      </c>
      <c r="L1151" s="1">
        <v>1</v>
      </c>
      <c r="M1151" s="3">
        <v>17.43</v>
      </c>
      <c r="N1151" s="3">
        <v>0.87</v>
      </c>
      <c r="O1151" s="3">
        <v>0</v>
      </c>
      <c r="P1151" s="3">
        <v>0.2</v>
      </c>
      <c r="Q1151" s="3">
        <v>18.5</v>
      </c>
      <c r="R1151" s="3">
        <v>7.95</v>
      </c>
      <c r="S1151" s="3">
        <f>VLOOKUP(C1151,[1]page!$C$2:$M$3071,11,0)</f>
        <v>17.399999999999999</v>
      </c>
      <c r="T1151" s="6">
        <f t="shared" si="18"/>
        <v>3.0000000000001137E-2</v>
      </c>
    </row>
    <row r="1152" spans="1:20" x14ac:dyDescent="0.2">
      <c r="A1152" t="s">
        <v>3638</v>
      </c>
      <c r="B1152" t="s">
        <v>3657</v>
      </c>
      <c r="C1152" t="s">
        <v>3658</v>
      </c>
      <c r="D1152" t="s">
        <v>3659</v>
      </c>
      <c r="E1152" t="s">
        <v>3632</v>
      </c>
      <c r="F1152" t="s">
        <v>23</v>
      </c>
      <c r="G1152" s="2">
        <v>14.5</v>
      </c>
      <c r="H1152" s="1">
        <v>12</v>
      </c>
      <c r="I1152" t="s">
        <v>39</v>
      </c>
      <c r="K1152" t="s">
        <v>2687</v>
      </c>
      <c r="L1152" s="1">
        <v>1</v>
      </c>
      <c r="M1152" s="3">
        <v>17.43</v>
      </c>
      <c r="N1152" s="3">
        <v>0.87</v>
      </c>
      <c r="O1152" s="3">
        <v>0</v>
      </c>
      <c r="P1152" s="3">
        <v>0.2</v>
      </c>
      <c r="Q1152" s="3">
        <v>18.5</v>
      </c>
      <c r="R1152" s="3">
        <v>7.95</v>
      </c>
      <c r="S1152" s="3">
        <f>VLOOKUP(C1152,[1]page!$C$2:$M$3071,11,0)</f>
        <v>17.399999999999999</v>
      </c>
      <c r="T1152" s="6">
        <f t="shared" si="18"/>
        <v>3.0000000000001137E-2</v>
      </c>
    </row>
    <row r="1153" spans="1:20" x14ac:dyDescent="0.2">
      <c r="A1153" t="s">
        <v>3638</v>
      </c>
      <c r="B1153" t="s">
        <v>3660</v>
      </c>
      <c r="C1153" t="s">
        <v>3661</v>
      </c>
      <c r="D1153" t="s">
        <v>3662</v>
      </c>
      <c r="E1153" t="s">
        <v>3632</v>
      </c>
      <c r="F1153" t="s">
        <v>23</v>
      </c>
      <c r="G1153" s="1">
        <v>14</v>
      </c>
      <c r="H1153" s="1">
        <v>12</v>
      </c>
      <c r="I1153" t="s">
        <v>39</v>
      </c>
      <c r="K1153" t="s">
        <v>2687</v>
      </c>
      <c r="L1153" s="1">
        <v>1</v>
      </c>
      <c r="M1153" s="3">
        <v>11.22</v>
      </c>
      <c r="N1153" s="3">
        <v>0.56000000000000005</v>
      </c>
      <c r="O1153" s="3">
        <v>0</v>
      </c>
      <c r="P1153" s="3">
        <v>0.2</v>
      </c>
      <c r="Q1153" s="3">
        <v>11.98</v>
      </c>
      <c r="R1153" s="3">
        <v>7.95</v>
      </c>
      <c r="S1153" s="3">
        <f>VLOOKUP(C1153,[1]page!$C$2:$M$3071,11,0)</f>
        <v>11.2</v>
      </c>
      <c r="T1153" s="6">
        <f t="shared" si="18"/>
        <v>2.000000000000135E-2</v>
      </c>
    </row>
    <row r="1154" spans="1:20" x14ac:dyDescent="0.2">
      <c r="A1154" t="s">
        <v>3638</v>
      </c>
      <c r="B1154" t="s">
        <v>3663</v>
      </c>
      <c r="C1154" t="s">
        <v>3664</v>
      </c>
      <c r="D1154" t="s">
        <v>3665</v>
      </c>
      <c r="E1154" t="s">
        <v>3666</v>
      </c>
      <c r="F1154" t="s">
        <v>23</v>
      </c>
      <c r="G1154" s="2">
        <v>14.5</v>
      </c>
      <c r="H1154" s="1">
        <v>12</v>
      </c>
      <c r="I1154" t="s">
        <v>183</v>
      </c>
      <c r="K1154" t="s">
        <v>2828</v>
      </c>
      <c r="L1154" s="1">
        <v>1</v>
      </c>
      <c r="M1154" s="3">
        <v>19.559999999999999</v>
      </c>
      <c r="N1154" s="3">
        <v>0.98</v>
      </c>
      <c r="O1154" s="3">
        <v>0</v>
      </c>
      <c r="P1154" s="3">
        <v>0.2</v>
      </c>
      <c r="Q1154" s="3">
        <v>20.74</v>
      </c>
      <c r="R1154" s="3">
        <v>7.95</v>
      </c>
      <c r="S1154" s="3">
        <f>VLOOKUP(C1154,[1]page!$C$2:$M$3071,11,0)</f>
        <v>19.55</v>
      </c>
      <c r="T1154" s="6">
        <f t="shared" si="18"/>
        <v>9.9999999999980105E-3</v>
      </c>
    </row>
    <row r="1155" spans="1:20" x14ac:dyDescent="0.2">
      <c r="A1155" t="s">
        <v>3638</v>
      </c>
      <c r="B1155" t="s">
        <v>3667</v>
      </c>
      <c r="C1155" t="s">
        <v>3668</v>
      </c>
      <c r="D1155" t="s">
        <v>3669</v>
      </c>
      <c r="E1155" t="s">
        <v>3670</v>
      </c>
      <c r="F1155" t="s">
        <v>23</v>
      </c>
      <c r="G1155" s="2">
        <v>14.5</v>
      </c>
      <c r="H1155" s="1">
        <v>12</v>
      </c>
      <c r="I1155" t="s">
        <v>3498</v>
      </c>
      <c r="K1155" t="s">
        <v>2828</v>
      </c>
      <c r="L1155" s="1">
        <v>1</v>
      </c>
      <c r="M1155" s="3">
        <v>23.71</v>
      </c>
      <c r="N1155" s="3">
        <v>1.19</v>
      </c>
      <c r="O1155" s="3">
        <v>0</v>
      </c>
      <c r="P1155" s="3">
        <v>0.2</v>
      </c>
      <c r="Q1155" s="3">
        <v>25.1</v>
      </c>
      <c r="R1155" s="3">
        <v>7.95</v>
      </c>
      <c r="S1155" s="3">
        <f>VLOOKUP(C1155,[1]page!$C$2:$M$3071,11,0)</f>
        <v>23.71</v>
      </c>
      <c r="T1155" s="6">
        <f t="shared" si="18"/>
        <v>0</v>
      </c>
    </row>
    <row r="1156" spans="1:20" x14ac:dyDescent="0.2">
      <c r="A1156" t="s">
        <v>3638</v>
      </c>
      <c r="B1156" t="s">
        <v>3671</v>
      </c>
      <c r="C1156" t="s">
        <v>3672</v>
      </c>
      <c r="D1156" t="s">
        <v>3673</v>
      </c>
      <c r="E1156" t="s">
        <v>3674</v>
      </c>
      <c r="F1156" t="s">
        <v>23</v>
      </c>
      <c r="G1156" s="1">
        <v>14</v>
      </c>
      <c r="H1156" s="1">
        <v>12</v>
      </c>
      <c r="I1156" t="s">
        <v>3306</v>
      </c>
      <c r="K1156" t="s">
        <v>2828</v>
      </c>
      <c r="L1156" s="1">
        <v>1</v>
      </c>
      <c r="M1156" s="3">
        <v>18.02</v>
      </c>
      <c r="N1156" s="3">
        <v>0.9</v>
      </c>
      <c r="O1156" s="3">
        <v>0</v>
      </c>
      <c r="P1156" s="3">
        <v>0.2</v>
      </c>
      <c r="Q1156" s="3">
        <v>19.12</v>
      </c>
      <c r="R1156" s="3">
        <v>7.95</v>
      </c>
      <c r="S1156" s="3">
        <f>VLOOKUP(C1156,[1]page!$C$2:$M$3071,11,0)</f>
        <v>17.989999999999998</v>
      </c>
      <c r="T1156" s="6">
        <f t="shared" si="18"/>
        <v>3.0000000000001137E-2</v>
      </c>
    </row>
    <row r="1157" spans="1:20" x14ac:dyDescent="0.2">
      <c r="A1157" t="s">
        <v>3638</v>
      </c>
      <c r="B1157" t="s">
        <v>3675</v>
      </c>
      <c r="C1157" t="s">
        <v>3676</v>
      </c>
      <c r="D1157" t="s">
        <v>3677</v>
      </c>
      <c r="E1157" t="s">
        <v>3678</v>
      </c>
      <c r="F1157" t="s">
        <v>23</v>
      </c>
      <c r="G1157" s="1">
        <v>13</v>
      </c>
      <c r="H1157" s="1">
        <v>12</v>
      </c>
      <c r="I1157" t="s">
        <v>70</v>
      </c>
      <c r="K1157" t="s">
        <v>2828</v>
      </c>
      <c r="L1157" s="1">
        <v>1</v>
      </c>
      <c r="M1157" s="3">
        <v>24.99</v>
      </c>
      <c r="N1157" s="3">
        <v>1.25</v>
      </c>
      <c r="O1157" s="3">
        <v>0</v>
      </c>
      <c r="P1157" s="3">
        <v>0.2</v>
      </c>
      <c r="Q1157" s="3">
        <v>26.44</v>
      </c>
      <c r="R1157" s="3">
        <v>7.95</v>
      </c>
      <c r="S1157" s="3">
        <f>VLOOKUP(C1157,[1]page!$C$2:$M$3071,11,0)</f>
        <v>24.99</v>
      </c>
      <c r="T1157" s="6">
        <f t="shared" si="18"/>
        <v>0</v>
      </c>
    </row>
    <row r="1158" spans="1:20" x14ac:dyDescent="0.2">
      <c r="A1158" t="s">
        <v>3638</v>
      </c>
      <c r="B1158" t="s">
        <v>3679</v>
      </c>
      <c r="C1158" t="s">
        <v>3680</v>
      </c>
      <c r="D1158" t="s">
        <v>3681</v>
      </c>
      <c r="E1158" t="s">
        <v>518</v>
      </c>
      <c r="F1158" t="s">
        <v>23</v>
      </c>
      <c r="G1158" s="1">
        <v>13</v>
      </c>
      <c r="H1158" s="1">
        <v>12</v>
      </c>
      <c r="I1158" t="s">
        <v>397</v>
      </c>
      <c r="K1158" t="s">
        <v>2828</v>
      </c>
      <c r="L1158" s="1">
        <v>1</v>
      </c>
      <c r="M1158" s="3">
        <v>9.51</v>
      </c>
      <c r="N1158" s="3">
        <v>0.48</v>
      </c>
      <c r="O1158" s="3">
        <v>0</v>
      </c>
      <c r="P1158" s="3">
        <v>0.2</v>
      </c>
      <c r="Q1158" s="3">
        <v>10.19</v>
      </c>
      <c r="R1158" s="3">
        <v>7.95</v>
      </c>
      <c r="S1158" s="3">
        <f>VLOOKUP(C1158,[1]page!$C$2:$M$3071,11,0)</f>
        <v>9.49</v>
      </c>
      <c r="T1158" s="6">
        <f t="shared" si="18"/>
        <v>1.9999999999999574E-2</v>
      </c>
    </row>
    <row r="1159" spans="1:20" x14ac:dyDescent="0.2">
      <c r="A1159" t="s">
        <v>3638</v>
      </c>
      <c r="B1159" t="s">
        <v>3682</v>
      </c>
      <c r="C1159" t="s">
        <v>3683</v>
      </c>
      <c r="D1159" t="s">
        <v>3684</v>
      </c>
      <c r="E1159" t="s">
        <v>2899</v>
      </c>
      <c r="F1159" t="s">
        <v>23</v>
      </c>
      <c r="G1159" s="2">
        <v>13.5</v>
      </c>
      <c r="H1159" s="1">
        <v>12</v>
      </c>
      <c r="I1159" t="s">
        <v>397</v>
      </c>
      <c r="K1159" t="s">
        <v>2687</v>
      </c>
      <c r="L1159" s="1">
        <v>1</v>
      </c>
      <c r="M1159" s="3">
        <v>11.53</v>
      </c>
      <c r="N1159" s="3">
        <v>0.57999999999999996</v>
      </c>
      <c r="O1159" s="3">
        <v>0</v>
      </c>
      <c r="P1159" s="3">
        <v>0.2</v>
      </c>
      <c r="Q1159" s="3">
        <v>12.31</v>
      </c>
      <c r="R1159" s="3">
        <v>7.95</v>
      </c>
      <c r="S1159" s="3">
        <f>VLOOKUP(C1159,[1]page!$C$2:$M$3071,11,0)</f>
        <v>11.51</v>
      </c>
      <c r="T1159" s="6">
        <f t="shared" si="18"/>
        <v>1.9999999999999574E-2</v>
      </c>
    </row>
    <row r="1160" spans="1:20" x14ac:dyDescent="0.2">
      <c r="A1160" t="s">
        <v>3638</v>
      </c>
      <c r="B1160" t="s">
        <v>3685</v>
      </c>
      <c r="C1160" t="s">
        <v>3686</v>
      </c>
      <c r="D1160" t="s">
        <v>3687</v>
      </c>
      <c r="E1160" t="s">
        <v>3688</v>
      </c>
      <c r="F1160" t="s">
        <v>23</v>
      </c>
      <c r="G1160" s="2">
        <v>14.5</v>
      </c>
      <c r="H1160" s="1">
        <v>12</v>
      </c>
      <c r="I1160" t="s">
        <v>2759</v>
      </c>
      <c r="K1160" t="s">
        <v>2828</v>
      </c>
      <c r="L1160" s="1">
        <v>1</v>
      </c>
      <c r="M1160" s="3">
        <v>17.920000000000002</v>
      </c>
      <c r="N1160" s="3">
        <v>0.9</v>
      </c>
      <c r="O1160" s="3">
        <v>0</v>
      </c>
      <c r="P1160" s="3">
        <v>0.2</v>
      </c>
      <c r="Q1160" s="3">
        <v>19.02</v>
      </c>
      <c r="R1160" s="3">
        <v>7.95</v>
      </c>
      <c r="S1160" s="3">
        <f>VLOOKUP(C1160,[1]page!$C$2:$M$3071,11,0)</f>
        <v>17.899999999999999</v>
      </c>
      <c r="T1160" s="6">
        <f t="shared" si="18"/>
        <v>2.0000000000003126E-2</v>
      </c>
    </row>
    <row r="1161" spans="1:20" x14ac:dyDescent="0.2">
      <c r="A1161" t="s">
        <v>3638</v>
      </c>
      <c r="B1161" t="s">
        <v>3689</v>
      </c>
      <c r="C1161" t="s">
        <v>3690</v>
      </c>
      <c r="D1161" t="s">
        <v>3691</v>
      </c>
      <c r="E1161" t="s">
        <v>3692</v>
      </c>
      <c r="F1161" t="s">
        <v>23</v>
      </c>
      <c r="G1161" s="1">
        <v>11</v>
      </c>
      <c r="H1161" s="1">
        <v>12</v>
      </c>
      <c r="I1161" t="s">
        <v>2759</v>
      </c>
      <c r="K1161" t="s">
        <v>2828</v>
      </c>
      <c r="L1161" s="1">
        <v>1</v>
      </c>
      <c r="M1161" s="3">
        <v>16.010000000000002</v>
      </c>
      <c r="N1161" s="3">
        <v>0.8</v>
      </c>
      <c r="O1161" s="3">
        <v>0</v>
      </c>
      <c r="P1161" s="3">
        <v>0.2</v>
      </c>
      <c r="Q1161" s="3">
        <v>17.010000000000002</v>
      </c>
      <c r="R1161" s="3">
        <v>7.95</v>
      </c>
      <c r="S1161" s="3">
        <f>VLOOKUP(C1161,[1]page!$C$2:$M$3071,11,0)</f>
        <v>15.99</v>
      </c>
      <c r="T1161" s="6">
        <f t="shared" si="18"/>
        <v>2.000000000000135E-2</v>
      </c>
    </row>
    <row r="1162" spans="1:20" x14ac:dyDescent="0.2">
      <c r="A1162" t="s">
        <v>3638</v>
      </c>
      <c r="B1162" t="s">
        <v>3693</v>
      </c>
      <c r="C1162" t="s">
        <v>3694</v>
      </c>
      <c r="D1162" t="s">
        <v>3695</v>
      </c>
      <c r="E1162" t="s">
        <v>3696</v>
      </c>
      <c r="F1162" t="s">
        <v>23</v>
      </c>
      <c r="G1162" s="1">
        <v>14</v>
      </c>
      <c r="H1162" s="1">
        <v>12</v>
      </c>
      <c r="I1162" t="s">
        <v>449</v>
      </c>
      <c r="K1162" t="s">
        <v>2828</v>
      </c>
      <c r="L1162" s="1">
        <v>1</v>
      </c>
      <c r="M1162" s="3">
        <v>17.12</v>
      </c>
      <c r="N1162" s="3">
        <v>0.86</v>
      </c>
      <c r="O1162" s="3">
        <v>0</v>
      </c>
      <c r="P1162" s="3">
        <v>0.2</v>
      </c>
      <c r="Q1162" s="3">
        <v>18.18</v>
      </c>
      <c r="R1162" s="3">
        <v>7.95</v>
      </c>
      <c r="S1162" s="3">
        <f>VLOOKUP(C1162,[1]page!$C$2:$M$3071,11,0)</f>
        <v>17.100000000000001</v>
      </c>
      <c r="T1162" s="6">
        <f t="shared" si="18"/>
        <v>1.9999999999999574E-2</v>
      </c>
    </row>
    <row r="1163" spans="1:20" x14ac:dyDescent="0.2">
      <c r="A1163" t="s">
        <v>3697</v>
      </c>
      <c r="B1163" t="s">
        <v>3698</v>
      </c>
      <c r="C1163" t="s">
        <v>3699</v>
      </c>
      <c r="D1163" t="s">
        <v>3700</v>
      </c>
      <c r="E1163" t="s">
        <v>3628</v>
      </c>
      <c r="F1163" t="s">
        <v>23</v>
      </c>
      <c r="G1163" s="1">
        <v>13</v>
      </c>
      <c r="H1163" s="1">
        <v>12</v>
      </c>
      <c r="I1163" t="s">
        <v>449</v>
      </c>
      <c r="K1163" t="s">
        <v>2828</v>
      </c>
      <c r="L1163" s="1">
        <v>1</v>
      </c>
      <c r="M1163" s="3">
        <v>12.03</v>
      </c>
      <c r="N1163" s="3">
        <v>0.6</v>
      </c>
      <c r="O1163" s="3">
        <v>0</v>
      </c>
      <c r="P1163" s="3">
        <v>0.2</v>
      </c>
      <c r="Q1163" s="3">
        <v>12.83</v>
      </c>
      <c r="R1163" s="3">
        <v>7.95</v>
      </c>
      <c r="S1163" s="3">
        <f>VLOOKUP(C1163,[1]page!$C$2:$M$3071,11,0)</f>
        <v>12.01</v>
      </c>
      <c r="T1163" s="6">
        <f t="shared" si="18"/>
        <v>1.9999999999999574E-2</v>
      </c>
    </row>
    <row r="1164" spans="1:20" x14ac:dyDescent="0.2">
      <c r="A1164" t="s">
        <v>3697</v>
      </c>
      <c r="B1164" t="s">
        <v>3701</v>
      </c>
      <c r="C1164" t="s">
        <v>3702</v>
      </c>
      <c r="D1164" t="s">
        <v>3703</v>
      </c>
      <c r="E1164" t="s">
        <v>3632</v>
      </c>
      <c r="F1164" t="s">
        <v>23</v>
      </c>
      <c r="G1164" s="1">
        <v>8</v>
      </c>
      <c r="H1164" s="1">
        <v>12</v>
      </c>
      <c r="I1164" t="s">
        <v>39</v>
      </c>
      <c r="K1164" t="s">
        <v>2677</v>
      </c>
      <c r="L1164" s="1">
        <v>1</v>
      </c>
      <c r="M1164" s="3">
        <v>11.22</v>
      </c>
      <c r="N1164" s="3">
        <v>0.56000000000000005</v>
      </c>
      <c r="O1164" s="3">
        <v>0</v>
      </c>
      <c r="P1164" s="3">
        <v>0.2</v>
      </c>
      <c r="Q1164" s="3">
        <v>11.98</v>
      </c>
      <c r="R1164" s="3">
        <v>7.95</v>
      </c>
      <c r="S1164" s="3">
        <f>VLOOKUP(C1164,[1]page!$C$2:$M$3071,11,0)</f>
        <v>11.2</v>
      </c>
      <c r="T1164" s="6">
        <f t="shared" si="18"/>
        <v>2.000000000000135E-2</v>
      </c>
    </row>
    <row r="1165" spans="1:20" x14ac:dyDescent="0.2">
      <c r="A1165" t="s">
        <v>3697</v>
      </c>
      <c r="B1165" t="s">
        <v>3704</v>
      </c>
      <c r="C1165" t="s">
        <v>3705</v>
      </c>
      <c r="D1165" t="s">
        <v>3706</v>
      </c>
      <c r="E1165" t="s">
        <v>200</v>
      </c>
      <c r="F1165" t="s">
        <v>2835</v>
      </c>
      <c r="G1165" s="1">
        <v>12</v>
      </c>
      <c r="H1165" s="1">
        <v>4</v>
      </c>
      <c r="I1165" t="s">
        <v>201</v>
      </c>
      <c r="K1165" t="s">
        <v>2706</v>
      </c>
      <c r="L1165" s="1">
        <v>1</v>
      </c>
      <c r="M1165" s="3">
        <v>35.99</v>
      </c>
      <c r="N1165" s="3">
        <v>1.8</v>
      </c>
      <c r="O1165" s="3">
        <v>0</v>
      </c>
      <c r="P1165" s="3">
        <v>0</v>
      </c>
      <c r="Q1165" s="3">
        <v>37.79</v>
      </c>
      <c r="R1165" s="3">
        <v>33.9</v>
      </c>
      <c r="S1165" s="3">
        <f>VLOOKUP(C1165,[1]page!$C$2:$M$3071,11,0)</f>
        <v>35.99</v>
      </c>
      <c r="T1165" s="6">
        <f t="shared" si="18"/>
        <v>0</v>
      </c>
    </row>
    <row r="1166" spans="1:20" x14ac:dyDescent="0.2">
      <c r="A1166" t="s">
        <v>3697</v>
      </c>
      <c r="B1166" t="s">
        <v>3707</v>
      </c>
      <c r="C1166" t="s">
        <v>3708</v>
      </c>
      <c r="D1166" t="s">
        <v>3709</v>
      </c>
      <c r="E1166" t="s">
        <v>2899</v>
      </c>
      <c r="F1166" t="s">
        <v>23</v>
      </c>
      <c r="G1166" s="2">
        <v>12.5</v>
      </c>
      <c r="H1166" s="1">
        <v>12</v>
      </c>
      <c r="I1166" t="s">
        <v>397</v>
      </c>
      <c r="K1166" t="s">
        <v>2687</v>
      </c>
      <c r="L1166" s="1">
        <v>1</v>
      </c>
      <c r="M1166" s="3">
        <v>11.53</v>
      </c>
      <c r="N1166" s="3">
        <v>0.57999999999999996</v>
      </c>
      <c r="O1166" s="3">
        <v>0</v>
      </c>
      <c r="P1166" s="3">
        <v>0.2</v>
      </c>
      <c r="Q1166" s="3">
        <v>12.31</v>
      </c>
      <c r="R1166" s="3">
        <v>7.95</v>
      </c>
      <c r="S1166" s="3">
        <f>VLOOKUP(C1166,[1]page!$C$2:$M$3071,11,0)</f>
        <v>11.51</v>
      </c>
      <c r="T1166" s="6">
        <f t="shared" si="18"/>
        <v>1.9999999999999574E-2</v>
      </c>
    </row>
    <row r="1167" spans="1:20" x14ac:dyDescent="0.2">
      <c r="A1167" t="s">
        <v>3697</v>
      </c>
      <c r="B1167" t="s">
        <v>3710</v>
      </c>
      <c r="C1167" t="s">
        <v>3711</v>
      </c>
      <c r="D1167" t="s">
        <v>3712</v>
      </c>
      <c r="E1167" t="s">
        <v>3692</v>
      </c>
      <c r="F1167" t="s">
        <v>23</v>
      </c>
      <c r="G1167" s="2">
        <v>12.5</v>
      </c>
      <c r="H1167" s="1">
        <v>12</v>
      </c>
      <c r="I1167" t="s">
        <v>2759</v>
      </c>
      <c r="K1167" t="s">
        <v>2687</v>
      </c>
      <c r="L1167" s="1">
        <v>1</v>
      </c>
      <c r="M1167" s="3">
        <v>17.309999999999999</v>
      </c>
      <c r="N1167" s="3">
        <v>0.87</v>
      </c>
      <c r="O1167" s="3">
        <v>0</v>
      </c>
      <c r="P1167" s="3">
        <v>0.2</v>
      </c>
      <c r="Q1167" s="3">
        <v>18.38</v>
      </c>
      <c r="R1167" s="3">
        <v>7.95</v>
      </c>
      <c r="S1167" s="3">
        <f>VLOOKUP(C1167,[1]page!$C$2:$M$3071,11,0)</f>
        <v>17.29</v>
      </c>
      <c r="T1167" s="6">
        <f t="shared" si="18"/>
        <v>1.9999999999999574E-2</v>
      </c>
    </row>
    <row r="1168" spans="1:20" x14ac:dyDescent="0.2">
      <c r="A1168" t="s">
        <v>3697</v>
      </c>
      <c r="B1168" t="s">
        <v>3713</v>
      </c>
      <c r="C1168" t="s">
        <v>3714</v>
      </c>
      <c r="D1168" t="s">
        <v>3715</v>
      </c>
      <c r="E1168" t="s">
        <v>2699</v>
      </c>
      <c r="F1168" t="s">
        <v>2835</v>
      </c>
      <c r="G1168" s="2">
        <v>12.5</v>
      </c>
      <c r="H1168" s="1">
        <v>4</v>
      </c>
      <c r="I1168" t="s">
        <v>2700</v>
      </c>
      <c r="K1168" t="s">
        <v>2828</v>
      </c>
      <c r="L1168" s="1">
        <v>1</v>
      </c>
      <c r="M1168" s="3">
        <v>35.36</v>
      </c>
      <c r="N1168" s="3">
        <v>1.77</v>
      </c>
      <c r="O1168" s="3">
        <v>0</v>
      </c>
      <c r="P1168" s="3">
        <v>0</v>
      </c>
      <c r="Q1168" s="3">
        <v>37.130000000000003</v>
      </c>
      <c r="R1168" s="3">
        <v>33.9</v>
      </c>
      <c r="S1168" s="3">
        <f>VLOOKUP(C1168,[1]page!$C$2:$M$3071,11,0)</f>
        <v>35.36</v>
      </c>
      <c r="T1168" s="6">
        <f t="shared" si="18"/>
        <v>0</v>
      </c>
    </row>
    <row r="1169" spans="1:20" x14ac:dyDescent="0.2">
      <c r="A1169" t="s">
        <v>3697</v>
      </c>
      <c r="B1169" t="s">
        <v>3716</v>
      </c>
      <c r="C1169" t="s">
        <v>3717</v>
      </c>
      <c r="D1169" t="s">
        <v>3718</v>
      </c>
      <c r="E1169" t="s">
        <v>3642</v>
      </c>
      <c r="F1169" t="s">
        <v>23</v>
      </c>
      <c r="G1169" s="1">
        <v>13</v>
      </c>
      <c r="H1169" s="1">
        <v>12</v>
      </c>
      <c r="I1169" t="s">
        <v>57</v>
      </c>
      <c r="K1169" t="s">
        <v>2687</v>
      </c>
      <c r="L1169" s="1">
        <v>1</v>
      </c>
      <c r="M1169" s="3">
        <v>13</v>
      </c>
      <c r="N1169" s="3">
        <v>0.65</v>
      </c>
      <c r="O1169" s="3">
        <v>0</v>
      </c>
      <c r="P1169" s="3">
        <v>0.2</v>
      </c>
      <c r="Q1169" s="3">
        <v>13.85</v>
      </c>
      <c r="R1169" s="3">
        <v>7.95</v>
      </c>
      <c r="S1169" s="3">
        <f>VLOOKUP(C1169,[1]page!$C$2:$M$3071,11,0)</f>
        <v>12.98</v>
      </c>
      <c r="T1169" s="6">
        <f t="shared" si="18"/>
        <v>1.9999999999999574E-2</v>
      </c>
    </row>
    <row r="1170" spans="1:20" x14ac:dyDescent="0.2">
      <c r="A1170" t="s">
        <v>3697</v>
      </c>
      <c r="B1170" t="s">
        <v>3719</v>
      </c>
      <c r="C1170" t="s">
        <v>3720</v>
      </c>
      <c r="D1170" t="s">
        <v>3721</v>
      </c>
      <c r="E1170" t="s">
        <v>3722</v>
      </c>
      <c r="F1170" t="s">
        <v>23</v>
      </c>
      <c r="G1170" s="2">
        <v>9.5</v>
      </c>
      <c r="H1170" s="1">
        <v>12</v>
      </c>
      <c r="I1170" t="s">
        <v>183</v>
      </c>
      <c r="K1170" t="s">
        <v>2706</v>
      </c>
      <c r="L1170" s="1">
        <v>1</v>
      </c>
      <c r="M1170" s="3">
        <v>11.55</v>
      </c>
      <c r="N1170" s="3">
        <v>0.57999999999999996</v>
      </c>
      <c r="O1170" s="3">
        <v>0</v>
      </c>
      <c r="P1170" s="3">
        <v>0.2</v>
      </c>
      <c r="Q1170" s="3">
        <v>12.33</v>
      </c>
      <c r="R1170" s="3">
        <v>7.95</v>
      </c>
      <c r="S1170" s="3">
        <f>VLOOKUP(C1170,[1]page!$C$2:$M$3071,11,0)</f>
        <v>11.53</v>
      </c>
      <c r="T1170" s="6">
        <f t="shared" si="18"/>
        <v>2.000000000000135E-2</v>
      </c>
    </row>
    <row r="1171" spans="1:20" x14ac:dyDescent="0.2">
      <c r="A1171" t="s">
        <v>3723</v>
      </c>
      <c r="B1171" t="s">
        <v>3724</v>
      </c>
      <c r="C1171" t="s">
        <v>3725</v>
      </c>
      <c r="D1171" t="s">
        <v>3726</v>
      </c>
      <c r="E1171" t="s">
        <v>3632</v>
      </c>
      <c r="F1171" t="s">
        <v>2737</v>
      </c>
      <c r="G1171" s="2">
        <v>7.7</v>
      </c>
      <c r="H1171" s="1">
        <v>6</v>
      </c>
      <c r="I1171" t="s">
        <v>39</v>
      </c>
      <c r="K1171" t="s">
        <v>2773</v>
      </c>
      <c r="L1171" s="1">
        <v>1</v>
      </c>
      <c r="M1171" s="3">
        <v>21.96</v>
      </c>
      <c r="N1171" s="3">
        <v>1.1000000000000001</v>
      </c>
      <c r="O1171" s="3">
        <v>0</v>
      </c>
      <c r="P1171" s="3">
        <v>0.4</v>
      </c>
      <c r="Q1171" s="3">
        <v>23.46</v>
      </c>
      <c r="R1171" s="3">
        <v>14.45</v>
      </c>
      <c r="S1171" s="3">
        <f>VLOOKUP(C1171,[1]page!$C$2:$M$3071,11,0)</f>
        <v>21.92</v>
      </c>
      <c r="T1171" s="6">
        <f t="shared" si="18"/>
        <v>3.9999999999999147E-2</v>
      </c>
    </row>
    <row r="1172" spans="1:20" x14ac:dyDescent="0.2">
      <c r="A1172" t="s">
        <v>3727</v>
      </c>
      <c r="B1172" t="s">
        <v>3728</v>
      </c>
      <c r="C1172" t="s">
        <v>3729</v>
      </c>
      <c r="D1172" t="s">
        <v>3730</v>
      </c>
      <c r="E1172" t="s">
        <v>3731</v>
      </c>
      <c r="F1172" t="s">
        <v>23</v>
      </c>
      <c r="G1172" s="1">
        <v>14</v>
      </c>
      <c r="H1172" s="1">
        <v>12</v>
      </c>
      <c r="I1172" t="s">
        <v>3732</v>
      </c>
      <c r="K1172" t="s">
        <v>2828</v>
      </c>
      <c r="L1172" s="1">
        <v>1</v>
      </c>
      <c r="M1172" s="3">
        <v>18.34</v>
      </c>
      <c r="N1172" s="3">
        <v>0.92</v>
      </c>
      <c r="O1172" s="3">
        <v>0</v>
      </c>
      <c r="P1172" s="3">
        <v>0.2</v>
      </c>
      <c r="Q1172" s="3">
        <v>19.46</v>
      </c>
      <c r="R1172" s="3">
        <v>7.95</v>
      </c>
      <c r="S1172" s="3">
        <f>VLOOKUP(C1172,[1]page!$C$2:$M$3071,11,0)</f>
        <v>18.32</v>
      </c>
      <c r="T1172" s="6">
        <f t="shared" si="18"/>
        <v>1.9999999999999574E-2</v>
      </c>
    </row>
    <row r="1173" spans="1:20" x14ac:dyDescent="0.2">
      <c r="A1173" t="s">
        <v>3727</v>
      </c>
      <c r="B1173" t="s">
        <v>3733</v>
      </c>
      <c r="C1173" t="s">
        <v>3734</v>
      </c>
      <c r="D1173" t="s">
        <v>3735</v>
      </c>
      <c r="E1173" t="s">
        <v>3731</v>
      </c>
      <c r="F1173" t="s">
        <v>23</v>
      </c>
      <c r="G1173" s="1">
        <v>14</v>
      </c>
      <c r="H1173" s="1">
        <v>12</v>
      </c>
      <c r="I1173" t="s">
        <v>2179</v>
      </c>
      <c r="K1173" t="s">
        <v>2828</v>
      </c>
      <c r="L1173" s="1">
        <v>1</v>
      </c>
      <c r="M1173" s="3">
        <v>18.34</v>
      </c>
      <c r="N1173" s="3">
        <v>0.92</v>
      </c>
      <c r="O1173" s="3">
        <v>0</v>
      </c>
      <c r="P1173" s="3">
        <v>0.2</v>
      </c>
      <c r="Q1173" s="3">
        <v>19.46</v>
      </c>
      <c r="R1173" s="3">
        <v>7.95</v>
      </c>
      <c r="S1173" s="3">
        <f>VLOOKUP(C1173,[1]page!$C$2:$M$3071,11,0)</f>
        <v>18.32</v>
      </c>
      <c r="T1173" s="6">
        <f t="shared" si="18"/>
        <v>1.9999999999999574E-2</v>
      </c>
    </row>
    <row r="1174" spans="1:20" x14ac:dyDescent="0.2">
      <c r="A1174" t="s">
        <v>3727</v>
      </c>
      <c r="B1174" t="s">
        <v>3736</v>
      </c>
      <c r="C1174" t="s">
        <v>3737</v>
      </c>
      <c r="D1174" t="s">
        <v>3738</v>
      </c>
      <c r="E1174" t="s">
        <v>3692</v>
      </c>
      <c r="F1174" t="s">
        <v>23</v>
      </c>
      <c r="G1174" s="2">
        <v>14.5</v>
      </c>
      <c r="H1174" s="1">
        <v>12</v>
      </c>
      <c r="I1174" t="s">
        <v>2759</v>
      </c>
      <c r="K1174" t="s">
        <v>2828</v>
      </c>
      <c r="L1174" s="1">
        <v>1</v>
      </c>
      <c r="M1174" s="3">
        <v>17.309999999999999</v>
      </c>
      <c r="N1174" s="3">
        <v>0.87</v>
      </c>
      <c r="O1174" s="3">
        <v>0</v>
      </c>
      <c r="P1174" s="3">
        <v>0.2</v>
      </c>
      <c r="Q1174" s="3">
        <v>18.38</v>
      </c>
      <c r="R1174" s="3">
        <v>7.95</v>
      </c>
      <c r="S1174" s="3">
        <f>VLOOKUP(C1174,[1]page!$C$2:$M$3071,11,0)</f>
        <v>17.29</v>
      </c>
      <c r="T1174" s="6">
        <f t="shared" si="18"/>
        <v>1.9999999999999574E-2</v>
      </c>
    </row>
    <row r="1175" spans="1:20" x14ac:dyDescent="0.2">
      <c r="A1175" t="s">
        <v>3739</v>
      </c>
      <c r="B1175" t="s">
        <v>3740</v>
      </c>
      <c r="C1175" t="s">
        <v>3741</v>
      </c>
      <c r="D1175" t="s">
        <v>3742</v>
      </c>
      <c r="E1175" t="s">
        <v>3743</v>
      </c>
      <c r="F1175" t="s">
        <v>23</v>
      </c>
      <c r="G1175" s="2">
        <v>13.5</v>
      </c>
      <c r="H1175" s="1">
        <v>12</v>
      </c>
      <c r="I1175" t="s">
        <v>728</v>
      </c>
      <c r="K1175" t="s">
        <v>2706</v>
      </c>
      <c r="L1175" s="1">
        <v>1</v>
      </c>
      <c r="M1175" s="3">
        <v>13.45</v>
      </c>
      <c r="N1175" s="3">
        <v>0.67</v>
      </c>
      <c r="O1175" s="3">
        <v>0</v>
      </c>
      <c r="P1175" s="3">
        <v>0.2</v>
      </c>
      <c r="Q1175" s="3">
        <v>14.32</v>
      </c>
      <c r="R1175" s="3">
        <v>7.95</v>
      </c>
      <c r="S1175" s="3">
        <f>VLOOKUP(C1175,[1]page!$C$2:$M$3071,11,0)</f>
        <v>13.43</v>
      </c>
      <c r="T1175" s="6">
        <f t="shared" si="18"/>
        <v>1.9999999999999574E-2</v>
      </c>
    </row>
    <row r="1176" spans="1:20" x14ac:dyDescent="0.2">
      <c r="A1176" t="s">
        <v>3744</v>
      </c>
      <c r="B1176" t="s">
        <v>3745</v>
      </c>
      <c r="C1176" t="s">
        <v>3746</v>
      </c>
      <c r="D1176" t="s">
        <v>3747</v>
      </c>
      <c r="E1176" t="s">
        <v>3748</v>
      </c>
      <c r="F1176" t="s">
        <v>23</v>
      </c>
      <c r="G1176" s="2">
        <v>14.5</v>
      </c>
      <c r="H1176" s="1">
        <v>12</v>
      </c>
      <c r="I1176" t="s">
        <v>449</v>
      </c>
      <c r="K1176" t="s">
        <v>2828</v>
      </c>
      <c r="L1176" s="1">
        <v>1</v>
      </c>
      <c r="M1176" s="3">
        <v>13.37</v>
      </c>
      <c r="N1176" s="3">
        <v>0.67</v>
      </c>
      <c r="O1176" s="3">
        <v>0</v>
      </c>
      <c r="P1176" s="3">
        <v>0.2</v>
      </c>
      <c r="Q1176" s="3">
        <v>14.24</v>
      </c>
      <c r="R1176" s="3">
        <v>7.95</v>
      </c>
      <c r="S1176" s="3">
        <f>VLOOKUP(C1176,[1]page!$C$2:$M$3071,11,0)</f>
        <v>13.35</v>
      </c>
      <c r="T1176" s="6">
        <f t="shared" si="18"/>
        <v>1.9999999999999574E-2</v>
      </c>
    </row>
    <row r="1177" spans="1:20" x14ac:dyDescent="0.2">
      <c r="A1177" t="s">
        <v>3749</v>
      </c>
      <c r="B1177" t="s">
        <v>3750</v>
      </c>
      <c r="C1177" t="s">
        <v>3751</v>
      </c>
      <c r="D1177" t="s">
        <v>3752</v>
      </c>
      <c r="E1177" t="s">
        <v>3753</v>
      </c>
      <c r="F1177" t="s">
        <v>23</v>
      </c>
      <c r="G1177" s="1">
        <v>13</v>
      </c>
      <c r="H1177" s="1">
        <v>12</v>
      </c>
      <c r="I1177" t="s">
        <v>57</v>
      </c>
      <c r="K1177" t="s">
        <v>2828</v>
      </c>
      <c r="L1177" s="1">
        <v>1</v>
      </c>
      <c r="M1177" s="3">
        <v>11.02</v>
      </c>
      <c r="N1177" s="3">
        <v>0.55000000000000004</v>
      </c>
      <c r="O1177" s="3">
        <v>0</v>
      </c>
      <c r="P1177" s="3">
        <v>0.2</v>
      </c>
      <c r="Q1177" s="3">
        <v>11.77</v>
      </c>
      <c r="R1177" s="3">
        <v>7.95</v>
      </c>
      <c r="S1177" s="3">
        <f>VLOOKUP(C1177,[1]page!$C$2:$M$3071,11,0)</f>
        <v>11</v>
      </c>
      <c r="T1177" s="6">
        <f t="shared" si="18"/>
        <v>1.9999999999999574E-2</v>
      </c>
    </row>
    <row r="1178" spans="1:20" x14ac:dyDescent="0.2">
      <c r="A1178" t="s">
        <v>3749</v>
      </c>
      <c r="B1178" t="s">
        <v>3754</v>
      </c>
      <c r="C1178" t="s">
        <v>3755</v>
      </c>
      <c r="D1178" t="s">
        <v>3756</v>
      </c>
      <c r="E1178" t="s">
        <v>3753</v>
      </c>
      <c r="F1178" t="s">
        <v>23</v>
      </c>
      <c r="G1178" s="2">
        <v>12.1</v>
      </c>
      <c r="H1178" s="1">
        <v>12</v>
      </c>
      <c r="I1178" t="s">
        <v>57</v>
      </c>
      <c r="K1178" t="s">
        <v>2687</v>
      </c>
      <c r="L1178" s="1">
        <v>1</v>
      </c>
      <c r="M1178" s="3">
        <v>11.02</v>
      </c>
      <c r="N1178" s="3">
        <v>0.55000000000000004</v>
      </c>
      <c r="O1178" s="3">
        <v>0</v>
      </c>
      <c r="P1178" s="3">
        <v>0.2</v>
      </c>
      <c r="Q1178" s="3">
        <v>11.77</v>
      </c>
      <c r="R1178" s="3">
        <v>7.95</v>
      </c>
      <c r="S1178" s="3">
        <f>VLOOKUP(C1178,[1]page!$C$2:$M$3071,11,0)</f>
        <v>11</v>
      </c>
      <c r="T1178" s="6">
        <f t="shared" si="18"/>
        <v>1.9999999999999574E-2</v>
      </c>
    </row>
    <row r="1179" spans="1:20" x14ac:dyDescent="0.2">
      <c r="A1179" t="s">
        <v>3749</v>
      </c>
      <c r="B1179" t="s">
        <v>3757</v>
      </c>
      <c r="C1179" t="s">
        <v>3758</v>
      </c>
      <c r="D1179" t="s">
        <v>3759</v>
      </c>
      <c r="E1179" t="s">
        <v>3753</v>
      </c>
      <c r="F1179" t="s">
        <v>23</v>
      </c>
      <c r="G1179" s="2">
        <v>12.5</v>
      </c>
      <c r="H1179" s="1">
        <v>12</v>
      </c>
      <c r="I1179" t="s">
        <v>57</v>
      </c>
      <c r="K1179" t="s">
        <v>2828</v>
      </c>
      <c r="L1179" s="1">
        <v>1</v>
      </c>
      <c r="M1179" s="3">
        <v>11.02</v>
      </c>
      <c r="N1179" s="3">
        <v>0.55000000000000004</v>
      </c>
      <c r="O1179" s="3">
        <v>0</v>
      </c>
      <c r="P1179" s="3">
        <v>0.2</v>
      </c>
      <c r="Q1179" s="3">
        <v>11.77</v>
      </c>
      <c r="R1179" s="3">
        <v>7.95</v>
      </c>
      <c r="S1179" s="3">
        <f>VLOOKUP(C1179,[1]page!$C$2:$M$3071,11,0)</f>
        <v>11</v>
      </c>
      <c r="T1179" s="6">
        <f t="shared" si="18"/>
        <v>1.9999999999999574E-2</v>
      </c>
    </row>
    <row r="1180" spans="1:20" x14ac:dyDescent="0.2">
      <c r="A1180" t="s">
        <v>3749</v>
      </c>
      <c r="B1180" t="s">
        <v>3760</v>
      </c>
      <c r="C1180" t="s">
        <v>3761</v>
      </c>
      <c r="D1180" t="s">
        <v>3762</v>
      </c>
      <c r="E1180" t="s">
        <v>3753</v>
      </c>
      <c r="F1180" t="s">
        <v>2737</v>
      </c>
      <c r="G1180" s="1">
        <v>13</v>
      </c>
      <c r="H1180" s="1">
        <v>6</v>
      </c>
      <c r="I1180" t="s">
        <v>57</v>
      </c>
      <c r="K1180" t="s">
        <v>2828</v>
      </c>
      <c r="L1180" s="1">
        <v>1</v>
      </c>
      <c r="M1180" s="3">
        <v>18.07</v>
      </c>
      <c r="N1180" s="3">
        <v>0.9</v>
      </c>
      <c r="O1180" s="3">
        <v>0</v>
      </c>
      <c r="P1180" s="3">
        <v>0.4</v>
      </c>
      <c r="Q1180" s="3">
        <v>19.37</v>
      </c>
      <c r="R1180" s="3">
        <v>14.45</v>
      </c>
      <c r="S1180" s="3">
        <f>VLOOKUP(C1180,[1]page!$C$2:$M$3071,11,0)</f>
        <v>18.02</v>
      </c>
      <c r="T1180" s="6">
        <f t="shared" si="18"/>
        <v>5.0000000000000711E-2</v>
      </c>
    </row>
    <row r="1181" spans="1:20" x14ac:dyDescent="0.2">
      <c r="A1181" t="s">
        <v>3749</v>
      </c>
      <c r="B1181" t="s">
        <v>3763</v>
      </c>
      <c r="C1181" t="s">
        <v>3764</v>
      </c>
      <c r="D1181" t="s">
        <v>3765</v>
      </c>
      <c r="E1181" t="s">
        <v>3766</v>
      </c>
      <c r="F1181" t="s">
        <v>23</v>
      </c>
      <c r="G1181" s="1">
        <v>13</v>
      </c>
      <c r="H1181" s="1">
        <v>12</v>
      </c>
      <c r="I1181" t="s">
        <v>57</v>
      </c>
      <c r="K1181" t="s">
        <v>2828</v>
      </c>
      <c r="L1181" s="1">
        <v>1</v>
      </c>
      <c r="M1181" s="3">
        <v>18.03</v>
      </c>
      <c r="N1181" s="3">
        <v>0.9</v>
      </c>
      <c r="O1181" s="3">
        <v>0</v>
      </c>
      <c r="P1181" s="3">
        <v>0.2</v>
      </c>
      <c r="Q1181" s="3">
        <v>19.13</v>
      </c>
      <c r="R1181" s="3">
        <v>7.95</v>
      </c>
      <c r="S1181" s="3">
        <f>VLOOKUP(C1181,[1]page!$C$2:$M$3071,11,0)</f>
        <v>18</v>
      </c>
      <c r="T1181" s="6">
        <f t="shared" si="18"/>
        <v>3.0000000000001137E-2</v>
      </c>
    </row>
    <row r="1182" spans="1:20" x14ac:dyDescent="0.2">
      <c r="A1182" t="s">
        <v>3749</v>
      </c>
      <c r="B1182" t="s">
        <v>3767</v>
      </c>
      <c r="C1182" t="s">
        <v>3768</v>
      </c>
      <c r="D1182" t="s">
        <v>3769</v>
      </c>
      <c r="E1182" t="s">
        <v>3770</v>
      </c>
      <c r="F1182" t="s">
        <v>23</v>
      </c>
      <c r="G1182" s="1">
        <v>12</v>
      </c>
      <c r="H1182" s="1">
        <v>12</v>
      </c>
      <c r="I1182" t="s">
        <v>57</v>
      </c>
      <c r="K1182" t="s">
        <v>2828</v>
      </c>
      <c r="L1182" s="1">
        <v>1</v>
      </c>
      <c r="M1182" s="3">
        <v>14.02</v>
      </c>
      <c r="N1182" s="3">
        <v>0.7</v>
      </c>
      <c r="O1182" s="3">
        <v>0</v>
      </c>
      <c r="P1182" s="3">
        <v>0.2</v>
      </c>
      <c r="Q1182" s="3">
        <v>14.92</v>
      </c>
      <c r="R1182" s="3">
        <v>7.95</v>
      </c>
      <c r="S1182" s="3">
        <f>VLOOKUP(C1182,[1]page!$C$2:$M$3071,11,0)</f>
        <v>14</v>
      </c>
      <c r="T1182" s="6">
        <f t="shared" si="18"/>
        <v>1.9999999999999574E-2</v>
      </c>
    </row>
    <row r="1183" spans="1:20" x14ac:dyDescent="0.2">
      <c r="A1183" t="s">
        <v>3749</v>
      </c>
      <c r="B1183" t="s">
        <v>3771</v>
      </c>
      <c r="C1183" t="s">
        <v>3772</v>
      </c>
      <c r="D1183" t="s">
        <v>3773</v>
      </c>
      <c r="E1183" t="s">
        <v>3632</v>
      </c>
      <c r="F1183" t="s">
        <v>23</v>
      </c>
      <c r="G1183" s="2">
        <v>14.5</v>
      </c>
      <c r="H1183" s="1">
        <v>12</v>
      </c>
      <c r="I1183" t="s">
        <v>39</v>
      </c>
      <c r="K1183" t="s">
        <v>2828</v>
      </c>
      <c r="L1183" s="1">
        <v>1</v>
      </c>
      <c r="M1183" s="3">
        <v>15.33</v>
      </c>
      <c r="N1183" s="3">
        <v>0.77</v>
      </c>
      <c r="O1183" s="3">
        <v>0</v>
      </c>
      <c r="P1183" s="3">
        <v>0.2</v>
      </c>
      <c r="Q1183" s="3">
        <v>16.3</v>
      </c>
      <c r="R1183" s="3">
        <v>7.95</v>
      </c>
      <c r="S1183" s="3">
        <f>VLOOKUP(C1183,[1]page!$C$2:$M$3071,11,0)</f>
        <v>15.3</v>
      </c>
      <c r="T1183" s="6">
        <f t="shared" si="18"/>
        <v>2.9999999999999361E-2</v>
      </c>
    </row>
    <row r="1184" spans="1:20" x14ac:dyDescent="0.2">
      <c r="A1184" t="s">
        <v>3749</v>
      </c>
      <c r="B1184" t="s">
        <v>3774</v>
      </c>
      <c r="C1184" t="s">
        <v>3775</v>
      </c>
      <c r="D1184" t="s">
        <v>3776</v>
      </c>
      <c r="E1184" t="s">
        <v>3632</v>
      </c>
      <c r="F1184" t="s">
        <v>23</v>
      </c>
      <c r="G1184" s="2">
        <v>14.5</v>
      </c>
      <c r="H1184" s="1">
        <v>12</v>
      </c>
      <c r="I1184" t="s">
        <v>39</v>
      </c>
      <c r="K1184" t="s">
        <v>2828</v>
      </c>
      <c r="L1184" s="1">
        <v>1</v>
      </c>
      <c r="M1184" s="3">
        <v>15.33</v>
      </c>
      <c r="N1184" s="3">
        <v>0.77</v>
      </c>
      <c r="O1184" s="3">
        <v>0</v>
      </c>
      <c r="P1184" s="3">
        <v>0.2</v>
      </c>
      <c r="Q1184" s="3">
        <v>16.3</v>
      </c>
      <c r="R1184" s="3">
        <v>7.95</v>
      </c>
      <c r="S1184" s="3">
        <f>VLOOKUP(C1184,[1]page!$C$2:$M$3071,11,0)</f>
        <v>15.3</v>
      </c>
      <c r="T1184" s="6">
        <f t="shared" si="18"/>
        <v>2.9999999999999361E-2</v>
      </c>
    </row>
    <row r="1185" spans="1:20" x14ac:dyDescent="0.2">
      <c r="A1185" t="s">
        <v>3777</v>
      </c>
      <c r="B1185" t="s">
        <v>3778</v>
      </c>
      <c r="C1185" t="s">
        <v>3779</v>
      </c>
      <c r="D1185" t="s">
        <v>3780</v>
      </c>
      <c r="E1185" t="s">
        <v>3753</v>
      </c>
      <c r="F1185" t="s">
        <v>23</v>
      </c>
      <c r="G1185" s="2">
        <v>12.3</v>
      </c>
      <c r="H1185" s="1">
        <v>12</v>
      </c>
      <c r="I1185" t="s">
        <v>57</v>
      </c>
      <c r="K1185" t="s">
        <v>2687</v>
      </c>
      <c r="L1185" s="1">
        <v>1</v>
      </c>
      <c r="M1185" s="3">
        <v>11.02</v>
      </c>
      <c r="N1185" s="3">
        <v>0.55000000000000004</v>
      </c>
      <c r="O1185" s="3">
        <v>0</v>
      </c>
      <c r="P1185" s="3">
        <v>0.2</v>
      </c>
      <c r="Q1185" s="3">
        <v>11.77</v>
      </c>
      <c r="R1185" s="3">
        <v>7.95</v>
      </c>
      <c r="S1185" s="3">
        <f>VLOOKUP(C1185,[1]page!$C$2:$M$3071,11,0)</f>
        <v>11</v>
      </c>
      <c r="T1185" s="6">
        <f t="shared" si="18"/>
        <v>1.9999999999999574E-2</v>
      </c>
    </row>
    <row r="1186" spans="1:20" x14ac:dyDescent="0.2">
      <c r="A1186" t="s">
        <v>3777</v>
      </c>
      <c r="B1186" t="s">
        <v>3781</v>
      </c>
      <c r="C1186" t="s">
        <v>3782</v>
      </c>
      <c r="D1186" t="s">
        <v>3783</v>
      </c>
      <c r="E1186" t="s">
        <v>3753</v>
      </c>
      <c r="F1186" t="s">
        <v>23</v>
      </c>
      <c r="G1186" s="1">
        <v>13</v>
      </c>
      <c r="H1186" s="1">
        <v>12</v>
      </c>
      <c r="I1186" t="s">
        <v>57</v>
      </c>
      <c r="K1186" t="s">
        <v>2828</v>
      </c>
      <c r="L1186" s="1">
        <v>1</v>
      </c>
      <c r="M1186" s="3">
        <v>11.02</v>
      </c>
      <c r="N1186" s="3">
        <v>0.55000000000000004</v>
      </c>
      <c r="O1186" s="3">
        <v>0</v>
      </c>
      <c r="P1186" s="3">
        <v>0.2</v>
      </c>
      <c r="Q1186" s="3">
        <v>11.77</v>
      </c>
      <c r="R1186" s="3">
        <v>7.95</v>
      </c>
      <c r="S1186" s="3">
        <f>VLOOKUP(C1186,[1]page!$C$2:$M$3071,11,0)</f>
        <v>11</v>
      </c>
      <c r="T1186" s="6">
        <f t="shared" si="18"/>
        <v>1.9999999999999574E-2</v>
      </c>
    </row>
    <row r="1187" spans="1:20" x14ac:dyDescent="0.2">
      <c r="A1187" t="s">
        <v>3784</v>
      </c>
      <c r="B1187" t="s">
        <v>3785</v>
      </c>
      <c r="C1187" t="s">
        <v>3786</v>
      </c>
      <c r="D1187" t="s">
        <v>3787</v>
      </c>
      <c r="E1187" t="s">
        <v>3642</v>
      </c>
      <c r="F1187" t="s">
        <v>23</v>
      </c>
      <c r="G1187" s="1">
        <v>14</v>
      </c>
      <c r="H1187" s="1">
        <v>12</v>
      </c>
      <c r="I1187" t="s">
        <v>57</v>
      </c>
      <c r="K1187" t="s">
        <v>2706</v>
      </c>
      <c r="L1187" s="1">
        <v>1</v>
      </c>
      <c r="M1187" s="3">
        <v>17</v>
      </c>
      <c r="N1187" s="3">
        <v>0.85</v>
      </c>
      <c r="O1187" s="3">
        <v>0</v>
      </c>
      <c r="P1187" s="3">
        <v>0.2</v>
      </c>
      <c r="Q1187" s="3">
        <v>18.05</v>
      </c>
      <c r="R1187" s="3">
        <v>7.95</v>
      </c>
      <c r="S1187" s="3">
        <f>VLOOKUP(C1187,[1]page!$C$2:$M$3071,11,0)</f>
        <v>16.97</v>
      </c>
      <c r="T1187" s="6">
        <f t="shared" si="18"/>
        <v>3.0000000000001137E-2</v>
      </c>
    </row>
    <row r="1188" spans="1:20" x14ac:dyDescent="0.2">
      <c r="A1188" t="s">
        <v>3784</v>
      </c>
      <c r="B1188" t="s">
        <v>3788</v>
      </c>
      <c r="C1188" t="s">
        <v>3789</v>
      </c>
      <c r="D1188" t="s">
        <v>3790</v>
      </c>
      <c r="E1188" t="s">
        <v>3692</v>
      </c>
      <c r="F1188" t="s">
        <v>23</v>
      </c>
      <c r="G1188" s="2">
        <v>13.5</v>
      </c>
      <c r="H1188" s="1">
        <v>12</v>
      </c>
      <c r="I1188" t="s">
        <v>2759</v>
      </c>
      <c r="K1188" t="s">
        <v>2828</v>
      </c>
      <c r="L1188" s="1">
        <v>1</v>
      </c>
      <c r="M1188" s="3">
        <v>16.010000000000002</v>
      </c>
      <c r="N1188" s="3">
        <v>0.8</v>
      </c>
      <c r="O1188" s="3">
        <v>0</v>
      </c>
      <c r="P1188" s="3">
        <v>0.2</v>
      </c>
      <c r="Q1188" s="3">
        <v>17.010000000000002</v>
      </c>
      <c r="R1188" s="3">
        <v>7.95</v>
      </c>
      <c r="S1188" s="3">
        <f>VLOOKUP(C1188,[1]page!$C$2:$M$3071,11,0)</f>
        <v>15.99</v>
      </c>
      <c r="T1188" s="6">
        <f t="shared" si="18"/>
        <v>2.000000000000135E-2</v>
      </c>
    </row>
    <row r="1189" spans="1:20" x14ac:dyDescent="0.2">
      <c r="A1189" t="s">
        <v>3784</v>
      </c>
      <c r="B1189" t="s">
        <v>3791</v>
      </c>
      <c r="C1189" t="s">
        <v>3792</v>
      </c>
      <c r="D1189" t="s">
        <v>3793</v>
      </c>
      <c r="E1189" t="s">
        <v>3794</v>
      </c>
      <c r="F1189" t="s">
        <v>23</v>
      </c>
      <c r="G1189" s="2">
        <v>12.5</v>
      </c>
      <c r="H1189" s="1">
        <v>12</v>
      </c>
      <c r="I1189" t="s">
        <v>70</v>
      </c>
      <c r="K1189" t="s">
        <v>2828</v>
      </c>
      <c r="L1189" s="1">
        <v>1</v>
      </c>
      <c r="M1189" s="3">
        <v>12.06</v>
      </c>
      <c r="N1189" s="3">
        <v>0.6</v>
      </c>
      <c r="O1189" s="3">
        <v>0</v>
      </c>
      <c r="P1189" s="3">
        <v>0.2</v>
      </c>
      <c r="Q1189" s="3">
        <v>12.86</v>
      </c>
      <c r="R1189" s="3">
        <v>7.95</v>
      </c>
      <c r="S1189" s="3">
        <f>VLOOKUP(C1189,[1]page!$C$2:$M$3071,11,0)</f>
        <v>12.04</v>
      </c>
      <c r="T1189" s="6">
        <f t="shared" si="18"/>
        <v>2.000000000000135E-2</v>
      </c>
    </row>
    <row r="1190" spans="1:20" x14ac:dyDescent="0.2">
      <c r="A1190" t="s">
        <v>3784</v>
      </c>
      <c r="B1190" t="s">
        <v>3795</v>
      </c>
      <c r="C1190" t="s">
        <v>3796</v>
      </c>
      <c r="D1190" t="s">
        <v>3797</v>
      </c>
      <c r="E1190" t="s">
        <v>3632</v>
      </c>
      <c r="F1190" t="s">
        <v>23</v>
      </c>
      <c r="G1190" s="1">
        <v>14</v>
      </c>
      <c r="H1190" s="1">
        <v>12</v>
      </c>
      <c r="I1190" t="s">
        <v>39</v>
      </c>
      <c r="K1190" t="s">
        <v>2828</v>
      </c>
      <c r="L1190" s="1">
        <v>1</v>
      </c>
      <c r="M1190" s="3">
        <v>11.73</v>
      </c>
      <c r="N1190" s="3">
        <v>0.59</v>
      </c>
      <c r="O1190" s="3">
        <v>0</v>
      </c>
      <c r="P1190" s="3">
        <v>0.2</v>
      </c>
      <c r="Q1190" s="3">
        <v>12.52</v>
      </c>
      <c r="R1190" s="3">
        <v>7.95</v>
      </c>
      <c r="S1190" s="3">
        <f>VLOOKUP(C1190,[1]page!$C$2:$M$3071,11,0)</f>
        <v>11.7</v>
      </c>
      <c r="T1190" s="6">
        <f t="shared" si="18"/>
        <v>3.0000000000001137E-2</v>
      </c>
    </row>
    <row r="1191" spans="1:20" x14ac:dyDescent="0.2">
      <c r="A1191" t="s">
        <v>3784</v>
      </c>
      <c r="B1191" t="s">
        <v>3798</v>
      </c>
      <c r="C1191" t="s">
        <v>3799</v>
      </c>
      <c r="D1191" t="s">
        <v>3800</v>
      </c>
      <c r="E1191" t="s">
        <v>3632</v>
      </c>
      <c r="F1191" t="s">
        <v>23</v>
      </c>
      <c r="G1191" s="2">
        <v>13.5</v>
      </c>
      <c r="H1191" s="1">
        <v>12</v>
      </c>
      <c r="I1191" t="s">
        <v>39</v>
      </c>
      <c r="K1191" t="s">
        <v>2828</v>
      </c>
      <c r="L1191" s="1">
        <v>1</v>
      </c>
      <c r="M1191" s="3">
        <v>11.73</v>
      </c>
      <c r="N1191" s="3">
        <v>0.59</v>
      </c>
      <c r="O1191" s="3">
        <v>0</v>
      </c>
      <c r="P1191" s="3">
        <v>0.2</v>
      </c>
      <c r="Q1191" s="3">
        <v>12.52</v>
      </c>
      <c r="R1191" s="3">
        <v>7.95</v>
      </c>
      <c r="S1191" s="3">
        <f>VLOOKUP(C1191,[1]page!$C$2:$M$3071,11,0)</f>
        <v>11.7</v>
      </c>
      <c r="T1191" s="6">
        <f t="shared" si="18"/>
        <v>3.0000000000001137E-2</v>
      </c>
    </row>
    <row r="1192" spans="1:20" x14ac:dyDescent="0.2">
      <c r="A1192" t="s">
        <v>3784</v>
      </c>
      <c r="B1192" t="s">
        <v>3801</v>
      </c>
      <c r="C1192" t="s">
        <v>3802</v>
      </c>
      <c r="D1192" t="s">
        <v>3803</v>
      </c>
      <c r="E1192" t="s">
        <v>3748</v>
      </c>
      <c r="F1192" t="s">
        <v>23</v>
      </c>
      <c r="G1192" s="1">
        <v>14</v>
      </c>
      <c r="H1192" s="1">
        <v>12</v>
      </c>
      <c r="I1192" t="s">
        <v>449</v>
      </c>
      <c r="K1192" t="s">
        <v>2828</v>
      </c>
      <c r="L1192" s="1">
        <v>1</v>
      </c>
      <c r="M1192" s="3">
        <v>13.48</v>
      </c>
      <c r="N1192" s="3">
        <v>0.67</v>
      </c>
      <c r="O1192" s="3">
        <v>0</v>
      </c>
      <c r="P1192" s="3">
        <v>0.2</v>
      </c>
      <c r="Q1192" s="3">
        <v>14.35</v>
      </c>
      <c r="R1192" s="3">
        <v>7.95</v>
      </c>
      <c r="S1192" s="3">
        <f>VLOOKUP(C1192,[1]page!$C$2:$M$3071,11,0)</f>
        <v>13.45</v>
      </c>
      <c r="T1192" s="6">
        <f t="shared" si="18"/>
        <v>3.0000000000001137E-2</v>
      </c>
    </row>
    <row r="1193" spans="1:20" x14ac:dyDescent="0.2">
      <c r="A1193" t="s">
        <v>3784</v>
      </c>
      <c r="B1193" t="s">
        <v>3804</v>
      </c>
      <c r="C1193" t="s">
        <v>3805</v>
      </c>
      <c r="D1193" t="s">
        <v>3806</v>
      </c>
      <c r="E1193" t="s">
        <v>3807</v>
      </c>
      <c r="F1193" t="s">
        <v>23</v>
      </c>
      <c r="G1193" s="2">
        <v>14.5</v>
      </c>
      <c r="H1193" s="1">
        <v>12</v>
      </c>
      <c r="I1193" t="s">
        <v>3498</v>
      </c>
      <c r="K1193" t="s">
        <v>2828</v>
      </c>
      <c r="L1193" s="1">
        <v>1</v>
      </c>
      <c r="M1193" s="3">
        <v>26.01</v>
      </c>
      <c r="N1193" s="3">
        <v>1.3</v>
      </c>
      <c r="O1193" s="3">
        <v>0</v>
      </c>
      <c r="P1193" s="3">
        <v>0.2</v>
      </c>
      <c r="Q1193" s="3">
        <v>27.51</v>
      </c>
      <c r="R1193" s="3">
        <v>7.95</v>
      </c>
      <c r="S1193" s="3">
        <f>VLOOKUP(C1193,[1]page!$C$2:$M$3071,11,0)</f>
        <v>26.01</v>
      </c>
      <c r="T1193" s="6">
        <f t="shared" si="18"/>
        <v>0</v>
      </c>
    </row>
    <row r="1194" spans="1:20" x14ac:dyDescent="0.2">
      <c r="A1194" t="s">
        <v>3784</v>
      </c>
      <c r="B1194" t="s">
        <v>3808</v>
      </c>
      <c r="C1194" t="s">
        <v>3809</v>
      </c>
      <c r="D1194" t="s">
        <v>3810</v>
      </c>
      <c r="E1194" t="s">
        <v>3666</v>
      </c>
      <c r="F1194" t="s">
        <v>23</v>
      </c>
      <c r="G1194" s="2">
        <v>14.5</v>
      </c>
      <c r="H1194" s="1">
        <v>12</v>
      </c>
      <c r="I1194" t="s">
        <v>183</v>
      </c>
      <c r="K1194" t="s">
        <v>2828</v>
      </c>
      <c r="L1194" s="1">
        <v>1</v>
      </c>
      <c r="M1194" s="3">
        <v>13.61</v>
      </c>
      <c r="N1194" s="3">
        <v>0.68</v>
      </c>
      <c r="O1194" s="3">
        <v>0</v>
      </c>
      <c r="P1194" s="3">
        <v>0.2</v>
      </c>
      <c r="Q1194" s="3">
        <v>14.49</v>
      </c>
      <c r="R1194" s="3">
        <v>7.95</v>
      </c>
      <c r="S1194" s="3">
        <f>VLOOKUP(C1194,[1]page!$C$2:$M$3071,11,0)</f>
        <v>13.59</v>
      </c>
      <c r="T1194" s="6">
        <f t="shared" si="18"/>
        <v>1.9999999999999574E-2</v>
      </c>
    </row>
    <row r="1195" spans="1:20" x14ac:dyDescent="0.2">
      <c r="A1195" t="s">
        <v>3784</v>
      </c>
      <c r="B1195" t="s">
        <v>3811</v>
      </c>
      <c r="C1195" t="s">
        <v>3812</v>
      </c>
      <c r="D1195" t="s">
        <v>3813</v>
      </c>
      <c r="E1195" t="s">
        <v>3814</v>
      </c>
      <c r="F1195" t="s">
        <v>23</v>
      </c>
      <c r="G1195" s="1">
        <v>15</v>
      </c>
      <c r="H1195" s="1">
        <v>12</v>
      </c>
      <c r="I1195" t="s">
        <v>3815</v>
      </c>
      <c r="K1195" t="s">
        <v>2828</v>
      </c>
      <c r="L1195" s="1">
        <v>1</v>
      </c>
      <c r="M1195" s="3">
        <v>17.25</v>
      </c>
      <c r="N1195" s="3">
        <v>0.86</v>
      </c>
      <c r="O1195" s="3">
        <v>0</v>
      </c>
      <c r="P1195" s="3">
        <v>0.2</v>
      </c>
      <c r="Q1195" s="3">
        <v>18.309999999999999</v>
      </c>
      <c r="R1195" s="3">
        <v>7.95</v>
      </c>
      <c r="S1195" s="3">
        <f>VLOOKUP(C1195,[1]page!$C$2:$M$3071,11,0)</f>
        <v>17.23</v>
      </c>
      <c r="T1195" s="6">
        <f t="shared" ref="T1195:T1258" si="19">SUM(M1195-S1195)</f>
        <v>1.9999999999999574E-2</v>
      </c>
    </row>
    <row r="1196" spans="1:20" x14ac:dyDescent="0.2">
      <c r="A1196" t="s">
        <v>3784</v>
      </c>
      <c r="B1196" t="s">
        <v>3816</v>
      </c>
      <c r="C1196" t="s">
        <v>3817</v>
      </c>
      <c r="D1196" t="s">
        <v>3818</v>
      </c>
      <c r="E1196" t="s">
        <v>3642</v>
      </c>
      <c r="F1196" t="s">
        <v>23</v>
      </c>
      <c r="G1196" s="2">
        <v>13.5</v>
      </c>
      <c r="H1196" s="1">
        <v>12</v>
      </c>
      <c r="I1196" t="s">
        <v>57</v>
      </c>
      <c r="K1196" t="s">
        <v>2828</v>
      </c>
      <c r="L1196" s="1">
        <v>1</v>
      </c>
      <c r="M1196" s="3">
        <v>13</v>
      </c>
      <c r="N1196" s="3">
        <v>0.65</v>
      </c>
      <c r="O1196" s="3">
        <v>0</v>
      </c>
      <c r="P1196" s="3">
        <v>0.2</v>
      </c>
      <c r="Q1196" s="3">
        <v>13.85</v>
      </c>
      <c r="R1196" s="3">
        <v>7.95</v>
      </c>
      <c r="S1196" s="3">
        <f>VLOOKUP(C1196,[1]page!$C$2:$M$3071,11,0)</f>
        <v>12.98</v>
      </c>
      <c r="T1196" s="6">
        <f t="shared" si="19"/>
        <v>1.9999999999999574E-2</v>
      </c>
    </row>
    <row r="1197" spans="1:20" x14ac:dyDescent="0.2">
      <c r="A1197" t="s">
        <v>3784</v>
      </c>
      <c r="B1197" t="s">
        <v>3819</v>
      </c>
      <c r="C1197" t="s">
        <v>3820</v>
      </c>
      <c r="D1197" t="s">
        <v>3821</v>
      </c>
      <c r="E1197" t="s">
        <v>3642</v>
      </c>
      <c r="F1197" t="s">
        <v>23</v>
      </c>
      <c r="G1197" s="2">
        <v>13.5</v>
      </c>
      <c r="H1197" s="1">
        <v>12</v>
      </c>
      <c r="I1197" t="s">
        <v>57</v>
      </c>
      <c r="K1197" t="s">
        <v>2828</v>
      </c>
      <c r="L1197" s="1">
        <v>1</v>
      </c>
      <c r="M1197" s="3">
        <v>15</v>
      </c>
      <c r="N1197" s="3">
        <v>0.75</v>
      </c>
      <c r="O1197" s="3">
        <v>0</v>
      </c>
      <c r="P1197" s="3">
        <v>0.2</v>
      </c>
      <c r="Q1197" s="3">
        <v>15.95</v>
      </c>
      <c r="R1197" s="3">
        <v>7.95</v>
      </c>
      <c r="S1197" s="3">
        <f>VLOOKUP(C1197,[1]page!$C$2:$M$3071,11,0)</f>
        <v>14.98</v>
      </c>
      <c r="T1197" s="6">
        <f t="shared" si="19"/>
        <v>1.9999999999999574E-2</v>
      </c>
    </row>
    <row r="1198" spans="1:20" x14ac:dyDescent="0.2">
      <c r="A1198" t="s">
        <v>3784</v>
      </c>
      <c r="B1198" t="s">
        <v>3822</v>
      </c>
      <c r="C1198" t="s">
        <v>3823</v>
      </c>
      <c r="D1198" t="s">
        <v>3824</v>
      </c>
      <c r="E1198" t="s">
        <v>3642</v>
      </c>
      <c r="F1198" t="s">
        <v>23</v>
      </c>
      <c r="G1198" s="1">
        <v>14</v>
      </c>
      <c r="H1198" s="1">
        <v>12</v>
      </c>
      <c r="I1198" t="s">
        <v>57</v>
      </c>
      <c r="K1198" t="s">
        <v>2828</v>
      </c>
      <c r="L1198" s="1">
        <v>1</v>
      </c>
      <c r="M1198" s="3">
        <v>15</v>
      </c>
      <c r="N1198" s="3">
        <v>0.75</v>
      </c>
      <c r="O1198" s="3">
        <v>0</v>
      </c>
      <c r="P1198" s="3">
        <v>0.2</v>
      </c>
      <c r="Q1198" s="3">
        <v>15.95</v>
      </c>
      <c r="R1198" s="3">
        <v>7.95</v>
      </c>
      <c r="S1198" s="3">
        <f>VLOOKUP(C1198,[1]page!$C$2:$M$3071,11,0)</f>
        <v>14.98</v>
      </c>
      <c r="T1198" s="6">
        <f t="shared" si="19"/>
        <v>1.9999999999999574E-2</v>
      </c>
    </row>
    <row r="1199" spans="1:20" x14ac:dyDescent="0.2">
      <c r="A1199" t="s">
        <v>3784</v>
      </c>
      <c r="B1199" t="s">
        <v>3825</v>
      </c>
      <c r="C1199" t="s">
        <v>3826</v>
      </c>
      <c r="D1199" t="s">
        <v>3827</v>
      </c>
      <c r="E1199" t="s">
        <v>3642</v>
      </c>
      <c r="F1199" t="s">
        <v>23</v>
      </c>
      <c r="G1199" s="1">
        <v>14</v>
      </c>
      <c r="H1199" s="1">
        <v>12</v>
      </c>
      <c r="I1199" t="s">
        <v>57</v>
      </c>
      <c r="K1199" t="s">
        <v>2828</v>
      </c>
      <c r="L1199" s="1">
        <v>1</v>
      </c>
      <c r="M1199" s="3">
        <v>15</v>
      </c>
      <c r="N1199" s="3">
        <v>0.75</v>
      </c>
      <c r="O1199" s="3">
        <v>0</v>
      </c>
      <c r="P1199" s="3">
        <v>0.2</v>
      </c>
      <c r="Q1199" s="3">
        <v>15.95</v>
      </c>
      <c r="R1199" s="3">
        <v>7.95</v>
      </c>
      <c r="S1199" s="3">
        <f>VLOOKUP(C1199,[1]page!$C$2:$M$3071,11,0)</f>
        <v>14.98</v>
      </c>
      <c r="T1199" s="6">
        <f t="shared" si="19"/>
        <v>1.9999999999999574E-2</v>
      </c>
    </row>
    <row r="1200" spans="1:20" x14ac:dyDescent="0.2">
      <c r="A1200" t="s">
        <v>3784</v>
      </c>
      <c r="B1200" t="s">
        <v>3828</v>
      </c>
      <c r="C1200" t="s">
        <v>3829</v>
      </c>
      <c r="D1200" t="s">
        <v>3830</v>
      </c>
      <c r="E1200" t="s">
        <v>3722</v>
      </c>
      <c r="F1200" t="s">
        <v>23</v>
      </c>
      <c r="G1200" s="2">
        <v>13.5</v>
      </c>
      <c r="H1200" s="1">
        <v>12</v>
      </c>
      <c r="I1200" t="s">
        <v>183</v>
      </c>
      <c r="K1200" t="s">
        <v>2828</v>
      </c>
      <c r="L1200" s="1">
        <v>1</v>
      </c>
      <c r="M1200" s="3">
        <v>11.55</v>
      </c>
      <c r="N1200" s="3">
        <v>0.57999999999999996</v>
      </c>
      <c r="O1200" s="3">
        <v>0</v>
      </c>
      <c r="P1200" s="3">
        <v>0.2</v>
      </c>
      <c r="Q1200" s="3">
        <v>12.33</v>
      </c>
      <c r="R1200" s="3">
        <v>7.95</v>
      </c>
      <c r="S1200" s="3">
        <f>VLOOKUP(C1200,[1]page!$C$2:$M$3071,11,0)</f>
        <v>11.53</v>
      </c>
      <c r="T1200" s="6">
        <f t="shared" si="19"/>
        <v>2.000000000000135E-2</v>
      </c>
    </row>
    <row r="1201" spans="1:20" x14ac:dyDescent="0.2">
      <c r="A1201" t="s">
        <v>3831</v>
      </c>
      <c r="B1201" t="s">
        <v>3832</v>
      </c>
      <c r="C1201" t="s">
        <v>3833</v>
      </c>
      <c r="D1201" t="s">
        <v>3834</v>
      </c>
      <c r="E1201" t="s">
        <v>3632</v>
      </c>
      <c r="F1201" t="s">
        <v>23</v>
      </c>
      <c r="G1201" s="2">
        <v>12.8</v>
      </c>
      <c r="H1201" s="1">
        <v>12</v>
      </c>
      <c r="I1201" t="s">
        <v>39</v>
      </c>
      <c r="K1201" t="s">
        <v>2828</v>
      </c>
      <c r="L1201" s="1">
        <v>1</v>
      </c>
      <c r="M1201" s="3">
        <v>11.22</v>
      </c>
      <c r="N1201" s="3">
        <v>0.56000000000000005</v>
      </c>
      <c r="O1201" s="3">
        <v>0</v>
      </c>
      <c r="P1201" s="3">
        <v>0.2</v>
      </c>
      <c r="Q1201" s="3">
        <v>11.98</v>
      </c>
      <c r="R1201" s="3">
        <v>7.95</v>
      </c>
      <c r="S1201" s="3">
        <f>VLOOKUP(C1201,[1]page!$C$2:$M$3071,11,0)</f>
        <v>11.2</v>
      </c>
      <c r="T1201" s="6">
        <f t="shared" si="19"/>
        <v>2.000000000000135E-2</v>
      </c>
    </row>
    <row r="1202" spans="1:20" x14ac:dyDescent="0.2">
      <c r="A1202" t="s">
        <v>3831</v>
      </c>
      <c r="B1202" t="s">
        <v>3835</v>
      </c>
      <c r="C1202" t="s">
        <v>3836</v>
      </c>
      <c r="D1202" t="s">
        <v>3837</v>
      </c>
      <c r="E1202" t="s">
        <v>3770</v>
      </c>
      <c r="F1202" t="s">
        <v>23</v>
      </c>
      <c r="G1202" s="1">
        <v>11</v>
      </c>
      <c r="H1202" s="1">
        <v>6</v>
      </c>
      <c r="I1202" t="s">
        <v>57</v>
      </c>
      <c r="K1202" t="s">
        <v>2687</v>
      </c>
      <c r="L1202" s="1">
        <v>1</v>
      </c>
      <c r="M1202" s="3">
        <v>13.03</v>
      </c>
      <c r="N1202" s="3">
        <v>0.65</v>
      </c>
      <c r="O1202" s="3">
        <v>0</v>
      </c>
      <c r="P1202" s="3">
        <v>0.2</v>
      </c>
      <c r="Q1202" s="3">
        <v>13.88</v>
      </c>
      <c r="R1202" s="3">
        <v>7.95</v>
      </c>
      <c r="S1202" s="3">
        <f>VLOOKUP(C1202,[1]page!$C$2:$M$3071,11,0)</f>
        <v>13.01</v>
      </c>
      <c r="T1202" s="6">
        <f t="shared" si="19"/>
        <v>1.9999999999999574E-2</v>
      </c>
    </row>
    <row r="1203" spans="1:20" x14ac:dyDescent="0.2">
      <c r="A1203" t="s">
        <v>3831</v>
      </c>
      <c r="B1203" t="s">
        <v>3838</v>
      </c>
      <c r="C1203" t="s">
        <v>3839</v>
      </c>
      <c r="D1203" t="s">
        <v>3840</v>
      </c>
      <c r="E1203" t="s">
        <v>3692</v>
      </c>
      <c r="F1203" t="s">
        <v>23</v>
      </c>
      <c r="G1203" s="1">
        <v>10</v>
      </c>
      <c r="H1203" s="1">
        <v>12</v>
      </c>
      <c r="I1203" t="s">
        <v>2759</v>
      </c>
      <c r="K1203" t="s">
        <v>2828</v>
      </c>
      <c r="L1203" s="1">
        <v>1</v>
      </c>
      <c r="M1203" s="3">
        <v>16.010000000000002</v>
      </c>
      <c r="N1203" s="3">
        <v>0.8</v>
      </c>
      <c r="O1203" s="3">
        <v>0</v>
      </c>
      <c r="P1203" s="3">
        <v>0.2</v>
      </c>
      <c r="Q1203" s="3">
        <v>17.010000000000002</v>
      </c>
      <c r="R1203" s="3">
        <v>7.95</v>
      </c>
      <c r="S1203" s="3">
        <f>VLOOKUP(C1203,[1]page!$C$2:$M$3071,11,0)</f>
        <v>15.99</v>
      </c>
      <c r="T1203" s="6">
        <f t="shared" si="19"/>
        <v>2.000000000000135E-2</v>
      </c>
    </row>
    <row r="1204" spans="1:20" x14ac:dyDescent="0.2">
      <c r="A1204" t="s">
        <v>3831</v>
      </c>
      <c r="B1204" t="s">
        <v>3841</v>
      </c>
      <c r="C1204" t="s">
        <v>3842</v>
      </c>
      <c r="D1204" t="s">
        <v>3843</v>
      </c>
      <c r="E1204" t="s">
        <v>3642</v>
      </c>
      <c r="F1204" t="s">
        <v>23</v>
      </c>
      <c r="G1204" s="1">
        <v>13</v>
      </c>
      <c r="H1204" s="1">
        <v>12</v>
      </c>
      <c r="I1204" t="s">
        <v>57</v>
      </c>
      <c r="K1204" t="s">
        <v>2828</v>
      </c>
      <c r="L1204" s="1">
        <v>1</v>
      </c>
      <c r="M1204" s="3">
        <v>15</v>
      </c>
      <c r="N1204" s="3">
        <v>0.75</v>
      </c>
      <c r="O1204" s="3">
        <v>0</v>
      </c>
      <c r="P1204" s="3">
        <v>0.2</v>
      </c>
      <c r="Q1204" s="3">
        <v>15.95</v>
      </c>
      <c r="R1204" s="3">
        <v>7.95</v>
      </c>
      <c r="S1204" s="3">
        <f>VLOOKUP(C1204,[1]page!$C$2:$M$3071,11,0)</f>
        <v>14.98</v>
      </c>
      <c r="T1204" s="6">
        <f t="shared" si="19"/>
        <v>1.9999999999999574E-2</v>
      </c>
    </row>
    <row r="1205" spans="1:20" x14ac:dyDescent="0.2">
      <c r="A1205" t="s">
        <v>3831</v>
      </c>
      <c r="B1205" t="s">
        <v>3844</v>
      </c>
      <c r="C1205" t="s">
        <v>3845</v>
      </c>
      <c r="D1205" t="s">
        <v>3846</v>
      </c>
      <c r="E1205" t="s">
        <v>3642</v>
      </c>
      <c r="F1205" t="s">
        <v>23</v>
      </c>
      <c r="G1205" s="1">
        <v>13</v>
      </c>
      <c r="H1205" s="1">
        <v>12</v>
      </c>
      <c r="I1205" t="s">
        <v>57</v>
      </c>
      <c r="K1205" t="s">
        <v>2828</v>
      </c>
      <c r="L1205" s="1">
        <v>1</v>
      </c>
      <c r="M1205" s="3">
        <v>15</v>
      </c>
      <c r="N1205" s="3">
        <v>0.75</v>
      </c>
      <c r="O1205" s="3">
        <v>0</v>
      </c>
      <c r="P1205" s="3">
        <v>0.2</v>
      </c>
      <c r="Q1205" s="3">
        <v>15.95</v>
      </c>
      <c r="R1205" s="3">
        <v>7.95</v>
      </c>
      <c r="S1205" s="3">
        <f>VLOOKUP(C1205,[1]page!$C$2:$M$3071,11,0)</f>
        <v>14.98</v>
      </c>
      <c r="T1205" s="6">
        <f t="shared" si="19"/>
        <v>1.9999999999999574E-2</v>
      </c>
    </row>
    <row r="1206" spans="1:20" x14ac:dyDescent="0.2">
      <c r="A1206" t="s">
        <v>3847</v>
      </c>
      <c r="B1206" t="s">
        <v>3848</v>
      </c>
      <c r="C1206" t="s">
        <v>3849</v>
      </c>
      <c r="D1206" t="s">
        <v>3850</v>
      </c>
      <c r="E1206" t="s">
        <v>3692</v>
      </c>
      <c r="F1206" t="s">
        <v>23</v>
      </c>
      <c r="G1206" s="2">
        <v>12.5</v>
      </c>
      <c r="H1206" s="1">
        <v>12</v>
      </c>
      <c r="I1206" t="s">
        <v>2759</v>
      </c>
      <c r="K1206" t="s">
        <v>2828</v>
      </c>
      <c r="L1206" s="1">
        <v>1</v>
      </c>
      <c r="M1206" s="3">
        <v>17.309999999999999</v>
      </c>
      <c r="N1206" s="3">
        <v>0.87</v>
      </c>
      <c r="O1206" s="3">
        <v>0</v>
      </c>
      <c r="P1206" s="3">
        <v>0.2</v>
      </c>
      <c r="Q1206" s="3">
        <v>18.38</v>
      </c>
      <c r="R1206" s="3">
        <v>7.95</v>
      </c>
      <c r="S1206" s="3">
        <f>VLOOKUP(C1206,[1]page!$C$2:$M$3071,11,0)</f>
        <v>17.29</v>
      </c>
      <c r="T1206" s="6">
        <f t="shared" si="19"/>
        <v>1.9999999999999574E-2</v>
      </c>
    </row>
    <row r="1207" spans="1:20" x14ac:dyDescent="0.2">
      <c r="A1207" t="s">
        <v>3851</v>
      </c>
      <c r="B1207" t="s">
        <v>3852</v>
      </c>
      <c r="C1207" t="s">
        <v>3853</v>
      </c>
      <c r="D1207" t="s">
        <v>3854</v>
      </c>
      <c r="E1207" t="s">
        <v>3652</v>
      </c>
      <c r="F1207" t="s">
        <v>23</v>
      </c>
      <c r="G1207" s="1">
        <v>14</v>
      </c>
      <c r="H1207" s="1">
        <v>12</v>
      </c>
      <c r="I1207" t="s">
        <v>3653</v>
      </c>
      <c r="K1207" t="s">
        <v>2828</v>
      </c>
      <c r="L1207" s="1">
        <v>1</v>
      </c>
      <c r="M1207" s="3">
        <v>18.7</v>
      </c>
      <c r="N1207" s="3">
        <v>0.94</v>
      </c>
      <c r="O1207" s="3">
        <v>0</v>
      </c>
      <c r="P1207" s="3">
        <v>0.2</v>
      </c>
      <c r="Q1207" s="3">
        <v>19.84</v>
      </c>
      <c r="R1207" s="3">
        <v>7.95</v>
      </c>
      <c r="S1207" s="3">
        <f>VLOOKUP(C1207,[1]page!$C$2:$M$3071,11,0)</f>
        <v>18.68</v>
      </c>
      <c r="T1207" s="6">
        <f t="shared" si="19"/>
        <v>1.9999999999999574E-2</v>
      </c>
    </row>
    <row r="1208" spans="1:20" x14ac:dyDescent="0.2">
      <c r="A1208" t="s">
        <v>3851</v>
      </c>
      <c r="B1208" t="s">
        <v>3855</v>
      </c>
      <c r="C1208" t="s">
        <v>3856</v>
      </c>
      <c r="D1208" t="s">
        <v>3857</v>
      </c>
      <c r="E1208" t="s">
        <v>3652</v>
      </c>
      <c r="F1208" t="s">
        <v>23</v>
      </c>
      <c r="G1208" s="2">
        <v>13.5</v>
      </c>
      <c r="H1208" s="1">
        <v>12</v>
      </c>
      <c r="I1208" t="s">
        <v>3653</v>
      </c>
      <c r="K1208" t="s">
        <v>2828</v>
      </c>
      <c r="L1208" s="1">
        <v>1</v>
      </c>
      <c r="M1208" s="3">
        <v>16.72</v>
      </c>
      <c r="N1208" s="3">
        <v>0.84</v>
      </c>
      <c r="O1208" s="3">
        <v>0</v>
      </c>
      <c r="P1208" s="3">
        <v>0.2</v>
      </c>
      <c r="Q1208" s="3">
        <v>17.760000000000002</v>
      </c>
      <c r="R1208" s="3">
        <v>7.95</v>
      </c>
      <c r="S1208" s="3">
        <f>VLOOKUP(C1208,[1]page!$C$2:$M$3071,11,0)</f>
        <v>16.7</v>
      </c>
      <c r="T1208" s="6">
        <f t="shared" si="19"/>
        <v>1.9999999999999574E-2</v>
      </c>
    </row>
    <row r="1209" spans="1:20" x14ac:dyDescent="0.2">
      <c r="A1209" t="s">
        <v>3851</v>
      </c>
      <c r="B1209" t="s">
        <v>3858</v>
      </c>
      <c r="C1209" t="s">
        <v>3859</v>
      </c>
      <c r="D1209" t="s">
        <v>3860</v>
      </c>
      <c r="E1209" t="s">
        <v>3861</v>
      </c>
      <c r="F1209" t="s">
        <v>23</v>
      </c>
      <c r="G1209" s="1">
        <v>14</v>
      </c>
      <c r="H1209" s="1">
        <v>12</v>
      </c>
      <c r="I1209" t="s">
        <v>600</v>
      </c>
      <c r="K1209" t="s">
        <v>2828</v>
      </c>
      <c r="L1209" s="1">
        <v>1</v>
      </c>
      <c r="M1209" s="3">
        <v>12.51</v>
      </c>
      <c r="N1209" s="3">
        <v>0.63</v>
      </c>
      <c r="O1209" s="3">
        <v>0</v>
      </c>
      <c r="P1209" s="3">
        <v>0.2</v>
      </c>
      <c r="Q1209" s="3">
        <v>13.34</v>
      </c>
      <c r="R1209" s="3">
        <v>7.95</v>
      </c>
      <c r="S1209" s="3">
        <f>VLOOKUP(C1209,[1]page!$C$2:$M$3071,11,0)</f>
        <v>12.49</v>
      </c>
      <c r="T1209" s="6">
        <f t="shared" si="19"/>
        <v>1.9999999999999574E-2</v>
      </c>
    </row>
    <row r="1210" spans="1:20" x14ac:dyDescent="0.2">
      <c r="A1210" t="s">
        <v>3851</v>
      </c>
      <c r="B1210" t="s">
        <v>3862</v>
      </c>
      <c r="C1210" t="s">
        <v>3863</v>
      </c>
      <c r="D1210" t="s">
        <v>3864</v>
      </c>
      <c r="E1210" t="s">
        <v>3628</v>
      </c>
      <c r="F1210" t="s">
        <v>23</v>
      </c>
      <c r="G1210" s="2">
        <v>13.5</v>
      </c>
      <c r="H1210" s="1">
        <v>12</v>
      </c>
      <c r="I1210" t="s">
        <v>449</v>
      </c>
      <c r="K1210" t="s">
        <v>2828</v>
      </c>
      <c r="L1210" s="1">
        <v>1</v>
      </c>
      <c r="M1210" s="3">
        <v>10.92</v>
      </c>
      <c r="N1210" s="3">
        <v>0.55000000000000004</v>
      </c>
      <c r="O1210" s="3">
        <v>0</v>
      </c>
      <c r="P1210" s="3">
        <v>0.2</v>
      </c>
      <c r="Q1210" s="3">
        <v>11.67</v>
      </c>
      <c r="R1210" s="3">
        <v>7.95</v>
      </c>
      <c r="S1210" s="3">
        <f>VLOOKUP(C1210,[1]page!$C$2:$M$3071,11,0)</f>
        <v>10.9</v>
      </c>
      <c r="T1210" s="6">
        <f t="shared" si="19"/>
        <v>1.9999999999999574E-2</v>
      </c>
    </row>
    <row r="1211" spans="1:20" x14ac:dyDescent="0.2">
      <c r="A1211" t="s">
        <v>3851</v>
      </c>
      <c r="B1211" t="s">
        <v>3865</v>
      </c>
      <c r="C1211" t="s">
        <v>3866</v>
      </c>
      <c r="D1211" t="s">
        <v>3867</v>
      </c>
      <c r="E1211" t="s">
        <v>3868</v>
      </c>
      <c r="F1211" t="s">
        <v>23</v>
      </c>
      <c r="G1211" s="2">
        <v>13.5</v>
      </c>
      <c r="H1211" s="1">
        <v>12</v>
      </c>
      <c r="I1211" t="s">
        <v>3379</v>
      </c>
      <c r="K1211" t="s">
        <v>2712</v>
      </c>
      <c r="L1211" s="1">
        <v>1</v>
      </c>
      <c r="M1211" s="3">
        <v>18.14</v>
      </c>
      <c r="N1211" s="3">
        <v>0.91</v>
      </c>
      <c r="O1211" s="3">
        <v>0</v>
      </c>
      <c r="P1211" s="3">
        <v>0.2</v>
      </c>
      <c r="Q1211" s="3">
        <v>19.25</v>
      </c>
      <c r="R1211" s="3">
        <v>7.95</v>
      </c>
      <c r="S1211" s="3">
        <f>VLOOKUP(C1211,[1]page!$C$2:$M$3071,11,0)</f>
        <v>18.12</v>
      </c>
      <c r="T1211" s="6">
        <f t="shared" si="19"/>
        <v>1.9999999999999574E-2</v>
      </c>
    </row>
    <row r="1212" spans="1:20" x14ac:dyDescent="0.2">
      <c r="A1212" t="s">
        <v>3851</v>
      </c>
      <c r="B1212" t="s">
        <v>3869</v>
      </c>
      <c r="C1212" t="s">
        <v>3870</v>
      </c>
      <c r="D1212" t="s">
        <v>3871</v>
      </c>
      <c r="E1212" t="s">
        <v>3872</v>
      </c>
      <c r="F1212" t="s">
        <v>23</v>
      </c>
      <c r="G1212" s="2">
        <v>13.5</v>
      </c>
      <c r="H1212" s="1">
        <v>12</v>
      </c>
      <c r="I1212" t="s">
        <v>70</v>
      </c>
      <c r="K1212" t="s">
        <v>2706</v>
      </c>
      <c r="L1212" s="1">
        <v>1</v>
      </c>
      <c r="M1212" s="3">
        <v>9.99</v>
      </c>
      <c r="N1212" s="3">
        <v>0.5</v>
      </c>
      <c r="O1212" s="3">
        <v>0</v>
      </c>
      <c r="P1212" s="3">
        <v>0.2</v>
      </c>
      <c r="Q1212" s="3">
        <v>10.69</v>
      </c>
      <c r="R1212" s="3">
        <v>7.95</v>
      </c>
      <c r="S1212" s="3">
        <f>VLOOKUP(C1212,[1]page!$C$2:$M$3071,11,0)</f>
        <v>9.99</v>
      </c>
      <c r="T1212" s="6">
        <f t="shared" si="19"/>
        <v>0</v>
      </c>
    </row>
    <row r="1213" spans="1:20" x14ac:dyDescent="0.2">
      <c r="A1213" t="s">
        <v>3851</v>
      </c>
      <c r="B1213" t="s">
        <v>3873</v>
      </c>
      <c r="C1213" t="s">
        <v>3874</v>
      </c>
      <c r="D1213" t="s">
        <v>3681</v>
      </c>
      <c r="E1213" t="s">
        <v>2899</v>
      </c>
      <c r="F1213" t="s">
        <v>87</v>
      </c>
      <c r="G1213" s="2">
        <v>13.5</v>
      </c>
      <c r="H1213" s="1">
        <v>4</v>
      </c>
      <c r="I1213" t="s">
        <v>397</v>
      </c>
      <c r="K1213" t="s">
        <v>2828</v>
      </c>
      <c r="L1213" s="1">
        <v>1</v>
      </c>
      <c r="M1213" s="3">
        <v>31.55</v>
      </c>
      <c r="N1213" s="3">
        <v>1.58</v>
      </c>
      <c r="O1213" s="3">
        <v>0</v>
      </c>
      <c r="P1213" s="3">
        <v>0</v>
      </c>
      <c r="Q1213" s="3">
        <v>33.130000000000003</v>
      </c>
      <c r="R1213" s="3">
        <v>26.4</v>
      </c>
      <c r="S1213" s="3">
        <f>VLOOKUP(C1213,[1]page!$C$2:$M$3071,11,0)</f>
        <v>31.46</v>
      </c>
      <c r="T1213" s="6">
        <f t="shared" si="19"/>
        <v>8.9999999999999858E-2</v>
      </c>
    </row>
    <row r="1214" spans="1:20" x14ac:dyDescent="0.2">
      <c r="A1214" t="s">
        <v>3851</v>
      </c>
      <c r="B1214" t="s">
        <v>3875</v>
      </c>
      <c r="C1214" t="s">
        <v>3876</v>
      </c>
      <c r="D1214" t="s">
        <v>3877</v>
      </c>
      <c r="E1214" t="s">
        <v>3722</v>
      </c>
      <c r="F1214" t="s">
        <v>23</v>
      </c>
      <c r="G1214" s="1">
        <v>12</v>
      </c>
      <c r="H1214" s="1">
        <v>12</v>
      </c>
      <c r="I1214" t="s">
        <v>183</v>
      </c>
      <c r="K1214" t="s">
        <v>2677</v>
      </c>
      <c r="L1214" s="1">
        <v>1</v>
      </c>
      <c r="M1214" s="3">
        <v>11.55</v>
      </c>
      <c r="N1214" s="3">
        <v>0.57999999999999996</v>
      </c>
      <c r="O1214" s="3">
        <v>0</v>
      </c>
      <c r="P1214" s="3">
        <v>0.2</v>
      </c>
      <c r="Q1214" s="3">
        <v>12.33</v>
      </c>
      <c r="R1214" s="3">
        <v>7.95</v>
      </c>
      <c r="S1214" s="3">
        <f>VLOOKUP(C1214,[1]page!$C$2:$M$3071,11,0)</f>
        <v>11.53</v>
      </c>
      <c r="T1214" s="6">
        <f t="shared" si="19"/>
        <v>2.000000000000135E-2</v>
      </c>
    </row>
    <row r="1215" spans="1:20" x14ac:dyDescent="0.2">
      <c r="A1215" t="s">
        <v>3851</v>
      </c>
      <c r="B1215" t="s">
        <v>3878</v>
      </c>
      <c r="C1215" t="s">
        <v>3879</v>
      </c>
      <c r="D1215" t="s">
        <v>3880</v>
      </c>
      <c r="E1215" t="s">
        <v>3722</v>
      </c>
      <c r="F1215" t="s">
        <v>23</v>
      </c>
      <c r="G1215" s="1">
        <v>13</v>
      </c>
      <c r="H1215" s="1">
        <v>12</v>
      </c>
      <c r="I1215" t="s">
        <v>183</v>
      </c>
      <c r="J1215" s="1">
        <v>2012</v>
      </c>
      <c r="K1215" t="s">
        <v>2828</v>
      </c>
      <c r="L1215" s="1">
        <v>1</v>
      </c>
      <c r="M1215" s="3">
        <v>11.55</v>
      </c>
      <c r="N1215" s="3">
        <v>0.57999999999999996</v>
      </c>
      <c r="O1215" s="3">
        <v>0</v>
      </c>
      <c r="P1215" s="3">
        <v>0.2</v>
      </c>
      <c r="Q1215" s="3">
        <v>12.33</v>
      </c>
      <c r="R1215" s="3">
        <v>7.95</v>
      </c>
      <c r="S1215" s="3">
        <f>VLOOKUP(C1215,[1]page!$C$2:$M$3071,11,0)</f>
        <v>11.53</v>
      </c>
      <c r="T1215" s="6">
        <f t="shared" si="19"/>
        <v>2.000000000000135E-2</v>
      </c>
    </row>
    <row r="1216" spans="1:20" x14ac:dyDescent="0.2">
      <c r="A1216" t="s">
        <v>3851</v>
      </c>
      <c r="B1216" t="s">
        <v>3881</v>
      </c>
      <c r="C1216" t="s">
        <v>3882</v>
      </c>
      <c r="D1216" t="s">
        <v>3883</v>
      </c>
      <c r="E1216" t="s">
        <v>3722</v>
      </c>
      <c r="F1216" t="s">
        <v>23</v>
      </c>
      <c r="G1216" s="1">
        <v>13</v>
      </c>
      <c r="H1216" s="1">
        <v>12</v>
      </c>
      <c r="I1216" t="s">
        <v>183</v>
      </c>
      <c r="K1216" t="s">
        <v>2828</v>
      </c>
      <c r="L1216" s="1">
        <v>1</v>
      </c>
      <c r="M1216" s="3">
        <v>11.55</v>
      </c>
      <c r="N1216" s="3">
        <v>0.57999999999999996</v>
      </c>
      <c r="O1216" s="3">
        <v>0</v>
      </c>
      <c r="P1216" s="3">
        <v>0.2</v>
      </c>
      <c r="Q1216" s="3">
        <v>12.33</v>
      </c>
      <c r="R1216" s="3">
        <v>7.95</v>
      </c>
      <c r="S1216" s="3">
        <f>VLOOKUP(C1216,[1]page!$C$2:$M$3071,11,0)</f>
        <v>11.53</v>
      </c>
      <c r="T1216" s="6">
        <f t="shared" si="19"/>
        <v>2.000000000000135E-2</v>
      </c>
    </row>
    <row r="1217" spans="1:20" x14ac:dyDescent="0.2">
      <c r="A1217" t="s">
        <v>3851</v>
      </c>
      <c r="B1217" t="s">
        <v>3884</v>
      </c>
      <c r="C1217" t="s">
        <v>3885</v>
      </c>
      <c r="D1217" t="s">
        <v>3883</v>
      </c>
      <c r="E1217" t="s">
        <v>3722</v>
      </c>
      <c r="F1217" t="s">
        <v>2737</v>
      </c>
      <c r="G1217" s="1">
        <v>13</v>
      </c>
      <c r="H1217" s="1">
        <v>6</v>
      </c>
      <c r="I1217" t="s">
        <v>183</v>
      </c>
      <c r="K1217" t="s">
        <v>2828</v>
      </c>
      <c r="L1217" s="1">
        <v>1</v>
      </c>
      <c r="M1217" s="3">
        <v>22.11</v>
      </c>
      <c r="N1217" s="3">
        <v>1.1100000000000001</v>
      </c>
      <c r="O1217" s="3">
        <v>0</v>
      </c>
      <c r="P1217" s="3">
        <v>0.4</v>
      </c>
      <c r="Q1217" s="3">
        <v>23.62</v>
      </c>
      <c r="R1217" s="3">
        <v>14.45</v>
      </c>
      <c r="S1217" s="3">
        <f>VLOOKUP(C1217,[1]page!$C$2:$M$3071,11,0)</f>
        <v>22.06</v>
      </c>
      <c r="T1217" s="6">
        <f t="shared" si="19"/>
        <v>5.0000000000000711E-2</v>
      </c>
    </row>
    <row r="1218" spans="1:20" x14ac:dyDescent="0.2">
      <c r="A1218" t="s">
        <v>3851</v>
      </c>
      <c r="B1218" t="s">
        <v>3886</v>
      </c>
      <c r="C1218" t="s">
        <v>3887</v>
      </c>
      <c r="D1218" t="s">
        <v>3888</v>
      </c>
      <c r="E1218" t="s">
        <v>3722</v>
      </c>
      <c r="F1218" t="s">
        <v>23</v>
      </c>
      <c r="G1218" s="2">
        <v>14.5</v>
      </c>
      <c r="H1218" s="1">
        <v>12</v>
      </c>
      <c r="I1218" t="s">
        <v>183</v>
      </c>
      <c r="K1218" t="s">
        <v>2828</v>
      </c>
      <c r="L1218" s="1">
        <v>1</v>
      </c>
      <c r="M1218" s="3">
        <v>12.55</v>
      </c>
      <c r="N1218" s="3">
        <v>0.63</v>
      </c>
      <c r="O1218" s="3">
        <v>0</v>
      </c>
      <c r="P1218" s="3">
        <v>0.2</v>
      </c>
      <c r="Q1218" s="3">
        <v>13.38</v>
      </c>
      <c r="R1218" s="3">
        <v>7.95</v>
      </c>
      <c r="S1218" s="3">
        <f>VLOOKUP(C1218,[1]page!$C$2:$M$3071,11,0)</f>
        <v>12.53</v>
      </c>
      <c r="T1218" s="6">
        <f t="shared" si="19"/>
        <v>2.000000000000135E-2</v>
      </c>
    </row>
    <row r="1219" spans="1:20" x14ac:dyDescent="0.2">
      <c r="A1219" t="s">
        <v>3889</v>
      </c>
      <c r="B1219" t="s">
        <v>3890</v>
      </c>
      <c r="C1219" t="s">
        <v>3891</v>
      </c>
      <c r="D1219" t="s">
        <v>3892</v>
      </c>
      <c r="E1219" t="s">
        <v>3628</v>
      </c>
      <c r="F1219" t="s">
        <v>23</v>
      </c>
      <c r="G1219" s="1">
        <v>12</v>
      </c>
      <c r="H1219" s="1">
        <v>12</v>
      </c>
      <c r="I1219" t="s">
        <v>449</v>
      </c>
      <c r="K1219" t="s">
        <v>2706</v>
      </c>
      <c r="L1219" s="1">
        <v>1</v>
      </c>
      <c r="M1219" s="3">
        <v>10.92</v>
      </c>
      <c r="N1219" s="3">
        <v>0.55000000000000004</v>
      </c>
      <c r="O1219" s="3">
        <v>0</v>
      </c>
      <c r="P1219" s="3">
        <v>0.2</v>
      </c>
      <c r="Q1219" s="3">
        <v>11.67</v>
      </c>
      <c r="R1219" s="3">
        <v>7.95</v>
      </c>
      <c r="S1219" s="3">
        <f>VLOOKUP(C1219,[1]page!$C$2:$M$3071,11,0)</f>
        <v>10.9</v>
      </c>
      <c r="T1219" s="6">
        <f t="shared" si="19"/>
        <v>1.9999999999999574E-2</v>
      </c>
    </row>
    <row r="1220" spans="1:20" x14ac:dyDescent="0.2">
      <c r="A1220" t="s">
        <v>3889</v>
      </c>
      <c r="B1220" t="s">
        <v>3893</v>
      </c>
      <c r="C1220" t="s">
        <v>3894</v>
      </c>
      <c r="D1220" t="s">
        <v>3892</v>
      </c>
      <c r="E1220" t="s">
        <v>3628</v>
      </c>
      <c r="F1220" t="s">
        <v>87</v>
      </c>
      <c r="G1220" s="2">
        <v>11.5</v>
      </c>
      <c r="H1220" s="1">
        <v>4</v>
      </c>
      <c r="I1220" t="s">
        <v>449</v>
      </c>
      <c r="K1220" t="s">
        <v>2712</v>
      </c>
      <c r="L1220" s="1">
        <v>1</v>
      </c>
      <c r="M1220" s="3">
        <v>32.4</v>
      </c>
      <c r="N1220" s="3">
        <v>1.62</v>
      </c>
      <c r="O1220" s="3">
        <v>0</v>
      </c>
      <c r="P1220" s="3">
        <v>0</v>
      </c>
      <c r="Q1220" s="3">
        <v>34.020000000000003</v>
      </c>
      <c r="R1220" s="3">
        <v>26.4</v>
      </c>
      <c r="S1220" s="3">
        <f>VLOOKUP(C1220,[1]page!$C$2:$M$3071,11,0)</f>
        <v>32.31</v>
      </c>
      <c r="T1220" s="6">
        <f t="shared" si="19"/>
        <v>8.9999999999996305E-2</v>
      </c>
    </row>
    <row r="1221" spans="1:20" x14ac:dyDescent="0.2">
      <c r="A1221" t="s">
        <v>3889</v>
      </c>
      <c r="B1221" t="s">
        <v>3895</v>
      </c>
      <c r="C1221" t="s">
        <v>3896</v>
      </c>
      <c r="D1221" t="s">
        <v>3726</v>
      </c>
      <c r="E1221" t="s">
        <v>3632</v>
      </c>
      <c r="F1221" t="s">
        <v>23</v>
      </c>
      <c r="G1221" s="1">
        <v>8</v>
      </c>
      <c r="H1221" s="1">
        <v>12</v>
      </c>
      <c r="I1221" t="s">
        <v>39</v>
      </c>
      <c r="K1221" t="s">
        <v>2677</v>
      </c>
      <c r="L1221" s="1">
        <v>1</v>
      </c>
      <c r="M1221" s="3">
        <v>11.22</v>
      </c>
      <c r="N1221" s="3">
        <v>0.56000000000000005</v>
      </c>
      <c r="O1221" s="3">
        <v>0</v>
      </c>
      <c r="P1221" s="3">
        <v>0.2</v>
      </c>
      <c r="Q1221" s="3">
        <v>11.98</v>
      </c>
      <c r="R1221" s="3">
        <v>7.95</v>
      </c>
      <c r="S1221" s="3">
        <f>VLOOKUP(C1221,[1]page!$C$2:$M$3071,11,0)</f>
        <v>11.2</v>
      </c>
      <c r="T1221" s="6">
        <f t="shared" si="19"/>
        <v>2.000000000000135E-2</v>
      </c>
    </row>
    <row r="1222" spans="1:20" x14ac:dyDescent="0.2">
      <c r="A1222" t="s">
        <v>3889</v>
      </c>
      <c r="B1222" t="s">
        <v>3897</v>
      </c>
      <c r="C1222" t="s">
        <v>3898</v>
      </c>
      <c r="D1222" t="s">
        <v>3899</v>
      </c>
      <c r="E1222" t="s">
        <v>3632</v>
      </c>
      <c r="F1222" t="s">
        <v>23</v>
      </c>
      <c r="G1222" s="1">
        <v>12</v>
      </c>
      <c r="H1222" s="1">
        <v>12</v>
      </c>
      <c r="I1222" t="s">
        <v>39</v>
      </c>
      <c r="K1222" t="s">
        <v>2706</v>
      </c>
      <c r="L1222" s="1">
        <v>1</v>
      </c>
      <c r="M1222" s="3">
        <v>11.22</v>
      </c>
      <c r="N1222" s="3">
        <v>0.56000000000000005</v>
      </c>
      <c r="O1222" s="3">
        <v>0</v>
      </c>
      <c r="P1222" s="3">
        <v>0.2</v>
      </c>
      <c r="Q1222" s="3">
        <v>11.98</v>
      </c>
      <c r="R1222" s="3">
        <v>7.95</v>
      </c>
      <c r="S1222" s="3">
        <f>VLOOKUP(C1222,[1]page!$C$2:$M$3071,11,0)</f>
        <v>11.2</v>
      </c>
      <c r="T1222" s="6">
        <f t="shared" si="19"/>
        <v>2.000000000000135E-2</v>
      </c>
    </row>
    <row r="1223" spans="1:20" x14ac:dyDescent="0.2">
      <c r="A1223" t="s">
        <v>3889</v>
      </c>
      <c r="B1223" t="s">
        <v>3900</v>
      </c>
      <c r="C1223" t="s">
        <v>3901</v>
      </c>
      <c r="D1223" t="s">
        <v>3902</v>
      </c>
      <c r="E1223" t="s">
        <v>3753</v>
      </c>
      <c r="F1223" t="s">
        <v>23</v>
      </c>
      <c r="G1223" s="2">
        <v>12.5</v>
      </c>
      <c r="H1223" s="1">
        <v>12</v>
      </c>
      <c r="I1223" t="s">
        <v>57</v>
      </c>
      <c r="K1223" t="s">
        <v>2828</v>
      </c>
      <c r="L1223" s="1">
        <v>1</v>
      </c>
      <c r="M1223" s="3">
        <v>11.02</v>
      </c>
      <c r="N1223" s="3">
        <v>0.55000000000000004</v>
      </c>
      <c r="O1223" s="3">
        <v>0</v>
      </c>
      <c r="P1223" s="3">
        <v>0.2</v>
      </c>
      <c r="Q1223" s="3">
        <v>11.77</v>
      </c>
      <c r="R1223" s="3">
        <v>7.95</v>
      </c>
      <c r="S1223" s="3">
        <f>VLOOKUP(C1223,[1]page!$C$2:$M$3071,11,0)</f>
        <v>11</v>
      </c>
      <c r="T1223" s="6">
        <f t="shared" si="19"/>
        <v>1.9999999999999574E-2</v>
      </c>
    </row>
    <row r="1224" spans="1:20" x14ac:dyDescent="0.2">
      <c r="A1224" t="s">
        <v>3889</v>
      </c>
      <c r="B1224" t="s">
        <v>3903</v>
      </c>
      <c r="C1224" t="s">
        <v>3904</v>
      </c>
      <c r="D1224" t="s">
        <v>3905</v>
      </c>
      <c r="E1224" t="s">
        <v>3753</v>
      </c>
      <c r="F1224" t="s">
        <v>23</v>
      </c>
      <c r="G1224" s="1">
        <v>9</v>
      </c>
      <c r="H1224" s="1">
        <v>12</v>
      </c>
      <c r="I1224" t="s">
        <v>57</v>
      </c>
      <c r="K1224" t="s">
        <v>2773</v>
      </c>
      <c r="L1224" s="1">
        <v>1</v>
      </c>
      <c r="M1224" s="3">
        <v>11.02</v>
      </c>
      <c r="N1224" s="3">
        <v>0.55000000000000004</v>
      </c>
      <c r="O1224" s="3">
        <v>0</v>
      </c>
      <c r="P1224" s="3">
        <v>0.2</v>
      </c>
      <c r="Q1224" s="3">
        <v>11.77</v>
      </c>
      <c r="R1224" s="3">
        <v>7.95</v>
      </c>
      <c r="S1224" s="3">
        <f>VLOOKUP(C1224,[1]page!$C$2:$M$3071,11,0)</f>
        <v>11</v>
      </c>
      <c r="T1224" s="6">
        <f t="shared" si="19"/>
        <v>1.9999999999999574E-2</v>
      </c>
    </row>
    <row r="1225" spans="1:20" x14ac:dyDescent="0.2">
      <c r="A1225" t="s">
        <v>3889</v>
      </c>
      <c r="B1225" t="s">
        <v>3906</v>
      </c>
      <c r="C1225" t="s">
        <v>3907</v>
      </c>
      <c r="D1225" t="s">
        <v>3908</v>
      </c>
      <c r="E1225" t="s">
        <v>3872</v>
      </c>
      <c r="F1225" t="s">
        <v>23</v>
      </c>
      <c r="G1225" s="2">
        <v>8.5</v>
      </c>
      <c r="H1225" s="1">
        <v>12</v>
      </c>
      <c r="I1225" t="s">
        <v>70</v>
      </c>
      <c r="K1225" t="s">
        <v>2773</v>
      </c>
      <c r="L1225" s="1">
        <v>1</v>
      </c>
      <c r="M1225" s="3">
        <v>9.99</v>
      </c>
      <c r="N1225" s="3">
        <v>0.5</v>
      </c>
      <c r="O1225" s="3">
        <v>0</v>
      </c>
      <c r="P1225" s="3">
        <v>0.2</v>
      </c>
      <c r="Q1225" s="3">
        <v>10.69</v>
      </c>
      <c r="R1225" s="3">
        <v>7.95</v>
      </c>
      <c r="S1225" s="3">
        <f>VLOOKUP(C1225,[1]page!$C$2:$M$3071,11,0)</f>
        <v>9.99</v>
      </c>
      <c r="T1225" s="6">
        <f t="shared" si="19"/>
        <v>0</v>
      </c>
    </row>
    <row r="1226" spans="1:20" x14ac:dyDescent="0.2">
      <c r="A1226" t="s">
        <v>3889</v>
      </c>
      <c r="B1226" t="s">
        <v>3909</v>
      </c>
      <c r="C1226" t="s">
        <v>3910</v>
      </c>
      <c r="D1226" t="s">
        <v>3911</v>
      </c>
      <c r="E1226" t="s">
        <v>2899</v>
      </c>
      <c r="F1226" t="s">
        <v>23</v>
      </c>
      <c r="G1226" s="1">
        <v>12</v>
      </c>
      <c r="H1226" s="1">
        <v>12</v>
      </c>
      <c r="I1226" t="s">
        <v>397</v>
      </c>
      <c r="K1226" t="s">
        <v>2706</v>
      </c>
      <c r="L1226" s="1">
        <v>1</v>
      </c>
      <c r="M1226" s="3">
        <v>9.51</v>
      </c>
      <c r="N1226" s="3">
        <v>0.48</v>
      </c>
      <c r="O1226" s="3">
        <v>0</v>
      </c>
      <c r="P1226" s="3">
        <v>0.2</v>
      </c>
      <c r="Q1226" s="3">
        <v>10.19</v>
      </c>
      <c r="R1226" s="3">
        <v>7.95</v>
      </c>
      <c r="S1226" s="3">
        <f>VLOOKUP(C1226,[1]page!$C$2:$M$3071,11,0)</f>
        <v>9.49</v>
      </c>
      <c r="T1226" s="6">
        <f t="shared" si="19"/>
        <v>1.9999999999999574E-2</v>
      </c>
    </row>
    <row r="1227" spans="1:20" x14ac:dyDescent="0.2">
      <c r="A1227" t="s">
        <v>3889</v>
      </c>
      <c r="B1227" t="s">
        <v>3912</v>
      </c>
      <c r="C1227" t="s">
        <v>3913</v>
      </c>
      <c r="D1227" t="s">
        <v>3914</v>
      </c>
      <c r="E1227" t="s">
        <v>3915</v>
      </c>
      <c r="F1227" t="s">
        <v>23</v>
      </c>
      <c r="G1227" s="1">
        <v>11</v>
      </c>
      <c r="H1227" s="1">
        <v>12</v>
      </c>
      <c r="I1227" t="s">
        <v>70</v>
      </c>
      <c r="K1227" t="s">
        <v>2828</v>
      </c>
      <c r="L1227" s="1">
        <v>1</v>
      </c>
      <c r="M1227" s="3">
        <v>10.99</v>
      </c>
      <c r="N1227" s="3">
        <v>0.55000000000000004</v>
      </c>
      <c r="O1227" s="3">
        <v>0</v>
      </c>
      <c r="P1227" s="3">
        <v>0.2</v>
      </c>
      <c r="Q1227" s="3">
        <v>11.74</v>
      </c>
      <c r="R1227" s="3">
        <v>7.95</v>
      </c>
      <c r="S1227" s="3">
        <f>VLOOKUP(C1227,[1]page!$C$2:$M$3071,11,0)</f>
        <v>10.99</v>
      </c>
      <c r="T1227" s="6">
        <f t="shared" si="19"/>
        <v>0</v>
      </c>
    </row>
    <row r="1228" spans="1:20" x14ac:dyDescent="0.2">
      <c r="A1228" t="s">
        <v>3889</v>
      </c>
      <c r="B1228" t="s">
        <v>3916</v>
      </c>
      <c r="C1228" t="s">
        <v>3917</v>
      </c>
      <c r="D1228" t="s">
        <v>3918</v>
      </c>
      <c r="E1228" t="s">
        <v>3722</v>
      </c>
      <c r="F1228" t="s">
        <v>23</v>
      </c>
      <c r="G1228" s="2">
        <v>12.5</v>
      </c>
      <c r="H1228" s="1">
        <v>12</v>
      </c>
      <c r="I1228" t="s">
        <v>183</v>
      </c>
      <c r="K1228" t="s">
        <v>2828</v>
      </c>
      <c r="L1228" s="1">
        <v>1</v>
      </c>
      <c r="M1228" s="3">
        <v>11.55</v>
      </c>
      <c r="N1228" s="3">
        <v>0.57999999999999996</v>
      </c>
      <c r="O1228" s="3">
        <v>0</v>
      </c>
      <c r="P1228" s="3">
        <v>0.2</v>
      </c>
      <c r="Q1228" s="3">
        <v>12.33</v>
      </c>
      <c r="R1228" s="3">
        <v>7.95</v>
      </c>
      <c r="S1228" s="3">
        <f>VLOOKUP(C1228,[1]page!$C$2:$M$3071,11,0)</f>
        <v>11.53</v>
      </c>
      <c r="T1228" s="6">
        <f t="shared" si="19"/>
        <v>2.000000000000135E-2</v>
      </c>
    </row>
    <row r="1229" spans="1:20" x14ac:dyDescent="0.2">
      <c r="A1229" t="s">
        <v>3889</v>
      </c>
      <c r="B1229" t="s">
        <v>3919</v>
      </c>
      <c r="C1229" t="s">
        <v>3920</v>
      </c>
      <c r="D1229" t="s">
        <v>3921</v>
      </c>
      <c r="E1229" t="s">
        <v>3722</v>
      </c>
      <c r="F1229" t="s">
        <v>23</v>
      </c>
      <c r="G1229" s="2">
        <v>11.5</v>
      </c>
      <c r="H1229" s="1">
        <v>12</v>
      </c>
      <c r="I1229" t="s">
        <v>183</v>
      </c>
      <c r="K1229" t="s">
        <v>2687</v>
      </c>
      <c r="L1229" s="1">
        <v>1</v>
      </c>
      <c r="M1229" s="3">
        <v>11.55</v>
      </c>
      <c r="N1229" s="3">
        <v>0.57999999999999996</v>
      </c>
      <c r="O1229" s="3">
        <v>0</v>
      </c>
      <c r="P1229" s="3">
        <v>0.2</v>
      </c>
      <c r="Q1229" s="3">
        <v>12.33</v>
      </c>
      <c r="R1229" s="3">
        <v>7.95</v>
      </c>
      <c r="S1229" s="3">
        <f>VLOOKUP(C1229,[1]page!$C$2:$M$3071,11,0)</f>
        <v>11.53</v>
      </c>
      <c r="T1229" s="6">
        <f t="shared" si="19"/>
        <v>2.000000000000135E-2</v>
      </c>
    </row>
    <row r="1230" spans="1:20" x14ac:dyDescent="0.2">
      <c r="A1230" t="s">
        <v>3922</v>
      </c>
      <c r="B1230" t="s">
        <v>3923</v>
      </c>
      <c r="C1230" t="s">
        <v>3924</v>
      </c>
      <c r="D1230" t="s">
        <v>3925</v>
      </c>
      <c r="E1230" t="s">
        <v>3642</v>
      </c>
      <c r="F1230" t="s">
        <v>23</v>
      </c>
      <c r="G1230" s="1">
        <v>14</v>
      </c>
      <c r="H1230" s="1">
        <v>12</v>
      </c>
      <c r="I1230" t="s">
        <v>57</v>
      </c>
      <c r="K1230" t="s">
        <v>2828</v>
      </c>
      <c r="L1230" s="1">
        <v>1</v>
      </c>
      <c r="M1230" s="3">
        <v>17</v>
      </c>
      <c r="N1230" s="3">
        <v>0.85</v>
      </c>
      <c r="O1230" s="3">
        <v>0</v>
      </c>
      <c r="P1230" s="3">
        <v>0.2</v>
      </c>
      <c r="Q1230" s="3">
        <v>18.05</v>
      </c>
      <c r="R1230" s="3">
        <v>7.95</v>
      </c>
      <c r="S1230" s="3">
        <f>VLOOKUP(C1230,[1]page!$C$2:$M$3071,11,0)</f>
        <v>16.97</v>
      </c>
      <c r="T1230" s="6">
        <f t="shared" si="19"/>
        <v>3.0000000000001137E-2</v>
      </c>
    </row>
    <row r="1231" spans="1:20" x14ac:dyDescent="0.2">
      <c r="A1231" t="s">
        <v>3922</v>
      </c>
      <c r="B1231" t="s">
        <v>3926</v>
      </c>
      <c r="C1231" t="s">
        <v>3927</v>
      </c>
      <c r="D1231" t="s">
        <v>3928</v>
      </c>
      <c r="E1231" t="s">
        <v>3642</v>
      </c>
      <c r="F1231" t="s">
        <v>23</v>
      </c>
      <c r="G1231" s="1">
        <v>15</v>
      </c>
      <c r="H1231" s="1">
        <v>12</v>
      </c>
      <c r="I1231" t="s">
        <v>57</v>
      </c>
      <c r="K1231" t="s">
        <v>2828</v>
      </c>
      <c r="L1231" s="1">
        <v>1</v>
      </c>
      <c r="M1231" s="3">
        <v>17</v>
      </c>
      <c r="N1231" s="3">
        <v>0.85</v>
      </c>
      <c r="O1231" s="3">
        <v>0</v>
      </c>
      <c r="P1231" s="3">
        <v>0.2</v>
      </c>
      <c r="Q1231" s="3">
        <v>18.05</v>
      </c>
      <c r="R1231" s="3">
        <v>7.95</v>
      </c>
      <c r="S1231" s="3">
        <f>VLOOKUP(C1231,[1]page!$C$2:$M$3071,11,0)</f>
        <v>16.97</v>
      </c>
      <c r="T1231" s="6">
        <f t="shared" si="19"/>
        <v>3.0000000000001137E-2</v>
      </c>
    </row>
    <row r="1232" spans="1:20" x14ac:dyDescent="0.2">
      <c r="A1232" t="s">
        <v>3922</v>
      </c>
      <c r="B1232" t="s">
        <v>3929</v>
      </c>
      <c r="C1232" t="s">
        <v>3930</v>
      </c>
      <c r="D1232" t="s">
        <v>3931</v>
      </c>
      <c r="E1232" t="s">
        <v>3932</v>
      </c>
      <c r="F1232" t="s">
        <v>23</v>
      </c>
      <c r="G1232" s="1">
        <v>14</v>
      </c>
      <c r="H1232" s="1">
        <v>12</v>
      </c>
      <c r="I1232" t="s">
        <v>57</v>
      </c>
      <c r="K1232" t="s">
        <v>2828</v>
      </c>
      <c r="L1232" s="1">
        <v>1</v>
      </c>
      <c r="M1232" s="3">
        <v>17.07</v>
      </c>
      <c r="N1232" s="3">
        <v>0.85</v>
      </c>
      <c r="O1232" s="3">
        <v>0</v>
      </c>
      <c r="P1232" s="3">
        <v>0.2</v>
      </c>
      <c r="Q1232" s="3">
        <v>18.12</v>
      </c>
      <c r="R1232" s="3">
        <v>7.95</v>
      </c>
      <c r="S1232" s="3">
        <f>VLOOKUP(C1232,[1]page!$C$2:$M$3071,11,0)</f>
        <v>17.04</v>
      </c>
      <c r="T1232" s="6">
        <f t="shared" si="19"/>
        <v>3.0000000000001137E-2</v>
      </c>
    </row>
    <row r="1233" spans="1:20" x14ac:dyDescent="0.2">
      <c r="A1233" t="s">
        <v>3933</v>
      </c>
      <c r="B1233" t="s">
        <v>3934</v>
      </c>
      <c r="C1233" t="s">
        <v>3935</v>
      </c>
      <c r="D1233" t="s">
        <v>3936</v>
      </c>
      <c r="E1233" t="s">
        <v>3937</v>
      </c>
      <c r="F1233" t="s">
        <v>23</v>
      </c>
      <c r="G1233" s="1">
        <v>13</v>
      </c>
      <c r="H1233" s="1">
        <v>12</v>
      </c>
      <c r="I1233" t="s">
        <v>34</v>
      </c>
      <c r="K1233" t="s">
        <v>2687</v>
      </c>
      <c r="L1233" s="1">
        <v>1</v>
      </c>
      <c r="M1233" s="3">
        <v>11.89</v>
      </c>
      <c r="N1233" s="3">
        <v>0.59</v>
      </c>
      <c r="O1233" s="3">
        <v>0</v>
      </c>
      <c r="P1233" s="3">
        <v>0.2</v>
      </c>
      <c r="Q1233" s="3">
        <v>12.68</v>
      </c>
      <c r="R1233" s="3">
        <v>7.95</v>
      </c>
      <c r="S1233" s="3">
        <f>VLOOKUP(C1233,[1]page!$C$2:$M$3071,11,0)</f>
        <v>11.86</v>
      </c>
      <c r="T1233" s="6">
        <f t="shared" si="19"/>
        <v>3.0000000000001137E-2</v>
      </c>
    </row>
    <row r="1234" spans="1:20" x14ac:dyDescent="0.2">
      <c r="A1234" t="s">
        <v>3933</v>
      </c>
      <c r="B1234" t="s">
        <v>3938</v>
      </c>
      <c r="C1234" t="s">
        <v>3939</v>
      </c>
      <c r="D1234" t="s">
        <v>3940</v>
      </c>
      <c r="E1234" t="s">
        <v>3941</v>
      </c>
      <c r="F1234" t="s">
        <v>23</v>
      </c>
      <c r="G1234" s="2">
        <v>12.5</v>
      </c>
      <c r="H1234" s="1">
        <v>6</v>
      </c>
      <c r="I1234" t="s">
        <v>2700</v>
      </c>
      <c r="K1234" t="s">
        <v>2687</v>
      </c>
      <c r="L1234" s="1">
        <v>1</v>
      </c>
      <c r="M1234" s="3">
        <v>10</v>
      </c>
      <c r="N1234" s="3">
        <v>0.5</v>
      </c>
      <c r="O1234" s="3">
        <v>0</v>
      </c>
      <c r="P1234" s="3">
        <v>0.2</v>
      </c>
      <c r="Q1234" s="3">
        <v>10.7</v>
      </c>
      <c r="R1234" s="3">
        <v>7.95</v>
      </c>
      <c r="S1234" s="3">
        <f>VLOOKUP(C1234,[1]page!$C$2:$M$3071,11,0)</f>
        <v>10</v>
      </c>
      <c r="T1234" s="6">
        <f t="shared" si="19"/>
        <v>0</v>
      </c>
    </row>
    <row r="1235" spans="1:20" x14ac:dyDescent="0.2">
      <c r="A1235" t="s">
        <v>3942</v>
      </c>
      <c r="B1235" t="s">
        <v>3943</v>
      </c>
      <c r="C1235" t="s">
        <v>3944</v>
      </c>
      <c r="D1235" t="s">
        <v>3945</v>
      </c>
      <c r="E1235" t="s">
        <v>3937</v>
      </c>
      <c r="F1235" t="s">
        <v>23</v>
      </c>
      <c r="G1235" s="1">
        <v>12</v>
      </c>
      <c r="H1235" s="1">
        <v>12</v>
      </c>
      <c r="I1235" t="s">
        <v>34</v>
      </c>
      <c r="K1235" t="s">
        <v>2687</v>
      </c>
      <c r="L1235" s="1">
        <v>1</v>
      </c>
      <c r="M1235" s="3">
        <v>11.89</v>
      </c>
      <c r="N1235" s="3">
        <v>0.59</v>
      </c>
      <c r="O1235" s="3">
        <v>0</v>
      </c>
      <c r="P1235" s="3">
        <v>0.2</v>
      </c>
      <c r="Q1235" s="3">
        <v>12.68</v>
      </c>
      <c r="R1235" s="3">
        <v>7.95</v>
      </c>
      <c r="S1235" s="3">
        <f>VLOOKUP(C1235,[1]page!$C$2:$M$3071,11,0)</f>
        <v>11.87</v>
      </c>
      <c r="T1235" s="6">
        <f t="shared" si="19"/>
        <v>2.000000000000135E-2</v>
      </c>
    </row>
    <row r="1236" spans="1:20" x14ac:dyDescent="0.2">
      <c r="A1236" t="s">
        <v>3942</v>
      </c>
      <c r="B1236" t="s">
        <v>3946</v>
      </c>
      <c r="C1236" t="s">
        <v>3947</v>
      </c>
      <c r="D1236" t="s">
        <v>3948</v>
      </c>
      <c r="E1236" t="s">
        <v>3949</v>
      </c>
      <c r="F1236" t="s">
        <v>23</v>
      </c>
      <c r="G1236" s="1">
        <v>13</v>
      </c>
      <c r="H1236" s="1">
        <v>12</v>
      </c>
      <c r="I1236" t="s">
        <v>70</v>
      </c>
      <c r="K1236" t="s">
        <v>2687</v>
      </c>
      <c r="L1236" s="1">
        <v>1</v>
      </c>
      <c r="M1236" s="3">
        <v>7.99</v>
      </c>
      <c r="N1236" s="3">
        <v>0.4</v>
      </c>
      <c r="O1236" s="3">
        <v>0</v>
      </c>
      <c r="P1236" s="3">
        <v>0.2</v>
      </c>
      <c r="Q1236" s="3">
        <v>8.59</v>
      </c>
      <c r="R1236" s="3">
        <v>7.95</v>
      </c>
      <c r="S1236" s="3">
        <f>VLOOKUP(C1236,[1]page!$C$2:$M$3071,11,0)</f>
        <v>7.99</v>
      </c>
      <c r="T1236" s="6">
        <f t="shared" si="19"/>
        <v>0</v>
      </c>
    </row>
    <row r="1237" spans="1:20" x14ac:dyDescent="0.2">
      <c r="A1237" t="s">
        <v>3942</v>
      </c>
      <c r="B1237" t="s">
        <v>3950</v>
      </c>
      <c r="C1237" t="s">
        <v>3951</v>
      </c>
      <c r="D1237" t="s">
        <v>3952</v>
      </c>
      <c r="E1237" t="s">
        <v>3953</v>
      </c>
      <c r="F1237" t="s">
        <v>23</v>
      </c>
      <c r="G1237" s="1">
        <v>14</v>
      </c>
      <c r="H1237" s="1">
        <v>12</v>
      </c>
      <c r="I1237" t="s">
        <v>257</v>
      </c>
      <c r="K1237" t="s">
        <v>2828</v>
      </c>
      <c r="L1237" s="1">
        <v>1</v>
      </c>
      <c r="M1237" s="3">
        <v>15.73</v>
      </c>
      <c r="N1237" s="3">
        <v>0.79</v>
      </c>
      <c r="O1237" s="3">
        <v>0</v>
      </c>
      <c r="P1237" s="3">
        <v>0.2</v>
      </c>
      <c r="Q1237" s="3">
        <v>16.72</v>
      </c>
      <c r="R1237" s="3">
        <v>7.95</v>
      </c>
      <c r="S1237" s="3">
        <f>VLOOKUP(C1237,[1]page!$C$2:$M$3071,11,0)</f>
        <v>15.71</v>
      </c>
      <c r="T1237" s="6">
        <f t="shared" si="19"/>
        <v>1.9999999999999574E-2</v>
      </c>
    </row>
    <row r="1238" spans="1:20" x14ac:dyDescent="0.2">
      <c r="A1238" t="s">
        <v>3942</v>
      </c>
      <c r="B1238" t="s">
        <v>3954</v>
      </c>
      <c r="C1238" t="s">
        <v>3955</v>
      </c>
      <c r="D1238" t="s">
        <v>3956</v>
      </c>
      <c r="E1238" t="s">
        <v>3953</v>
      </c>
      <c r="F1238" t="s">
        <v>23</v>
      </c>
      <c r="G1238" s="1">
        <v>14</v>
      </c>
      <c r="H1238" s="1">
        <v>12</v>
      </c>
      <c r="I1238" t="s">
        <v>257</v>
      </c>
      <c r="K1238" t="s">
        <v>2828</v>
      </c>
      <c r="L1238" s="1">
        <v>1</v>
      </c>
      <c r="M1238" s="3">
        <v>15.73</v>
      </c>
      <c r="N1238" s="3">
        <v>0.79</v>
      </c>
      <c r="O1238" s="3">
        <v>0</v>
      </c>
      <c r="P1238" s="3">
        <v>0.2</v>
      </c>
      <c r="Q1238" s="3">
        <v>16.72</v>
      </c>
      <c r="R1238" s="3">
        <v>7.95</v>
      </c>
      <c r="S1238" s="3">
        <f>VLOOKUP(C1238,[1]page!$C$2:$M$3071,11,0)</f>
        <v>15.71</v>
      </c>
      <c r="T1238" s="6">
        <f t="shared" si="19"/>
        <v>1.9999999999999574E-2</v>
      </c>
    </row>
    <row r="1239" spans="1:20" x14ac:dyDescent="0.2">
      <c r="A1239" t="s">
        <v>3942</v>
      </c>
      <c r="B1239" t="s">
        <v>3957</v>
      </c>
      <c r="C1239" t="s">
        <v>3958</v>
      </c>
      <c r="D1239" t="s">
        <v>3959</v>
      </c>
      <c r="E1239" t="s">
        <v>3937</v>
      </c>
      <c r="F1239" t="s">
        <v>23</v>
      </c>
      <c r="G1239" s="1">
        <v>14</v>
      </c>
      <c r="H1239" s="1">
        <v>12</v>
      </c>
      <c r="I1239" t="s">
        <v>34</v>
      </c>
      <c r="K1239" t="s">
        <v>2828</v>
      </c>
      <c r="L1239" s="1">
        <v>1</v>
      </c>
      <c r="M1239" s="3">
        <v>29.71</v>
      </c>
      <c r="N1239" s="3">
        <v>1.49</v>
      </c>
      <c r="O1239" s="3">
        <v>0</v>
      </c>
      <c r="P1239" s="3">
        <v>0.2</v>
      </c>
      <c r="Q1239" s="3">
        <v>31.4</v>
      </c>
      <c r="R1239" s="3">
        <v>7.95</v>
      </c>
      <c r="S1239" s="3">
        <f>VLOOKUP(C1239,[1]page!$C$2:$M$3071,11,0)</f>
        <v>29.7</v>
      </c>
      <c r="T1239" s="6">
        <f t="shared" si="19"/>
        <v>1.0000000000001563E-2</v>
      </c>
    </row>
    <row r="1240" spans="1:20" x14ac:dyDescent="0.2">
      <c r="A1240" t="s">
        <v>3942</v>
      </c>
      <c r="B1240" t="s">
        <v>3960</v>
      </c>
      <c r="C1240" t="s">
        <v>3961</v>
      </c>
      <c r="D1240" t="s">
        <v>3962</v>
      </c>
      <c r="E1240" t="s">
        <v>3949</v>
      </c>
      <c r="F1240" t="s">
        <v>23</v>
      </c>
      <c r="G1240" s="2">
        <v>12.5</v>
      </c>
      <c r="H1240" s="1">
        <v>12</v>
      </c>
      <c r="I1240" t="s">
        <v>70</v>
      </c>
      <c r="K1240" t="s">
        <v>2828</v>
      </c>
      <c r="L1240" s="1">
        <v>1</v>
      </c>
      <c r="M1240" s="3">
        <v>9.49</v>
      </c>
      <c r="N1240" s="3">
        <v>0.47</v>
      </c>
      <c r="O1240" s="3">
        <v>0</v>
      </c>
      <c r="P1240" s="3">
        <v>0.2</v>
      </c>
      <c r="Q1240" s="3">
        <v>10.16</v>
      </c>
      <c r="R1240" s="3">
        <v>7.95</v>
      </c>
      <c r="S1240" s="3">
        <f>VLOOKUP(C1240,[1]page!$C$2:$M$3071,11,0)</f>
        <v>8.99</v>
      </c>
      <c r="T1240" s="6">
        <f t="shared" si="19"/>
        <v>0.5</v>
      </c>
    </row>
    <row r="1241" spans="1:20" x14ac:dyDescent="0.2">
      <c r="A1241" t="s">
        <v>3942</v>
      </c>
      <c r="B1241" t="s">
        <v>3963</v>
      </c>
      <c r="C1241" t="s">
        <v>3964</v>
      </c>
      <c r="D1241" t="s">
        <v>3965</v>
      </c>
      <c r="E1241" t="s">
        <v>200</v>
      </c>
      <c r="F1241" t="s">
        <v>23</v>
      </c>
      <c r="G1241" s="1">
        <v>13</v>
      </c>
      <c r="H1241" s="1">
        <v>12</v>
      </c>
      <c r="I1241" t="s">
        <v>201</v>
      </c>
      <c r="K1241" t="s">
        <v>2706</v>
      </c>
      <c r="L1241" s="1">
        <v>1</v>
      </c>
      <c r="M1241" s="3">
        <v>11.65</v>
      </c>
      <c r="N1241" s="3">
        <v>0.57999999999999996</v>
      </c>
      <c r="O1241" s="3">
        <v>0</v>
      </c>
      <c r="P1241" s="3">
        <v>0.2</v>
      </c>
      <c r="Q1241" s="3">
        <v>12.43</v>
      </c>
      <c r="R1241" s="3">
        <v>7.95</v>
      </c>
      <c r="S1241" s="3">
        <f>VLOOKUP(C1241,[1]page!$C$2:$M$3071,11,0)</f>
        <v>11.62</v>
      </c>
      <c r="T1241" s="6">
        <f t="shared" si="19"/>
        <v>3.0000000000001137E-2</v>
      </c>
    </row>
    <row r="1242" spans="1:20" x14ac:dyDescent="0.2">
      <c r="A1242" t="s">
        <v>3942</v>
      </c>
      <c r="B1242" t="s">
        <v>3966</v>
      </c>
      <c r="C1242" t="s">
        <v>3967</v>
      </c>
      <c r="D1242" t="s">
        <v>3965</v>
      </c>
      <c r="E1242" t="s">
        <v>200</v>
      </c>
      <c r="F1242" t="s">
        <v>2835</v>
      </c>
      <c r="G1242" s="2">
        <v>12.5</v>
      </c>
      <c r="H1242" s="1">
        <v>4</v>
      </c>
      <c r="I1242" t="s">
        <v>201</v>
      </c>
      <c r="K1242" t="s">
        <v>2706</v>
      </c>
      <c r="L1242" s="1">
        <v>1</v>
      </c>
      <c r="M1242" s="3">
        <v>37.090000000000003</v>
      </c>
      <c r="N1242" s="3">
        <v>1.85</v>
      </c>
      <c r="O1242" s="3">
        <v>0</v>
      </c>
      <c r="P1242" s="3">
        <v>0</v>
      </c>
      <c r="Q1242" s="3">
        <v>38.94</v>
      </c>
      <c r="R1242" s="3">
        <v>33.9</v>
      </c>
      <c r="S1242" s="3">
        <f>VLOOKUP(C1242,[1]page!$C$2:$M$3071,11,0)</f>
        <v>37.07</v>
      </c>
      <c r="T1242" s="6">
        <f t="shared" si="19"/>
        <v>2.0000000000003126E-2</v>
      </c>
    </row>
    <row r="1243" spans="1:20" x14ac:dyDescent="0.2">
      <c r="A1243" t="s">
        <v>3968</v>
      </c>
      <c r="B1243" t="s">
        <v>3969</v>
      </c>
      <c r="C1243" t="s">
        <v>3970</v>
      </c>
      <c r="D1243" t="s">
        <v>3971</v>
      </c>
      <c r="E1243" t="s">
        <v>3937</v>
      </c>
      <c r="F1243" t="s">
        <v>23</v>
      </c>
      <c r="G1243" s="1">
        <v>12</v>
      </c>
      <c r="H1243" s="1">
        <v>12</v>
      </c>
      <c r="I1243" t="s">
        <v>34</v>
      </c>
      <c r="K1243" t="s">
        <v>2828</v>
      </c>
      <c r="L1243" s="1">
        <v>1</v>
      </c>
      <c r="M1243" s="3">
        <v>11.89</v>
      </c>
      <c r="N1243" s="3">
        <v>0.59</v>
      </c>
      <c r="O1243" s="3">
        <v>0</v>
      </c>
      <c r="P1243" s="3">
        <v>0.2</v>
      </c>
      <c r="Q1243" s="3">
        <v>12.68</v>
      </c>
      <c r="R1243" s="3">
        <v>7.95</v>
      </c>
      <c r="S1243" s="3">
        <f>VLOOKUP(C1243,[1]page!$C$2:$M$3071,11,0)</f>
        <v>11.87</v>
      </c>
      <c r="T1243" s="6">
        <f t="shared" si="19"/>
        <v>2.000000000000135E-2</v>
      </c>
    </row>
    <row r="1244" spans="1:20" x14ac:dyDescent="0.2">
      <c r="A1244" t="s">
        <v>3968</v>
      </c>
      <c r="B1244" t="s">
        <v>3972</v>
      </c>
      <c r="C1244" t="s">
        <v>3973</v>
      </c>
      <c r="D1244" t="s">
        <v>3974</v>
      </c>
      <c r="E1244" t="s">
        <v>3949</v>
      </c>
      <c r="F1244" t="s">
        <v>23</v>
      </c>
      <c r="G1244" s="1">
        <v>12</v>
      </c>
      <c r="H1244" s="1">
        <v>12</v>
      </c>
      <c r="I1244" t="s">
        <v>70</v>
      </c>
      <c r="K1244" t="s">
        <v>2687</v>
      </c>
      <c r="L1244" s="1">
        <v>1</v>
      </c>
      <c r="M1244" s="3">
        <v>7.99</v>
      </c>
      <c r="N1244" s="3">
        <v>0.4</v>
      </c>
      <c r="O1244" s="3">
        <v>0</v>
      </c>
      <c r="P1244" s="3">
        <v>0.2</v>
      </c>
      <c r="Q1244" s="3">
        <v>8.59</v>
      </c>
      <c r="R1244" s="3">
        <v>7.95</v>
      </c>
      <c r="S1244" s="3">
        <f>VLOOKUP(C1244,[1]page!$C$2:$M$3071,11,0)</f>
        <v>7.99</v>
      </c>
      <c r="T1244" s="6">
        <f t="shared" si="19"/>
        <v>0</v>
      </c>
    </row>
    <row r="1245" spans="1:20" x14ac:dyDescent="0.2">
      <c r="A1245" t="s">
        <v>3968</v>
      </c>
      <c r="B1245" t="s">
        <v>3975</v>
      </c>
      <c r="C1245" t="s">
        <v>3976</v>
      </c>
      <c r="D1245" t="s">
        <v>3977</v>
      </c>
      <c r="E1245" t="s">
        <v>3949</v>
      </c>
      <c r="F1245" t="s">
        <v>23</v>
      </c>
      <c r="G1245" s="1">
        <v>13</v>
      </c>
      <c r="H1245" s="1">
        <v>12</v>
      </c>
      <c r="I1245" t="s">
        <v>70</v>
      </c>
      <c r="K1245" t="s">
        <v>2828</v>
      </c>
      <c r="L1245" s="1">
        <v>1</v>
      </c>
      <c r="M1245" s="3">
        <v>12.99</v>
      </c>
      <c r="N1245" s="3">
        <v>0.65</v>
      </c>
      <c r="O1245" s="3">
        <v>0</v>
      </c>
      <c r="P1245" s="3">
        <v>0.2</v>
      </c>
      <c r="Q1245" s="3">
        <v>13.84</v>
      </c>
      <c r="R1245" s="3">
        <v>7.95</v>
      </c>
      <c r="S1245" s="3">
        <f>VLOOKUP(C1245,[1]page!$C$2:$M$3071,11,0)</f>
        <v>12.99</v>
      </c>
      <c r="T1245" s="6">
        <f t="shared" si="19"/>
        <v>0</v>
      </c>
    </row>
    <row r="1246" spans="1:20" x14ac:dyDescent="0.2">
      <c r="A1246" t="s">
        <v>3968</v>
      </c>
      <c r="B1246" t="s">
        <v>3978</v>
      </c>
      <c r="C1246" t="s">
        <v>3979</v>
      </c>
      <c r="D1246" t="s">
        <v>3980</v>
      </c>
      <c r="E1246" t="s">
        <v>3981</v>
      </c>
      <c r="F1246" t="s">
        <v>23</v>
      </c>
      <c r="G1246" s="1">
        <v>13</v>
      </c>
      <c r="H1246" s="1">
        <v>12</v>
      </c>
      <c r="I1246" t="s">
        <v>397</v>
      </c>
      <c r="K1246" t="s">
        <v>2828</v>
      </c>
      <c r="L1246" s="1">
        <v>1</v>
      </c>
      <c r="M1246" s="3">
        <v>12.02</v>
      </c>
      <c r="N1246" s="3">
        <v>0.6</v>
      </c>
      <c r="O1246" s="3">
        <v>0</v>
      </c>
      <c r="P1246" s="3">
        <v>0.2</v>
      </c>
      <c r="Q1246" s="3">
        <v>12.82</v>
      </c>
      <c r="R1246" s="3">
        <v>7.95</v>
      </c>
      <c r="S1246" s="3">
        <f>VLOOKUP(C1246,[1]page!$C$2:$M$3071,11,0)</f>
        <v>11.99</v>
      </c>
      <c r="T1246" s="6">
        <f t="shared" si="19"/>
        <v>2.9999999999999361E-2</v>
      </c>
    </row>
    <row r="1247" spans="1:20" x14ac:dyDescent="0.2">
      <c r="A1247" t="s">
        <v>3968</v>
      </c>
      <c r="B1247" t="s">
        <v>3982</v>
      </c>
      <c r="C1247" t="s">
        <v>3983</v>
      </c>
      <c r="D1247" t="s">
        <v>3984</v>
      </c>
      <c r="E1247" t="s">
        <v>200</v>
      </c>
      <c r="F1247" t="s">
        <v>23</v>
      </c>
      <c r="G1247" s="1">
        <v>13</v>
      </c>
      <c r="H1247" s="1">
        <v>12</v>
      </c>
      <c r="I1247" t="s">
        <v>201</v>
      </c>
      <c r="K1247" t="s">
        <v>2706</v>
      </c>
      <c r="L1247" s="1">
        <v>1</v>
      </c>
      <c r="M1247" s="3">
        <v>11.65</v>
      </c>
      <c r="N1247" s="3">
        <v>0.57999999999999996</v>
      </c>
      <c r="O1247" s="3">
        <v>0</v>
      </c>
      <c r="P1247" s="3">
        <v>0.2</v>
      </c>
      <c r="Q1247" s="3">
        <v>12.43</v>
      </c>
      <c r="R1247" s="3">
        <v>7.95</v>
      </c>
      <c r="S1247" s="3">
        <f>VLOOKUP(C1247,[1]page!$C$2:$M$3071,11,0)</f>
        <v>11.62</v>
      </c>
      <c r="T1247" s="6">
        <f t="shared" si="19"/>
        <v>3.0000000000001137E-2</v>
      </c>
    </row>
    <row r="1248" spans="1:20" x14ac:dyDescent="0.2">
      <c r="A1248" t="s">
        <v>3968</v>
      </c>
      <c r="B1248" t="s">
        <v>3985</v>
      </c>
      <c r="C1248" t="s">
        <v>3986</v>
      </c>
      <c r="D1248" t="s">
        <v>3984</v>
      </c>
      <c r="E1248" t="s">
        <v>200</v>
      </c>
      <c r="F1248" t="s">
        <v>2835</v>
      </c>
      <c r="G1248" s="1">
        <v>12</v>
      </c>
      <c r="H1248" s="1">
        <v>4</v>
      </c>
      <c r="I1248" t="s">
        <v>201</v>
      </c>
      <c r="K1248" t="s">
        <v>2706</v>
      </c>
      <c r="L1248" s="1">
        <v>1</v>
      </c>
      <c r="M1248" s="3">
        <v>37.090000000000003</v>
      </c>
      <c r="N1248" s="3">
        <v>1.85</v>
      </c>
      <c r="O1248" s="3">
        <v>0</v>
      </c>
      <c r="P1248" s="3">
        <v>0</v>
      </c>
      <c r="Q1248" s="3">
        <v>38.94</v>
      </c>
      <c r="R1248" s="3">
        <v>33.9</v>
      </c>
      <c r="S1248" s="3">
        <f>VLOOKUP(C1248,[1]page!$C$2:$M$3071,11,0)</f>
        <v>37.07</v>
      </c>
      <c r="T1248" s="6">
        <f t="shared" si="19"/>
        <v>2.0000000000003126E-2</v>
      </c>
    </row>
    <row r="1249" spans="1:20" x14ac:dyDescent="0.2">
      <c r="A1249" t="s">
        <v>3987</v>
      </c>
      <c r="B1249" t="s">
        <v>3988</v>
      </c>
      <c r="C1249" t="s">
        <v>3989</v>
      </c>
      <c r="D1249" t="s">
        <v>3990</v>
      </c>
      <c r="E1249" t="s">
        <v>3991</v>
      </c>
      <c r="F1249" t="s">
        <v>23</v>
      </c>
      <c r="G1249" s="2">
        <v>13.5</v>
      </c>
      <c r="H1249" s="1">
        <v>12</v>
      </c>
      <c r="I1249" t="s">
        <v>183</v>
      </c>
      <c r="K1249" t="s">
        <v>2706</v>
      </c>
      <c r="L1249" s="1">
        <v>1</v>
      </c>
      <c r="M1249" s="3">
        <v>11.99</v>
      </c>
      <c r="N1249" s="3">
        <v>0.6</v>
      </c>
      <c r="O1249" s="3">
        <v>0</v>
      </c>
      <c r="P1249" s="3">
        <v>0.2</v>
      </c>
      <c r="Q1249" s="3">
        <v>12.79</v>
      </c>
      <c r="R1249" s="3">
        <v>7.95</v>
      </c>
      <c r="S1249" s="3">
        <f>VLOOKUP(C1249,[1]page!$C$2:$M$3071,11,0)</f>
        <v>11.97</v>
      </c>
      <c r="T1249" s="6">
        <f t="shared" si="19"/>
        <v>1.9999999999999574E-2</v>
      </c>
    </row>
    <row r="1250" spans="1:20" x14ac:dyDescent="0.2">
      <c r="A1250" t="s">
        <v>3987</v>
      </c>
      <c r="B1250" t="s">
        <v>3992</v>
      </c>
      <c r="C1250" t="s">
        <v>3993</v>
      </c>
      <c r="D1250" t="s">
        <v>3994</v>
      </c>
      <c r="E1250" t="s">
        <v>3991</v>
      </c>
      <c r="F1250" t="s">
        <v>23</v>
      </c>
      <c r="G1250" s="2">
        <v>13.5</v>
      </c>
      <c r="H1250" s="1">
        <v>12</v>
      </c>
      <c r="I1250" t="s">
        <v>183</v>
      </c>
      <c r="K1250" t="s">
        <v>2828</v>
      </c>
      <c r="L1250" s="1">
        <v>1</v>
      </c>
      <c r="M1250" s="3">
        <v>11.99</v>
      </c>
      <c r="N1250" s="3">
        <v>0.6</v>
      </c>
      <c r="O1250" s="3">
        <v>0</v>
      </c>
      <c r="P1250" s="3">
        <v>0.2</v>
      </c>
      <c r="Q1250" s="3">
        <v>12.79</v>
      </c>
      <c r="R1250" s="3">
        <v>7.95</v>
      </c>
      <c r="S1250" s="3">
        <f>VLOOKUP(C1250,[1]page!$C$2:$M$3071,11,0)</f>
        <v>11.97</v>
      </c>
      <c r="T1250" s="6">
        <f t="shared" si="19"/>
        <v>1.9999999999999574E-2</v>
      </c>
    </row>
    <row r="1251" spans="1:20" x14ac:dyDescent="0.2">
      <c r="A1251" t="s">
        <v>3987</v>
      </c>
      <c r="B1251" t="s">
        <v>3995</v>
      </c>
      <c r="C1251" t="s">
        <v>3996</v>
      </c>
      <c r="D1251" t="s">
        <v>3997</v>
      </c>
      <c r="E1251" t="s">
        <v>3991</v>
      </c>
      <c r="F1251" t="s">
        <v>23</v>
      </c>
      <c r="G1251" s="2">
        <v>14.5</v>
      </c>
      <c r="H1251" s="1">
        <v>12</v>
      </c>
      <c r="I1251" t="s">
        <v>183</v>
      </c>
      <c r="K1251" t="s">
        <v>2828</v>
      </c>
      <c r="L1251" s="1">
        <v>1</v>
      </c>
      <c r="M1251" s="3">
        <v>18.010000000000002</v>
      </c>
      <c r="N1251" s="3">
        <v>0.9</v>
      </c>
      <c r="O1251" s="3">
        <v>0</v>
      </c>
      <c r="P1251" s="3">
        <v>0.2</v>
      </c>
      <c r="Q1251" s="3">
        <v>19.11</v>
      </c>
      <c r="R1251" s="3">
        <v>7.95</v>
      </c>
      <c r="S1251" s="3">
        <f>VLOOKUP(C1251,[1]page!$C$2:$M$3071,11,0)</f>
        <v>17.989999999999998</v>
      </c>
      <c r="T1251" s="6">
        <f t="shared" si="19"/>
        <v>2.0000000000003126E-2</v>
      </c>
    </row>
    <row r="1252" spans="1:20" x14ac:dyDescent="0.2">
      <c r="A1252" t="s">
        <v>3987</v>
      </c>
      <c r="B1252" t="s">
        <v>3998</v>
      </c>
      <c r="C1252" t="s">
        <v>3999</v>
      </c>
      <c r="D1252" t="s">
        <v>4000</v>
      </c>
      <c r="E1252" t="s">
        <v>3991</v>
      </c>
      <c r="F1252" t="s">
        <v>23</v>
      </c>
      <c r="G1252" s="2">
        <v>14.5</v>
      </c>
      <c r="H1252" s="1">
        <v>12</v>
      </c>
      <c r="I1252" t="s">
        <v>183</v>
      </c>
      <c r="K1252" t="s">
        <v>2828</v>
      </c>
      <c r="L1252" s="1">
        <v>1</v>
      </c>
      <c r="M1252" s="3">
        <v>18.010000000000002</v>
      </c>
      <c r="N1252" s="3">
        <v>0.9</v>
      </c>
      <c r="O1252" s="3">
        <v>0</v>
      </c>
      <c r="P1252" s="3">
        <v>0.2</v>
      </c>
      <c r="Q1252" s="3">
        <v>19.11</v>
      </c>
      <c r="R1252" s="3">
        <v>7.95</v>
      </c>
      <c r="S1252" s="3">
        <f>VLOOKUP(C1252,[1]page!$C$2:$M$3071,11,0)</f>
        <v>17.989999999999998</v>
      </c>
      <c r="T1252" s="6">
        <f t="shared" si="19"/>
        <v>2.0000000000003126E-2</v>
      </c>
    </row>
    <row r="1253" spans="1:20" x14ac:dyDescent="0.2">
      <c r="A1253" t="s">
        <v>4001</v>
      </c>
      <c r="B1253" t="s">
        <v>4002</v>
      </c>
      <c r="C1253" t="s">
        <v>4003</v>
      </c>
      <c r="D1253" t="s">
        <v>4004</v>
      </c>
      <c r="E1253" t="s">
        <v>4005</v>
      </c>
      <c r="F1253" t="s">
        <v>23</v>
      </c>
      <c r="G1253" s="1">
        <v>13</v>
      </c>
      <c r="H1253" s="1">
        <v>12</v>
      </c>
      <c r="I1253" t="s">
        <v>57</v>
      </c>
      <c r="K1253" t="s">
        <v>2828</v>
      </c>
      <c r="L1253" s="1">
        <v>1</v>
      </c>
      <c r="M1253" s="3">
        <v>16.05</v>
      </c>
      <c r="N1253" s="3">
        <v>0.8</v>
      </c>
      <c r="O1253" s="3">
        <v>0</v>
      </c>
      <c r="P1253" s="3">
        <v>0.2</v>
      </c>
      <c r="Q1253" s="3">
        <v>17.05</v>
      </c>
      <c r="R1253" s="3">
        <v>7.95</v>
      </c>
      <c r="S1253" s="3">
        <f>VLOOKUP(C1253,[1]page!$C$2:$M$3071,11,0)</f>
        <v>16.03</v>
      </c>
      <c r="T1253" s="6">
        <f t="shared" si="19"/>
        <v>1.9999999999999574E-2</v>
      </c>
    </row>
    <row r="1254" spans="1:20" x14ac:dyDescent="0.2">
      <c r="A1254" t="s">
        <v>4006</v>
      </c>
      <c r="B1254" t="s">
        <v>4007</v>
      </c>
      <c r="C1254" t="s">
        <v>4008</v>
      </c>
      <c r="D1254" t="s">
        <v>4009</v>
      </c>
      <c r="E1254" t="s">
        <v>3991</v>
      </c>
      <c r="F1254" t="s">
        <v>23</v>
      </c>
      <c r="G1254" s="1">
        <v>13</v>
      </c>
      <c r="H1254" s="1">
        <v>12</v>
      </c>
      <c r="I1254" t="s">
        <v>183</v>
      </c>
      <c r="K1254" t="s">
        <v>2828</v>
      </c>
      <c r="L1254" s="1">
        <v>1</v>
      </c>
      <c r="M1254" s="3">
        <v>19.420000000000002</v>
      </c>
      <c r="N1254" s="3">
        <v>0.97</v>
      </c>
      <c r="O1254" s="3">
        <v>0</v>
      </c>
      <c r="P1254" s="3">
        <v>0.2</v>
      </c>
      <c r="Q1254" s="3">
        <v>20.59</v>
      </c>
      <c r="R1254" s="3">
        <v>7.95</v>
      </c>
      <c r="S1254" s="3">
        <f>VLOOKUP(C1254,[1]page!$C$2:$M$3071,11,0)</f>
        <v>19.420000000000002</v>
      </c>
      <c r="T1254" s="6">
        <f t="shared" si="19"/>
        <v>0</v>
      </c>
    </row>
    <row r="1255" spans="1:20" x14ac:dyDescent="0.2">
      <c r="A1255" t="s">
        <v>4010</v>
      </c>
      <c r="B1255" t="s">
        <v>4011</v>
      </c>
      <c r="C1255" t="s">
        <v>4012</v>
      </c>
      <c r="D1255" t="s">
        <v>4013</v>
      </c>
      <c r="E1255" t="s">
        <v>4014</v>
      </c>
      <c r="F1255" t="s">
        <v>23</v>
      </c>
      <c r="G1255" s="1">
        <v>13</v>
      </c>
      <c r="H1255" s="1">
        <v>12</v>
      </c>
      <c r="I1255" t="s">
        <v>600</v>
      </c>
      <c r="K1255" t="s">
        <v>2828</v>
      </c>
      <c r="L1255" s="1">
        <v>1</v>
      </c>
      <c r="M1255" s="3">
        <v>10.53</v>
      </c>
      <c r="N1255" s="3">
        <v>0.53</v>
      </c>
      <c r="O1255" s="3">
        <v>0</v>
      </c>
      <c r="P1255" s="3">
        <v>0.2</v>
      </c>
      <c r="Q1255" s="3">
        <v>11.26</v>
      </c>
      <c r="R1255" s="3">
        <v>7.95</v>
      </c>
      <c r="S1255" s="3">
        <f>VLOOKUP(C1255,[1]page!$C$2:$M$3071,11,0)</f>
        <v>10.51</v>
      </c>
      <c r="T1255" s="6">
        <f t="shared" si="19"/>
        <v>1.9999999999999574E-2</v>
      </c>
    </row>
    <row r="1256" spans="1:20" x14ac:dyDescent="0.2">
      <c r="A1256" t="s">
        <v>4010</v>
      </c>
      <c r="B1256" t="s">
        <v>4015</v>
      </c>
      <c r="C1256" t="s">
        <v>4016</v>
      </c>
      <c r="D1256" t="s">
        <v>4017</v>
      </c>
      <c r="E1256" t="s">
        <v>4014</v>
      </c>
      <c r="F1256" t="s">
        <v>23</v>
      </c>
      <c r="G1256" s="1">
        <v>13</v>
      </c>
      <c r="H1256" s="1">
        <v>12</v>
      </c>
      <c r="I1256" t="s">
        <v>600</v>
      </c>
      <c r="K1256" t="s">
        <v>2828</v>
      </c>
      <c r="L1256" s="1">
        <v>1</v>
      </c>
      <c r="M1256" s="3">
        <v>13.54</v>
      </c>
      <c r="N1256" s="3">
        <v>0.68</v>
      </c>
      <c r="O1256" s="3">
        <v>0</v>
      </c>
      <c r="P1256" s="3">
        <v>0.2</v>
      </c>
      <c r="Q1256" s="3">
        <v>14.42</v>
      </c>
      <c r="R1256" s="3">
        <v>7.95</v>
      </c>
      <c r="S1256" s="3">
        <f>VLOOKUP(C1256,[1]page!$C$2:$M$3071,11,0)</f>
        <v>13.51</v>
      </c>
      <c r="T1256" s="6">
        <f t="shared" si="19"/>
        <v>2.9999999999999361E-2</v>
      </c>
    </row>
    <row r="1257" spans="1:20" x14ac:dyDescent="0.2">
      <c r="A1257" t="s">
        <v>4018</v>
      </c>
      <c r="B1257" t="s">
        <v>4019</v>
      </c>
      <c r="C1257" t="s">
        <v>4020</v>
      </c>
      <c r="D1257" t="s">
        <v>4021</v>
      </c>
      <c r="E1257" t="s">
        <v>3953</v>
      </c>
      <c r="F1257" t="s">
        <v>23</v>
      </c>
      <c r="G1257" s="2">
        <v>13.5</v>
      </c>
      <c r="H1257" s="1">
        <v>12</v>
      </c>
      <c r="I1257" t="s">
        <v>3306</v>
      </c>
      <c r="K1257" t="s">
        <v>2828</v>
      </c>
      <c r="L1257" s="1">
        <v>1</v>
      </c>
      <c r="M1257" s="3">
        <v>12.83</v>
      </c>
      <c r="N1257" s="3">
        <v>0.64</v>
      </c>
      <c r="O1257" s="3">
        <v>0</v>
      </c>
      <c r="P1257" s="3">
        <v>0.2</v>
      </c>
      <c r="Q1257" s="3">
        <v>13.67</v>
      </c>
      <c r="R1257" s="3">
        <v>7.95</v>
      </c>
      <c r="S1257" s="3">
        <f>VLOOKUP(C1257,[1]page!$C$2:$M$3071,11,0)</f>
        <v>12.8</v>
      </c>
      <c r="T1257" s="6">
        <f t="shared" si="19"/>
        <v>2.9999999999999361E-2</v>
      </c>
    </row>
    <row r="1258" spans="1:20" x14ac:dyDescent="0.2">
      <c r="A1258" t="s">
        <v>4022</v>
      </c>
      <c r="B1258" t="s">
        <v>4023</v>
      </c>
      <c r="C1258" t="s">
        <v>4024</v>
      </c>
      <c r="D1258" t="s">
        <v>4025</v>
      </c>
      <c r="E1258" t="s">
        <v>4014</v>
      </c>
      <c r="F1258" t="s">
        <v>23</v>
      </c>
      <c r="G1258" s="1">
        <v>14</v>
      </c>
      <c r="H1258" s="1">
        <v>12</v>
      </c>
      <c r="I1258" t="s">
        <v>600</v>
      </c>
      <c r="K1258" t="s">
        <v>2828</v>
      </c>
      <c r="L1258" s="1">
        <v>1</v>
      </c>
      <c r="M1258" s="3">
        <v>13.54</v>
      </c>
      <c r="N1258" s="3">
        <v>0.68</v>
      </c>
      <c r="O1258" s="3">
        <v>0</v>
      </c>
      <c r="P1258" s="3">
        <v>0.2</v>
      </c>
      <c r="Q1258" s="3">
        <v>14.42</v>
      </c>
      <c r="R1258" s="3">
        <v>7.95</v>
      </c>
      <c r="S1258" s="3">
        <f>VLOOKUP(C1258,[1]page!$C$2:$M$3071,11,0)</f>
        <v>13.51</v>
      </c>
      <c r="T1258" s="6">
        <f t="shared" si="19"/>
        <v>2.9999999999999361E-2</v>
      </c>
    </row>
    <row r="1259" spans="1:20" x14ac:dyDescent="0.2">
      <c r="A1259" t="s">
        <v>4026</v>
      </c>
      <c r="B1259" t="s">
        <v>4027</v>
      </c>
      <c r="C1259" t="s">
        <v>4028</v>
      </c>
      <c r="D1259" t="s">
        <v>4029</v>
      </c>
      <c r="E1259" t="s">
        <v>3991</v>
      </c>
      <c r="F1259" t="s">
        <v>23</v>
      </c>
      <c r="G1259" s="2">
        <v>13.5</v>
      </c>
      <c r="H1259" s="1">
        <v>12</v>
      </c>
      <c r="I1259" t="s">
        <v>183</v>
      </c>
      <c r="K1259" t="s">
        <v>2828</v>
      </c>
      <c r="L1259" s="1">
        <v>1</v>
      </c>
      <c r="M1259" s="3">
        <v>11.99</v>
      </c>
      <c r="N1259" s="3">
        <v>0.6</v>
      </c>
      <c r="O1259" s="3">
        <v>0</v>
      </c>
      <c r="P1259" s="3">
        <v>0.2</v>
      </c>
      <c r="Q1259" s="3">
        <v>12.79</v>
      </c>
      <c r="R1259" s="3">
        <v>7.95</v>
      </c>
      <c r="S1259" s="3">
        <f>VLOOKUP(C1259,[1]page!$C$2:$M$3071,11,0)</f>
        <v>11.97</v>
      </c>
      <c r="T1259" s="6">
        <f t="shared" ref="T1259:T1322" si="20">SUM(M1259-S1259)</f>
        <v>1.9999999999999574E-2</v>
      </c>
    </row>
    <row r="1260" spans="1:20" x14ac:dyDescent="0.2">
      <c r="A1260" t="s">
        <v>4026</v>
      </c>
      <c r="B1260" t="s">
        <v>4030</v>
      </c>
      <c r="C1260" t="s">
        <v>4031</v>
      </c>
      <c r="D1260" t="s">
        <v>4032</v>
      </c>
      <c r="E1260" t="s">
        <v>4033</v>
      </c>
      <c r="F1260" t="s">
        <v>23</v>
      </c>
      <c r="G1260" s="2">
        <v>12.8</v>
      </c>
      <c r="H1260" s="1">
        <v>6</v>
      </c>
      <c r="I1260" t="s">
        <v>4034</v>
      </c>
      <c r="K1260" t="s">
        <v>2828</v>
      </c>
      <c r="L1260" s="1">
        <v>1</v>
      </c>
      <c r="M1260" s="3">
        <v>17.190000000000001</v>
      </c>
      <c r="N1260" s="3">
        <v>0.86</v>
      </c>
      <c r="O1260" s="3">
        <v>0</v>
      </c>
      <c r="P1260" s="3">
        <v>0.2</v>
      </c>
      <c r="Q1260" s="3">
        <v>18.25</v>
      </c>
      <c r="R1260" s="3">
        <v>7.95</v>
      </c>
      <c r="S1260" s="3">
        <f>VLOOKUP(C1260,[1]page!$C$2:$M$3071,11,0)</f>
        <v>17.190000000000001</v>
      </c>
      <c r="T1260" s="6">
        <f t="shared" si="20"/>
        <v>0</v>
      </c>
    </row>
    <row r="1261" spans="1:20" x14ac:dyDescent="0.2">
      <c r="A1261" t="s">
        <v>4026</v>
      </c>
      <c r="B1261" t="s">
        <v>4035</v>
      </c>
      <c r="C1261" t="s">
        <v>4036</v>
      </c>
      <c r="D1261" t="s">
        <v>4037</v>
      </c>
      <c r="E1261" t="s">
        <v>4038</v>
      </c>
      <c r="F1261" t="s">
        <v>23</v>
      </c>
      <c r="G1261" s="2">
        <v>12.5</v>
      </c>
      <c r="H1261" s="1">
        <v>12</v>
      </c>
      <c r="I1261" t="s">
        <v>3306</v>
      </c>
      <c r="K1261" t="s">
        <v>2828</v>
      </c>
      <c r="L1261" s="1">
        <v>1</v>
      </c>
      <c r="M1261" s="3">
        <v>11.45</v>
      </c>
      <c r="N1261" s="3">
        <v>0.56999999999999995</v>
      </c>
      <c r="O1261" s="3">
        <v>0</v>
      </c>
      <c r="P1261" s="3">
        <v>0.2</v>
      </c>
      <c r="Q1261" s="3">
        <v>12.22</v>
      </c>
      <c r="R1261" s="3">
        <v>7.95</v>
      </c>
      <c r="S1261" s="3">
        <f>VLOOKUP(C1261,[1]page!$C$2:$M$3071,11,0)</f>
        <v>11.43</v>
      </c>
      <c r="T1261" s="6">
        <f t="shared" si="20"/>
        <v>1.9999999999999574E-2</v>
      </c>
    </row>
    <row r="1262" spans="1:20" x14ac:dyDescent="0.2">
      <c r="A1262" t="s">
        <v>4039</v>
      </c>
      <c r="B1262" t="s">
        <v>4040</v>
      </c>
      <c r="C1262" t="s">
        <v>4041</v>
      </c>
      <c r="D1262" t="s">
        <v>4042</v>
      </c>
      <c r="E1262" t="s">
        <v>3941</v>
      </c>
      <c r="F1262" t="s">
        <v>23</v>
      </c>
      <c r="G1262" s="1">
        <v>12</v>
      </c>
      <c r="H1262" s="1">
        <v>12</v>
      </c>
      <c r="I1262" t="s">
        <v>3451</v>
      </c>
      <c r="K1262" t="s">
        <v>2828</v>
      </c>
      <c r="L1262" s="1">
        <v>1</v>
      </c>
      <c r="M1262" s="3">
        <v>12.79</v>
      </c>
      <c r="N1262" s="3">
        <v>0.64</v>
      </c>
      <c r="O1262" s="3">
        <v>0</v>
      </c>
      <c r="P1262" s="3">
        <v>0.2</v>
      </c>
      <c r="Q1262" s="3">
        <v>13.63</v>
      </c>
      <c r="R1262" s="3">
        <v>7.95</v>
      </c>
      <c r="S1262" s="3">
        <f>VLOOKUP(C1262,[1]page!$C$2:$M$3071,11,0)</f>
        <v>12.77</v>
      </c>
      <c r="T1262" s="6">
        <f t="shared" si="20"/>
        <v>1.9999999999999574E-2</v>
      </c>
    </row>
    <row r="1263" spans="1:20" x14ac:dyDescent="0.2">
      <c r="A1263" t="s">
        <v>4039</v>
      </c>
      <c r="B1263" t="s">
        <v>4043</v>
      </c>
      <c r="C1263" t="s">
        <v>4044</v>
      </c>
      <c r="D1263" t="s">
        <v>4045</v>
      </c>
      <c r="E1263" t="s">
        <v>4005</v>
      </c>
      <c r="F1263" t="s">
        <v>23</v>
      </c>
      <c r="G1263" s="2">
        <v>13.5</v>
      </c>
      <c r="H1263" s="1">
        <v>12</v>
      </c>
      <c r="I1263" t="s">
        <v>183</v>
      </c>
      <c r="K1263" t="s">
        <v>2828</v>
      </c>
      <c r="L1263" s="1">
        <v>1</v>
      </c>
      <c r="M1263" s="3">
        <v>8.59</v>
      </c>
      <c r="N1263" s="3">
        <v>0.43</v>
      </c>
      <c r="O1263" s="3">
        <v>0</v>
      </c>
      <c r="P1263" s="3">
        <v>0.2</v>
      </c>
      <c r="Q1263" s="3">
        <v>9.2200000000000006</v>
      </c>
      <c r="R1263" s="3">
        <v>7.95</v>
      </c>
      <c r="S1263" s="3">
        <f>VLOOKUP(C1263,[1]page!$C$2:$M$3071,11,0)</f>
        <v>8.57</v>
      </c>
      <c r="T1263" s="6">
        <f t="shared" si="20"/>
        <v>1.9999999999999574E-2</v>
      </c>
    </row>
    <row r="1264" spans="1:20" x14ac:dyDescent="0.2">
      <c r="A1264" t="s">
        <v>4039</v>
      </c>
      <c r="B1264" t="s">
        <v>4046</v>
      </c>
      <c r="C1264" t="s">
        <v>4047</v>
      </c>
      <c r="D1264" t="s">
        <v>4045</v>
      </c>
      <c r="E1264" t="s">
        <v>4005</v>
      </c>
      <c r="F1264" t="s">
        <v>87</v>
      </c>
      <c r="G1264" s="2">
        <v>13.5</v>
      </c>
      <c r="H1264" s="1">
        <v>4</v>
      </c>
      <c r="I1264" t="s">
        <v>183</v>
      </c>
      <c r="K1264" t="s">
        <v>2828</v>
      </c>
      <c r="L1264" s="1">
        <v>1</v>
      </c>
      <c r="M1264" s="3">
        <v>29.06</v>
      </c>
      <c r="N1264" s="3">
        <v>1.45</v>
      </c>
      <c r="O1264" s="3">
        <v>0</v>
      </c>
      <c r="P1264" s="3">
        <v>0</v>
      </c>
      <c r="Q1264" s="3">
        <v>30.51</v>
      </c>
      <c r="R1264" s="3">
        <v>26.4</v>
      </c>
      <c r="S1264" s="3">
        <f>VLOOKUP(C1264,[1]page!$C$2:$M$3071,11,0)</f>
        <v>28.97</v>
      </c>
      <c r="T1264" s="6">
        <f t="shared" si="20"/>
        <v>8.9999999999999858E-2</v>
      </c>
    </row>
    <row r="1265" spans="1:20" x14ac:dyDescent="0.2">
      <c r="A1265" t="s">
        <v>4039</v>
      </c>
      <c r="B1265" t="s">
        <v>4048</v>
      </c>
      <c r="C1265" t="s">
        <v>4049</v>
      </c>
      <c r="D1265" t="s">
        <v>4050</v>
      </c>
      <c r="E1265" t="s">
        <v>3949</v>
      </c>
      <c r="F1265" t="s">
        <v>87</v>
      </c>
      <c r="G1265" s="1">
        <v>13</v>
      </c>
      <c r="H1265" s="1">
        <v>4</v>
      </c>
      <c r="I1265" t="s">
        <v>70</v>
      </c>
      <c r="K1265" t="s">
        <v>2828</v>
      </c>
      <c r="L1265" s="1">
        <v>1</v>
      </c>
      <c r="M1265" s="3">
        <v>29.9</v>
      </c>
      <c r="N1265" s="3">
        <v>1.5</v>
      </c>
      <c r="O1265" s="3">
        <v>0</v>
      </c>
      <c r="P1265" s="3">
        <v>0</v>
      </c>
      <c r="Q1265" s="3">
        <v>31.4</v>
      </c>
      <c r="R1265" s="3">
        <v>26.4</v>
      </c>
      <c r="S1265" s="3">
        <f>VLOOKUP(C1265,[1]page!$C$2:$M$3071,11,0)</f>
        <v>28.99</v>
      </c>
      <c r="T1265" s="6">
        <f t="shared" si="20"/>
        <v>0.91000000000000014</v>
      </c>
    </row>
    <row r="1266" spans="1:20" x14ac:dyDescent="0.2">
      <c r="A1266" t="s">
        <v>4051</v>
      </c>
      <c r="B1266" t="s">
        <v>4052</v>
      </c>
      <c r="C1266" t="s">
        <v>4053</v>
      </c>
      <c r="D1266" t="s">
        <v>4054</v>
      </c>
      <c r="E1266" t="s">
        <v>4014</v>
      </c>
      <c r="F1266" t="s">
        <v>23</v>
      </c>
      <c r="G1266" s="1">
        <v>13</v>
      </c>
      <c r="H1266" s="1">
        <v>12</v>
      </c>
      <c r="I1266" t="s">
        <v>600</v>
      </c>
      <c r="K1266" t="s">
        <v>2828</v>
      </c>
      <c r="L1266" s="1">
        <v>1</v>
      </c>
      <c r="M1266" s="3">
        <v>13.54</v>
      </c>
      <c r="N1266" s="3">
        <v>0.68</v>
      </c>
      <c r="O1266" s="3">
        <v>0</v>
      </c>
      <c r="P1266" s="3">
        <v>0.2</v>
      </c>
      <c r="Q1266" s="3">
        <v>14.42</v>
      </c>
      <c r="R1266" s="3">
        <v>7.95</v>
      </c>
      <c r="S1266" s="3">
        <f>VLOOKUP(C1266,[1]page!$C$2:$M$3071,11,0)</f>
        <v>13.51</v>
      </c>
      <c r="T1266" s="6">
        <f t="shared" si="20"/>
        <v>2.9999999999999361E-2</v>
      </c>
    </row>
    <row r="1267" spans="1:20" x14ac:dyDescent="0.2">
      <c r="A1267" t="s">
        <v>4051</v>
      </c>
      <c r="B1267" t="s">
        <v>4055</v>
      </c>
      <c r="C1267" t="s">
        <v>4056</v>
      </c>
      <c r="D1267" t="s">
        <v>4057</v>
      </c>
      <c r="E1267" t="s">
        <v>4014</v>
      </c>
      <c r="F1267" t="s">
        <v>23</v>
      </c>
      <c r="G1267" s="2">
        <v>12.5</v>
      </c>
      <c r="H1267" s="1">
        <v>12</v>
      </c>
      <c r="I1267" t="s">
        <v>600</v>
      </c>
      <c r="K1267" t="s">
        <v>2687</v>
      </c>
      <c r="L1267" s="1">
        <v>1</v>
      </c>
      <c r="M1267" s="3">
        <v>13.54</v>
      </c>
      <c r="N1267" s="3">
        <v>0.68</v>
      </c>
      <c r="O1267" s="3">
        <v>0</v>
      </c>
      <c r="P1267" s="3">
        <v>0.2</v>
      </c>
      <c r="Q1267" s="3">
        <v>14.42</v>
      </c>
      <c r="R1267" s="3">
        <v>7.95</v>
      </c>
      <c r="S1267" s="3">
        <f>VLOOKUP(C1267,[1]page!$C$2:$M$3071,11,0)</f>
        <v>13.51</v>
      </c>
      <c r="T1267" s="6">
        <f t="shared" si="20"/>
        <v>2.9999999999999361E-2</v>
      </c>
    </row>
    <row r="1268" spans="1:20" x14ac:dyDescent="0.2">
      <c r="A1268" t="s">
        <v>4051</v>
      </c>
      <c r="B1268" t="s">
        <v>4058</v>
      </c>
      <c r="C1268" t="s">
        <v>4059</v>
      </c>
      <c r="D1268" t="s">
        <v>4060</v>
      </c>
      <c r="E1268" t="s">
        <v>4005</v>
      </c>
      <c r="F1268" t="s">
        <v>23</v>
      </c>
      <c r="G1268" s="2">
        <v>13.5</v>
      </c>
      <c r="H1268" s="1">
        <v>12</v>
      </c>
      <c r="I1268" t="s">
        <v>183</v>
      </c>
      <c r="K1268" t="s">
        <v>2828</v>
      </c>
      <c r="L1268" s="1">
        <v>1</v>
      </c>
      <c r="M1268" s="3">
        <v>8.59</v>
      </c>
      <c r="N1268" s="3">
        <v>0.43</v>
      </c>
      <c r="O1268" s="3">
        <v>0</v>
      </c>
      <c r="P1268" s="3">
        <v>0.2</v>
      </c>
      <c r="Q1268" s="3">
        <v>9.2200000000000006</v>
      </c>
      <c r="R1268" s="3">
        <v>7.95</v>
      </c>
      <c r="S1268" s="3">
        <f>VLOOKUP(C1268,[1]page!$C$2:$M$3071,11,0)</f>
        <v>8.57</v>
      </c>
      <c r="T1268" s="6">
        <f t="shared" si="20"/>
        <v>1.9999999999999574E-2</v>
      </c>
    </row>
    <row r="1269" spans="1:20" x14ac:dyDescent="0.2">
      <c r="A1269" t="s">
        <v>4051</v>
      </c>
      <c r="B1269" t="s">
        <v>4061</v>
      </c>
      <c r="C1269" t="s">
        <v>4062</v>
      </c>
      <c r="D1269" t="s">
        <v>4063</v>
      </c>
      <c r="E1269" t="s">
        <v>3949</v>
      </c>
      <c r="F1269" t="s">
        <v>87</v>
      </c>
      <c r="G1269" s="2">
        <v>12.5</v>
      </c>
      <c r="H1269" s="1">
        <v>4</v>
      </c>
      <c r="I1269" t="s">
        <v>70</v>
      </c>
      <c r="K1269" t="s">
        <v>2828</v>
      </c>
      <c r="L1269" s="1">
        <v>1</v>
      </c>
      <c r="M1269" s="3">
        <v>29.9</v>
      </c>
      <c r="N1269" s="3">
        <v>1.5</v>
      </c>
      <c r="O1269" s="3">
        <v>0</v>
      </c>
      <c r="P1269" s="3">
        <v>0</v>
      </c>
      <c r="Q1269" s="3">
        <v>31.4</v>
      </c>
      <c r="R1269" s="3">
        <v>26.4</v>
      </c>
      <c r="S1269" s="3">
        <f>VLOOKUP(C1269,[1]page!$C$2:$M$3071,11,0)</f>
        <v>28.99</v>
      </c>
      <c r="T1269" s="6">
        <f t="shared" si="20"/>
        <v>0.91000000000000014</v>
      </c>
    </row>
    <row r="1270" spans="1:20" x14ac:dyDescent="0.2">
      <c r="A1270" t="s">
        <v>4064</v>
      </c>
      <c r="B1270" t="s">
        <v>4065</v>
      </c>
      <c r="C1270" t="s">
        <v>4066</v>
      </c>
      <c r="D1270" t="s">
        <v>4067</v>
      </c>
      <c r="E1270" t="s">
        <v>4014</v>
      </c>
      <c r="F1270" t="s">
        <v>23</v>
      </c>
      <c r="G1270" s="2">
        <v>13.5</v>
      </c>
      <c r="H1270" s="1">
        <v>12</v>
      </c>
      <c r="I1270" t="s">
        <v>600</v>
      </c>
      <c r="K1270" t="s">
        <v>2828</v>
      </c>
      <c r="L1270" s="1">
        <v>1</v>
      </c>
      <c r="M1270" s="3">
        <v>13.54</v>
      </c>
      <c r="N1270" s="3">
        <v>0.68</v>
      </c>
      <c r="O1270" s="3">
        <v>0</v>
      </c>
      <c r="P1270" s="3">
        <v>0.2</v>
      </c>
      <c r="Q1270" s="3">
        <v>14.42</v>
      </c>
      <c r="R1270" s="3">
        <v>7.95</v>
      </c>
      <c r="S1270" s="3">
        <f>VLOOKUP(C1270,[1]page!$C$2:$M$3071,11,0)</f>
        <v>13.51</v>
      </c>
      <c r="T1270" s="6">
        <f t="shared" si="20"/>
        <v>2.9999999999999361E-2</v>
      </c>
    </row>
    <row r="1271" spans="1:20" x14ac:dyDescent="0.2">
      <c r="A1271" t="s">
        <v>4064</v>
      </c>
      <c r="B1271" t="s">
        <v>4068</v>
      </c>
      <c r="C1271" t="s">
        <v>4069</v>
      </c>
      <c r="D1271" t="s">
        <v>4070</v>
      </c>
      <c r="E1271" t="s">
        <v>3949</v>
      </c>
      <c r="F1271" t="s">
        <v>23</v>
      </c>
      <c r="G1271" s="2">
        <v>13.5</v>
      </c>
      <c r="H1271" s="1">
        <v>12</v>
      </c>
      <c r="I1271" t="s">
        <v>70</v>
      </c>
      <c r="K1271" t="s">
        <v>2828</v>
      </c>
      <c r="L1271" s="1">
        <v>1</v>
      </c>
      <c r="M1271" s="3">
        <v>12.99</v>
      </c>
      <c r="N1271" s="3">
        <v>0.65</v>
      </c>
      <c r="O1271" s="3">
        <v>0</v>
      </c>
      <c r="P1271" s="3">
        <v>0.2</v>
      </c>
      <c r="Q1271" s="3">
        <v>13.84</v>
      </c>
      <c r="R1271" s="3">
        <v>7.95</v>
      </c>
      <c r="S1271" s="3">
        <f>VLOOKUP(C1271,[1]page!$C$2:$M$3071,11,0)</f>
        <v>12.99</v>
      </c>
      <c r="T1271" s="6">
        <f t="shared" si="20"/>
        <v>0</v>
      </c>
    </row>
    <row r="1272" spans="1:20" x14ac:dyDescent="0.2">
      <c r="A1272" t="s">
        <v>4064</v>
      </c>
      <c r="B1272" t="s">
        <v>4071</v>
      </c>
      <c r="C1272" t="s">
        <v>4072</v>
      </c>
      <c r="D1272" t="s">
        <v>4073</v>
      </c>
      <c r="E1272" t="s">
        <v>3981</v>
      </c>
      <c r="F1272" t="s">
        <v>23</v>
      </c>
      <c r="G1272" s="2">
        <v>13.5</v>
      </c>
      <c r="H1272" s="1">
        <v>12</v>
      </c>
      <c r="I1272" t="s">
        <v>397</v>
      </c>
      <c r="K1272" t="s">
        <v>2828</v>
      </c>
      <c r="L1272" s="1">
        <v>1</v>
      </c>
      <c r="M1272" s="3">
        <v>12.02</v>
      </c>
      <c r="N1272" s="3">
        <v>0.6</v>
      </c>
      <c r="O1272" s="3">
        <v>0</v>
      </c>
      <c r="P1272" s="3">
        <v>0.2</v>
      </c>
      <c r="Q1272" s="3">
        <v>12.82</v>
      </c>
      <c r="R1272" s="3">
        <v>7.95</v>
      </c>
      <c r="S1272" s="3">
        <f>VLOOKUP(C1272,[1]page!$C$2:$M$3071,11,0)</f>
        <v>11.99</v>
      </c>
      <c r="T1272" s="6">
        <f t="shared" si="20"/>
        <v>2.9999999999999361E-2</v>
      </c>
    </row>
    <row r="1273" spans="1:20" x14ac:dyDescent="0.2">
      <c r="A1273" t="s">
        <v>4074</v>
      </c>
      <c r="B1273" t="s">
        <v>4075</v>
      </c>
      <c r="C1273" t="s">
        <v>4076</v>
      </c>
      <c r="D1273" t="s">
        <v>4077</v>
      </c>
      <c r="E1273" t="s">
        <v>4014</v>
      </c>
      <c r="F1273" t="s">
        <v>23</v>
      </c>
      <c r="G1273" s="2">
        <v>13.5</v>
      </c>
      <c r="H1273" s="1">
        <v>12</v>
      </c>
      <c r="I1273" t="s">
        <v>600</v>
      </c>
      <c r="K1273" t="s">
        <v>2828</v>
      </c>
      <c r="L1273" s="1">
        <v>1</v>
      </c>
      <c r="M1273" s="3">
        <v>10.53</v>
      </c>
      <c r="N1273" s="3">
        <v>0.53</v>
      </c>
      <c r="O1273" s="3">
        <v>0</v>
      </c>
      <c r="P1273" s="3">
        <v>0.2</v>
      </c>
      <c r="Q1273" s="3">
        <v>11.26</v>
      </c>
      <c r="R1273" s="3">
        <v>7.95</v>
      </c>
      <c r="S1273" s="3">
        <f>VLOOKUP(C1273,[1]page!$C$2:$M$3071,11,0)</f>
        <v>10.51</v>
      </c>
      <c r="T1273" s="6">
        <f t="shared" si="20"/>
        <v>1.9999999999999574E-2</v>
      </c>
    </row>
    <row r="1274" spans="1:20" x14ac:dyDescent="0.2">
      <c r="A1274" t="s">
        <v>4078</v>
      </c>
      <c r="B1274" t="s">
        <v>4079</v>
      </c>
      <c r="C1274" t="s">
        <v>4080</v>
      </c>
      <c r="D1274" t="s">
        <v>4081</v>
      </c>
      <c r="E1274" t="s">
        <v>4005</v>
      </c>
      <c r="F1274" t="s">
        <v>23</v>
      </c>
      <c r="G1274" s="1">
        <v>14</v>
      </c>
      <c r="H1274" s="1">
        <v>12</v>
      </c>
      <c r="I1274" t="s">
        <v>183</v>
      </c>
      <c r="K1274" t="s">
        <v>2828</v>
      </c>
      <c r="L1274" s="1">
        <v>1</v>
      </c>
      <c r="M1274" s="3">
        <v>18.09</v>
      </c>
      <c r="N1274" s="3">
        <v>0.9</v>
      </c>
      <c r="O1274" s="3">
        <v>0</v>
      </c>
      <c r="P1274" s="3">
        <v>0.2</v>
      </c>
      <c r="Q1274" s="3">
        <v>19.190000000000001</v>
      </c>
      <c r="R1274" s="3">
        <v>7.95</v>
      </c>
      <c r="S1274" s="3">
        <f>VLOOKUP(C1274,[1]page!$C$2:$M$3071,11,0)</f>
        <v>18.13</v>
      </c>
      <c r="T1274" s="6">
        <f t="shared" si="20"/>
        <v>-3.9999999999999147E-2</v>
      </c>
    </row>
    <row r="1275" spans="1:20" x14ac:dyDescent="0.2">
      <c r="A1275" t="s">
        <v>4078</v>
      </c>
      <c r="B1275" t="s">
        <v>4082</v>
      </c>
      <c r="C1275" t="s">
        <v>4083</v>
      </c>
      <c r="D1275" t="s">
        <v>4084</v>
      </c>
      <c r="E1275" t="s">
        <v>3991</v>
      </c>
      <c r="F1275" t="s">
        <v>23</v>
      </c>
      <c r="G1275" s="2">
        <v>14.5</v>
      </c>
      <c r="H1275" s="1">
        <v>12</v>
      </c>
      <c r="I1275" t="s">
        <v>183</v>
      </c>
      <c r="K1275" t="s">
        <v>2687</v>
      </c>
      <c r="L1275" s="1">
        <v>1</v>
      </c>
      <c r="M1275" s="3">
        <v>11.99</v>
      </c>
      <c r="N1275" s="3">
        <v>0.6</v>
      </c>
      <c r="O1275" s="3">
        <v>0</v>
      </c>
      <c r="P1275" s="3">
        <v>0.2</v>
      </c>
      <c r="Q1275" s="3">
        <v>12.79</v>
      </c>
      <c r="R1275" s="3">
        <v>7.95</v>
      </c>
      <c r="S1275" s="3">
        <f>VLOOKUP(C1275,[1]page!$C$2:$M$3071,11,0)</f>
        <v>11.97</v>
      </c>
      <c r="T1275" s="6">
        <f t="shared" si="20"/>
        <v>1.9999999999999574E-2</v>
      </c>
    </row>
    <row r="1276" spans="1:20" x14ac:dyDescent="0.2">
      <c r="A1276" t="s">
        <v>4078</v>
      </c>
      <c r="B1276" t="s">
        <v>4085</v>
      </c>
      <c r="C1276" t="s">
        <v>4086</v>
      </c>
      <c r="D1276" t="s">
        <v>4087</v>
      </c>
      <c r="E1276" t="s">
        <v>3941</v>
      </c>
      <c r="F1276" t="s">
        <v>23</v>
      </c>
      <c r="G1276" s="2">
        <v>12.5</v>
      </c>
      <c r="H1276" s="1">
        <v>12</v>
      </c>
      <c r="I1276" t="s">
        <v>3451</v>
      </c>
      <c r="K1276" t="s">
        <v>2828</v>
      </c>
      <c r="L1276" s="1">
        <v>1</v>
      </c>
      <c r="M1276" s="3">
        <v>9.01</v>
      </c>
      <c r="N1276" s="3">
        <v>0.45</v>
      </c>
      <c r="O1276" s="3">
        <v>0</v>
      </c>
      <c r="P1276" s="3">
        <v>0.2</v>
      </c>
      <c r="Q1276" s="3">
        <v>9.66</v>
      </c>
      <c r="R1276" s="3">
        <v>7.95</v>
      </c>
      <c r="S1276" s="3">
        <f>VLOOKUP(C1276,[1]page!$C$2:$M$3071,11,0)</f>
        <v>8.99</v>
      </c>
      <c r="T1276" s="6">
        <f t="shared" si="20"/>
        <v>1.9999999999999574E-2</v>
      </c>
    </row>
    <row r="1277" spans="1:20" x14ac:dyDescent="0.2">
      <c r="A1277" t="s">
        <v>4078</v>
      </c>
      <c r="B1277" t="s">
        <v>4088</v>
      </c>
      <c r="C1277" t="s">
        <v>4089</v>
      </c>
      <c r="D1277" t="s">
        <v>4087</v>
      </c>
      <c r="E1277" t="s">
        <v>3941</v>
      </c>
      <c r="F1277" t="s">
        <v>2737</v>
      </c>
      <c r="G1277" s="1">
        <v>12</v>
      </c>
      <c r="H1277" s="1">
        <v>6</v>
      </c>
      <c r="I1277" t="s">
        <v>2700</v>
      </c>
      <c r="K1277" t="s">
        <v>2828</v>
      </c>
      <c r="L1277" s="1">
        <v>1</v>
      </c>
      <c r="M1277" s="3">
        <v>16.14</v>
      </c>
      <c r="N1277" s="3">
        <v>0.81</v>
      </c>
      <c r="O1277" s="3">
        <v>0</v>
      </c>
      <c r="P1277" s="3">
        <v>0.4</v>
      </c>
      <c r="Q1277" s="3">
        <v>17.350000000000001</v>
      </c>
      <c r="R1277" s="3">
        <v>14.45</v>
      </c>
      <c r="S1277" s="3">
        <f>VLOOKUP(C1277,[1]page!$C$2:$M$3071,11,0)</f>
        <v>16.100000000000001</v>
      </c>
      <c r="T1277" s="6">
        <f t="shared" si="20"/>
        <v>3.9999999999999147E-2</v>
      </c>
    </row>
    <row r="1278" spans="1:20" x14ac:dyDescent="0.2">
      <c r="A1278" t="s">
        <v>4078</v>
      </c>
      <c r="B1278" t="s">
        <v>4090</v>
      </c>
      <c r="C1278" t="s">
        <v>4091</v>
      </c>
      <c r="D1278" t="s">
        <v>4087</v>
      </c>
      <c r="E1278" t="s">
        <v>3941</v>
      </c>
      <c r="F1278" t="s">
        <v>87</v>
      </c>
      <c r="G1278" s="2">
        <v>12.5</v>
      </c>
      <c r="H1278" s="1">
        <v>4</v>
      </c>
      <c r="I1278" t="s">
        <v>2700</v>
      </c>
      <c r="K1278" t="s">
        <v>2828</v>
      </c>
      <c r="L1278" s="1">
        <v>1</v>
      </c>
      <c r="M1278" s="3">
        <v>30.19</v>
      </c>
      <c r="N1278" s="3">
        <v>1.51</v>
      </c>
      <c r="O1278" s="3">
        <v>0</v>
      </c>
      <c r="P1278" s="3">
        <v>0</v>
      </c>
      <c r="Q1278" s="3">
        <v>31.7</v>
      </c>
      <c r="R1278" s="3">
        <v>26.4</v>
      </c>
      <c r="S1278" s="3">
        <f>VLOOKUP(C1278,[1]page!$C$2:$M$3071,11,0)</f>
        <v>30.1</v>
      </c>
      <c r="T1278" s="6">
        <f t="shared" si="20"/>
        <v>8.9999999999999858E-2</v>
      </c>
    </row>
    <row r="1279" spans="1:20" x14ac:dyDescent="0.2">
      <c r="A1279" t="s">
        <v>4078</v>
      </c>
      <c r="B1279" t="s">
        <v>4092</v>
      </c>
      <c r="C1279" t="s">
        <v>4093</v>
      </c>
      <c r="D1279" t="s">
        <v>4094</v>
      </c>
      <c r="E1279" t="s">
        <v>4095</v>
      </c>
      <c r="F1279" t="s">
        <v>23</v>
      </c>
      <c r="G1279" s="2">
        <v>13.5</v>
      </c>
      <c r="H1279" s="1">
        <v>12</v>
      </c>
      <c r="I1279" t="s">
        <v>70</v>
      </c>
      <c r="K1279" t="s">
        <v>2828</v>
      </c>
      <c r="L1279" s="1">
        <v>1</v>
      </c>
      <c r="M1279" s="3">
        <v>15.92</v>
      </c>
      <c r="N1279" s="3">
        <v>0.8</v>
      </c>
      <c r="O1279" s="3">
        <v>0</v>
      </c>
      <c r="P1279" s="3">
        <v>0.2</v>
      </c>
      <c r="Q1279" s="3">
        <v>16.920000000000002</v>
      </c>
      <c r="R1279" s="3">
        <v>7.95</v>
      </c>
      <c r="S1279" s="3">
        <f>VLOOKUP(C1279,[1]page!$C$2:$M$3071,11,0)</f>
        <v>15.9</v>
      </c>
      <c r="T1279" s="6">
        <f t="shared" si="20"/>
        <v>1.9999999999999574E-2</v>
      </c>
    </row>
    <row r="1280" spans="1:20" x14ac:dyDescent="0.2">
      <c r="A1280" t="s">
        <v>4096</v>
      </c>
      <c r="B1280" t="s">
        <v>4097</v>
      </c>
      <c r="C1280" t="s">
        <v>4098</v>
      </c>
      <c r="D1280" t="s">
        <v>4099</v>
      </c>
      <c r="E1280" t="s">
        <v>3941</v>
      </c>
      <c r="F1280" t="s">
        <v>23</v>
      </c>
      <c r="G1280" s="1">
        <v>13</v>
      </c>
      <c r="H1280" s="1">
        <v>12</v>
      </c>
      <c r="I1280" t="s">
        <v>2700</v>
      </c>
      <c r="K1280" t="s">
        <v>2828</v>
      </c>
      <c r="L1280" s="1">
        <v>1</v>
      </c>
      <c r="M1280" s="3">
        <v>12.79</v>
      </c>
      <c r="N1280" s="3">
        <v>0.64</v>
      </c>
      <c r="O1280" s="3">
        <v>0</v>
      </c>
      <c r="P1280" s="3">
        <v>0.2</v>
      </c>
      <c r="Q1280" s="3">
        <v>13.63</v>
      </c>
      <c r="R1280" s="3">
        <v>7.95</v>
      </c>
      <c r="S1280" s="3">
        <f>VLOOKUP(C1280,[1]page!$C$2:$M$3071,11,0)</f>
        <v>12.77</v>
      </c>
      <c r="T1280" s="6">
        <f t="shared" si="20"/>
        <v>1.9999999999999574E-2</v>
      </c>
    </row>
    <row r="1281" spans="1:20" x14ac:dyDescent="0.2">
      <c r="A1281" t="s">
        <v>4096</v>
      </c>
      <c r="B1281" t="s">
        <v>4100</v>
      </c>
      <c r="C1281" t="s">
        <v>4101</v>
      </c>
      <c r="D1281" t="s">
        <v>4102</v>
      </c>
      <c r="E1281" t="s">
        <v>3941</v>
      </c>
      <c r="F1281" t="s">
        <v>23</v>
      </c>
      <c r="G1281" s="2">
        <v>12.5</v>
      </c>
      <c r="H1281" s="1">
        <v>12</v>
      </c>
      <c r="I1281" t="s">
        <v>3451</v>
      </c>
      <c r="K1281" t="s">
        <v>2828</v>
      </c>
      <c r="L1281" s="1">
        <v>1</v>
      </c>
      <c r="M1281" s="3">
        <v>9.01</v>
      </c>
      <c r="N1281" s="3">
        <v>0.45</v>
      </c>
      <c r="O1281" s="3">
        <v>0</v>
      </c>
      <c r="P1281" s="3">
        <v>0.2</v>
      </c>
      <c r="Q1281" s="3">
        <v>9.66</v>
      </c>
      <c r="R1281" s="3">
        <v>7.95</v>
      </c>
      <c r="S1281" s="3">
        <f>VLOOKUP(C1281,[1]page!$C$2:$M$3071,11,0)</f>
        <v>8.99</v>
      </c>
      <c r="T1281" s="6">
        <f t="shared" si="20"/>
        <v>1.9999999999999574E-2</v>
      </c>
    </row>
    <row r="1282" spans="1:20" x14ac:dyDescent="0.2">
      <c r="A1282" t="s">
        <v>4096</v>
      </c>
      <c r="B1282" t="s">
        <v>4103</v>
      </c>
      <c r="C1282" t="s">
        <v>4104</v>
      </c>
      <c r="D1282" t="s">
        <v>4102</v>
      </c>
      <c r="E1282" t="s">
        <v>3941</v>
      </c>
      <c r="F1282" t="s">
        <v>87</v>
      </c>
      <c r="G1282" s="1">
        <v>13</v>
      </c>
      <c r="H1282" s="1">
        <v>4</v>
      </c>
      <c r="I1282" t="s">
        <v>3451</v>
      </c>
      <c r="K1282" t="s">
        <v>2828</v>
      </c>
      <c r="L1282" s="1">
        <v>1</v>
      </c>
      <c r="M1282" s="3">
        <v>30.19</v>
      </c>
      <c r="N1282" s="3">
        <v>1.51</v>
      </c>
      <c r="O1282" s="3">
        <v>0</v>
      </c>
      <c r="P1282" s="3">
        <v>0</v>
      </c>
      <c r="Q1282" s="3">
        <v>31.7</v>
      </c>
      <c r="R1282" s="3">
        <v>26.4</v>
      </c>
      <c r="S1282" s="3">
        <f>VLOOKUP(C1282,[1]page!$C$2:$M$3071,11,0)</f>
        <v>30.1</v>
      </c>
      <c r="T1282" s="6">
        <f t="shared" si="20"/>
        <v>8.9999999999999858E-2</v>
      </c>
    </row>
    <row r="1283" spans="1:20" x14ac:dyDescent="0.2">
      <c r="A1283" t="s">
        <v>4105</v>
      </c>
      <c r="B1283" t="s">
        <v>4106</v>
      </c>
      <c r="C1283" t="s">
        <v>4107</v>
      </c>
      <c r="D1283" t="s">
        <v>4108</v>
      </c>
      <c r="E1283" t="s">
        <v>4005</v>
      </c>
      <c r="F1283" t="s">
        <v>23</v>
      </c>
      <c r="G1283" s="2">
        <v>13.5</v>
      </c>
      <c r="H1283" s="1">
        <v>12</v>
      </c>
      <c r="I1283" t="s">
        <v>57</v>
      </c>
      <c r="K1283" t="s">
        <v>2687</v>
      </c>
      <c r="L1283" s="1">
        <v>1</v>
      </c>
      <c r="M1283" s="3">
        <v>16.05</v>
      </c>
      <c r="N1283" s="3">
        <v>0.8</v>
      </c>
      <c r="O1283" s="3">
        <v>0</v>
      </c>
      <c r="P1283" s="3">
        <v>0.2</v>
      </c>
      <c r="Q1283" s="3">
        <v>17.05</v>
      </c>
      <c r="R1283" s="3">
        <v>7.95</v>
      </c>
      <c r="S1283" s="3">
        <f>VLOOKUP(C1283,[1]page!$C$2:$M$3071,11,0)</f>
        <v>16.03</v>
      </c>
      <c r="T1283" s="6">
        <f t="shared" si="20"/>
        <v>1.9999999999999574E-2</v>
      </c>
    </row>
    <row r="1284" spans="1:20" x14ac:dyDescent="0.2">
      <c r="A1284" t="s">
        <v>4109</v>
      </c>
      <c r="B1284" t="s">
        <v>4110</v>
      </c>
      <c r="C1284" t="s">
        <v>4111</v>
      </c>
      <c r="D1284" t="s">
        <v>4112</v>
      </c>
      <c r="E1284" t="s">
        <v>3941</v>
      </c>
      <c r="F1284" t="s">
        <v>23</v>
      </c>
      <c r="G1284" s="2">
        <v>13.5</v>
      </c>
      <c r="H1284" s="1">
        <v>12</v>
      </c>
      <c r="I1284" t="s">
        <v>2700</v>
      </c>
      <c r="K1284" t="s">
        <v>2828</v>
      </c>
      <c r="L1284" s="1">
        <v>1</v>
      </c>
      <c r="M1284" s="3">
        <v>12.79</v>
      </c>
      <c r="N1284" s="3">
        <v>0.64</v>
      </c>
      <c r="O1284" s="3">
        <v>0</v>
      </c>
      <c r="P1284" s="3">
        <v>0.2</v>
      </c>
      <c r="Q1284" s="3">
        <v>13.63</v>
      </c>
      <c r="R1284" s="3">
        <v>7.95</v>
      </c>
      <c r="S1284" s="3">
        <f>VLOOKUP(C1284,[1]page!$C$2:$M$3071,11,0)</f>
        <v>12.77</v>
      </c>
      <c r="T1284" s="6">
        <f t="shared" si="20"/>
        <v>1.9999999999999574E-2</v>
      </c>
    </row>
    <row r="1285" spans="1:20" x14ac:dyDescent="0.2">
      <c r="A1285" t="s">
        <v>4109</v>
      </c>
      <c r="B1285" t="s">
        <v>4113</v>
      </c>
      <c r="C1285" t="s">
        <v>4114</v>
      </c>
      <c r="D1285" t="s">
        <v>4115</v>
      </c>
      <c r="E1285" t="s">
        <v>3941</v>
      </c>
      <c r="F1285" t="s">
        <v>23</v>
      </c>
      <c r="G1285" s="1">
        <v>14</v>
      </c>
      <c r="H1285" s="1">
        <v>12</v>
      </c>
      <c r="I1285" t="s">
        <v>2700</v>
      </c>
      <c r="K1285" t="s">
        <v>2687</v>
      </c>
      <c r="L1285" s="1">
        <v>1</v>
      </c>
      <c r="M1285" s="3">
        <v>14.57</v>
      </c>
      <c r="N1285" s="3">
        <v>0.73</v>
      </c>
      <c r="O1285" s="3">
        <v>0</v>
      </c>
      <c r="P1285" s="3">
        <v>0.2</v>
      </c>
      <c r="Q1285" s="3">
        <v>15.5</v>
      </c>
      <c r="R1285" s="3">
        <v>7.95</v>
      </c>
      <c r="S1285" s="3">
        <f>VLOOKUP(C1285,[1]page!$C$2:$M$3071,11,0)</f>
        <v>14.55</v>
      </c>
      <c r="T1285" s="6">
        <f t="shared" si="20"/>
        <v>1.9999999999999574E-2</v>
      </c>
    </row>
    <row r="1286" spans="1:20" x14ac:dyDescent="0.2">
      <c r="A1286" t="s">
        <v>4109</v>
      </c>
      <c r="B1286" t="s">
        <v>4116</v>
      </c>
      <c r="C1286" t="s">
        <v>4117</v>
      </c>
      <c r="D1286" t="s">
        <v>4118</v>
      </c>
      <c r="E1286" t="s">
        <v>3941</v>
      </c>
      <c r="F1286" t="s">
        <v>23</v>
      </c>
      <c r="G1286" s="2">
        <v>13.5</v>
      </c>
      <c r="H1286" s="1">
        <v>12</v>
      </c>
      <c r="I1286" t="s">
        <v>2700</v>
      </c>
      <c r="K1286" t="s">
        <v>2828</v>
      </c>
      <c r="L1286" s="1">
        <v>1</v>
      </c>
      <c r="M1286" s="3">
        <v>12.79</v>
      </c>
      <c r="N1286" s="3">
        <v>0.64</v>
      </c>
      <c r="O1286" s="3">
        <v>0</v>
      </c>
      <c r="P1286" s="3">
        <v>0.2</v>
      </c>
      <c r="Q1286" s="3">
        <v>13.63</v>
      </c>
      <c r="R1286" s="3">
        <v>7.95</v>
      </c>
      <c r="S1286" s="3">
        <f>VLOOKUP(C1286,[1]page!$C$2:$M$3071,11,0)</f>
        <v>12.77</v>
      </c>
      <c r="T1286" s="6">
        <f t="shared" si="20"/>
        <v>1.9999999999999574E-2</v>
      </c>
    </row>
    <row r="1287" spans="1:20" x14ac:dyDescent="0.2">
      <c r="A1287" t="s">
        <v>4109</v>
      </c>
      <c r="B1287" t="s">
        <v>4119</v>
      </c>
      <c r="C1287" t="s">
        <v>4120</v>
      </c>
      <c r="D1287" t="s">
        <v>4121</v>
      </c>
      <c r="E1287" t="s">
        <v>4014</v>
      </c>
      <c r="F1287" t="s">
        <v>23</v>
      </c>
      <c r="G1287" s="1">
        <v>14</v>
      </c>
      <c r="H1287" s="1">
        <v>12</v>
      </c>
      <c r="I1287" t="s">
        <v>600</v>
      </c>
      <c r="K1287" t="s">
        <v>2687</v>
      </c>
      <c r="L1287" s="1">
        <v>1</v>
      </c>
      <c r="M1287" s="3">
        <v>10.53</v>
      </c>
      <c r="N1287" s="3">
        <v>0.53</v>
      </c>
      <c r="O1287" s="3">
        <v>0</v>
      </c>
      <c r="P1287" s="3">
        <v>0.2</v>
      </c>
      <c r="Q1287" s="3">
        <v>11.26</v>
      </c>
      <c r="R1287" s="3">
        <v>7.95</v>
      </c>
      <c r="S1287" s="3">
        <f>VLOOKUP(C1287,[1]page!$C$2:$M$3071,11,0)</f>
        <v>10.51</v>
      </c>
      <c r="T1287" s="6">
        <f t="shared" si="20"/>
        <v>1.9999999999999574E-2</v>
      </c>
    </row>
    <row r="1288" spans="1:20" x14ac:dyDescent="0.2">
      <c r="A1288" t="s">
        <v>4109</v>
      </c>
      <c r="B1288" t="s">
        <v>4122</v>
      </c>
      <c r="C1288" t="s">
        <v>4123</v>
      </c>
      <c r="D1288" t="s">
        <v>4124</v>
      </c>
      <c r="E1288" t="s">
        <v>4038</v>
      </c>
      <c r="F1288" t="s">
        <v>23</v>
      </c>
      <c r="G1288" s="1">
        <v>12</v>
      </c>
      <c r="H1288" s="1">
        <v>12</v>
      </c>
      <c r="I1288" t="s">
        <v>3306</v>
      </c>
      <c r="K1288" t="s">
        <v>2828</v>
      </c>
      <c r="L1288" s="1">
        <v>1</v>
      </c>
      <c r="M1288" s="3">
        <v>11.45</v>
      </c>
      <c r="N1288" s="3">
        <v>0.56999999999999995</v>
      </c>
      <c r="O1288" s="3">
        <v>0</v>
      </c>
      <c r="P1288" s="3">
        <v>0.2</v>
      </c>
      <c r="Q1288" s="3">
        <v>12.22</v>
      </c>
      <c r="R1288" s="3">
        <v>7.95</v>
      </c>
      <c r="S1288" s="3">
        <f>VLOOKUP(C1288,[1]page!$C$2:$M$3071,11,0)</f>
        <v>11.43</v>
      </c>
      <c r="T1288" s="6">
        <f t="shared" si="20"/>
        <v>1.9999999999999574E-2</v>
      </c>
    </row>
    <row r="1289" spans="1:20" x14ac:dyDescent="0.2">
      <c r="A1289" t="s">
        <v>4125</v>
      </c>
      <c r="B1289" t="s">
        <v>4126</v>
      </c>
      <c r="C1289" t="s">
        <v>4127</v>
      </c>
      <c r="D1289" t="s">
        <v>4128</v>
      </c>
      <c r="E1289" t="s">
        <v>4129</v>
      </c>
      <c r="F1289" t="s">
        <v>23</v>
      </c>
      <c r="G1289" s="1">
        <v>12</v>
      </c>
      <c r="H1289" s="1">
        <v>12</v>
      </c>
      <c r="I1289" t="s">
        <v>188</v>
      </c>
      <c r="K1289" t="s">
        <v>2828</v>
      </c>
      <c r="L1289" s="1">
        <v>1</v>
      </c>
      <c r="M1289" s="3">
        <v>14.84</v>
      </c>
      <c r="N1289" s="3">
        <v>0.74</v>
      </c>
      <c r="O1289" s="3">
        <v>0</v>
      </c>
      <c r="P1289" s="3">
        <v>0.2</v>
      </c>
      <c r="Q1289" s="3">
        <v>15.78</v>
      </c>
      <c r="R1289" s="3">
        <v>7.95</v>
      </c>
      <c r="S1289" s="3">
        <f>VLOOKUP(C1289,[1]page!$C$2:$M$3071,11,0)</f>
        <v>14.82</v>
      </c>
      <c r="T1289" s="6">
        <f t="shared" si="20"/>
        <v>1.9999999999999574E-2</v>
      </c>
    </row>
    <row r="1290" spans="1:20" x14ac:dyDescent="0.2">
      <c r="A1290" t="s">
        <v>4125</v>
      </c>
      <c r="B1290" t="s">
        <v>4130</v>
      </c>
      <c r="C1290" t="s">
        <v>4131</v>
      </c>
      <c r="D1290" t="s">
        <v>4132</v>
      </c>
      <c r="E1290" t="s">
        <v>4133</v>
      </c>
      <c r="F1290" t="s">
        <v>87</v>
      </c>
      <c r="G1290" s="1">
        <v>13</v>
      </c>
      <c r="H1290" s="1">
        <v>6</v>
      </c>
      <c r="I1290" t="s">
        <v>70</v>
      </c>
      <c r="K1290" t="s">
        <v>2706</v>
      </c>
      <c r="L1290" s="1">
        <v>1</v>
      </c>
      <c r="M1290" s="3">
        <v>35.99</v>
      </c>
      <c r="N1290" s="3">
        <v>1.8</v>
      </c>
      <c r="O1290" s="3">
        <v>0</v>
      </c>
      <c r="P1290" s="3">
        <v>0</v>
      </c>
      <c r="Q1290" s="3">
        <v>37.79</v>
      </c>
      <c r="R1290" s="3">
        <v>26.4</v>
      </c>
      <c r="S1290" s="3">
        <f>VLOOKUP(C1290,[1]page!$C$2:$M$3071,11,0)</f>
        <v>35.64</v>
      </c>
      <c r="T1290" s="6">
        <f t="shared" si="20"/>
        <v>0.35000000000000142</v>
      </c>
    </row>
    <row r="1291" spans="1:20" x14ac:dyDescent="0.2">
      <c r="A1291" t="s">
        <v>4125</v>
      </c>
      <c r="B1291" t="s">
        <v>4134</v>
      </c>
      <c r="C1291" t="s">
        <v>4135</v>
      </c>
      <c r="D1291" t="s">
        <v>4136</v>
      </c>
      <c r="E1291" t="s">
        <v>4137</v>
      </c>
      <c r="F1291" t="s">
        <v>23</v>
      </c>
      <c r="G1291" s="2">
        <v>12.5</v>
      </c>
      <c r="H1291" s="1">
        <v>12</v>
      </c>
      <c r="I1291" t="s">
        <v>607</v>
      </c>
      <c r="K1291" t="s">
        <v>2687</v>
      </c>
      <c r="L1291" s="1">
        <v>1</v>
      </c>
      <c r="M1291" s="3">
        <v>14.49</v>
      </c>
      <c r="N1291" s="3">
        <v>0.72</v>
      </c>
      <c r="O1291" s="3">
        <v>0</v>
      </c>
      <c r="P1291" s="3">
        <v>0.2</v>
      </c>
      <c r="Q1291" s="3">
        <v>15.41</v>
      </c>
      <c r="R1291" s="3">
        <v>7.95</v>
      </c>
      <c r="S1291" s="3">
        <f>VLOOKUP(C1291,[1]page!$C$2:$M$3071,11,0)</f>
        <v>14.47</v>
      </c>
      <c r="T1291" s="6">
        <f t="shared" si="20"/>
        <v>1.9999999999999574E-2</v>
      </c>
    </row>
    <row r="1292" spans="1:20" x14ac:dyDescent="0.2">
      <c r="A1292" t="s">
        <v>4125</v>
      </c>
      <c r="B1292" t="s">
        <v>4138</v>
      </c>
      <c r="C1292" t="s">
        <v>4139</v>
      </c>
      <c r="D1292" t="s">
        <v>4140</v>
      </c>
      <c r="E1292" t="s">
        <v>4141</v>
      </c>
      <c r="F1292" t="s">
        <v>23</v>
      </c>
      <c r="G1292" s="2">
        <v>12.5</v>
      </c>
      <c r="H1292" s="1">
        <v>12</v>
      </c>
      <c r="I1292" t="s">
        <v>2759</v>
      </c>
      <c r="K1292" t="s">
        <v>2828</v>
      </c>
      <c r="L1292" s="1">
        <v>1</v>
      </c>
      <c r="M1292" s="3">
        <v>16.010000000000002</v>
      </c>
      <c r="N1292" s="3">
        <v>0.8</v>
      </c>
      <c r="O1292" s="3">
        <v>0</v>
      </c>
      <c r="P1292" s="3">
        <v>0.2</v>
      </c>
      <c r="Q1292" s="3">
        <v>17.010000000000002</v>
      </c>
      <c r="R1292" s="3">
        <v>7.95</v>
      </c>
      <c r="S1292" s="3">
        <f>VLOOKUP(C1292,[1]page!$C$2:$M$3071,11,0)</f>
        <v>15.99</v>
      </c>
      <c r="T1292" s="6">
        <f t="shared" si="20"/>
        <v>2.000000000000135E-2</v>
      </c>
    </row>
    <row r="1293" spans="1:20" x14ac:dyDescent="0.2">
      <c r="A1293" t="s">
        <v>4125</v>
      </c>
      <c r="B1293" t="s">
        <v>4142</v>
      </c>
      <c r="C1293" t="s">
        <v>4143</v>
      </c>
      <c r="D1293" t="s">
        <v>4144</v>
      </c>
      <c r="E1293" t="s">
        <v>4133</v>
      </c>
      <c r="F1293" t="s">
        <v>23</v>
      </c>
      <c r="G1293" s="1">
        <v>13</v>
      </c>
      <c r="H1293" s="1">
        <v>12</v>
      </c>
      <c r="I1293" t="s">
        <v>70</v>
      </c>
      <c r="K1293" t="s">
        <v>2828</v>
      </c>
      <c r="L1293" s="1">
        <v>1</v>
      </c>
      <c r="M1293" s="3">
        <v>19.59</v>
      </c>
      <c r="N1293" s="3">
        <v>0.98</v>
      </c>
      <c r="O1293" s="3">
        <v>0</v>
      </c>
      <c r="P1293" s="3">
        <v>0.2</v>
      </c>
      <c r="Q1293" s="3">
        <v>20.77</v>
      </c>
      <c r="R1293" s="3">
        <v>7.95</v>
      </c>
      <c r="S1293" s="3">
        <f>VLOOKUP(C1293,[1]page!$C$2:$M$3071,11,0)</f>
        <v>19.579999999999998</v>
      </c>
      <c r="T1293" s="6">
        <f t="shared" si="20"/>
        <v>1.0000000000001563E-2</v>
      </c>
    </row>
    <row r="1294" spans="1:20" x14ac:dyDescent="0.2">
      <c r="A1294" t="s">
        <v>4125</v>
      </c>
      <c r="B1294" t="s">
        <v>4145</v>
      </c>
      <c r="C1294" t="s">
        <v>4146</v>
      </c>
      <c r="D1294" t="s">
        <v>4147</v>
      </c>
      <c r="E1294" t="s">
        <v>4148</v>
      </c>
      <c r="F1294" t="s">
        <v>23</v>
      </c>
      <c r="G1294" s="1">
        <v>13</v>
      </c>
      <c r="H1294" s="1">
        <v>12</v>
      </c>
      <c r="I1294" t="s">
        <v>4149</v>
      </c>
      <c r="K1294" t="s">
        <v>2828</v>
      </c>
      <c r="L1294" s="1">
        <v>1</v>
      </c>
      <c r="M1294" s="3">
        <v>17.02</v>
      </c>
      <c r="N1294" s="3">
        <v>0.85</v>
      </c>
      <c r="O1294" s="3">
        <v>0</v>
      </c>
      <c r="P1294" s="3">
        <v>0.2</v>
      </c>
      <c r="Q1294" s="3">
        <v>18.07</v>
      </c>
      <c r="R1294" s="3">
        <v>7.95</v>
      </c>
      <c r="S1294" s="3">
        <f>VLOOKUP(C1294,[1]page!$C$2:$M$3071,11,0)</f>
        <v>16.989999999999998</v>
      </c>
      <c r="T1294" s="6">
        <f t="shared" si="20"/>
        <v>3.0000000000001137E-2</v>
      </c>
    </row>
    <row r="1295" spans="1:20" x14ac:dyDescent="0.2">
      <c r="A1295" t="s">
        <v>4150</v>
      </c>
      <c r="B1295" t="s">
        <v>4151</v>
      </c>
      <c r="C1295" t="s">
        <v>4152</v>
      </c>
      <c r="D1295" t="s">
        <v>4153</v>
      </c>
      <c r="E1295" t="s">
        <v>200</v>
      </c>
      <c r="F1295" t="s">
        <v>23</v>
      </c>
      <c r="G1295" s="2">
        <v>14.5</v>
      </c>
      <c r="H1295" s="1">
        <v>12</v>
      </c>
      <c r="I1295" t="s">
        <v>201</v>
      </c>
      <c r="K1295" t="s">
        <v>2828</v>
      </c>
      <c r="L1295" s="1">
        <v>1</v>
      </c>
      <c r="M1295" s="3">
        <v>13.31</v>
      </c>
      <c r="N1295" s="3">
        <v>0.67</v>
      </c>
      <c r="O1295" s="3">
        <v>0</v>
      </c>
      <c r="P1295" s="3">
        <v>0.2</v>
      </c>
      <c r="Q1295" s="3">
        <v>14.18</v>
      </c>
      <c r="R1295" s="3">
        <v>7.95</v>
      </c>
      <c r="S1295" s="3">
        <f>VLOOKUP(C1295,[1]page!$C$2:$M$3071,11,0)</f>
        <v>13.31</v>
      </c>
      <c r="T1295" s="6">
        <f t="shared" si="20"/>
        <v>0</v>
      </c>
    </row>
    <row r="1296" spans="1:20" x14ac:dyDescent="0.2">
      <c r="A1296" t="s">
        <v>4150</v>
      </c>
      <c r="B1296" t="s">
        <v>4154</v>
      </c>
      <c r="C1296" t="s">
        <v>4155</v>
      </c>
      <c r="D1296" t="s">
        <v>4156</v>
      </c>
      <c r="E1296" t="s">
        <v>4129</v>
      </c>
      <c r="F1296" t="s">
        <v>23</v>
      </c>
      <c r="G1296" s="2">
        <v>13.5</v>
      </c>
      <c r="H1296" s="1">
        <v>12</v>
      </c>
      <c r="I1296" t="s">
        <v>188</v>
      </c>
      <c r="K1296" t="s">
        <v>2828</v>
      </c>
      <c r="L1296" s="1">
        <v>1</v>
      </c>
      <c r="M1296" s="3">
        <v>14.84</v>
      </c>
      <c r="N1296" s="3">
        <v>0.74</v>
      </c>
      <c r="O1296" s="3">
        <v>0</v>
      </c>
      <c r="P1296" s="3">
        <v>0.2</v>
      </c>
      <c r="Q1296" s="3">
        <v>15.78</v>
      </c>
      <c r="R1296" s="3">
        <v>7.95</v>
      </c>
      <c r="S1296" s="3">
        <f>VLOOKUP(C1296,[1]page!$C$2:$M$3071,11,0)</f>
        <v>14.82</v>
      </c>
      <c r="T1296" s="6">
        <f t="shared" si="20"/>
        <v>1.9999999999999574E-2</v>
      </c>
    </row>
    <row r="1297" spans="1:20" x14ac:dyDescent="0.2">
      <c r="A1297" t="s">
        <v>4150</v>
      </c>
      <c r="B1297" t="s">
        <v>4157</v>
      </c>
      <c r="C1297" t="s">
        <v>4158</v>
      </c>
      <c r="D1297" t="s">
        <v>4159</v>
      </c>
      <c r="E1297" t="s">
        <v>4133</v>
      </c>
      <c r="F1297" t="s">
        <v>87</v>
      </c>
      <c r="G1297" s="2">
        <v>13.5</v>
      </c>
      <c r="H1297" s="1">
        <v>6</v>
      </c>
      <c r="I1297" t="s">
        <v>70</v>
      </c>
      <c r="K1297" t="s">
        <v>2687</v>
      </c>
      <c r="L1297" s="1">
        <v>1</v>
      </c>
      <c r="M1297" s="3">
        <v>35.99</v>
      </c>
      <c r="N1297" s="3">
        <v>1.8</v>
      </c>
      <c r="O1297" s="3">
        <v>0</v>
      </c>
      <c r="P1297" s="3">
        <v>0</v>
      </c>
      <c r="Q1297" s="3">
        <v>37.79</v>
      </c>
      <c r="R1297" s="3">
        <v>26.4</v>
      </c>
      <c r="S1297" s="3">
        <f>VLOOKUP(C1297,[1]page!$C$2:$M$3071,11,0)</f>
        <v>35.64</v>
      </c>
      <c r="T1297" s="6">
        <f t="shared" si="20"/>
        <v>0.35000000000000142</v>
      </c>
    </row>
    <row r="1298" spans="1:20" x14ac:dyDescent="0.2">
      <c r="A1298" t="s">
        <v>4160</v>
      </c>
      <c r="B1298" t="s">
        <v>4161</v>
      </c>
      <c r="C1298" t="s">
        <v>4162</v>
      </c>
      <c r="D1298" t="s">
        <v>4163</v>
      </c>
      <c r="E1298" t="s">
        <v>200</v>
      </c>
      <c r="F1298" t="s">
        <v>23</v>
      </c>
      <c r="G1298" s="2">
        <v>12.5</v>
      </c>
      <c r="H1298" s="1">
        <v>12</v>
      </c>
      <c r="I1298" t="s">
        <v>201</v>
      </c>
      <c r="K1298" t="s">
        <v>2828</v>
      </c>
      <c r="L1298" s="1">
        <v>1</v>
      </c>
      <c r="M1298" s="3">
        <v>13.31</v>
      </c>
      <c r="N1298" s="3">
        <v>0.67</v>
      </c>
      <c r="O1298" s="3">
        <v>0</v>
      </c>
      <c r="P1298" s="3">
        <v>0.2</v>
      </c>
      <c r="Q1298" s="3">
        <v>14.18</v>
      </c>
      <c r="R1298" s="3">
        <v>7.95</v>
      </c>
      <c r="S1298" s="3">
        <f>VLOOKUP(C1298,[1]page!$C$2:$M$3071,11,0)</f>
        <v>13.31</v>
      </c>
      <c r="T1298" s="6">
        <f t="shared" si="20"/>
        <v>0</v>
      </c>
    </row>
    <row r="1299" spans="1:20" x14ac:dyDescent="0.2">
      <c r="A1299" t="s">
        <v>4160</v>
      </c>
      <c r="B1299" t="s">
        <v>4164</v>
      </c>
      <c r="C1299" t="s">
        <v>4165</v>
      </c>
      <c r="D1299" t="s">
        <v>4166</v>
      </c>
      <c r="E1299" t="s">
        <v>4129</v>
      </c>
      <c r="F1299" t="s">
        <v>23</v>
      </c>
      <c r="G1299" s="1">
        <v>13</v>
      </c>
      <c r="H1299" s="1">
        <v>12</v>
      </c>
      <c r="I1299" t="s">
        <v>188</v>
      </c>
      <c r="K1299" t="s">
        <v>2828</v>
      </c>
      <c r="L1299" s="1">
        <v>1</v>
      </c>
      <c r="M1299" s="3">
        <v>14.84</v>
      </c>
      <c r="N1299" s="3">
        <v>0.74</v>
      </c>
      <c r="O1299" s="3">
        <v>0</v>
      </c>
      <c r="P1299" s="3">
        <v>0.2</v>
      </c>
      <c r="Q1299" s="3">
        <v>15.78</v>
      </c>
      <c r="R1299" s="3">
        <v>7.95</v>
      </c>
      <c r="S1299" s="3">
        <f>VLOOKUP(C1299,[1]page!$C$2:$M$3071,11,0)</f>
        <v>14.82</v>
      </c>
      <c r="T1299" s="6">
        <f t="shared" si="20"/>
        <v>1.9999999999999574E-2</v>
      </c>
    </row>
    <row r="1300" spans="1:20" x14ac:dyDescent="0.2">
      <c r="A1300" t="s">
        <v>4160</v>
      </c>
      <c r="B1300" t="s">
        <v>4167</v>
      </c>
      <c r="C1300" t="s">
        <v>4168</v>
      </c>
      <c r="D1300" t="s">
        <v>4169</v>
      </c>
      <c r="E1300" t="s">
        <v>4133</v>
      </c>
      <c r="F1300" t="s">
        <v>87</v>
      </c>
      <c r="G1300" s="1">
        <v>13</v>
      </c>
      <c r="H1300" s="1">
        <v>6</v>
      </c>
      <c r="I1300" t="s">
        <v>70</v>
      </c>
      <c r="K1300" t="s">
        <v>2828</v>
      </c>
      <c r="L1300" s="1">
        <v>1</v>
      </c>
      <c r="M1300" s="3">
        <v>35.99</v>
      </c>
      <c r="N1300" s="3">
        <v>1.8</v>
      </c>
      <c r="O1300" s="3">
        <v>0</v>
      </c>
      <c r="P1300" s="3">
        <v>0</v>
      </c>
      <c r="Q1300" s="3">
        <v>37.79</v>
      </c>
      <c r="R1300" s="3">
        <v>26.4</v>
      </c>
      <c r="S1300" s="3">
        <f>VLOOKUP(C1300,[1]page!$C$2:$M$3071,11,0)</f>
        <v>35.64</v>
      </c>
      <c r="T1300" s="6">
        <f t="shared" si="20"/>
        <v>0.35000000000000142</v>
      </c>
    </row>
    <row r="1301" spans="1:20" x14ac:dyDescent="0.2">
      <c r="A1301" t="s">
        <v>4160</v>
      </c>
      <c r="B1301" t="s">
        <v>4170</v>
      </c>
      <c r="C1301" t="s">
        <v>4171</v>
      </c>
      <c r="D1301" t="s">
        <v>4172</v>
      </c>
      <c r="E1301" t="s">
        <v>2699</v>
      </c>
      <c r="F1301" t="s">
        <v>2835</v>
      </c>
      <c r="G1301" s="2">
        <v>11.5</v>
      </c>
      <c r="H1301" s="1">
        <v>4</v>
      </c>
      <c r="I1301" t="s">
        <v>2700</v>
      </c>
      <c r="K1301" t="s">
        <v>2828</v>
      </c>
      <c r="L1301" s="1">
        <v>1</v>
      </c>
      <c r="M1301" s="3">
        <v>28.92</v>
      </c>
      <c r="N1301" s="3">
        <v>1.45</v>
      </c>
      <c r="O1301" s="3">
        <v>0</v>
      </c>
      <c r="P1301" s="3">
        <v>0</v>
      </c>
      <c r="Q1301" s="3">
        <v>30.37</v>
      </c>
      <c r="R1301" s="3">
        <v>33.9</v>
      </c>
      <c r="S1301" s="3">
        <f>VLOOKUP(C1301,[1]page!$C$2:$M$3071,11,0)</f>
        <v>28.92</v>
      </c>
      <c r="T1301" s="6">
        <f t="shared" si="20"/>
        <v>0</v>
      </c>
    </row>
    <row r="1302" spans="1:20" x14ac:dyDescent="0.2">
      <c r="A1302" t="s">
        <v>4160</v>
      </c>
      <c r="B1302" t="s">
        <v>4173</v>
      </c>
      <c r="C1302" t="s">
        <v>4174</v>
      </c>
      <c r="D1302" t="s">
        <v>4175</v>
      </c>
      <c r="E1302" t="s">
        <v>4176</v>
      </c>
      <c r="F1302" t="s">
        <v>23</v>
      </c>
      <c r="G1302" s="2">
        <v>11.5</v>
      </c>
      <c r="H1302" s="1">
        <v>12</v>
      </c>
      <c r="I1302" t="s">
        <v>2759</v>
      </c>
      <c r="K1302" t="s">
        <v>2828</v>
      </c>
      <c r="L1302" s="1">
        <v>1</v>
      </c>
      <c r="M1302" s="3">
        <v>16.010000000000002</v>
      </c>
      <c r="N1302" s="3">
        <v>0.8</v>
      </c>
      <c r="O1302" s="3">
        <v>0</v>
      </c>
      <c r="P1302" s="3">
        <v>0.2</v>
      </c>
      <c r="Q1302" s="3">
        <v>17.010000000000002</v>
      </c>
      <c r="R1302" s="3">
        <v>7.95</v>
      </c>
      <c r="S1302" s="3">
        <f>VLOOKUP(C1302,[1]page!$C$2:$M$3071,11,0)</f>
        <v>15.99</v>
      </c>
      <c r="T1302" s="6">
        <f t="shared" si="20"/>
        <v>2.000000000000135E-2</v>
      </c>
    </row>
    <row r="1303" spans="1:20" x14ac:dyDescent="0.2">
      <c r="A1303" t="s">
        <v>4160</v>
      </c>
      <c r="B1303" t="s">
        <v>4177</v>
      </c>
      <c r="C1303" t="s">
        <v>4178</v>
      </c>
      <c r="D1303" t="s">
        <v>4179</v>
      </c>
      <c r="E1303" t="s">
        <v>4180</v>
      </c>
      <c r="F1303" t="s">
        <v>23</v>
      </c>
      <c r="G1303" s="1">
        <v>12</v>
      </c>
      <c r="H1303" s="1">
        <v>12</v>
      </c>
      <c r="I1303" t="s">
        <v>178</v>
      </c>
      <c r="K1303" t="s">
        <v>2687</v>
      </c>
      <c r="L1303" s="1">
        <v>1</v>
      </c>
      <c r="M1303" s="3">
        <v>14.91</v>
      </c>
      <c r="N1303" s="3">
        <v>0.75</v>
      </c>
      <c r="O1303" s="3">
        <v>0</v>
      </c>
      <c r="P1303" s="3">
        <v>0.2</v>
      </c>
      <c r="Q1303" s="3">
        <v>15.86</v>
      </c>
      <c r="R1303" s="3">
        <v>7.95</v>
      </c>
      <c r="S1303" s="3">
        <f>VLOOKUP(C1303,[1]page!$C$2:$M$3071,11,0)</f>
        <v>14.88</v>
      </c>
      <c r="T1303" s="6">
        <f t="shared" si="20"/>
        <v>2.9999999999999361E-2</v>
      </c>
    </row>
    <row r="1304" spans="1:20" x14ac:dyDescent="0.2">
      <c r="A1304" t="s">
        <v>4181</v>
      </c>
      <c r="B1304" t="s">
        <v>4182</v>
      </c>
      <c r="C1304" t="s">
        <v>4183</v>
      </c>
      <c r="D1304" t="s">
        <v>4184</v>
      </c>
      <c r="E1304" t="s">
        <v>4185</v>
      </c>
      <c r="F1304" t="s">
        <v>23</v>
      </c>
      <c r="G1304" s="2">
        <v>14.5</v>
      </c>
      <c r="H1304" s="1">
        <v>12</v>
      </c>
      <c r="I1304" t="s">
        <v>183</v>
      </c>
      <c r="K1304" t="s">
        <v>2828</v>
      </c>
      <c r="L1304" s="1">
        <v>1</v>
      </c>
      <c r="M1304" s="3">
        <v>18.59</v>
      </c>
      <c r="N1304" s="3">
        <v>0.93</v>
      </c>
      <c r="O1304" s="3">
        <v>0</v>
      </c>
      <c r="P1304" s="3">
        <v>0.2</v>
      </c>
      <c r="Q1304" s="3">
        <v>19.72</v>
      </c>
      <c r="R1304" s="3">
        <v>7.95</v>
      </c>
      <c r="S1304" s="3">
        <f>VLOOKUP(C1304,[1]page!$C$2:$M$3071,11,0)</f>
        <v>18.57</v>
      </c>
      <c r="T1304" s="6">
        <f t="shared" si="20"/>
        <v>1.9999999999999574E-2</v>
      </c>
    </row>
    <row r="1305" spans="1:20" x14ac:dyDescent="0.2">
      <c r="A1305" t="s">
        <v>4186</v>
      </c>
      <c r="B1305" t="s">
        <v>4187</v>
      </c>
      <c r="C1305" t="s">
        <v>4188</v>
      </c>
      <c r="D1305" t="s">
        <v>4189</v>
      </c>
      <c r="E1305" t="s">
        <v>4190</v>
      </c>
      <c r="F1305" t="s">
        <v>23</v>
      </c>
      <c r="G1305" s="2">
        <v>12.5</v>
      </c>
      <c r="H1305" s="1">
        <v>12</v>
      </c>
      <c r="I1305" t="s">
        <v>728</v>
      </c>
      <c r="K1305" t="s">
        <v>2687</v>
      </c>
      <c r="L1305" s="1">
        <v>1</v>
      </c>
      <c r="M1305" s="3">
        <v>20.07</v>
      </c>
      <c r="N1305" s="3">
        <v>1</v>
      </c>
      <c r="O1305" s="3">
        <v>0</v>
      </c>
      <c r="P1305" s="3">
        <v>0.2</v>
      </c>
      <c r="Q1305" s="3">
        <v>21.27</v>
      </c>
      <c r="R1305" s="3">
        <v>7.95</v>
      </c>
      <c r="S1305" s="3">
        <f>VLOOKUP(C1305,[1]page!$C$2:$M$3071,11,0)</f>
        <v>20.059999999999999</v>
      </c>
      <c r="T1305" s="6">
        <f t="shared" si="20"/>
        <v>1.0000000000001563E-2</v>
      </c>
    </row>
    <row r="1306" spans="1:20" x14ac:dyDescent="0.2">
      <c r="A1306" t="s">
        <v>4191</v>
      </c>
      <c r="B1306" t="s">
        <v>4192</v>
      </c>
      <c r="C1306" t="s">
        <v>4193</v>
      </c>
      <c r="D1306" t="s">
        <v>4194</v>
      </c>
      <c r="E1306" t="s">
        <v>4195</v>
      </c>
      <c r="F1306" t="s">
        <v>23</v>
      </c>
      <c r="G1306" s="1">
        <v>15</v>
      </c>
      <c r="H1306" s="1">
        <v>12</v>
      </c>
      <c r="I1306" t="s">
        <v>257</v>
      </c>
      <c r="K1306" t="s">
        <v>2828</v>
      </c>
      <c r="L1306" s="1">
        <v>1</v>
      </c>
      <c r="M1306" s="3">
        <v>47.65</v>
      </c>
      <c r="N1306" s="3">
        <v>2.38</v>
      </c>
      <c r="O1306" s="3">
        <v>0</v>
      </c>
      <c r="P1306" s="3">
        <v>0.2</v>
      </c>
      <c r="Q1306" s="3">
        <v>50.23</v>
      </c>
      <c r="R1306" s="3">
        <v>7.95</v>
      </c>
      <c r="S1306" s="3">
        <f>VLOOKUP(C1306,[1]page!$C$2:$M$3071,11,0)</f>
        <v>47.63</v>
      </c>
      <c r="T1306" s="6">
        <f t="shared" si="20"/>
        <v>1.9999999999996021E-2</v>
      </c>
    </row>
    <row r="1307" spans="1:20" x14ac:dyDescent="0.2">
      <c r="A1307" t="s">
        <v>4196</v>
      </c>
      <c r="B1307" t="s">
        <v>4197</v>
      </c>
      <c r="C1307" t="s">
        <v>4198</v>
      </c>
      <c r="D1307" t="s">
        <v>4199</v>
      </c>
      <c r="E1307" t="s">
        <v>4200</v>
      </c>
      <c r="F1307" t="s">
        <v>23</v>
      </c>
      <c r="G1307" s="2">
        <v>12.5</v>
      </c>
      <c r="H1307" s="1">
        <v>12</v>
      </c>
      <c r="I1307" t="s">
        <v>2759</v>
      </c>
      <c r="K1307" t="s">
        <v>2828</v>
      </c>
      <c r="L1307" s="1">
        <v>1</v>
      </c>
      <c r="M1307" s="3">
        <v>20</v>
      </c>
      <c r="N1307" s="3">
        <v>1</v>
      </c>
      <c r="O1307" s="3">
        <v>0</v>
      </c>
      <c r="P1307" s="3">
        <v>0.2</v>
      </c>
      <c r="Q1307" s="3">
        <v>21.2</v>
      </c>
      <c r="R1307" s="3">
        <v>7.95</v>
      </c>
      <c r="S1307" s="3">
        <f>VLOOKUP(C1307,[1]page!$C$2:$M$3071,11,0)</f>
        <v>19.989999999999998</v>
      </c>
      <c r="T1307" s="6">
        <f t="shared" si="20"/>
        <v>1.0000000000001563E-2</v>
      </c>
    </row>
    <row r="1308" spans="1:20" x14ac:dyDescent="0.2">
      <c r="A1308" t="s">
        <v>4196</v>
      </c>
      <c r="B1308" t="s">
        <v>4201</v>
      </c>
      <c r="C1308" t="s">
        <v>4202</v>
      </c>
      <c r="D1308" t="s">
        <v>4203</v>
      </c>
      <c r="E1308" t="s">
        <v>4204</v>
      </c>
      <c r="F1308" t="s">
        <v>23</v>
      </c>
      <c r="G1308" s="2">
        <v>12.5</v>
      </c>
      <c r="H1308" s="1">
        <v>12</v>
      </c>
      <c r="I1308" t="s">
        <v>3498</v>
      </c>
      <c r="K1308" t="s">
        <v>2828</v>
      </c>
      <c r="L1308" s="1">
        <v>1</v>
      </c>
      <c r="M1308" s="3">
        <v>19.03</v>
      </c>
      <c r="N1308" s="3">
        <v>0.95</v>
      </c>
      <c r="O1308" s="3">
        <v>0</v>
      </c>
      <c r="P1308" s="3">
        <v>0.2</v>
      </c>
      <c r="Q1308" s="3">
        <v>20.18</v>
      </c>
      <c r="R1308" s="3">
        <v>7.95</v>
      </c>
      <c r="S1308" s="3">
        <f>VLOOKUP(C1308,[1]page!$C$2:$M$3071,11,0)</f>
        <v>19.03</v>
      </c>
      <c r="T1308" s="6">
        <f t="shared" si="20"/>
        <v>0</v>
      </c>
    </row>
    <row r="1309" spans="1:20" x14ac:dyDescent="0.2">
      <c r="A1309" t="s">
        <v>4205</v>
      </c>
      <c r="B1309" t="s">
        <v>4206</v>
      </c>
      <c r="C1309" t="s">
        <v>4207</v>
      </c>
      <c r="D1309" t="s">
        <v>4208</v>
      </c>
      <c r="E1309" t="s">
        <v>4209</v>
      </c>
      <c r="F1309" t="s">
        <v>23</v>
      </c>
      <c r="G1309" s="2">
        <v>13.5</v>
      </c>
      <c r="H1309" s="1">
        <v>12</v>
      </c>
      <c r="I1309" t="s">
        <v>70</v>
      </c>
      <c r="K1309" t="s">
        <v>2828</v>
      </c>
      <c r="L1309" s="1">
        <v>1</v>
      </c>
      <c r="M1309" s="3">
        <v>13.29</v>
      </c>
      <c r="N1309" s="3">
        <v>0.66</v>
      </c>
      <c r="O1309" s="3">
        <v>0</v>
      </c>
      <c r="P1309" s="3">
        <v>0.2</v>
      </c>
      <c r="Q1309" s="3">
        <v>14.15</v>
      </c>
      <c r="R1309" s="3">
        <v>7.95</v>
      </c>
      <c r="S1309" s="3">
        <f>VLOOKUP(C1309,[1]page!$C$2:$M$3071,11,0)</f>
        <v>13.25</v>
      </c>
      <c r="T1309" s="6">
        <f t="shared" si="20"/>
        <v>3.9999999999999147E-2</v>
      </c>
    </row>
    <row r="1310" spans="1:20" x14ac:dyDescent="0.2">
      <c r="A1310" t="s">
        <v>4210</v>
      </c>
      <c r="B1310" t="s">
        <v>4211</v>
      </c>
      <c r="C1310" t="s">
        <v>4212</v>
      </c>
      <c r="D1310" t="s">
        <v>4213</v>
      </c>
      <c r="E1310" t="s">
        <v>4214</v>
      </c>
      <c r="F1310" t="s">
        <v>23</v>
      </c>
      <c r="G1310" s="2">
        <v>13.5</v>
      </c>
      <c r="H1310" s="1">
        <v>12</v>
      </c>
      <c r="I1310" t="s">
        <v>183</v>
      </c>
      <c r="K1310" t="s">
        <v>2706</v>
      </c>
      <c r="L1310" s="1">
        <v>1</v>
      </c>
      <c r="M1310" s="3">
        <v>18.149999999999999</v>
      </c>
      <c r="N1310" s="3">
        <v>0.91</v>
      </c>
      <c r="O1310" s="3">
        <v>0</v>
      </c>
      <c r="P1310" s="3">
        <v>0.2</v>
      </c>
      <c r="Q1310" s="3">
        <v>19.260000000000002</v>
      </c>
      <c r="R1310" s="3">
        <v>7.95</v>
      </c>
      <c r="S1310" s="3">
        <f>VLOOKUP(C1310,[1]page!$C$2:$M$3071,11,0)</f>
        <v>18.13</v>
      </c>
      <c r="T1310" s="6">
        <f t="shared" si="20"/>
        <v>1.9999999999999574E-2</v>
      </c>
    </row>
    <row r="1311" spans="1:20" x14ac:dyDescent="0.2">
      <c r="A1311" t="s">
        <v>4215</v>
      </c>
      <c r="B1311" t="s">
        <v>4216</v>
      </c>
      <c r="C1311" t="s">
        <v>4217</v>
      </c>
      <c r="D1311" t="s">
        <v>4218</v>
      </c>
      <c r="E1311" t="s">
        <v>4219</v>
      </c>
      <c r="F1311" t="s">
        <v>23</v>
      </c>
      <c r="G1311" s="1">
        <v>13</v>
      </c>
      <c r="H1311" s="1">
        <v>12</v>
      </c>
      <c r="I1311" t="s">
        <v>397</v>
      </c>
      <c r="K1311" t="s">
        <v>2687</v>
      </c>
      <c r="L1311" s="1">
        <v>1</v>
      </c>
      <c r="M1311" s="3">
        <v>18.05</v>
      </c>
      <c r="N1311" s="3">
        <v>0.9</v>
      </c>
      <c r="O1311" s="3">
        <v>0</v>
      </c>
      <c r="P1311" s="3">
        <v>0.2</v>
      </c>
      <c r="Q1311" s="3">
        <v>19.149999999999999</v>
      </c>
      <c r="R1311" s="3">
        <v>7.95</v>
      </c>
      <c r="S1311" s="3">
        <f>VLOOKUP(C1311,[1]page!$C$2:$M$3071,11,0)</f>
        <v>18.03</v>
      </c>
      <c r="T1311" s="6">
        <f t="shared" si="20"/>
        <v>1.9999999999999574E-2</v>
      </c>
    </row>
    <row r="1312" spans="1:20" x14ac:dyDescent="0.2">
      <c r="A1312" t="s">
        <v>4220</v>
      </c>
      <c r="B1312" t="s">
        <v>4221</v>
      </c>
      <c r="C1312" t="s">
        <v>4222</v>
      </c>
      <c r="D1312" t="s">
        <v>4223</v>
      </c>
      <c r="E1312" t="s">
        <v>4224</v>
      </c>
      <c r="F1312" t="s">
        <v>23</v>
      </c>
      <c r="G1312" s="1">
        <v>12</v>
      </c>
      <c r="H1312" s="1">
        <v>12</v>
      </c>
      <c r="I1312" t="s">
        <v>3653</v>
      </c>
      <c r="K1312" t="s">
        <v>2828</v>
      </c>
      <c r="L1312" s="1">
        <v>1</v>
      </c>
      <c r="M1312" s="3">
        <v>14.99</v>
      </c>
      <c r="N1312" s="3">
        <v>0.75</v>
      </c>
      <c r="O1312" s="3">
        <v>0</v>
      </c>
      <c r="P1312" s="3">
        <v>0.2</v>
      </c>
      <c r="Q1312" s="3">
        <v>15.94</v>
      </c>
      <c r="R1312" s="3">
        <v>7.95</v>
      </c>
      <c r="S1312" s="3">
        <f>VLOOKUP(C1312,[1]page!$C$2:$M$3071,11,0)</f>
        <v>14.97</v>
      </c>
      <c r="T1312" s="6">
        <f t="shared" si="20"/>
        <v>1.9999999999999574E-2</v>
      </c>
    </row>
    <row r="1313" spans="1:20" x14ac:dyDescent="0.2">
      <c r="A1313" t="s">
        <v>4225</v>
      </c>
      <c r="B1313" t="s">
        <v>4226</v>
      </c>
      <c r="C1313" t="s">
        <v>4227</v>
      </c>
      <c r="D1313" t="s">
        <v>4228</v>
      </c>
      <c r="E1313" t="s">
        <v>4229</v>
      </c>
      <c r="F1313" t="s">
        <v>23</v>
      </c>
      <c r="G1313" s="2">
        <v>13.5</v>
      </c>
      <c r="H1313" s="1">
        <v>12</v>
      </c>
      <c r="I1313" t="s">
        <v>2759</v>
      </c>
      <c r="K1313" t="s">
        <v>2828</v>
      </c>
      <c r="L1313" s="1">
        <v>1</v>
      </c>
      <c r="M1313" s="3">
        <v>19.010000000000002</v>
      </c>
      <c r="N1313" s="3">
        <v>0.95</v>
      </c>
      <c r="O1313" s="3">
        <v>0</v>
      </c>
      <c r="P1313" s="3">
        <v>0.2</v>
      </c>
      <c r="Q1313" s="3">
        <v>20.16</v>
      </c>
      <c r="R1313" s="3">
        <v>7.95</v>
      </c>
      <c r="S1313" s="3">
        <f>VLOOKUP(C1313,[1]page!$C$2:$M$3071,11,0)</f>
        <v>18.989999999999998</v>
      </c>
      <c r="T1313" s="6">
        <f t="shared" si="20"/>
        <v>2.0000000000003126E-2</v>
      </c>
    </row>
    <row r="1314" spans="1:20" x14ac:dyDescent="0.2">
      <c r="A1314" t="s">
        <v>4230</v>
      </c>
      <c r="B1314" t="s">
        <v>4231</v>
      </c>
      <c r="C1314" t="s">
        <v>4232</v>
      </c>
      <c r="D1314" t="s">
        <v>4233</v>
      </c>
      <c r="E1314" t="s">
        <v>4234</v>
      </c>
      <c r="F1314" t="s">
        <v>23</v>
      </c>
      <c r="G1314" s="2">
        <v>14.5</v>
      </c>
      <c r="H1314" s="1">
        <v>12</v>
      </c>
      <c r="I1314" t="s">
        <v>183</v>
      </c>
      <c r="K1314" t="s">
        <v>2828</v>
      </c>
      <c r="L1314" s="1">
        <v>1</v>
      </c>
      <c r="M1314" s="3">
        <v>20.73</v>
      </c>
      <c r="N1314" s="3">
        <v>1.04</v>
      </c>
      <c r="O1314" s="3">
        <v>0</v>
      </c>
      <c r="P1314" s="3">
        <v>0.2</v>
      </c>
      <c r="Q1314" s="3">
        <v>21.97</v>
      </c>
      <c r="R1314" s="3">
        <v>7.95</v>
      </c>
      <c r="S1314" s="3">
        <f>VLOOKUP(C1314,[1]page!$C$2:$M$3071,11,0)</f>
        <v>20.71</v>
      </c>
      <c r="T1314" s="6">
        <f t="shared" si="20"/>
        <v>1.9999999999999574E-2</v>
      </c>
    </row>
    <row r="1315" spans="1:20" x14ac:dyDescent="0.2">
      <c r="A1315" t="s">
        <v>4230</v>
      </c>
      <c r="B1315" t="s">
        <v>4235</v>
      </c>
      <c r="C1315" t="s">
        <v>4236</v>
      </c>
      <c r="D1315" t="s">
        <v>4237</v>
      </c>
      <c r="E1315" t="s">
        <v>4238</v>
      </c>
      <c r="F1315" t="s">
        <v>23</v>
      </c>
      <c r="G1315" s="2">
        <v>13.5</v>
      </c>
      <c r="H1315" s="1">
        <v>12</v>
      </c>
      <c r="I1315" t="s">
        <v>34</v>
      </c>
      <c r="K1315" t="s">
        <v>2828</v>
      </c>
      <c r="L1315" s="1">
        <v>1</v>
      </c>
      <c r="M1315" s="3">
        <v>17.489999999999998</v>
      </c>
      <c r="N1315" s="3">
        <v>0.87</v>
      </c>
      <c r="O1315" s="3">
        <v>0</v>
      </c>
      <c r="P1315" s="3">
        <v>0.2</v>
      </c>
      <c r="Q1315" s="3">
        <v>18.559999999999999</v>
      </c>
      <c r="R1315" s="3">
        <v>7.95</v>
      </c>
      <c r="S1315" s="3">
        <f>VLOOKUP(C1315,[1]page!$C$2:$M$3071,11,0)</f>
        <v>17.47</v>
      </c>
      <c r="T1315" s="6">
        <f t="shared" si="20"/>
        <v>1.9999999999999574E-2</v>
      </c>
    </row>
    <row r="1316" spans="1:20" x14ac:dyDescent="0.2">
      <c r="A1316" t="s">
        <v>4230</v>
      </c>
      <c r="B1316" t="s">
        <v>4239</v>
      </c>
      <c r="C1316" t="s">
        <v>4240</v>
      </c>
      <c r="D1316" t="s">
        <v>4241</v>
      </c>
      <c r="E1316" t="s">
        <v>4242</v>
      </c>
      <c r="F1316" t="s">
        <v>23</v>
      </c>
      <c r="G1316" s="2">
        <v>13.5</v>
      </c>
      <c r="H1316" s="1">
        <v>12</v>
      </c>
      <c r="I1316" t="s">
        <v>70</v>
      </c>
      <c r="K1316" t="s">
        <v>2828</v>
      </c>
      <c r="L1316" s="1">
        <v>1</v>
      </c>
      <c r="M1316" s="3">
        <v>16.79</v>
      </c>
      <c r="N1316" s="3">
        <v>0.84</v>
      </c>
      <c r="O1316" s="3">
        <v>0</v>
      </c>
      <c r="P1316" s="3">
        <v>0.2</v>
      </c>
      <c r="Q1316" s="3">
        <v>17.829999999999998</v>
      </c>
      <c r="R1316" s="3">
        <v>7.95</v>
      </c>
      <c r="S1316" s="3">
        <f>VLOOKUP(C1316,[1]page!$C$2:$M$3071,11,0)</f>
        <v>16.77</v>
      </c>
      <c r="T1316" s="6">
        <f t="shared" si="20"/>
        <v>1.9999999999999574E-2</v>
      </c>
    </row>
    <row r="1317" spans="1:20" x14ac:dyDescent="0.2">
      <c r="A1317" t="s">
        <v>4243</v>
      </c>
      <c r="B1317" t="s">
        <v>4244</v>
      </c>
      <c r="C1317" t="s">
        <v>4245</v>
      </c>
      <c r="D1317" t="s">
        <v>4246</v>
      </c>
      <c r="E1317" t="s">
        <v>4247</v>
      </c>
      <c r="F1317" t="s">
        <v>23</v>
      </c>
      <c r="G1317" s="1">
        <v>13</v>
      </c>
      <c r="H1317" s="1">
        <v>12</v>
      </c>
      <c r="I1317" t="s">
        <v>57</v>
      </c>
      <c r="K1317" t="s">
        <v>2828</v>
      </c>
      <c r="L1317" s="1">
        <v>1</v>
      </c>
      <c r="M1317" s="3">
        <v>33.1</v>
      </c>
      <c r="N1317" s="3">
        <v>1.66</v>
      </c>
      <c r="O1317" s="3">
        <v>0</v>
      </c>
      <c r="P1317" s="3">
        <v>0.2</v>
      </c>
      <c r="Q1317" s="3">
        <v>34.96</v>
      </c>
      <c r="R1317" s="3">
        <v>7.95</v>
      </c>
      <c r="S1317" s="3">
        <f>VLOOKUP(C1317,[1]page!$C$2:$M$3071,11,0)</f>
        <v>33.090000000000003</v>
      </c>
      <c r="T1317" s="6">
        <f t="shared" si="20"/>
        <v>9.9999999999980105E-3</v>
      </c>
    </row>
    <row r="1318" spans="1:20" x14ac:dyDescent="0.2">
      <c r="A1318" t="s">
        <v>4248</v>
      </c>
      <c r="B1318" t="s">
        <v>4249</v>
      </c>
      <c r="C1318" t="s">
        <v>4250</v>
      </c>
      <c r="D1318" t="s">
        <v>4251</v>
      </c>
      <c r="E1318" t="s">
        <v>4247</v>
      </c>
      <c r="F1318" t="s">
        <v>23</v>
      </c>
      <c r="G1318" s="1">
        <v>13</v>
      </c>
      <c r="H1318" s="1">
        <v>12</v>
      </c>
      <c r="I1318" t="s">
        <v>57</v>
      </c>
      <c r="K1318" t="s">
        <v>2828</v>
      </c>
      <c r="L1318" s="1">
        <v>1</v>
      </c>
      <c r="M1318" s="3">
        <v>29.02</v>
      </c>
      <c r="N1318" s="3">
        <v>1.45</v>
      </c>
      <c r="O1318" s="3">
        <v>0</v>
      </c>
      <c r="P1318" s="3">
        <v>0.2</v>
      </c>
      <c r="Q1318" s="3">
        <v>30.67</v>
      </c>
      <c r="R1318" s="3">
        <v>7.95</v>
      </c>
      <c r="S1318" s="3">
        <f>VLOOKUP(C1318,[1]page!$C$2:$M$3071,11,0)</f>
        <v>29</v>
      </c>
      <c r="T1318" s="6">
        <f t="shared" si="20"/>
        <v>1.9999999999999574E-2</v>
      </c>
    </row>
    <row r="1319" spans="1:20" x14ac:dyDescent="0.2">
      <c r="A1319" t="s">
        <v>4252</v>
      </c>
      <c r="B1319" t="s">
        <v>4253</v>
      </c>
      <c r="C1319" t="s">
        <v>4254</v>
      </c>
      <c r="D1319" t="s">
        <v>4255</v>
      </c>
      <c r="E1319" t="s">
        <v>4190</v>
      </c>
      <c r="F1319" t="s">
        <v>23</v>
      </c>
      <c r="G1319" s="2">
        <v>12.5</v>
      </c>
      <c r="H1319" s="1">
        <v>12</v>
      </c>
      <c r="I1319" t="s">
        <v>728</v>
      </c>
      <c r="K1319" t="s">
        <v>2828</v>
      </c>
      <c r="L1319" s="1">
        <v>1</v>
      </c>
      <c r="M1319" s="3">
        <v>19.66</v>
      </c>
      <c r="N1319" s="3">
        <v>0.98</v>
      </c>
      <c r="O1319" s="3">
        <v>0</v>
      </c>
      <c r="P1319" s="3">
        <v>0.2</v>
      </c>
      <c r="Q1319" s="3">
        <v>20.84</v>
      </c>
      <c r="R1319" s="3">
        <v>7.95</v>
      </c>
      <c r="S1319" s="3">
        <f>VLOOKUP(C1319,[1]page!$C$2:$M$3071,11,0)</f>
        <v>19.64</v>
      </c>
      <c r="T1319" s="6">
        <f t="shared" si="20"/>
        <v>1.9999999999999574E-2</v>
      </c>
    </row>
    <row r="1320" spans="1:20" x14ac:dyDescent="0.2">
      <c r="A1320" t="s">
        <v>4256</v>
      </c>
      <c r="B1320" t="s">
        <v>4257</v>
      </c>
      <c r="C1320" t="s">
        <v>4258</v>
      </c>
      <c r="D1320" t="s">
        <v>4259</v>
      </c>
      <c r="E1320" t="s">
        <v>4190</v>
      </c>
      <c r="F1320" t="s">
        <v>23</v>
      </c>
      <c r="G1320" s="2">
        <v>13.5</v>
      </c>
      <c r="H1320" s="1">
        <v>12</v>
      </c>
      <c r="I1320" t="s">
        <v>728</v>
      </c>
      <c r="K1320" t="s">
        <v>2828</v>
      </c>
      <c r="L1320" s="1">
        <v>1</v>
      </c>
      <c r="M1320" s="3">
        <v>20.32</v>
      </c>
      <c r="N1320" s="3">
        <v>1.02</v>
      </c>
      <c r="O1320" s="3">
        <v>0</v>
      </c>
      <c r="P1320" s="3">
        <v>0.2</v>
      </c>
      <c r="Q1320" s="3">
        <v>21.54</v>
      </c>
      <c r="R1320" s="3">
        <v>7.95</v>
      </c>
      <c r="S1320" s="3">
        <f>VLOOKUP(C1320,[1]page!$C$2:$M$3071,11,0)</f>
        <v>20.3</v>
      </c>
      <c r="T1320" s="6">
        <f t="shared" si="20"/>
        <v>1.9999999999999574E-2</v>
      </c>
    </row>
    <row r="1321" spans="1:20" x14ac:dyDescent="0.2">
      <c r="A1321" t="s">
        <v>4256</v>
      </c>
      <c r="B1321" t="s">
        <v>4260</v>
      </c>
      <c r="C1321" t="s">
        <v>4261</v>
      </c>
      <c r="D1321" t="s">
        <v>4262</v>
      </c>
      <c r="E1321" t="s">
        <v>4263</v>
      </c>
      <c r="F1321" t="s">
        <v>23</v>
      </c>
      <c r="G1321" s="2">
        <v>13.5</v>
      </c>
      <c r="H1321" s="1">
        <v>12</v>
      </c>
      <c r="I1321" t="s">
        <v>183</v>
      </c>
      <c r="K1321" t="s">
        <v>2828</v>
      </c>
      <c r="L1321" s="1">
        <v>1</v>
      </c>
      <c r="M1321" s="3">
        <v>14.96</v>
      </c>
      <c r="N1321" s="3">
        <v>0.75</v>
      </c>
      <c r="O1321" s="3">
        <v>0</v>
      </c>
      <c r="P1321" s="3">
        <v>0.2</v>
      </c>
      <c r="Q1321" s="3">
        <v>15.91</v>
      </c>
      <c r="R1321" s="3">
        <v>7.95</v>
      </c>
      <c r="S1321" s="3">
        <f>VLOOKUP(C1321,[1]page!$C$2:$M$3071,11,0)</f>
        <v>14.94</v>
      </c>
      <c r="T1321" s="6">
        <f t="shared" si="20"/>
        <v>2.000000000000135E-2</v>
      </c>
    </row>
    <row r="1322" spans="1:20" x14ac:dyDescent="0.2">
      <c r="A1322" t="s">
        <v>4264</v>
      </c>
      <c r="B1322" t="s">
        <v>4265</v>
      </c>
      <c r="C1322" t="s">
        <v>4266</v>
      </c>
      <c r="D1322" t="s">
        <v>4267</v>
      </c>
      <c r="E1322" t="s">
        <v>4190</v>
      </c>
      <c r="F1322" t="s">
        <v>23</v>
      </c>
      <c r="G1322" s="2">
        <v>13.5</v>
      </c>
      <c r="H1322" s="1">
        <v>12</v>
      </c>
      <c r="I1322" t="s">
        <v>728</v>
      </c>
      <c r="K1322" t="s">
        <v>2828</v>
      </c>
      <c r="L1322" s="1">
        <v>1</v>
      </c>
      <c r="M1322" s="3">
        <v>20.32</v>
      </c>
      <c r="N1322" s="3">
        <v>1.02</v>
      </c>
      <c r="O1322" s="3">
        <v>0</v>
      </c>
      <c r="P1322" s="3">
        <v>0.2</v>
      </c>
      <c r="Q1322" s="3">
        <v>21.54</v>
      </c>
      <c r="R1322" s="3">
        <v>7.95</v>
      </c>
      <c r="S1322" s="3">
        <f>VLOOKUP(C1322,[1]page!$C$2:$M$3071,11,0)</f>
        <v>20.3</v>
      </c>
      <c r="T1322" s="6">
        <f t="shared" si="20"/>
        <v>1.9999999999999574E-2</v>
      </c>
    </row>
    <row r="1323" spans="1:20" x14ac:dyDescent="0.2">
      <c r="A1323" t="s">
        <v>4264</v>
      </c>
      <c r="B1323" t="s">
        <v>4268</v>
      </c>
      <c r="C1323" t="s">
        <v>4269</v>
      </c>
      <c r="D1323" t="s">
        <v>4270</v>
      </c>
      <c r="E1323" t="s">
        <v>4195</v>
      </c>
      <c r="F1323" t="s">
        <v>23</v>
      </c>
      <c r="G1323" s="1">
        <v>12</v>
      </c>
      <c r="H1323" s="1">
        <v>12</v>
      </c>
      <c r="I1323" t="s">
        <v>257</v>
      </c>
      <c r="K1323" t="s">
        <v>2828</v>
      </c>
      <c r="L1323" s="1">
        <v>1</v>
      </c>
      <c r="M1323" s="3">
        <v>17.18</v>
      </c>
      <c r="N1323" s="3">
        <v>0.86</v>
      </c>
      <c r="O1323" s="3">
        <v>0</v>
      </c>
      <c r="P1323" s="3">
        <v>0.2</v>
      </c>
      <c r="Q1323" s="3">
        <v>18.239999999999998</v>
      </c>
      <c r="R1323" s="3">
        <v>7.95</v>
      </c>
      <c r="S1323" s="3">
        <f>VLOOKUP(C1323,[1]page!$C$2:$M$3071,11,0)</f>
        <v>17.16</v>
      </c>
      <c r="T1323" s="6">
        <f t="shared" ref="T1323:T1385" si="21">SUM(M1323-S1323)</f>
        <v>1.9999999999999574E-2</v>
      </c>
    </row>
    <row r="1324" spans="1:20" x14ac:dyDescent="0.2">
      <c r="A1324" t="s">
        <v>4271</v>
      </c>
      <c r="B1324" t="s">
        <v>4272</v>
      </c>
      <c r="C1324" t="s">
        <v>4273</v>
      </c>
      <c r="D1324" t="s">
        <v>4274</v>
      </c>
      <c r="E1324" t="s">
        <v>4129</v>
      </c>
      <c r="F1324" t="s">
        <v>23</v>
      </c>
      <c r="G1324" s="1">
        <v>13</v>
      </c>
      <c r="H1324" s="1">
        <v>12</v>
      </c>
      <c r="I1324" t="s">
        <v>188</v>
      </c>
      <c r="K1324" t="s">
        <v>2828</v>
      </c>
      <c r="L1324" s="1">
        <v>1</v>
      </c>
      <c r="M1324" s="3">
        <v>14.84</v>
      </c>
      <c r="N1324" s="3">
        <v>0.74</v>
      </c>
      <c r="O1324" s="3">
        <v>0</v>
      </c>
      <c r="P1324" s="3">
        <v>0.2</v>
      </c>
      <c r="Q1324" s="3">
        <v>15.78</v>
      </c>
      <c r="R1324" s="3">
        <v>7.95</v>
      </c>
      <c r="S1324" s="3">
        <f>VLOOKUP(C1324,[1]page!$C$2:$M$3071,11,0)</f>
        <v>14.82</v>
      </c>
      <c r="T1324" s="6">
        <f t="shared" si="21"/>
        <v>1.9999999999999574E-2</v>
      </c>
    </row>
    <row r="1325" spans="1:20" x14ac:dyDescent="0.2">
      <c r="A1325" t="s">
        <v>4271</v>
      </c>
      <c r="B1325" t="s">
        <v>4275</v>
      </c>
      <c r="C1325" t="s">
        <v>4276</v>
      </c>
      <c r="D1325" t="s">
        <v>4277</v>
      </c>
      <c r="E1325" t="s">
        <v>4242</v>
      </c>
      <c r="F1325" t="s">
        <v>23</v>
      </c>
      <c r="G1325" s="2">
        <v>12.5</v>
      </c>
      <c r="H1325" s="1">
        <v>12</v>
      </c>
      <c r="I1325" t="s">
        <v>70</v>
      </c>
      <c r="K1325" t="s">
        <v>2828</v>
      </c>
      <c r="L1325" s="1">
        <v>1</v>
      </c>
      <c r="M1325" s="3">
        <v>14.19</v>
      </c>
      <c r="N1325" s="3">
        <v>0.71</v>
      </c>
      <c r="O1325" s="3">
        <v>0</v>
      </c>
      <c r="P1325" s="3">
        <v>0.2</v>
      </c>
      <c r="Q1325" s="3">
        <v>15.1</v>
      </c>
      <c r="R1325" s="3">
        <v>7.95</v>
      </c>
      <c r="S1325" s="3">
        <f>VLOOKUP(C1325,[1]page!$C$2:$M$3071,11,0)</f>
        <v>14.14</v>
      </c>
      <c r="T1325" s="6">
        <f t="shared" si="21"/>
        <v>4.9999999999998934E-2</v>
      </c>
    </row>
    <row r="1326" spans="1:20" x14ac:dyDescent="0.2">
      <c r="A1326" t="s">
        <v>4278</v>
      </c>
      <c r="B1326" t="s">
        <v>4279</v>
      </c>
      <c r="C1326" t="s">
        <v>4280</v>
      </c>
      <c r="D1326" t="s">
        <v>4281</v>
      </c>
      <c r="E1326" t="s">
        <v>4195</v>
      </c>
      <c r="F1326" t="s">
        <v>23</v>
      </c>
      <c r="G1326" s="1">
        <v>12</v>
      </c>
      <c r="H1326" s="1">
        <v>12</v>
      </c>
      <c r="I1326" t="s">
        <v>257</v>
      </c>
      <c r="K1326" t="s">
        <v>2828</v>
      </c>
      <c r="L1326" s="1">
        <v>1</v>
      </c>
      <c r="M1326" s="3">
        <v>17.25</v>
      </c>
      <c r="N1326" s="3">
        <v>0.86</v>
      </c>
      <c r="O1326" s="3">
        <v>0</v>
      </c>
      <c r="P1326" s="3">
        <v>0.2</v>
      </c>
      <c r="Q1326" s="3">
        <v>18.309999999999999</v>
      </c>
      <c r="R1326" s="3">
        <v>7.95</v>
      </c>
      <c r="S1326" s="3">
        <f>VLOOKUP(C1326,[1]page!$C$2:$M$3071,11,0)</f>
        <v>17.23</v>
      </c>
      <c r="T1326" s="6">
        <f t="shared" si="21"/>
        <v>1.9999999999999574E-2</v>
      </c>
    </row>
    <row r="1327" spans="1:20" x14ac:dyDescent="0.2">
      <c r="A1327" t="s">
        <v>4282</v>
      </c>
      <c r="B1327" t="s">
        <v>4283</v>
      </c>
      <c r="C1327" t="s">
        <v>4284</v>
      </c>
      <c r="D1327" t="s">
        <v>4285</v>
      </c>
      <c r="E1327" t="s">
        <v>4286</v>
      </c>
      <c r="F1327" t="s">
        <v>23</v>
      </c>
      <c r="G1327" s="2">
        <v>12.5</v>
      </c>
      <c r="H1327" s="1">
        <v>12</v>
      </c>
      <c r="I1327" t="s">
        <v>600</v>
      </c>
      <c r="K1327" t="s">
        <v>2828</v>
      </c>
      <c r="L1327" s="1">
        <v>1</v>
      </c>
      <c r="M1327" s="3">
        <v>16.920000000000002</v>
      </c>
      <c r="N1327" s="3">
        <v>0.85</v>
      </c>
      <c r="O1327" s="3">
        <v>0</v>
      </c>
      <c r="P1327" s="3">
        <v>0.2</v>
      </c>
      <c r="Q1327" s="3">
        <v>17.97</v>
      </c>
      <c r="R1327" s="3">
        <v>7.95</v>
      </c>
      <c r="S1327" s="3">
        <f>VLOOKUP(C1327,[1]page!$C$2:$M$3071,11,0)</f>
        <v>16.89</v>
      </c>
      <c r="T1327" s="6">
        <f t="shared" si="21"/>
        <v>3.0000000000001137E-2</v>
      </c>
    </row>
    <row r="1328" spans="1:20" x14ac:dyDescent="0.2">
      <c r="A1328" t="s">
        <v>4287</v>
      </c>
      <c r="B1328" t="s">
        <v>4288</v>
      </c>
      <c r="C1328" t="s">
        <v>4289</v>
      </c>
      <c r="D1328" t="s">
        <v>4290</v>
      </c>
      <c r="E1328" t="s">
        <v>4291</v>
      </c>
      <c r="F1328" t="s">
        <v>23</v>
      </c>
      <c r="G1328" s="1">
        <v>13</v>
      </c>
      <c r="H1328" s="1">
        <v>12</v>
      </c>
      <c r="I1328" t="s">
        <v>178</v>
      </c>
      <c r="K1328" t="s">
        <v>2828</v>
      </c>
      <c r="L1328" s="1">
        <v>1</v>
      </c>
      <c r="M1328" s="3">
        <v>26.93</v>
      </c>
      <c r="N1328" s="3">
        <v>1.35</v>
      </c>
      <c r="O1328" s="3">
        <v>0</v>
      </c>
      <c r="P1328" s="3">
        <v>0.2</v>
      </c>
      <c r="Q1328" s="3">
        <v>28.48</v>
      </c>
      <c r="R1328" s="3">
        <v>7.95</v>
      </c>
      <c r="S1328" s="3">
        <f>VLOOKUP(C1328,[1]page!$C$2:$M$3071,11,0)</f>
        <v>27.17</v>
      </c>
      <c r="T1328" s="6">
        <f t="shared" si="21"/>
        <v>-0.24000000000000199</v>
      </c>
    </row>
    <row r="1329" spans="1:20" x14ac:dyDescent="0.2">
      <c r="A1329" t="s">
        <v>4292</v>
      </c>
      <c r="B1329" t="s">
        <v>4293</v>
      </c>
      <c r="C1329" t="s">
        <v>4294</v>
      </c>
      <c r="D1329" t="s">
        <v>4295</v>
      </c>
      <c r="E1329" t="s">
        <v>4133</v>
      </c>
      <c r="F1329" t="s">
        <v>23</v>
      </c>
      <c r="G1329" s="1">
        <v>13</v>
      </c>
      <c r="H1329" s="1">
        <v>12</v>
      </c>
      <c r="I1329" t="s">
        <v>70</v>
      </c>
      <c r="K1329" t="s">
        <v>2706</v>
      </c>
      <c r="L1329" s="1">
        <v>1</v>
      </c>
      <c r="M1329" s="3">
        <v>12.99</v>
      </c>
      <c r="N1329" s="3">
        <v>0.65</v>
      </c>
      <c r="O1329" s="3">
        <v>0</v>
      </c>
      <c r="P1329" s="3">
        <v>0.2</v>
      </c>
      <c r="Q1329" s="3">
        <v>13.84</v>
      </c>
      <c r="R1329" s="3">
        <v>7.95</v>
      </c>
      <c r="S1329" s="3">
        <f>VLOOKUP(C1329,[1]page!$C$2:$M$3071,11,0)</f>
        <v>12.99</v>
      </c>
      <c r="T1329" s="6">
        <f t="shared" si="21"/>
        <v>0</v>
      </c>
    </row>
    <row r="1330" spans="1:20" x14ac:dyDescent="0.2">
      <c r="A1330" t="s">
        <v>4292</v>
      </c>
      <c r="B1330" t="s">
        <v>4296</v>
      </c>
      <c r="C1330" t="s">
        <v>4297</v>
      </c>
      <c r="D1330" t="s">
        <v>4298</v>
      </c>
      <c r="E1330" t="s">
        <v>4299</v>
      </c>
      <c r="F1330" t="s">
        <v>23</v>
      </c>
      <c r="G1330" s="1">
        <v>13</v>
      </c>
      <c r="H1330" s="1">
        <v>12</v>
      </c>
      <c r="I1330" t="s">
        <v>600</v>
      </c>
      <c r="K1330" t="s">
        <v>2687</v>
      </c>
      <c r="L1330" s="1">
        <v>1</v>
      </c>
      <c r="M1330" s="3">
        <v>17.010000000000002</v>
      </c>
      <c r="N1330" s="3">
        <v>0.85</v>
      </c>
      <c r="O1330" s="3">
        <v>0</v>
      </c>
      <c r="P1330" s="3">
        <v>0.2</v>
      </c>
      <c r="Q1330" s="3">
        <v>18.059999999999999</v>
      </c>
      <c r="R1330" s="3">
        <v>7.95</v>
      </c>
      <c r="S1330" s="3">
        <f>VLOOKUP(C1330,[1]page!$C$2:$M$3071,11,0)</f>
        <v>16.989999999999998</v>
      </c>
      <c r="T1330" s="6">
        <f t="shared" si="21"/>
        <v>2.0000000000003126E-2</v>
      </c>
    </row>
    <row r="1331" spans="1:20" x14ac:dyDescent="0.2">
      <c r="A1331" t="s">
        <v>4292</v>
      </c>
      <c r="B1331" t="s">
        <v>4300</v>
      </c>
      <c r="C1331" t="s">
        <v>4301</v>
      </c>
      <c r="D1331" t="s">
        <v>4302</v>
      </c>
      <c r="E1331" t="s">
        <v>4185</v>
      </c>
      <c r="F1331" t="s">
        <v>23</v>
      </c>
      <c r="G1331" s="2">
        <v>13.5</v>
      </c>
      <c r="H1331" s="1">
        <v>12</v>
      </c>
      <c r="I1331" t="s">
        <v>183</v>
      </c>
      <c r="K1331" t="s">
        <v>2828</v>
      </c>
      <c r="L1331" s="1">
        <v>1</v>
      </c>
      <c r="M1331" s="3">
        <v>18.579999999999998</v>
      </c>
      <c r="N1331" s="3">
        <v>0.93</v>
      </c>
      <c r="O1331" s="3">
        <v>0</v>
      </c>
      <c r="P1331" s="3">
        <v>0.2</v>
      </c>
      <c r="Q1331" s="3">
        <v>19.71</v>
      </c>
      <c r="R1331" s="3">
        <v>7.95</v>
      </c>
      <c r="S1331" s="3">
        <f>VLOOKUP(C1331,[1]page!$C$2:$M$3071,11,0)</f>
        <v>18.559999999999999</v>
      </c>
      <c r="T1331" s="6">
        <f t="shared" si="21"/>
        <v>1.9999999999999574E-2</v>
      </c>
    </row>
    <row r="1332" spans="1:20" x14ac:dyDescent="0.2">
      <c r="A1332" t="s">
        <v>4303</v>
      </c>
      <c r="B1332" t="s">
        <v>4304</v>
      </c>
      <c r="C1332" t="s">
        <v>4305</v>
      </c>
      <c r="D1332" t="s">
        <v>4306</v>
      </c>
      <c r="E1332" t="s">
        <v>4307</v>
      </c>
      <c r="F1332" t="s">
        <v>23</v>
      </c>
      <c r="G1332" s="1">
        <v>14</v>
      </c>
      <c r="H1332" s="1">
        <v>12</v>
      </c>
      <c r="I1332" t="s">
        <v>57</v>
      </c>
      <c r="K1332" t="s">
        <v>2828</v>
      </c>
      <c r="L1332" s="1">
        <v>1</v>
      </c>
      <c r="M1332" s="3">
        <v>19.02</v>
      </c>
      <c r="N1332" s="3">
        <v>0.95</v>
      </c>
      <c r="O1332" s="3">
        <v>0</v>
      </c>
      <c r="P1332" s="3">
        <v>0.2</v>
      </c>
      <c r="Q1332" s="3">
        <v>20.170000000000002</v>
      </c>
      <c r="R1332" s="3">
        <v>7.95</v>
      </c>
      <c r="S1332" s="3">
        <f>VLOOKUP(C1332,[1]page!$C$2:$M$3071,11,0)</f>
        <v>19</v>
      </c>
      <c r="T1332" s="6">
        <f t="shared" si="21"/>
        <v>1.9999999999999574E-2</v>
      </c>
    </row>
    <row r="1333" spans="1:20" x14ac:dyDescent="0.2">
      <c r="A1333" t="s">
        <v>4308</v>
      </c>
      <c r="B1333" t="s">
        <v>4309</v>
      </c>
      <c r="C1333" t="s">
        <v>4310</v>
      </c>
      <c r="D1333" t="s">
        <v>4311</v>
      </c>
      <c r="E1333" t="s">
        <v>4312</v>
      </c>
      <c r="F1333" t="s">
        <v>23</v>
      </c>
      <c r="G1333" s="1">
        <v>14</v>
      </c>
      <c r="H1333" s="1">
        <v>12</v>
      </c>
      <c r="I1333" t="s">
        <v>449</v>
      </c>
      <c r="J1333" s="1">
        <v>2007</v>
      </c>
      <c r="K1333" t="s">
        <v>2828</v>
      </c>
      <c r="L1333" s="1">
        <v>1</v>
      </c>
      <c r="M1333" s="3">
        <v>53.51</v>
      </c>
      <c r="N1333" s="3">
        <v>2.68</v>
      </c>
      <c r="O1333" s="3">
        <v>0</v>
      </c>
      <c r="P1333" s="3">
        <v>0.2</v>
      </c>
      <c r="Q1333" s="3">
        <v>56.39</v>
      </c>
      <c r="R1333" s="3">
        <v>7.95</v>
      </c>
      <c r="S1333" s="3">
        <f>VLOOKUP(C1333,[1]page!$C$2:$M$3071,11,0)</f>
        <v>53.49</v>
      </c>
      <c r="T1333" s="6">
        <f t="shared" si="21"/>
        <v>1.9999999999996021E-2</v>
      </c>
    </row>
    <row r="1334" spans="1:20" x14ac:dyDescent="0.2">
      <c r="A1334" t="s">
        <v>4308</v>
      </c>
      <c r="B1334" t="s">
        <v>4313</v>
      </c>
      <c r="C1334" t="s">
        <v>4314</v>
      </c>
      <c r="D1334" t="s">
        <v>4315</v>
      </c>
      <c r="E1334" t="s">
        <v>4133</v>
      </c>
      <c r="F1334" t="s">
        <v>23</v>
      </c>
      <c r="G1334" s="1">
        <v>13</v>
      </c>
      <c r="H1334" s="1">
        <v>12</v>
      </c>
      <c r="I1334" t="s">
        <v>70</v>
      </c>
      <c r="K1334" t="s">
        <v>2828</v>
      </c>
      <c r="L1334" s="1">
        <v>1</v>
      </c>
      <c r="M1334" s="3">
        <v>17.489999999999998</v>
      </c>
      <c r="N1334" s="3">
        <v>0.87</v>
      </c>
      <c r="O1334" s="3">
        <v>0</v>
      </c>
      <c r="P1334" s="3">
        <v>0.2</v>
      </c>
      <c r="Q1334" s="3">
        <v>18.559999999999999</v>
      </c>
      <c r="R1334" s="3">
        <v>7.95</v>
      </c>
      <c r="S1334" s="3">
        <f>VLOOKUP(C1334,[1]page!$C$2:$M$3071,11,0)</f>
        <v>16.989999999999998</v>
      </c>
      <c r="T1334" s="6">
        <f t="shared" si="21"/>
        <v>0.5</v>
      </c>
    </row>
    <row r="1335" spans="1:20" x14ac:dyDescent="0.2">
      <c r="A1335" t="s">
        <v>4308</v>
      </c>
      <c r="B1335" t="s">
        <v>4316</v>
      </c>
      <c r="C1335" t="s">
        <v>4317</v>
      </c>
      <c r="D1335" t="s">
        <v>4318</v>
      </c>
      <c r="E1335" t="s">
        <v>4133</v>
      </c>
      <c r="F1335" t="s">
        <v>23</v>
      </c>
      <c r="G1335" s="1">
        <v>13</v>
      </c>
      <c r="H1335" s="1">
        <v>12</v>
      </c>
      <c r="I1335" t="s">
        <v>70</v>
      </c>
      <c r="K1335" t="s">
        <v>2828</v>
      </c>
      <c r="L1335" s="1">
        <v>1</v>
      </c>
      <c r="M1335" s="3">
        <v>12.99</v>
      </c>
      <c r="N1335" s="3">
        <v>0.65</v>
      </c>
      <c r="O1335" s="3">
        <v>0</v>
      </c>
      <c r="P1335" s="3">
        <v>0.2</v>
      </c>
      <c r="Q1335" s="3">
        <v>13.84</v>
      </c>
      <c r="R1335" s="3">
        <v>7.95</v>
      </c>
      <c r="S1335" s="3">
        <f>VLOOKUP(C1335,[1]page!$C$2:$M$3071,11,0)</f>
        <v>12.99</v>
      </c>
      <c r="T1335" s="6">
        <f t="shared" si="21"/>
        <v>0</v>
      </c>
    </row>
    <row r="1336" spans="1:20" x14ac:dyDescent="0.2">
      <c r="A1336" t="s">
        <v>4319</v>
      </c>
      <c r="B1336" t="s">
        <v>4320</v>
      </c>
      <c r="C1336" t="s">
        <v>4321</v>
      </c>
      <c r="D1336" t="s">
        <v>4322</v>
      </c>
      <c r="E1336" t="s">
        <v>4133</v>
      </c>
      <c r="F1336" t="s">
        <v>23</v>
      </c>
      <c r="G1336" s="1">
        <v>13</v>
      </c>
      <c r="H1336" s="1">
        <v>12</v>
      </c>
      <c r="I1336" t="s">
        <v>4323</v>
      </c>
      <c r="K1336" t="s">
        <v>2828</v>
      </c>
      <c r="L1336" s="1">
        <v>1</v>
      </c>
      <c r="M1336" s="3">
        <v>12.99</v>
      </c>
      <c r="N1336" s="3">
        <v>0.65</v>
      </c>
      <c r="O1336" s="3">
        <v>0</v>
      </c>
      <c r="P1336" s="3">
        <v>0.2</v>
      </c>
      <c r="Q1336" s="3">
        <v>13.84</v>
      </c>
      <c r="R1336" s="3">
        <v>7.95</v>
      </c>
      <c r="S1336" s="3">
        <f>VLOOKUP(C1336,[1]page!$C$2:$M$3071,11,0)</f>
        <v>12.99</v>
      </c>
      <c r="T1336" s="6">
        <f t="shared" si="21"/>
        <v>0</v>
      </c>
    </row>
    <row r="1337" spans="1:20" x14ac:dyDescent="0.2">
      <c r="A1337" t="s">
        <v>4324</v>
      </c>
      <c r="B1337" t="s">
        <v>4325</v>
      </c>
      <c r="C1337" t="s">
        <v>4326</v>
      </c>
      <c r="D1337" t="s">
        <v>4327</v>
      </c>
      <c r="E1337" t="s">
        <v>4307</v>
      </c>
      <c r="F1337" t="s">
        <v>23</v>
      </c>
      <c r="G1337" s="2">
        <v>14.5</v>
      </c>
      <c r="H1337" s="1">
        <v>12</v>
      </c>
      <c r="I1337" t="s">
        <v>57</v>
      </c>
      <c r="J1337" s="1">
        <v>2009</v>
      </c>
      <c r="K1337" t="s">
        <v>2828</v>
      </c>
      <c r="L1337" s="1">
        <v>1</v>
      </c>
      <c r="M1337" s="3">
        <v>44.02</v>
      </c>
      <c r="N1337" s="3">
        <v>2.2000000000000002</v>
      </c>
      <c r="O1337" s="3">
        <v>0</v>
      </c>
      <c r="P1337" s="3">
        <v>0.2</v>
      </c>
      <c r="Q1337" s="3">
        <v>46.42</v>
      </c>
      <c r="R1337" s="3">
        <v>7.95</v>
      </c>
      <c r="S1337" s="3">
        <f>VLOOKUP(C1337,[1]page!$C$2:$M$3071,11,0)</f>
        <v>44</v>
      </c>
      <c r="T1337" s="6">
        <f t="shared" si="21"/>
        <v>2.0000000000003126E-2</v>
      </c>
    </row>
    <row r="1338" spans="1:20" x14ac:dyDescent="0.2">
      <c r="A1338" t="s">
        <v>4328</v>
      </c>
      <c r="B1338" t="s">
        <v>4329</v>
      </c>
      <c r="C1338" t="s">
        <v>4330</v>
      </c>
      <c r="D1338" t="s">
        <v>4331</v>
      </c>
      <c r="E1338" t="s">
        <v>4332</v>
      </c>
      <c r="F1338" t="s">
        <v>23</v>
      </c>
      <c r="G1338" s="1">
        <v>11</v>
      </c>
      <c r="H1338" s="1">
        <v>12</v>
      </c>
      <c r="I1338" t="s">
        <v>318</v>
      </c>
      <c r="K1338" t="s">
        <v>2712</v>
      </c>
      <c r="L1338" s="1">
        <v>1</v>
      </c>
      <c r="M1338" s="3">
        <v>15.05</v>
      </c>
      <c r="N1338" s="3">
        <v>0.75</v>
      </c>
      <c r="O1338" s="3">
        <v>0</v>
      </c>
      <c r="P1338" s="3">
        <v>0.2</v>
      </c>
      <c r="Q1338" s="3">
        <v>16</v>
      </c>
      <c r="R1338" s="3">
        <v>7.95</v>
      </c>
      <c r="S1338" s="3">
        <f>VLOOKUP(C1338,[1]page!$C$2:$M$3071,11,0)</f>
        <v>14.99</v>
      </c>
      <c r="T1338" s="6">
        <f t="shared" si="21"/>
        <v>6.0000000000000497E-2</v>
      </c>
    </row>
    <row r="1339" spans="1:20" x14ac:dyDescent="0.2">
      <c r="A1339" t="s">
        <v>4333</v>
      </c>
      <c r="B1339" t="s">
        <v>4334</v>
      </c>
      <c r="C1339" t="s">
        <v>4335</v>
      </c>
      <c r="D1339" t="s">
        <v>4336</v>
      </c>
      <c r="E1339" t="s">
        <v>4337</v>
      </c>
      <c r="F1339" t="s">
        <v>87</v>
      </c>
      <c r="G1339" s="1">
        <v>9</v>
      </c>
      <c r="H1339" s="1">
        <v>4</v>
      </c>
      <c r="I1339" t="s">
        <v>188</v>
      </c>
      <c r="K1339" t="s">
        <v>2677</v>
      </c>
      <c r="L1339" s="1">
        <v>1</v>
      </c>
      <c r="M1339" s="3">
        <v>38.89</v>
      </c>
      <c r="N1339" s="3">
        <v>1.94</v>
      </c>
      <c r="O1339" s="3">
        <v>0</v>
      </c>
      <c r="P1339" s="3">
        <v>0</v>
      </c>
      <c r="Q1339" s="3">
        <v>40.83</v>
      </c>
      <c r="R1339" s="3">
        <v>26.4</v>
      </c>
      <c r="S1339" s="3">
        <f>VLOOKUP(C1339,[1]page!$C$2:$M$3071,11,0)</f>
        <v>38.799999999999997</v>
      </c>
      <c r="T1339" s="6">
        <f t="shared" si="21"/>
        <v>9.0000000000003411E-2</v>
      </c>
    </row>
    <row r="1340" spans="1:20" x14ac:dyDescent="0.2">
      <c r="A1340" t="s">
        <v>4333</v>
      </c>
      <c r="B1340" t="s">
        <v>4338</v>
      </c>
      <c r="C1340" t="s">
        <v>4339</v>
      </c>
      <c r="D1340" t="s">
        <v>4340</v>
      </c>
      <c r="E1340" t="s">
        <v>4341</v>
      </c>
      <c r="F1340" t="s">
        <v>23</v>
      </c>
      <c r="G1340" s="1">
        <v>11</v>
      </c>
      <c r="H1340" s="1">
        <v>12</v>
      </c>
      <c r="I1340" t="s">
        <v>2179</v>
      </c>
      <c r="K1340" t="s">
        <v>2687</v>
      </c>
      <c r="L1340" s="1">
        <v>1</v>
      </c>
      <c r="M1340" s="3">
        <v>13.63</v>
      </c>
      <c r="N1340" s="3">
        <v>0.68</v>
      </c>
      <c r="O1340" s="3">
        <v>0</v>
      </c>
      <c r="P1340" s="3">
        <v>0.2</v>
      </c>
      <c r="Q1340" s="3">
        <v>14.51</v>
      </c>
      <c r="R1340" s="3">
        <v>7.95</v>
      </c>
      <c r="S1340" s="3">
        <f>VLOOKUP(C1340,[1]page!$C$2:$M$3071,11,0)</f>
        <v>13.6</v>
      </c>
      <c r="T1340" s="6">
        <f t="shared" si="21"/>
        <v>3.0000000000001137E-2</v>
      </c>
    </row>
    <row r="1341" spans="1:20" x14ac:dyDescent="0.2">
      <c r="A1341" t="s">
        <v>4342</v>
      </c>
      <c r="B1341" t="s">
        <v>4343</v>
      </c>
      <c r="C1341" t="s">
        <v>4344</v>
      </c>
      <c r="D1341" t="s">
        <v>4345</v>
      </c>
      <c r="E1341" t="s">
        <v>4346</v>
      </c>
      <c r="F1341" t="s">
        <v>23</v>
      </c>
      <c r="G1341" s="1">
        <v>12</v>
      </c>
      <c r="H1341" s="1">
        <v>12</v>
      </c>
      <c r="I1341" t="s">
        <v>257</v>
      </c>
      <c r="K1341" t="s">
        <v>2706</v>
      </c>
      <c r="L1341" s="1">
        <v>1</v>
      </c>
      <c r="M1341" s="3">
        <v>15.27</v>
      </c>
      <c r="N1341" s="3">
        <v>0.76</v>
      </c>
      <c r="O1341" s="3">
        <v>0</v>
      </c>
      <c r="P1341" s="3">
        <v>0.2</v>
      </c>
      <c r="Q1341" s="3">
        <v>16.23</v>
      </c>
      <c r="R1341" s="3">
        <v>7.95</v>
      </c>
      <c r="S1341" s="3">
        <f>VLOOKUP(C1341,[1]page!$C$2:$M$3071,11,0)</f>
        <v>15.36</v>
      </c>
      <c r="T1341" s="6">
        <f t="shared" si="21"/>
        <v>-8.9999999999999858E-2</v>
      </c>
    </row>
    <row r="1342" spans="1:20" x14ac:dyDescent="0.2">
      <c r="A1342" t="s">
        <v>4342</v>
      </c>
      <c r="B1342" t="s">
        <v>4347</v>
      </c>
      <c r="C1342" t="s">
        <v>4348</v>
      </c>
      <c r="D1342" t="s">
        <v>4349</v>
      </c>
      <c r="E1342" t="s">
        <v>4350</v>
      </c>
      <c r="F1342" t="s">
        <v>23</v>
      </c>
      <c r="G1342" s="1">
        <v>11</v>
      </c>
      <c r="H1342" s="1">
        <v>12</v>
      </c>
      <c r="I1342" t="s">
        <v>257</v>
      </c>
      <c r="K1342" t="s">
        <v>2706</v>
      </c>
      <c r="L1342" s="1">
        <v>1</v>
      </c>
      <c r="M1342" s="3">
        <v>15.31</v>
      </c>
      <c r="N1342" s="3">
        <v>0.77</v>
      </c>
      <c r="O1342" s="3">
        <v>0</v>
      </c>
      <c r="P1342" s="3">
        <v>0.2</v>
      </c>
      <c r="Q1342" s="3">
        <v>16.28</v>
      </c>
      <c r="R1342" s="3">
        <v>7.95</v>
      </c>
      <c r="S1342" s="3">
        <f>VLOOKUP(C1342,[1]page!$C$2:$M$3071,11,0)</f>
        <v>15.62</v>
      </c>
      <c r="T1342" s="6">
        <f t="shared" si="21"/>
        <v>-0.30999999999999872</v>
      </c>
    </row>
    <row r="1343" spans="1:20" x14ac:dyDescent="0.2">
      <c r="A1343" t="s">
        <v>4351</v>
      </c>
      <c r="B1343" t="s">
        <v>4352</v>
      </c>
      <c r="C1343" t="s">
        <v>4353</v>
      </c>
      <c r="D1343" t="s">
        <v>4354</v>
      </c>
      <c r="E1343" t="s">
        <v>4355</v>
      </c>
      <c r="F1343" t="s">
        <v>23</v>
      </c>
      <c r="G1343" s="2">
        <v>8.5</v>
      </c>
      <c r="H1343" s="1">
        <v>6</v>
      </c>
      <c r="I1343" t="s">
        <v>4356</v>
      </c>
      <c r="K1343" t="s">
        <v>2706</v>
      </c>
      <c r="L1343" s="1">
        <v>1</v>
      </c>
      <c r="M1343" s="3">
        <v>21.43</v>
      </c>
      <c r="N1343" s="3">
        <v>1.07</v>
      </c>
      <c r="O1343" s="3">
        <v>0</v>
      </c>
      <c r="P1343" s="3">
        <v>0.2</v>
      </c>
      <c r="Q1343" s="3">
        <v>22.7</v>
      </c>
      <c r="R1343" s="3">
        <v>7.95</v>
      </c>
      <c r="S1343" s="3">
        <f>VLOOKUP(C1343,[1]page!$C$2:$M$3071,11,0)</f>
        <v>21.41</v>
      </c>
      <c r="T1343" s="6">
        <f t="shared" si="21"/>
        <v>1.9999999999999574E-2</v>
      </c>
    </row>
    <row r="1344" spans="1:20" x14ac:dyDescent="0.2">
      <c r="A1344" t="s">
        <v>4351</v>
      </c>
      <c r="B1344" t="s">
        <v>4357</v>
      </c>
      <c r="C1344" t="s">
        <v>4358</v>
      </c>
      <c r="D1344" t="s">
        <v>4359</v>
      </c>
      <c r="E1344" t="s">
        <v>4346</v>
      </c>
      <c r="F1344" t="s">
        <v>23</v>
      </c>
      <c r="G1344" s="2">
        <v>8.5</v>
      </c>
      <c r="H1344" s="1">
        <v>12</v>
      </c>
      <c r="I1344" t="s">
        <v>257</v>
      </c>
      <c r="K1344" t="s">
        <v>2706</v>
      </c>
      <c r="L1344" s="1">
        <v>1</v>
      </c>
      <c r="M1344" s="3">
        <v>15.27</v>
      </c>
      <c r="N1344" s="3">
        <v>0.76</v>
      </c>
      <c r="O1344" s="3">
        <v>0</v>
      </c>
      <c r="P1344" s="3">
        <v>0.2</v>
      </c>
      <c r="Q1344" s="3">
        <v>16.23</v>
      </c>
      <c r="R1344" s="3">
        <v>7.95</v>
      </c>
      <c r="S1344" s="3">
        <f>VLOOKUP(C1344,[1]page!$C$2:$M$3071,11,0)</f>
        <v>15.36</v>
      </c>
      <c r="T1344" s="6">
        <f t="shared" si="21"/>
        <v>-8.9999999999999858E-2</v>
      </c>
    </row>
    <row r="1345" spans="1:20" x14ac:dyDescent="0.2">
      <c r="A1345" t="s">
        <v>4360</v>
      </c>
      <c r="B1345" t="s">
        <v>4361</v>
      </c>
      <c r="C1345" t="s">
        <v>4362</v>
      </c>
      <c r="D1345" t="s">
        <v>4363</v>
      </c>
      <c r="E1345" t="s">
        <v>4341</v>
      </c>
      <c r="F1345" t="s">
        <v>23</v>
      </c>
      <c r="G1345" s="1">
        <v>9</v>
      </c>
      <c r="H1345" s="1">
        <v>12</v>
      </c>
      <c r="I1345" t="s">
        <v>2179</v>
      </c>
      <c r="K1345" t="s">
        <v>2712</v>
      </c>
      <c r="L1345" s="1">
        <v>1</v>
      </c>
      <c r="M1345" s="3">
        <v>13.63</v>
      </c>
      <c r="N1345" s="3">
        <v>0.68</v>
      </c>
      <c r="O1345" s="3">
        <v>0</v>
      </c>
      <c r="P1345" s="3">
        <v>0.2</v>
      </c>
      <c r="Q1345" s="3">
        <v>14.51</v>
      </c>
      <c r="R1345" s="3">
        <v>7.95</v>
      </c>
      <c r="S1345" s="3">
        <f>VLOOKUP(C1345,[1]page!$C$2:$M$3071,11,0)</f>
        <v>13.6</v>
      </c>
      <c r="T1345" s="6">
        <f t="shared" si="21"/>
        <v>3.0000000000001137E-2</v>
      </c>
    </row>
    <row r="1346" spans="1:20" x14ac:dyDescent="0.2">
      <c r="A1346" t="s">
        <v>4364</v>
      </c>
      <c r="B1346" t="s">
        <v>4365</v>
      </c>
      <c r="C1346" t="s">
        <v>4366</v>
      </c>
      <c r="D1346" t="s">
        <v>4367</v>
      </c>
      <c r="E1346" t="s">
        <v>4332</v>
      </c>
      <c r="F1346" t="s">
        <v>23</v>
      </c>
      <c r="G1346" s="2">
        <v>10.5</v>
      </c>
      <c r="H1346" s="1">
        <v>12</v>
      </c>
      <c r="I1346" t="s">
        <v>318</v>
      </c>
      <c r="K1346" t="s">
        <v>2677</v>
      </c>
      <c r="L1346" s="1">
        <v>1</v>
      </c>
      <c r="M1346" s="3">
        <v>15.05</v>
      </c>
      <c r="N1346" s="3">
        <v>0.75</v>
      </c>
      <c r="O1346" s="3">
        <v>0</v>
      </c>
      <c r="P1346" s="3">
        <v>0.2</v>
      </c>
      <c r="Q1346" s="3">
        <v>16</v>
      </c>
      <c r="R1346" s="3">
        <v>7.95</v>
      </c>
      <c r="S1346" s="3">
        <f>VLOOKUP(C1346,[1]page!$C$2:$M$3071,11,0)</f>
        <v>14.99</v>
      </c>
      <c r="T1346" s="6">
        <f t="shared" si="21"/>
        <v>6.0000000000000497E-2</v>
      </c>
    </row>
    <row r="1347" spans="1:20" x14ac:dyDescent="0.2">
      <c r="A1347" t="s">
        <v>4368</v>
      </c>
      <c r="B1347" t="s">
        <v>4369</v>
      </c>
      <c r="C1347" t="s">
        <v>4370</v>
      </c>
      <c r="D1347" t="s">
        <v>4371</v>
      </c>
      <c r="E1347" t="s">
        <v>4372</v>
      </c>
      <c r="F1347" t="s">
        <v>23</v>
      </c>
      <c r="G1347" s="1">
        <v>11</v>
      </c>
      <c r="H1347" s="1">
        <v>12</v>
      </c>
      <c r="I1347" t="s">
        <v>4373</v>
      </c>
      <c r="K1347" t="s">
        <v>2677</v>
      </c>
      <c r="L1347" s="1">
        <v>1</v>
      </c>
      <c r="M1347" s="3">
        <v>16.399999999999999</v>
      </c>
      <c r="N1347" s="3">
        <v>0.82</v>
      </c>
      <c r="O1347" s="3">
        <v>0</v>
      </c>
      <c r="P1347" s="3">
        <v>0.2</v>
      </c>
      <c r="Q1347" s="3">
        <v>17.420000000000002</v>
      </c>
      <c r="R1347" s="3">
        <v>7.95</v>
      </c>
      <c r="S1347" s="3">
        <f>VLOOKUP(C1347,[1]page!$C$2:$M$3071,11,0)</f>
        <v>16.5</v>
      </c>
      <c r="T1347" s="6">
        <f t="shared" si="21"/>
        <v>-0.10000000000000142</v>
      </c>
    </row>
    <row r="1348" spans="1:20" x14ac:dyDescent="0.2">
      <c r="A1348" t="s">
        <v>4374</v>
      </c>
      <c r="B1348" t="s">
        <v>4375</v>
      </c>
      <c r="C1348" t="s">
        <v>4376</v>
      </c>
      <c r="D1348" t="s">
        <v>4377</v>
      </c>
      <c r="E1348" t="s">
        <v>4378</v>
      </c>
      <c r="F1348" t="s">
        <v>23</v>
      </c>
      <c r="G1348" s="1">
        <v>10</v>
      </c>
      <c r="H1348" s="1">
        <v>12</v>
      </c>
      <c r="I1348" t="s">
        <v>57</v>
      </c>
      <c r="K1348" t="s">
        <v>2677</v>
      </c>
      <c r="L1348" s="1">
        <v>1</v>
      </c>
      <c r="M1348" s="3">
        <v>14.02</v>
      </c>
      <c r="N1348" s="3">
        <v>0.7</v>
      </c>
      <c r="O1348" s="3">
        <v>0</v>
      </c>
      <c r="P1348" s="3">
        <v>0.2</v>
      </c>
      <c r="Q1348" s="3">
        <v>14.92</v>
      </c>
      <c r="R1348" s="3">
        <v>7.95</v>
      </c>
      <c r="S1348" s="3">
        <f>VLOOKUP(C1348,[1]page!$C$2:$M$3071,11,0)</f>
        <v>14</v>
      </c>
      <c r="T1348" s="6">
        <f t="shared" si="21"/>
        <v>1.9999999999999574E-2</v>
      </c>
    </row>
    <row r="1349" spans="1:20" x14ac:dyDescent="0.2">
      <c r="A1349" t="s">
        <v>4374</v>
      </c>
      <c r="B1349" t="s">
        <v>4379</v>
      </c>
      <c r="C1349" t="s">
        <v>4380</v>
      </c>
      <c r="D1349" t="s">
        <v>4381</v>
      </c>
      <c r="E1349" t="s">
        <v>4332</v>
      </c>
      <c r="F1349" t="s">
        <v>23</v>
      </c>
      <c r="G1349" s="2">
        <v>10.5</v>
      </c>
      <c r="H1349" s="1">
        <v>12</v>
      </c>
      <c r="I1349" t="s">
        <v>318</v>
      </c>
      <c r="K1349" t="s">
        <v>2712</v>
      </c>
      <c r="L1349" s="1">
        <v>1</v>
      </c>
      <c r="M1349" s="3">
        <v>15.05</v>
      </c>
      <c r="N1349" s="3">
        <v>0.75</v>
      </c>
      <c r="O1349" s="3">
        <v>0</v>
      </c>
      <c r="P1349" s="3">
        <v>0.2</v>
      </c>
      <c r="Q1349" s="3">
        <v>16</v>
      </c>
      <c r="R1349" s="3">
        <v>7.95</v>
      </c>
      <c r="S1349" s="3">
        <f>VLOOKUP(C1349,[1]page!$C$2:$M$3071,11,0)</f>
        <v>14.99</v>
      </c>
      <c r="T1349" s="6">
        <f t="shared" si="21"/>
        <v>6.0000000000000497E-2</v>
      </c>
    </row>
    <row r="1350" spans="1:20" x14ac:dyDescent="0.2">
      <c r="A1350" t="s">
        <v>4374</v>
      </c>
      <c r="B1350" t="s">
        <v>4382</v>
      </c>
      <c r="C1350" t="s">
        <v>4383</v>
      </c>
      <c r="D1350" t="s">
        <v>4384</v>
      </c>
      <c r="E1350" t="s">
        <v>4332</v>
      </c>
      <c r="F1350" t="s">
        <v>23</v>
      </c>
      <c r="G1350" s="2">
        <v>9.5</v>
      </c>
      <c r="H1350" s="1">
        <v>12</v>
      </c>
      <c r="I1350" t="s">
        <v>318</v>
      </c>
      <c r="K1350" t="s">
        <v>2712</v>
      </c>
      <c r="L1350" s="1">
        <v>1</v>
      </c>
      <c r="M1350" s="3">
        <v>15.05</v>
      </c>
      <c r="N1350" s="3">
        <v>0.75</v>
      </c>
      <c r="O1350" s="3">
        <v>0</v>
      </c>
      <c r="P1350" s="3">
        <v>0.2</v>
      </c>
      <c r="Q1350" s="3">
        <v>16</v>
      </c>
      <c r="R1350" s="3">
        <v>7.95</v>
      </c>
      <c r="S1350" s="3">
        <f>VLOOKUP(C1350,[1]page!$C$2:$M$3071,11,0)</f>
        <v>14.99</v>
      </c>
      <c r="T1350" s="6">
        <f t="shared" si="21"/>
        <v>6.0000000000000497E-2</v>
      </c>
    </row>
    <row r="1351" spans="1:20" x14ac:dyDescent="0.2">
      <c r="A1351" t="s">
        <v>4385</v>
      </c>
      <c r="B1351" t="s">
        <v>4386</v>
      </c>
      <c r="C1351" t="s">
        <v>4387</v>
      </c>
      <c r="D1351" t="s">
        <v>4388</v>
      </c>
      <c r="E1351" t="s">
        <v>4372</v>
      </c>
      <c r="F1351" t="s">
        <v>23</v>
      </c>
      <c r="G1351" s="1">
        <v>11</v>
      </c>
      <c r="H1351" s="1">
        <v>12</v>
      </c>
      <c r="I1351" t="s">
        <v>4373</v>
      </c>
      <c r="K1351" t="s">
        <v>2712</v>
      </c>
      <c r="L1351" s="1">
        <v>1</v>
      </c>
      <c r="M1351" s="3">
        <v>16.399999999999999</v>
      </c>
      <c r="N1351" s="3">
        <v>0.82</v>
      </c>
      <c r="O1351" s="3">
        <v>0</v>
      </c>
      <c r="P1351" s="3">
        <v>0.2</v>
      </c>
      <c r="Q1351" s="3">
        <v>17.420000000000002</v>
      </c>
      <c r="R1351" s="3">
        <v>7.95</v>
      </c>
      <c r="S1351" s="3">
        <f>VLOOKUP(C1351,[1]page!$C$2:$M$3071,11,0)</f>
        <v>16.5</v>
      </c>
      <c r="T1351" s="6">
        <f t="shared" si="21"/>
        <v>-0.10000000000000142</v>
      </c>
    </row>
    <row r="1352" spans="1:20" x14ac:dyDescent="0.2">
      <c r="A1352" t="s">
        <v>4385</v>
      </c>
      <c r="B1352" t="s">
        <v>4389</v>
      </c>
      <c r="C1352" t="s">
        <v>4390</v>
      </c>
      <c r="D1352" t="s">
        <v>4391</v>
      </c>
      <c r="E1352" t="s">
        <v>4392</v>
      </c>
      <c r="F1352" t="s">
        <v>23</v>
      </c>
      <c r="G1352" s="1">
        <v>8</v>
      </c>
      <c r="H1352" s="1">
        <v>12</v>
      </c>
      <c r="I1352" t="s">
        <v>3653</v>
      </c>
      <c r="K1352" t="s">
        <v>2706</v>
      </c>
      <c r="L1352" s="1">
        <v>1</v>
      </c>
      <c r="M1352" s="3">
        <v>12.58</v>
      </c>
      <c r="N1352" s="3">
        <v>0.63</v>
      </c>
      <c r="O1352" s="3">
        <v>0</v>
      </c>
      <c r="P1352" s="3">
        <v>0.2</v>
      </c>
      <c r="Q1352" s="3">
        <v>13.41</v>
      </c>
      <c r="R1352" s="3">
        <v>7.95</v>
      </c>
      <c r="S1352" s="3">
        <f>VLOOKUP(C1352,[1]page!$C$2:$M$3071,11,0)</f>
        <v>12.55</v>
      </c>
      <c r="T1352" s="6">
        <f t="shared" si="21"/>
        <v>2.9999999999999361E-2</v>
      </c>
    </row>
    <row r="1353" spans="1:20" x14ac:dyDescent="0.2">
      <c r="A1353" t="s">
        <v>4393</v>
      </c>
      <c r="B1353" t="s">
        <v>4394</v>
      </c>
      <c r="C1353" t="s">
        <v>4395</v>
      </c>
      <c r="D1353" t="s">
        <v>4396</v>
      </c>
      <c r="E1353" t="s">
        <v>4337</v>
      </c>
      <c r="F1353" t="s">
        <v>23</v>
      </c>
      <c r="G1353" s="2">
        <v>10.199999999999999</v>
      </c>
      <c r="H1353" s="1">
        <v>12</v>
      </c>
      <c r="I1353" t="s">
        <v>3653</v>
      </c>
      <c r="K1353" t="s">
        <v>2706</v>
      </c>
      <c r="L1353" s="1">
        <v>1</v>
      </c>
      <c r="M1353" s="3">
        <v>10.79</v>
      </c>
      <c r="N1353" s="3">
        <v>0.54</v>
      </c>
      <c r="O1353" s="3">
        <v>0</v>
      </c>
      <c r="P1353" s="3">
        <v>0.2</v>
      </c>
      <c r="Q1353" s="3">
        <v>11.53</v>
      </c>
      <c r="R1353" s="3">
        <v>7.95</v>
      </c>
      <c r="S1353" s="3">
        <f>VLOOKUP(C1353,[1]page!$C$2:$M$3071,11,0)</f>
        <v>10.74</v>
      </c>
      <c r="T1353" s="6">
        <f t="shared" si="21"/>
        <v>4.9999999999998934E-2</v>
      </c>
    </row>
    <row r="1354" spans="1:20" x14ac:dyDescent="0.2">
      <c r="A1354" t="s">
        <v>4397</v>
      </c>
      <c r="B1354" t="s">
        <v>4398</v>
      </c>
      <c r="C1354" t="s">
        <v>4399</v>
      </c>
      <c r="D1354" t="s">
        <v>4400</v>
      </c>
      <c r="E1354" t="s">
        <v>4401</v>
      </c>
      <c r="F1354" t="s">
        <v>23</v>
      </c>
      <c r="G1354" s="2">
        <v>9.5</v>
      </c>
      <c r="H1354" s="1">
        <v>12</v>
      </c>
      <c r="I1354" t="s">
        <v>34</v>
      </c>
      <c r="K1354" t="s">
        <v>2706</v>
      </c>
      <c r="L1354" s="1">
        <v>1</v>
      </c>
      <c r="M1354" s="3">
        <v>11.23</v>
      </c>
      <c r="N1354" s="3">
        <v>0.56000000000000005</v>
      </c>
      <c r="O1354" s="3">
        <v>0</v>
      </c>
      <c r="P1354" s="3">
        <v>0.2</v>
      </c>
      <c r="Q1354" s="3">
        <v>11.99</v>
      </c>
      <c r="R1354" s="3">
        <v>7.95</v>
      </c>
      <c r="S1354" s="3">
        <f>VLOOKUP(C1354,[1]page!$C$2:$M$3071,11,0)</f>
        <v>11.21</v>
      </c>
      <c r="T1354" s="6">
        <f t="shared" si="21"/>
        <v>1.9999999999999574E-2</v>
      </c>
    </row>
    <row r="1355" spans="1:20" x14ac:dyDescent="0.2">
      <c r="A1355" t="s">
        <v>4397</v>
      </c>
      <c r="B1355" t="s">
        <v>4402</v>
      </c>
      <c r="C1355" t="s">
        <v>4403</v>
      </c>
      <c r="D1355" t="s">
        <v>4404</v>
      </c>
      <c r="E1355" t="s">
        <v>4401</v>
      </c>
      <c r="F1355" t="s">
        <v>23</v>
      </c>
      <c r="G1355" s="2">
        <v>9.5</v>
      </c>
      <c r="H1355" s="1">
        <v>12</v>
      </c>
      <c r="I1355" t="s">
        <v>34</v>
      </c>
      <c r="K1355" t="s">
        <v>2687</v>
      </c>
      <c r="L1355" s="1">
        <v>1</v>
      </c>
      <c r="M1355" s="3">
        <v>11.83</v>
      </c>
      <c r="N1355" s="3">
        <v>0.59</v>
      </c>
      <c r="O1355" s="3">
        <v>0</v>
      </c>
      <c r="P1355" s="3">
        <v>0.2</v>
      </c>
      <c r="Q1355" s="3">
        <v>12.62</v>
      </c>
      <c r="R1355" s="3">
        <v>7.95</v>
      </c>
      <c r="S1355" s="3">
        <f>VLOOKUP(C1355,[1]page!$C$2:$M$3071,11,0)</f>
        <v>11.81</v>
      </c>
      <c r="T1355" s="6">
        <f t="shared" si="21"/>
        <v>1.9999999999999574E-2</v>
      </c>
    </row>
    <row r="1356" spans="1:20" x14ac:dyDescent="0.2">
      <c r="A1356" t="s">
        <v>4405</v>
      </c>
      <c r="B1356" t="s">
        <v>4406</v>
      </c>
      <c r="C1356" t="s">
        <v>4407</v>
      </c>
      <c r="D1356" t="s">
        <v>4408</v>
      </c>
      <c r="E1356" t="s">
        <v>4341</v>
      </c>
      <c r="F1356" t="s">
        <v>23</v>
      </c>
      <c r="G1356" s="1">
        <v>10</v>
      </c>
      <c r="H1356" s="1">
        <v>12</v>
      </c>
      <c r="I1356" t="s">
        <v>2179</v>
      </c>
      <c r="K1356" t="s">
        <v>2706</v>
      </c>
      <c r="L1356" s="1">
        <v>1</v>
      </c>
      <c r="M1356" s="3">
        <v>13.63</v>
      </c>
      <c r="N1356" s="3">
        <v>0.68</v>
      </c>
      <c r="O1356" s="3">
        <v>0</v>
      </c>
      <c r="P1356" s="3">
        <v>0.2</v>
      </c>
      <c r="Q1356" s="3">
        <v>14.51</v>
      </c>
      <c r="R1356" s="3">
        <v>7.95</v>
      </c>
      <c r="S1356" s="3">
        <f>VLOOKUP(C1356,[1]page!$C$2:$M$3071,11,0)</f>
        <v>13.6</v>
      </c>
      <c r="T1356" s="6">
        <f t="shared" si="21"/>
        <v>3.0000000000001137E-2</v>
      </c>
    </row>
    <row r="1357" spans="1:20" x14ac:dyDescent="0.2">
      <c r="A1357" t="s">
        <v>4409</v>
      </c>
      <c r="B1357" t="s">
        <v>4410</v>
      </c>
      <c r="C1357" t="s">
        <v>4411</v>
      </c>
      <c r="D1357" t="s">
        <v>4412</v>
      </c>
      <c r="E1357" t="s">
        <v>2791</v>
      </c>
      <c r="F1357" t="s">
        <v>23</v>
      </c>
      <c r="G1357" s="1">
        <v>7</v>
      </c>
      <c r="H1357" s="1">
        <v>12</v>
      </c>
      <c r="I1357" t="s">
        <v>1604</v>
      </c>
      <c r="K1357" t="s">
        <v>2712</v>
      </c>
      <c r="L1357" s="1">
        <v>1</v>
      </c>
      <c r="M1357" s="3">
        <v>11.86</v>
      </c>
      <c r="N1357" s="3">
        <v>0.59</v>
      </c>
      <c r="O1357" s="3">
        <v>0</v>
      </c>
      <c r="P1357" s="3">
        <v>0.2</v>
      </c>
      <c r="Q1357" s="3">
        <v>12.65</v>
      </c>
      <c r="R1357" s="3">
        <v>7.95</v>
      </c>
      <c r="S1357" s="3">
        <f>VLOOKUP(C1357,[1]page!$C$2:$M$3071,11,0)</f>
        <v>11.85</v>
      </c>
      <c r="T1357" s="6">
        <f t="shared" si="21"/>
        <v>9.9999999999997868E-3</v>
      </c>
    </row>
    <row r="1358" spans="1:20" x14ac:dyDescent="0.2">
      <c r="A1358" t="s">
        <v>4409</v>
      </c>
      <c r="B1358" t="s">
        <v>4413</v>
      </c>
      <c r="C1358" t="s">
        <v>4414</v>
      </c>
      <c r="D1358" t="s">
        <v>4415</v>
      </c>
      <c r="E1358" t="s">
        <v>4416</v>
      </c>
      <c r="F1358" t="s">
        <v>23</v>
      </c>
      <c r="G1358" s="1">
        <v>14</v>
      </c>
      <c r="H1358" s="1">
        <v>12</v>
      </c>
      <c r="I1358" t="s">
        <v>397</v>
      </c>
      <c r="K1358" t="s">
        <v>2828</v>
      </c>
      <c r="L1358" s="1">
        <v>1</v>
      </c>
      <c r="M1358" s="3">
        <v>15.96</v>
      </c>
      <c r="N1358" s="3">
        <v>0.8</v>
      </c>
      <c r="O1358" s="3">
        <v>0</v>
      </c>
      <c r="P1358" s="3">
        <v>0.2</v>
      </c>
      <c r="Q1358" s="3">
        <v>16.96</v>
      </c>
      <c r="R1358" s="3">
        <v>7.95</v>
      </c>
      <c r="S1358" s="3">
        <f>VLOOKUP(C1358,[1]page!$C$2:$M$3071,11,0)</f>
        <v>15.94</v>
      </c>
      <c r="T1358" s="6">
        <f t="shared" si="21"/>
        <v>2.000000000000135E-2</v>
      </c>
    </row>
    <row r="1359" spans="1:20" x14ac:dyDescent="0.2">
      <c r="A1359" t="s">
        <v>4409</v>
      </c>
      <c r="B1359" t="s">
        <v>4417</v>
      </c>
      <c r="C1359" t="s">
        <v>4418</v>
      </c>
      <c r="D1359" t="s">
        <v>4419</v>
      </c>
      <c r="E1359" t="s">
        <v>4420</v>
      </c>
      <c r="F1359" t="s">
        <v>23</v>
      </c>
      <c r="G1359" s="1">
        <v>12</v>
      </c>
      <c r="H1359" s="1">
        <v>12</v>
      </c>
      <c r="I1359" t="s">
        <v>600</v>
      </c>
      <c r="K1359" t="s">
        <v>2687</v>
      </c>
      <c r="L1359" s="1">
        <v>1</v>
      </c>
      <c r="M1359" s="3">
        <v>14.81</v>
      </c>
      <c r="N1359" s="3">
        <v>0.74</v>
      </c>
      <c r="O1359" s="3">
        <v>0</v>
      </c>
      <c r="P1359" s="3">
        <v>0.2</v>
      </c>
      <c r="Q1359" s="3">
        <v>15.75</v>
      </c>
      <c r="R1359" s="3">
        <v>7.95</v>
      </c>
      <c r="S1359" s="3">
        <f>VLOOKUP(C1359,[1]page!$C$2:$M$3071,11,0)</f>
        <v>14.79</v>
      </c>
      <c r="T1359" s="6">
        <f t="shared" si="21"/>
        <v>2.000000000000135E-2</v>
      </c>
    </row>
    <row r="1360" spans="1:20" x14ac:dyDescent="0.2">
      <c r="A1360" t="s">
        <v>4409</v>
      </c>
      <c r="B1360" t="s">
        <v>4421</v>
      </c>
      <c r="C1360" t="s">
        <v>4422</v>
      </c>
      <c r="D1360" t="s">
        <v>4423</v>
      </c>
      <c r="E1360" t="s">
        <v>4424</v>
      </c>
      <c r="F1360" t="s">
        <v>87</v>
      </c>
      <c r="G1360" s="1">
        <v>13</v>
      </c>
      <c r="H1360" s="1">
        <v>4</v>
      </c>
      <c r="I1360" t="s">
        <v>397</v>
      </c>
      <c r="K1360" t="s">
        <v>2706</v>
      </c>
      <c r="L1360" s="1">
        <v>1</v>
      </c>
      <c r="M1360" s="3">
        <v>36.69</v>
      </c>
      <c r="N1360" s="3">
        <v>1.83</v>
      </c>
      <c r="O1360" s="3">
        <v>0</v>
      </c>
      <c r="P1360" s="3">
        <v>0</v>
      </c>
      <c r="Q1360" s="3">
        <v>38.520000000000003</v>
      </c>
      <c r="R1360" s="3">
        <v>26.4</v>
      </c>
      <c r="S1360" s="3">
        <f>VLOOKUP(C1360,[1]page!$C$2:$M$3071,11,0)</f>
        <v>36.6</v>
      </c>
      <c r="T1360" s="6">
        <f t="shared" si="21"/>
        <v>8.9999999999996305E-2</v>
      </c>
    </row>
    <row r="1361" spans="1:20" x14ac:dyDescent="0.2">
      <c r="A1361" t="s">
        <v>4425</v>
      </c>
      <c r="B1361" t="s">
        <v>4426</v>
      </c>
      <c r="C1361" t="s">
        <v>4427</v>
      </c>
      <c r="D1361" t="s">
        <v>4428</v>
      </c>
      <c r="E1361" t="s">
        <v>200</v>
      </c>
      <c r="F1361" t="s">
        <v>23</v>
      </c>
      <c r="G1361" s="1">
        <v>12</v>
      </c>
      <c r="H1361" s="1">
        <v>12</v>
      </c>
      <c r="I1361" t="s">
        <v>201</v>
      </c>
      <c r="K1361" t="s">
        <v>2687</v>
      </c>
      <c r="L1361" s="1">
        <v>1</v>
      </c>
      <c r="M1361" s="3">
        <v>11.61</v>
      </c>
      <c r="N1361" s="3">
        <v>0.57999999999999996</v>
      </c>
      <c r="O1361" s="3">
        <v>0</v>
      </c>
      <c r="P1361" s="3">
        <v>0.2</v>
      </c>
      <c r="Q1361" s="3">
        <v>12.39</v>
      </c>
      <c r="R1361" s="3">
        <v>7.95</v>
      </c>
      <c r="S1361" s="3">
        <f>VLOOKUP(C1361,[1]page!$C$2:$M$3071,11,0)</f>
        <v>11.61</v>
      </c>
      <c r="T1361" s="6">
        <f t="shared" si="21"/>
        <v>0</v>
      </c>
    </row>
    <row r="1362" spans="1:20" x14ac:dyDescent="0.2">
      <c r="A1362" t="s">
        <v>4425</v>
      </c>
      <c r="B1362" t="s">
        <v>4429</v>
      </c>
      <c r="C1362" t="s">
        <v>4430</v>
      </c>
      <c r="D1362" t="s">
        <v>4431</v>
      </c>
      <c r="E1362" t="s">
        <v>2791</v>
      </c>
      <c r="F1362" t="s">
        <v>23</v>
      </c>
      <c r="G1362" s="1">
        <v>9</v>
      </c>
      <c r="H1362" s="1">
        <v>12</v>
      </c>
      <c r="I1362" t="s">
        <v>1604</v>
      </c>
      <c r="K1362" t="s">
        <v>2687</v>
      </c>
      <c r="L1362" s="1">
        <v>1</v>
      </c>
      <c r="M1362" s="3">
        <v>12.56</v>
      </c>
      <c r="N1362" s="3">
        <v>0.63</v>
      </c>
      <c r="O1362" s="3">
        <v>0</v>
      </c>
      <c r="P1362" s="3">
        <v>0.2</v>
      </c>
      <c r="Q1362" s="3">
        <v>13.39</v>
      </c>
      <c r="R1362" s="3">
        <v>7.95</v>
      </c>
      <c r="S1362" s="3">
        <f>VLOOKUP(C1362,[1]page!$C$2:$M$3071,11,0)</f>
        <v>12.54</v>
      </c>
      <c r="T1362" s="6">
        <f t="shared" si="21"/>
        <v>2.000000000000135E-2</v>
      </c>
    </row>
    <row r="1363" spans="1:20" x14ac:dyDescent="0.2">
      <c r="A1363" t="s">
        <v>4425</v>
      </c>
      <c r="B1363" t="s">
        <v>4432</v>
      </c>
      <c r="C1363" t="s">
        <v>4433</v>
      </c>
      <c r="D1363" t="s">
        <v>4434</v>
      </c>
      <c r="E1363" t="s">
        <v>4435</v>
      </c>
      <c r="F1363" t="s">
        <v>23</v>
      </c>
      <c r="G1363" s="2">
        <v>12.5</v>
      </c>
      <c r="H1363" s="1">
        <v>12</v>
      </c>
      <c r="I1363" t="s">
        <v>183</v>
      </c>
      <c r="K1363" t="s">
        <v>2828</v>
      </c>
      <c r="L1363" s="1">
        <v>1</v>
      </c>
      <c r="M1363" s="3">
        <v>17.78</v>
      </c>
      <c r="N1363" s="3">
        <v>0.89</v>
      </c>
      <c r="O1363" s="3">
        <v>0</v>
      </c>
      <c r="P1363" s="3">
        <v>0.2</v>
      </c>
      <c r="Q1363" s="3">
        <v>18.87</v>
      </c>
      <c r="R1363" s="3">
        <v>7.95</v>
      </c>
      <c r="S1363" s="3">
        <f>VLOOKUP(C1363,[1]page!$C$2:$M$3071,11,0)</f>
        <v>17.75</v>
      </c>
      <c r="T1363" s="6">
        <f t="shared" si="21"/>
        <v>3.0000000000001137E-2</v>
      </c>
    </row>
    <row r="1364" spans="1:20" x14ac:dyDescent="0.2">
      <c r="A1364" t="s">
        <v>4436</v>
      </c>
      <c r="B1364" t="s">
        <v>4437</v>
      </c>
      <c r="C1364" t="s">
        <v>4438</v>
      </c>
      <c r="D1364" t="s">
        <v>4439</v>
      </c>
      <c r="E1364" t="s">
        <v>4440</v>
      </c>
      <c r="F1364" t="s">
        <v>23</v>
      </c>
      <c r="G1364" s="1">
        <v>14</v>
      </c>
      <c r="H1364" s="1">
        <v>12</v>
      </c>
      <c r="I1364" t="s">
        <v>2759</v>
      </c>
      <c r="K1364" t="s">
        <v>2687</v>
      </c>
      <c r="L1364" s="1">
        <v>1</v>
      </c>
      <c r="M1364" s="3">
        <v>26.01</v>
      </c>
      <c r="N1364" s="3">
        <v>1.3</v>
      </c>
      <c r="O1364" s="3">
        <v>0</v>
      </c>
      <c r="P1364" s="3">
        <v>0.2</v>
      </c>
      <c r="Q1364" s="3">
        <v>27.51</v>
      </c>
      <c r="R1364" s="3">
        <v>7.95</v>
      </c>
      <c r="S1364" s="3">
        <f>VLOOKUP(C1364,[1]page!$C$2:$M$3071,11,0)</f>
        <v>25.99</v>
      </c>
      <c r="T1364" s="6">
        <f t="shared" si="21"/>
        <v>2.0000000000003126E-2</v>
      </c>
    </row>
    <row r="1365" spans="1:20" x14ac:dyDescent="0.2">
      <c r="A1365" t="s">
        <v>4441</v>
      </c>
      <c r="B1365" t="s">
        <v>4442</v>
      </c>
      <c r="C1365" t="s">
        <v>4443</v>
      </c>
      <c r="D1365" t="s">
        <v>4444</v>
      </c>
      <c r="E1365" t="s">
        <v>2791</v>
      </c>
      <c r="F1365" t="s">
        <v>2737</v>
      </c>
      <c r="G1365" s="1">
        <v>12</v>
      </c>
      <c r="H1365" s="1">
        <v>6</v>
      </c>
      <c r="I1365" t="s">
        <v>1604</v>
      </c>
      <c r="K1365" t="s">
        <v>2828</v>
      </c>
      <c r="L1365" s="1">
        <v>1</v>
      </c>
      <c r="M1365" s="3">
        <v>22.07</v>
      </c>
      <c r="N1365" s="3">
        <v>1.1000000000000001</v>
      </c>
      <c r="O1365" s="3">
        <v>0</v>
      </c>
      <c r="P1365" s="3">
        <v>0.4</v>
      </c>
      <c r="Q1365" s="3">
        <v>23.57</v>
      </c>
      <c r="R1365" s="3">
        <v>14.45</v>
      </c>
      <c r="S1365" s="3">
        <f>VLOOKUP(C1365,[1]page!$C$2:$M$3071,11,0)</f>
        <v>22.02</v>
      </c>
      <c r="T1365" s="6">
        <f t="shared" si="21"/>
        <v>5.0000000000000711E-2</v>
      </c>
    </row>
    <row r="1366" spans="1:20" x14ac:dyDescent="0.2">
      <c r="A1366" t="s">
        <v>4441</v>
      </c>
      <c r="B1366" t="s">
        <v>4445</v>
      </c>
      <c r="C1366" t="s">
        <v>4446</v>
      </c>
      <c r="D1366" t="s">
        <v>4447</v>
      </c>
      <c r="E1366" t="s">
        <v>4448</v>
      </c>
      <c r="F1366" t="s">
        <v>23</v>
      </c>
      <c r="G1366" s="2">
        <v>11.5</v>
      </c>
      <c r="H1366" s="1">
        <v>12</v>
      </c>
      <c r="I1366" t="s">
        <v>449</v>
      </c>
      <c r="K1366" t="s">
        <v>2828</v>
      </c>
      <c r="L1366" s="1">
        <v>1</v>
      </c>
      <c r="M1366" s="3">
        <v>17.03</v>
      </c>
      <c r="N1366" s="3">
        <v>0.85</v>
      </c>
      <c r="O1366" s="3">
        <v>0</v>
      </c>
      <c r="P1366" s="3">
        <v>0.2</v>
      </c>
      <c r="Q1366" s="3">
        <v>18.079999999999998</v>
      </c>
      <c r="R1366" s="3">
        <v>7.95</v>
      </c>
      <c r="S1366" s="3">
        <f>VLOOKUP(C1366,[1]page!$C$2:$M$3071,11,0)</f>
        <v>17.010000000000002</v>
      </c>
      <c r="T1366" s="6">
        <f t="shared" si="21"/>
        <v>1.9999999999999574E-2</v>
      </c>
    </row>
    <row r="1367" spans="1:20" x14ac:dyDescent="0.2">
      <c r="A1367" t="s">
        <v>4449</v>
      </c>
      <c r="B1367" t="s">
        <v>4450</v>
      </c>
      <c r="C1367" t="s">
        <v>4451</v>
      </c>
      <c r="D1367" t="s">
        <v>4452</v>
      </c>
      <c r="E1367" t="s">
        <v>2791</v>
      </c>
      <c r="F1367" t="s">
        <v>23</v>
      </c>
      <c r="G1367" s="1">
        <v>7</v>
      </c>
      <c r="H1367" s="1">
        <v>12</v>
      </c>
      <c r="I1367" t="s">
        <v>1604</v>
      </c>
      <c r="K1367" t="s">
        <v>2773</v>
      </c>
      <c r="L1367" s="1">
        <v>1</v>
      </c>
      <c r="M1367" s="3">
        <v>11.86</v>
      </c>
      <c r="N1367" s="3">
        <v>0.59</v>
      </c>
      <c r="O1367" s="3">
        <v>0</v>
      </c>
      <c r="P1367" s="3">
        <v>0.2</v>
      </c>
      <c r="Q1367" s="3">
        <v>12.65</v>
      </c>
      <c r="R1367" s="3">
        <v>7.95</v>
      </c>
      <c r="S1367" s="3">
        <f>VLOOKUP(C1367,[1]page!$C$2:$M$3071,11,0)</f>
        <v>11.85</v>
      </c>
      <c r="T1367" s="6">
        <f t="shared" si="21"/>
        <v>9.9999999999997868E-3</v>
      </c>
    </row>
    <row r="1368" spans="1:20" x14ac:dyDescent="0.2">
      <c r="A1368" t="s">
        <v>4453</v>
      </c>
      <c r="B1368" t="s">
        <v>4454</v>
      </c>
      <c r="C1368" t="s">
        <v>4455</v>
      </c>
      <c r="D1368" t="s">
        <v>4456</v>
      </c>
      <c r="E1368" t="s">
        <v>4457</v>
      </c>
      <c r="F1368" t="s">
        <v>23</v>
      </c>
      <c r="G1368" s="1">
        <v>12</v>
      </c>
      <c r="H1368" s="1">
        <v>12</v>
      </c>
      <c r="I1368" t="s">
        <v>600</v>
      </c>
      <c r="K1368" t="s">
        <v>2828</v>
      </c>
      <c r="L1368" s="1">
        <v>1</v>
      </c>
      <c r="M1368" s="3">
        <v>13.01</v>
      </c>
      <c r="N1368" s="3">
        <v>0.65</v>
      </c>
      <c r="O1368" s="3">
        <v>0</v>
      </c>
      <c r="P1368" s="3">
        <v>0.2</v>
      </c>
      <c r="Q1368" s="3">
        <v>13.86</v>
      </c>
      <c r="R1368" s="3">
        <v>7.95</v>
      </c>
      <c r="S1368" s="3">
        <f>VLOOKUP(C1368,[1]page!$C$2:$M$3071,11,0)</f>
        <v>12.99</v>
      </c>
      <c r="T1368" s="6">
        <f t="shared" si="21"/>
        <v>1.9999999999999574E-2</v>
      </c>
    </row>
    <row r="1369" spans="1:20" x14ac:dyDescent="0.2">
      <c r="A1369" t="s">
        <v>4458</v>
      </c>
      <c r="B1369" t="s">
        <v>4459</v>
      </c>
      <c r="C1369" t="s">
        <v>4460</v>
      </c>
      <c r="D1369" t="s">
        <v>4461</v>
      </c>
      <c r="E1369" t="s">
        <v>4462</v>
      </c>
      <c r="F1369" t="s">
        <v>23</v>
      </c>
      <c r="G1369" s="1">
        <v>12</v>
      </c>
      <c r="H1369" s="1">
        <v>12</v>
      </c>
      <c r="I1369" t="s">
        <v>183</v>
      </c>
      <c r="K1369" t="s">
        <v>2828</v>
      </c>
      <c r="L1369" s="1">
        <v>1</v>
      </c>
      <c r="M1369" s="3">
        <v>13.45</v>
      </c>
      <c r="N1369" s="3">
        <v>0.67</v>
      </c>
      <c r="O1369" s="3">
        <v>0</v>
      </c>
      <c r="P1369" s="3">
        <v>0.2</v>
      </c>
      <c r="Q1369" s="3">
        <v>14.32</v>
      </c>
      <c r="R1369" s="3">
        <v>7.95</v>
      </c>
      <c r="S1369" s="3">
        <f>VLOOKUP(C1369,[1]page!$C$2:$M$3071,11,0)</f>
        <v>13.42</v>
      </c>
      <c r="T1369" s="6">
        <f t="shared" si="21"/>
        <v>2.9999999999999361E-2</v>
      </c>
    </row>
    <row r="1370" spans="1:20" x14ac:dyDescent="0.2">
      <c r="A1370" t="s">
        <v>4458</v>
      </c>
      <c r="B1370" t="s">
        <v>4463</v>
      </c>
      <c r="C1370" t="s">
        <v>4464</v>
      </c>
      <c r="D1370" t="s">
        <v>4465</v>
      </c>
      <c r="E1370" t="s">
        <v>4462</v>
      </c>
      <c r="F1370" t="s">
        <v>87</v>
      </c>
      <c r="G1370" s="1">
        <v>12</v>
      </c>
      <c r="H1370" s="1">
        <v>4</v>
      </c>
      <c r="I1370" t="s">
        <v>183</v>
      </c>
      <c r="K1370" t="s">
        <v>2828</v>
      </c>
      <c r="L1370" s="1">
        <v>1</v>
      </c>
      <c r="M1370" s="3">
        <v>42.89</v>
      </c>
      <c r="N1370" s="3">
        <v>2.14</v>
      </c>
      <c r="O1370" s="3">
        <v>0</v>
      </c>
      <c r="P1370" s="3">
        <v>0</v>
      </c>
      <c r="Q1370" s="3">
        <v>45.03</v>
      </c>
      <c r="R1370" s="3">
        <v>26.4</v>
      </c>
      <c r="S1370" s="3">
        <f>VLOOKUP(C1370,[1]page!$C$2:$M$3071,11,0)</f>
        <v>42.8</v>
      </c>
      <c r="T1370" s="6">
        <f t="shared" si="21"/>
        <v>9.0000000000003411E-2</v>
      </c>
    </row>
    <row r="1371" spans="1:20" x14ac:dyDescent="0.2">
      <c r="A1371" t="s">
        <v>4458</v>
      </c>
      <c r="B1371" t="s">
        <v>4466</v>
      </c>
      <c r="C1371" t="s">
        <v>4467</v>
      </c>
      <c r="D1371" t="s">
        <v>4468</v>
      </c>
      <c r="E1371" t="s">
        <v>4469</v>
      </c>
      <c r="F1371" t="s">
        <v>23</v>
      </c>
      <c r="G1371" s="2">
        <v>12.5</v>
      </c>
      <c r="H1371" s="1">
        <v>12</v>
      </c>
      <c r="I1371" t="s">
        <v>607</v>
      </c>
      <c r="K1371" t="s">
        <v>2687</v>
      </c>
      <c r="L1371" s="1">
        <v>1</v>
      </c>
      <c r="M1371" s="3">
        <v>19.309999999999999</v>
      </c>
      <c r="N1371" s="3">
        <v>0.97</v>
      </c>
      <c r="O1371" s="3">
        <v>0</v>
      </c>
      <c r="P1371" s="3">
        <v>0.2</v>
      </c>
      <c r="Q1371" s="3">
        <v>20.48</v>
      </c>
      <c r="R1371" s="3">
        <v>7.95</v>
      </c>
      <c r="S1371" s="3">
        <f>VLOOKUP(C1371,[1]page!$C$2:$M$3071,11,0)</f>
        <v>19.3</v>
      </c>
      <c r="T1371" s="6">
        <f t="shared" si="21"/>
        <v>9.9999999999980105E-3</v>
      </c>
    </row>
    <row r="1372" spans="1:20" x14ac:dyDescent="0.2">
      <c r="A1372" t="s">
        <v>4470</v>
      </c>
      <c r="B1372" t="s">
        <v>4471</v>
      </c>
      <c r="C1372" t="s">
        <v>4472</v>
      </c>
      <c r="D1372" t="s">
        <v>4473</v>
      </c>
      <c r="E1372" t="s">
        <v>4474</v>
      </c>
      <c r="F1372" t="s">
        <v>23</v>
      </c>
      <c r="G1372" s="2">
        <v>13.5</v>
      </c>
      <c r="H1372" s="1">
        <v>12</v>
      </c>
      <c r="I1372" t="s">
        <v>4475</v>
      </c>
      <c r="K1372" t="s">
        <v>2828</v>
      </c>
      <c r="L1372" s="1">
        <v>1</v>
      </c>
      <c r="M1372" s="3">
        <v>14.05</v>
      </c>
      <c r="N1372" s="3">
        <v>0.7</v>
      </c>
      <c r="O1372" s="3">
        <v>0</v>
      </c>
      <c r="P1372" s="3">
        <v>0.2</v>
      </c>
      <c r="Q1372" s="3">
        <v>14.95</v>
      </c>
      <c r="R1372" s="3">
        <v>7.95</v>
      </c>
      <c r="S1372" s="3">
        <f>VLOOKUP(C1372,[1]page!$C$2:$M$3071,11,0)</f>
        <v>14.03</v>
      </c>
      <c r="T1372" s="6">
        <f t="shared" si="21"/>
        <v>2.000000000000135E-2</v>
      </c>
    </row>
    <row r="1373" spans="1:20" x14ac:dyDescent="0.2">
      <c r="A1373" t="s">
        <v>4476</v>
      </c>
      <c r="B1373" t="s">
        <v>4477</v>
      </c>
      <c r="C1373" t="s">
        <v>4478</v>
      </c>
      <c r="D1373" t="s">
        <v>4479</v>
      </c>
      <c r="E1373" t="s">
        <v>4480</v>
      </c>
      <c r="F1373" t="s">
        <v>23</v>
      </c>
      <c r="G1373" s="1">
        <v>12</v>
      </c>
      <c r="H1373" s="1">
        <v>12</v>
      </c>
      <c r="I1373" t="s">
        <v>57</v>
      </c>
      <c r="K1373" t="s">
        <v>2828</v>
      </c>
      <c r="L1373" s="1">
        <v>1</v>
      </c>
      <c r="M1373" s="3">
        <v>13</v>
      </c>
      <c r="N1373" s="3">
        <v>0.65</v>
      </c>
      <c r="O1373" s="3">
        <v>0</v>
      </c>
      <c r="P1373" s="3">
        <v>0.2</v>
      </c>
      <c r="Q1373" s="3">
        <v>13.85</v>
      </c>
      <c r="R1373" s="3">
        <v>7.95</v>
      </c>
      <c r="S1373" s="3">
        <f>VLOOKUP(C1373,[1]page!$C$2:$M$3071,11,0)</f>
        <v>12.98</v>
      </c>
      <c r="T1373" s="6">
        <f t="shared" si="21"/>
        <v>1.9999999999999574E-2</v>
      </c>
    </row>
    <row r="1374" spans="1:20" x14ac:dyDescent="0.2">
      <c r="A1374" t="s">
        <v>4481</v>
      </c>
      <c r="B1374" t="s">
        <v>4482</v>
      </c>
      <c r="C1374" t="s">
        <v>4483</v>
      </c>
      <c r="D1374" t="s">
        <v>4484</v>
      </c>
      <c r="E1374" t="s">
        <v>4485</v>
      </c>
      <c r="F1374" t="s">
        <v>23</v>
      </c>
      <c r="G1374" s="2">
        <v>13.5</v>
      </c>
      <c r="H1374" s="1">
        <v>12</v>
      </c>
      <c r="I1374" t="s">
        <v>397</v>
      </c>
      <c r="K1374" t="s">
        <v>2828</v>
      </c>
      <c r="L1374" s="1">
        <v>1</v>
      </c>
      <c r="M1374" s="3">
        <v>19.32</v>
      </c>
      <c r="N1374" s="3">
        <v>0.97</v>
      </c>
      <c r="O1374" s="3">
        <v>0</v>
      </c>
      <c r="P1374" s="3">
        <v>0.2</v>
      </c>
      <c r="Q1374" s="3">
        <v>20.49</v>
      </c>
      <c r="R1374" s="3">
        <v>7.95</v>
      </c>
      <c r="S1374" s="3">
        <f>VLOOKUP(C1374,[1]page!$C$2:$M$3071,11,0)</f>
        <v>19.3</v>
      </c>
      <c r="T1374" s="6">
        <f t="shared" si="21"/>
        <v>1.9999999999999574E-2</v>
      </c>
    </row>
    <row r="1375" spans="1:20" x14ac:dyDescent="0.2">
      <c r="A1375" t="s">
        <v>4486</v>
      </c>
      <c r="B1375" t="s">
        <v>4487</v>
      </c>
      <c r="C1375" t="s">
        <v>4488</v>
      </c>
      <c r="D1375" t="s">
        <v>4489</v>
      </c>
      <c r="E1375" t="s">
        <v>4490</v>
      </c>
      <c r="F1375" t="s">
        <v>23</v>
      </c>
      <c r="G1375" s="1">
        <v>8</v>
      </c>
      <c r="H1375" s="1">
        <v>12</v>
      </c>
      <c r="I1375" t="s">
        <v>183</v>
      </c>
      <c r="K1375" t="s">
        <v>2706</v>
      </c>
      <c r="L1375" s="1">
        <v>1</v>
      </c>
      <c r="M1375" s="3">
        <v>9.75</v>
      </c>
      <c r="N1375" s="3">
        <v>0.49</v>
      </c>
      <c r="O1375" s="3">
        <v>0</v>
      </c>
      <c r="P1375" s="3">
        <v>0.2</v>
      </c>
      <c r="Q1375" s="3">
        <v>10.44</v>
      </c>
      <c r="R1375" s="3">
        <v>7.95</v>
      </c>
      <c r="S1375" s="3">
        <f>VLOOKUP(C1375,[1]page!$C$2:$M$3071,11,0)</f>
        <v>9.73</v>
      </c>
      <c r="T1375" s="6">
        <f t="shared" si="21"/>
        <v>1.9999999999999574E-2</v>
      </c>
    </row>
    <row r="1376" spans="1:20" x14ac:dyDescent="0.2">
      <c r="A1376" t="s">
        <v>4486</v>
      </c>
      <c r="B1376" t="s">
        <v>4491</v>
      </c>
      <c r="C1376" t="s">
        <v>4492</v>
      </c>
      <c r="D1376" t="s">
        <v>4489</v>
      </c>
      <c r="E1376" t="s">
        <v>4490</v>
      </c>
      <c r="F1376" t="s">
        <v>2737</v>
      </c>
      <c r="G1376" s="1">
        <v>8</v>
      </c>
      <c r="H1376" s="1">
        <v>6</v>
      </c>
      <c r="I1376" t="s">
        <v>183</v>
      </c>
      <c r="K1376" t="s">
        <v>2706</v>
      </c>
      <c r="L1376" s="1">
        <v>1</v>
      </c>
      <c r="M1376" s="3">
        <v>16.940000000000001</v>
      </c>
      <c r="N1376" s="3">
        <v>0.85</v>
      </c>
      <c r="O1376" s="3">
        <v>0</v>
      </c>
      <c r="P1376" s="3">
        <v>0.4</v>
      </c>
      <c r="Q1376" s="3">
        <v>18.190000000000001</v>
      </c>
      <c r="R1376" s="3">
        <v>14.45</v>
      </c>
      <c r="S1376" s="3">
        <f>VLOOKUP(C1376,[1]page!$C$2:$M$3071,11,0)</f>
        <v>16.899999999999999</v>
      </c>
      <c r="T1376" s="6">
        <f t="shared" si="21"/>
        <v>4.00000000000027E-2</v>
      </c>
    </row>
    <row r="1377" spans="1:20" x14ac:dyDescent="0.2">
      <c r="A1377" t="s">
        <v>4493</v>
      </c>
      <c r="B1377" t="s">
        <v>4494</v>
      </c>
      <c r="C1377" t="s">
        <v>4495</v>
      </c>
      <c r="D1377" t="s">
        <v>4496</v>
      </c>
      <c r="E1377" t="s">
        <v>4490</v>
      </c>
      <c r="F1377" t="s">
        <v>23</v>
      </c>
      <c r="G1377" s="1">
        <v>8</v>
      </c>
      <c r="H1377" s="1">
        <v>12</v>
      </c>
      <c r="I1377" t="s">
        <v>183</v>
      </c>
      <c r="K1377" t="s">
        <v>2712</v>
      </c>
      <c r="L1377" s="1">
        <v>1</v>
      </c>
      <c r="M1377" s="3">
        <v>9.75</v>
      </c>
      <c r="N1377" s="3">
        <v>0.49</v>
      </c>
      <c r="O1377" s="3">
        <v>0</v>
      </c>
      <c r="P1377" s="3">
        <v>0.2</v>
      </c>
      <c r="Q1377" s="3">
        <v>10.44</v>
      </c>
      <c r="R1377" s="3">
        <v>7.95</v>
      </c>
      <c r="S1377" s="3">
        <f>VLOOKUP(C1377,[1]page!$C$2:$M$3071,11,0)</f>
        <v>9.73</v>
      </c>
      <c r="T1377" s="6">
        <f t="shared" si="21"/>
        <v>1.9999999999999574E-2</v>
      </c>
    </row>
    <row r="1378" spans="1:20" x14ac:dyDescent="0.2">
      <c r="A1378" t="s">
        <v>4498</v>
      </c>
      <c r="B1378" t="s">
        <v>4499</v>
      </c>
      <c r="C1378" t="s">
        <v>4500</v>
      </c>
      <c r="D1378" t="s">
        <v>4501</v>
      </c>
      <c r="E1378" t="s">
        <v>4502</v>
      </c>
      <c r="F1378" t="s">
        <v>23</v>
      </c>
      <c r="G1378" s="2">
        <v>12.5</v>
      </c>
      <c r="H1378" s="1">
        <v>12</v>
      </c>
      <c r="I1378" t="s">
        <v>4034</v>
      </c>
      <c r="K1378" t="s">
        <v>2828</v>
      </c>
      <c r="L1378" s="1">
        <v>1</v>
      </c>
      <c r="M1378" s="3">
        <v>10.98</v>
      </c>
      <c r="N1378" s="3">
        <v>0.55000000000000004</v>
      </c>
      <c r="O1378" s="3">
        <v>0</v>
      </c>
      <c r="P1378" s="3">
        <v>0.2</v>
      </c>
      <c r="Q1378" s="3">
        <v>11.73</v>
      </c>
      <c r="R1378" s="3">
        <v>7.95</v>
      </c>
      <c r="S1378" s="3">
        <f>VLOOKUP(C1378,[1]page!$C$2:$M$3071,11,0)</f>
        <v>10.98</v>
      </c>
      <c r="T1378" s="6">
        <f t="shared" si="21"/>
        <v>0</v>
      </c>
    </row>
    <row r="1379" spans="1:20" x14ac:dyDescent="0.2">
      <c r="A1379" t="s">
        <v>4503</v>
      </c>
      <c r="B1379" t="s">
        <v>4504</v>
      </c>
      <c r="C1379" t="s">
        <v>4505</v>
      </c>
      <c r="D1379" t="s">
        <v>4506</v>
      </c>
      <c r="E1379" t="s">
        <v>4507</v>
      </c>
      <c r="F1379" t="s">
        <v>23</v>
      </c>
      <c r="G1379" s="2">
        <v>12.5</v>
      </c>
      <c r="H1379" s="1">
        <v>12</v>
      </c>
      <c r="I1379" t="s">
        <v>2700</v>
      </c>
      <c r="K1379" t="s">
        <v>2828</v>
      </c>
      <c r="L1379" s="1">
        <v>1</v>
      </c>
      <c r="M1379" s="3">
        <v>12.65</v>
      </c>
      <c r="N1379" s="3">
        <v>0.63</v>
      </c>
      <c r="O1379" s="3">
        <v>0</v>
      </c>
      <c r="P1379" s="3">
        <v>0.2</v>
      </c>
      <c r="Q1379" s="3">
        <v>13.48</v>
      </c>
      <c r="R1379" s="3">
        <v>7.95</v>
      </c>
      <c r="S1379" s="3">
        <f>VLOOKUP(C1379,[1]page!$C$2:$M$3071,11,0)</f>
        <v>12.62</v>
      </c>
      <c r="T1379" s="6">
        <f t="shared" si="21"/>
        <v>3.0000000000001137E-2</v>
      </c>
    </row>
    <row r="1380" spans="1:20" x14ac:dyDescent="0.2">
      <c r="A1380" t="s">
        <v>4508</v>
      </c>
      <c r="B1380" t="s">
        <v>4509</v>
      </c>
      <c r="C1380" t="s">
        <v>4510</v>
      </c>
      <c r="D1380" t="s">
        <v>4511</v>
      </c>
      <c r="E1380" t="s">
        <v>4424</v>
      </c>
      <c r="F1380" t="s">
        <v>23</v>
      </c>
      <c r="G1380" s="1">
        <v>14</v>
      </c>
      <c r="H1380" s="1">
        <v>12</v>
      </c>
      <c r="I1380" t="s">
        <v>397</v>
      </c>
      <c r="K1380" t="s">
        <v>2828</v>
      </c>
      <c r="L1380" s="1">
        <v>1</v>
      </c>
      <c r="M1380" s="3">
        <v>10</v>
      </c>
      <c r="N1380" s="3">
        <v>0.5</v>
      </c>
      <c r="O1380" s="3">
        <v>0</v>
      </c>
      <c r="P1380" s="3">
        <v>0.2</v>
      </c>
      <c r="Q1380" s="3">
        <v>10.7</v>
      </c>
      <c r="R1380" s="3">
        <v>7.95</v>
      </c>
      <c r="S1380" s="3">
        <f>VLOOKUP(C1380,[1]page!$C$2:$M$3071,11,0)</f>
        <v>9.98</v>
      </c>
      <c r="T1380" s="6">
        <f t="shared" si="21"/>
        <v>1.9999999999999574E-2</v>
      </c>
    </row>
    <row r="1381" spans="1:20" x14ac:dyDescent="0.2">
      <c r="A1381" t="s">
        <v>4512</v>
      </c>
      <c r="B1381" t="s">
        <v>4513</v>
      </c>
      <c r="C1381" t="s">
        <v>4514</v>
      </c>
      <c r="D1381" t="s">
        <v>4515</v>
      </c>
      <c r="E1381" t="s">
        <v>4516</v>
      </c>
      <c r="F1381" t="s">
        <v>23</v>
      </c>
      <c r="G1381" s="1">
        <v>14</v>
      </c>
      <c r="H1381" s="1">
        <v>12</v>
      </c>
      <c r="I1381" t="s">
        <v>183</v>
      </c>
      <c r="K1381" t="s">
        <v>2828</v>
      </c>
      <c r="L1381" s="1">
        <v>1</v>
      </c>
      <c r="M1381" s="3">
        <v>31.35</v>
      </c>
      <c r="N1381" s="3">
        <v>1.57</v>
      </c>
      <c r="O1381" s="3">
        <v>0</v>
      </c>
      <c r="P1381" s="3">
        <v>0.2</v>
      </c>
      <c r="Q1381" s="3">
        <v>33.119999999999997</v>
      </c>
      <c r="R1381" s="3">
        <v>7.95</v>
      </c>
      <c r="S1381" s="3">
        <f>VLOOKUP(C1381,[1]page!$C$2:$M$3071,11,0)</f>
        <v>31.34</v>
      </c>
      <c r="T1381" s="6">
        <f t="shared" si="21"/>
        <v>1.0000000000001563E-2</v>
      </c>
    </row>
    <row r="1382" spans="1:20" x14ac:dyDescent="0.2">
      <c r="A1382" t="s">
        <v>4517</v>
      </c>
      <c r="B1382" t="s">
        <v>4518</v>
      </c>
      <c r="C1382" t="s">
        <v>4519</v>
      </c>
      <c r="D1382" t="s">
        <v>4520</v>
      </c>
      <c r="E1382" t="s">
        <v>4521</v>
      </c>
      <c r="F1382" t="s">
        <v>23</v>
      </c>
      <c r="G1382" s="2">
        <v>5.5</v>
      </c>
      <c r="H1382" s="1">
        <v>6</v>
      </c>
      <c r="I1382" t="s">
        <v>318</v>
      </c>
      <c r="K1382" t="s">
        <v>2773</v>
      </c>
      <c r="L1382" s="1">
        <v>1</v>
      </c>
      <c r="M1382" s="3">
        <v>17</v>
      </c>
      <c r="N1382" s="3">
        <v>0.85</v>
      </c>
      <c r="O1382" s="3">
        <v>0</v>
      </c>
      <c r="P1382" s="3">
        <v>0.2</v>
      </c>
      <c r="Q1382" s="3">
        <v>18.05</v>
      </c>
      <c r="R1382" s="3">
        <v>7.95</v>
      </c>
      <c r="S1382" s="3">
        <f>VLOOKUP(C1382,[1]page!$C$2:$M$3071,11,0)</f>
        <v>16.989999999999998</v>
      </c>
      <c r="T1382" s="6">
        <f t="shared" si="21"/>
        <v>1.0000000000001563E-2</v>
      </c>
    </row>
    <row r="1383" spans="1:20" x14ac:dyDescent="0.2">
      <c r="A1383" t="s">
        <v>4522</v>
      </c>
      <c r="B1383" t="s">
        <v>4523</v>
      </c>
      <c r="C1383" t="s">
        <v>4524</v>
      </c>
      <c r="D1383" t="s">
        <v>4525</v>
      </c>
      <c r="E1383" t="s">
        <v>4457</v>
      </c>
      <c r="F1383" t="s">
        <v>23</v>
      </c>
      <c r="G1383" s="2">
        <v>13.5</v>
      </c>
      <c r="H1383" s="1">
        <v>12</v>
      </c>
      <c r="I1383" t="s">
        <v>600</v>
      </c>
      <c r="K1383" t="s">
        <v>2828</v>
      </c>
      <c r="L1383" s="1">
        <v>1</v>
      </c>
      <c r="M1383" s="3">
        <v>13.01</v>
      </c>
      <c r="N1383" s="3">
        <v>0.65</v>
      </c>
      <c r="O1383" s="3">
        <v>0</v>
      </c>
      <c r="P1383" s="3">
        <v>0.2</v>
      </c>
      <c r="Q1383" s="3">
        <v>13.86</v>
      </c>
      <c r="R1383" s="3">
        <v>7.95</v>
      </c>
      <c r="S1383" s="3">
        <f>VLOOKUP(C1383,[1]page!$C$2:$M$3071,11,0)</f>
        <v>12.99</v>
      </c>
      <c r="T1383" s="6">
        <f t="shared" si="21"/>
        <v>1.9999999999999574E-2</v>
      </c>
    </row>
    <row r="1384" spans="1:20" x14ac:dyDescent="0.2">
      <c r="A1384" t="s">
        <v>4526</v>
      </c>
      <c r="B1384" t="s">
        <v>4527</v>
      </c>
      <c r="C1384" t="s">
        <v>4528</v>
      </c>
      <c r="D1384" t="s">
        <v>4529</v>
      </c>
      <c r="E1384" t="s">
        <v>4530</v>
      </c>
      <c r="F1384" t="s">
        <v>23</v>
      </c>
      <c r="G1384" s="2">
        <v>13.5</v>
      </c>
      <c r="H1384" s="1">
        <v>6</v>
      </c>
      <c r="I1384" t="s">
        <v>57</v>
      </c>
      <c r="K1384" t="s">
        <v>2712</v>
      </c>
      <c r="L1384" s="1">
        <v>1</v>
      </c>
      <c r="M1384" s="3">
        <v>19.010000000000002</v>
      </c>
      <c r="N1384" s="3">
        <v>0.95</v>
      </c>
      <c r="O1384" s="3">
        <v>0</v>
      </c>
      <c r="P1384" s="3">
        <v>0.2</v>
      </c>
      <c r="Q1384" s="3">
        <v>20.16</v>
      </c>
      <c r="R1384" s="3">
        <v>7.95</v>
      </c>
      <c r="S1384" s="3">
        <f>VLOOKUP(C1384,[1]page!$C$2:$M$3071,11,0)</f>
        <v>18.989999999999998</v>
      </c>
      <c r="T1384" s="6">
        <f t="shared" si="21"/>
        <v>2.0000000000003126E-2</v>
      </c>
    </row>
    <row r="1385" spans="1:20" x14ac:dyDescent="0.2">
      <c r="A1385" t="s">
        <v>4531</v>
      </c>
      <c r="B1385" t="s">
        <v>4532</v>
      </c>
      <c r="C1385" t="s">
        <v>4533</v>
      </c>
      <c r="D1385" t="s">
        <v>4534</v>
      </c>
      <c r="E1385" t="s">
        <v>4424</v>
      </c>
      <c r="F1385" t="s">
        <v>23</v>
      </c>
      <c r="G1385" s="1">
        <v>12</v>
      </c>
      <c r="H1385" s="1">
        <v>12</v>
      </c>
      <c r="I1385" t="s">
        <v>397</v>
      </c>
      <c r="K1385" t="s">
        <v>2828</v>
      </c>
      <c r="L1385" s="1">
        <v>1</v>
      </c>
      <c r="M1385" s="3">
        <v>10.32</v>
      </c>
      <c r="N1385" s="3">
        <v>0.52</v>
      </c>
      <c r="O1385" s="3">
        <v>0</v>
      </c>
      <c r="P1385" s="3">
        <v>0.2</v>
      </c>
      <c r="Q1385" s="3">
        <v>11.04</v>
      </c>
      <c r="R1385" s="3">
        <v>7.95</v>
      </c>
      <c r="S1385" s="3">
        <f>VLOOKUP(C1385,[1]page!$C$2:$M$3071,11,0)</f>
        <v>10.3</v>
      </c>
      <c r="T1385" s="6">
        <f t="shared" si="21"/>
        <v>1.9999999999999574E-2</v>
      </c>
    </row>
    <row r="1386" spans="1:20" x14ac:dyDescent="0.2">
      <c r="A1386" t="s">
        <v>4535</v>
      </c>
      <c r="B1386" t="s">
        <v>4536</v>
      </c>
      <c r="C1386" t="s">
        <v>4537</v>
      </c>
      <c r="D1386" t="s">
        <v>4538</v>
      </c>
      <c r="E1386" t="s">
        <v>4539</v>
      </c>
      <c r="F1386" t="s">
        <v>23</v>
      </c>
      <c r="G1386" s="1">
        <v>12</v>
      </c>
      <c r="H1386" s="1">
        <v>12</v>
      </c>
      <c r="I1386" t="s">
        <v>600</v>
      </c>
      <c r="K1386" t="s">
        <v>2687</v>
      </c>
      <c r="L1386" s="1">
        <v>1</v>
      </c>
      <c r="M1386" s="3">
        <v>17.850000000000001</v>
      </c>
      <c r="N1386" s="3">
        <v>0.89</v>
      </c>
      <c r="O1386" s="3">
        <v>0</v>
      </c>
      <c r="P1386" s="3">
        <v>0.2</v>
      </c>
      <c r="Q1386" s="3">
        <v>18.940000000000001</v>
      </c>
      <c r="R1386" s="3">
        <v>7.95</v>
      </c>
      <c r="S1386" s="3">
        <f>VLOOKUP(C1386,[1]page!$C$2:$M$3071,11,0)</f>
        <v>17.82</v>
      </c>
      <c r="T1386" s="6">
        <f t="shared" ref="T1386:T1448" si="22">SUM(M1386-S1386)</f>
        <v>3.0000000000001137E-2</v>
      </c>
    </row>
    <row r="1387" spans="1:20" x14ac:dyDescent="0.2">
      <c r="A1387" t="s">
        <v>4540</v>
      </c>
      <c r="B1387" t="s">
        <v>4541</v>
      </c>
      <c r="C1387" t="s">
        <v>4542</v>
      </c>
      <c r="D1387" t="s">
        <v>4543</v>
      </c>
      <c r="E1387" t="s">
        <v>4544</v>
      </c>
      <c r="F1387" t="s">
        <v>23</v>
      </c>
      <c r="G1387" s="2">
        <v>12.5</v>
      </c>
      <c r="H1387" s="1">
        <v>12</v>
      </c>
      <c r="I1387" t="s">
        <v>3498</v>
      </c>
      <c r="K1387" t="s">
        <v>2828</v>
      </c>
      <c r="L1387" s="1">
        <v>1</v>
      </c>
      <c r="M1387" s="3">
        <v>15.87</v>
      </c>
      <c r="N1387" s="3">
        <v>0.79</v>
      </c>
      <c r="O1387" s="3">
        <v>0</v>
      </c>
      <c r="P1387" s="3">
        <v>0.2</v>
      </c>
      <c r="Q1387" s="3">
        <v>16.86</v>
      </c>
      <c r="R1387" s="3">
        <v>7.95</v>
      </c>
      <c r="S1387" s="3">
        <f>VLOOKUP(C1387,[1]page!$C$2:$M$3071,11,0)</f>
        <v>15.87</v>
      </c>
      <c r="T1387" s="6">
        <f t="shared" si="22"/>
        <v>0</v>
      </c>
    </row>
    <row r="1388" spans="1:20" x14ac:dyDescent="0.2">
      <c r="A1388" t="s">
        <v>4545</v>
      </c>
      <c r="B1388" t="s">
        <v>4546</v>
      </c>
      <c r="C1388" t="s">
        <v>4547</v>
      </c>
      <c r="D1388" t="s">
        <v>4548</v>
      </c>
      <c r="E1388" t="s">
        <v>4549</v>
      </c>
      <c r="F1388" t="s">
        <v>23</v>
      </c>
      <c r="G1388" s="1">
        <v>13</v>
      </c>
      <c r="H1388" s="1">
        <v>12</v>
      </c>
      <c r="I1388" t="s">
        <v>397</v>
      </c>
      <c r="K1388" t="s">
        <v>2828</v>
      </c>
      <c r="L1388" s="1">
        <v>1</v>
      </c>
      <c r="M1388" s="3">
        <v>21.97</v>
      </c>
      <c r="N1388" s="3">
        <v>1.1000000000000001</v>
      </c>
      <c r="O1388" s="3">
        <v>0</v>
      </c>
      <c r="P1388" s="3">
        <v>0.2</v>
      </c>
      <c r="Q1388" s="3">
        <v>23.27</v>
      </c>
      <c r="R1388" s="3">
        <v>7.95</v>
      </c>
      <c r="S1388" s="3">
        <f>VLOOKUP(C1388,[1]page!$C$2:$M$3071,11,0)</f>
        <v>21.95</v>
      </c>
      <c r="T1388" s="6">
        <f t="shared" si="22"/>
        <v>1.9999999999999574E-2</v>
      </c>
    </row>
    <row r="1389" spans="1:20" x14ac:dyDescent="0.2">
      <c r="A1389" t="s">
        <v>4545</v>
      </c>
      <c r="B1389" t="s">
        <v>4550</v>
      </c>
      <c r="C1389" t="s">
        <v>4551</v>
      </c>
      <c r="D1389" t="s">
        <v>4552</v>
      </c>
      <c r="E1389" t="s">
        <v>4480</v>
      </c>
      <c r="F1389" t="s">
        <v>23</v>
      </c>
      <c r="G1389" s="1">
        <v>14</v>
      </c>
      <c r="H1389" s="1">
        <v>12</v>
      </c>
      <c r="I1389" t="s">
        <v>57</v>
      </c>
      <c r="K1389" t="s">
        <v>2828</v>
      </c>
      <c r="L1389" s="1">
        <v>1</v>
      </c>
      <c r="M1389" s="3">
        <v>16.29</v>
      </c>
      <c r="N1389" s="3">
        <v>0.81</v>
      </c>
      <c r="O1389" s="3">
        <v>0</v>
      </c>
      <c r="P1389" s="3">
        <v>0.2</v>
      </c>
      <c r="Q1389" s="3">
        <v>17.3</v>
      </c>
      <c r="R1389" s="3">
        <v>7.95</v>
      </c>
      <c r="S1389" s="3">
        <f>VLOOKUP(C1389,[1]page!$C$2:$M$3071,11,0)</f>
        <v>16.27</v>
      </c>
      <c r="T1389" s="6">
        <f t="shared" si="22"/>
        <v>1.9999999999999574E-2</v>
      </c>
    </row>
    <row r="1390" spans="1:20" x14ac:dyDescent="0.2">
      <c r="A1390" t="s">
        <v>4545</v>
      </c>
      <c r="B1390" t="s">
        <v>4553</v>
      </c>
      <c r="C1390" t="s">
        <v>4554</v>
      </c>
      <c r="D1390" t="s">
        <v>4555</v>
      </c>
      <c r="E1390" t="s">
        <v>4480</v>
      </c>
      <c r="F1390" t="s">
        <v>23</v>
      </c>
      <c r="G1390" s="2">
        <v>14.5</v>
      </c>
      <c r="H1390" s="1">
        <v>12</v>
      </c>
      <c r="I1390" t="s">
        <v>57</v>
      </c>
      <c r="J1390" s="1">
        <v>2008</v>
      </c>
      <c r="K1390" t="s">
        <v>20</v>
      </c>
      <c r="L1390" s="1">
        <v>1</v>
      </c>
      <c r="M1390" s="3">
        <v>19</v>
      </c>
      <c r="N1390" s="3">
        <v>0.95</v>
      </c>
      <c r="O1390" s="3">
        <v>0</v>
      </c>
      <c r="P1390" s="3">
        <v>0.2</v>
      </c>
      <c r="Q1390" s="3">
        <v>20.149999999999999</v>
      </c>
      <c r="R1390" s="3">
        <v>7.95</v>
      </c>
      <c r="S1390" s="3">
        <f>VLOOKUP(C1390,[1]page!$C$2:$M$3071,11,0)</f>
        <v>18.97</v>
      </c>
      <c r="T1390" s="6">
        <f t="shared" si="22"/>
        <v>3.0000000000001137E-2</v>
      </c>
    </row>
    <row r="1391" spans="1:20" x14ac:dyDescent="0.2">
      <c r="A1391" t="s">
        <v>4556</v>
      </c>
      <c r="B1391" t="s">
        <v>4557</v>
      </c>
      <c r="C1391" t="s">
        <v>4558</v>
      </c>
      <c r="D1391" t="s">
        <v>4559</v>
      </c>
      <c r="E1391" t="s">
        <v>4560</v>
      </c>
      <c r="F1391" t="s">
        <v>23</v>
      </c>
      <c r="G1391" s="2">
        <v>12.5</v>
      </c>
      <c r="H1391" s="1">
        <v>12</v>
      </c>
      <c r="I1391" t="s">
        <v>183</v>
      </c>
      <c r="K1391" t="s">
        <v>2828</v>
      </c>
      <c r="L1391" s="1">
        <v>1</v>
      </c>
      <c r="M1391" s="3">
        <v>19.93</v>
      </c>
      <c r="N1391" s="3">
        <v>1</v>
      </c>
      <c r="O1391" s="3">
        <v>0</v>
      </c>
      <c r="P1391" s="3">
        <v>0.2</v>
      </c>
      <c r="Q1391" s="3">
        <v>21.13</v>
      </c>
      <c r="R1391" s="3">
        <v>7.95</v>
      </c>
      <c r="S1391" s="3">
        <f>VLOOKUP(C1391,[1]page!$C$2:$M$3071,11,0)</f>
        <v>19.920000000000002</v>
      </c>
      <c r="T1391" s="6">
        <f t="shared" si="22"/>
        <v>9.9999999999980105E-3</v>
      </c>
    </row>
    <row r="1392" spans="1:20" x14ac:dyDescent="0.2">
      <c r="A1392" t="s">
        <v>4561</v>
      </c>
      <c r="B1392" t="s">
        <v>4562</v>
      </c>
      <c r="C1392" t="s">
        <v>4563</v>
      </c>
      <c r="D1392" t="s">
        <v>4564</v>
      </c>
      <c r="E1392" t="s">
        <v>4480</v>
      </c>
      <c r="F1392" t="s">
        <v>23</v>
      </c>
      <c r="G1392" s="2">
        <v>12.5</v>
      </c>
      <c r="H1392" s="1">
        <v>12</v>
      </c>
      <c r="I1392" t="s">
        <v>57</v>
      </c>
      <c r="K1392" t="s">
        <v>2828</v>
      </c>
      <c r="L1392" s="1">
        <v>1</v>
      </c>
      <c r="M1392" s="3">
        <v>13</v>
      </c>
      <c r="N1392" s="3">
        <v>0.65</v>
      </c>
      <c r="O1392" s="3">
        <v>0</v>
      </c>
      <c r="P1392" s="3">
        <v>0.2</v>
      </c>
      <c r="Q1392" s="3">
        <v>13.85</v>
      </c>
      <c r="R1392" s="3">
        <v>7.95</v>
      </c>
      <c r="S1392" s="3">
        <f>VLOOKUP(C1392,[1]page!$C$2:$M$3071,11,0)</f>
        <v>12.98</v>
      </c>
      <c r="T1392" s="6">
        <f t="shared" si="22"/>
        <v>1.9999999999999574E-2</v>
      </c>
    </row>
    <row r="1393" spans="1:20" x14ac:dyDescent="0.2">
      <c r="A1393" t="s">
        <v>4561</v>
      </c>
      <c r="B1393" t="s">
        <v>4565</v>
      </c>
      <c r="C1393" t="s">
        <v>4566</v>
      </c>
      <c r="D1393" t="s">
        <v>4567</v>
      </c>
      <c r="E1393" t="s">
        <v>4448</v>
      </c>
      <c r="F1393" t="s">
        <v>23</v>
      </c>
      <c r="G1393" s="2">
        <v>12.5</v>
      </c>
      <c r="H1393" s="1">
        <v>12</v>
      </c>
      <c r="I1393" t="s">
        <v>449</v>
      </c>
      <c r="K1393" t="s">
        <v>2828</v>
      </c>
      <c r="L1393" s="1">
        <v>1</v>
      </c>
      <c r="M1393" s="3">
        <v>17.03</v>
      </c>
      <c r="N1393" s="3">
        <v>0.85</v>
      </c>
      <c r="O1393" s="3">
        <v>0</v>
      </c>
      <c r="P1393" s="3">
        <v>0.2</v>
      </c>
      <c r="Q1393" s="3">
        <v>18.079999999999998</v>
      </c>
      <c r="R1393" s="3">
        <v>7.95</v>
      </c>
      <c r="S1393" s="3">
        <f>VLOOKUP(C1393,[1]page!$C$2:$M$3071,11,0)</f>
        <v>17.010000000000002</v>
      </c>
      <c r="T1393" s="6">
        <f t="shared" si="22"/>
        <v>1.9999999999999574E-2</v>
      </c>
    </row>
    <row r="1394" spans="1:20" x14ac:dyDescent="0.2">
      <c r="A1394" t="s">
        <v>4561</v>
      </c>
      <c r="B1394" t="s">
        <v>4568</v>
      </c>
      <c r="C1394" t="s">
        <v>4569</v>
      </c>
      <c r="D1394" t="s">
        <v>4570</v>
      </c>
      <c r="E1394" t="s">
        <v>4571</v>
      </c>
      <c r="F1394" t="s">
        <v>23</v>
      </c>
      <c r="G1394" s="1">
        <v>12</v>
      </c>
      <c r="H1394" s="1">
        <v>12</v>
      </c>
      <c r="I1394" t="s">
        <v>57</v>
      </c>
      <c r="J1394" s="1">
        <v>2008</v>
      </c>
      <c r="K1394" t="s">
        <v>2828</v>
      </c>
      <c r="L1394" s="1">
        <v>1</v>
      </c>
      <c r="M1394" s="3">
        <v>28.02</v>
      </c>
      <c r="N1394" s="3">
        <v>1.4</v>
      </c>
      <c r="O1394" s="3">
        <v>0</v>
      </c>
      <c r="P1394" s="3">
        <v>0.2</v>
      </c>
      <c r="Q1394" s="3">
        <v>29.62</v>
      </c>
      <c r="R1394" s="3">
        <v>7.95</v>
      </c>
      <c r="S1394" s="3">
        <f>VLOOKUP(C1394,[1]page!$C$2:$M$3071,11,0)</f>
        <v>28</v>
      </c>
      <c r="T1394" s="6">
        <f t="shared" si="22"/>
        <v>1.9999999999999574E-2</v>
      </c>
    </row>
    <row r="1395" spans="1:20" x14ac:dyDescent="0.2">
      <c r="A1395" t="s">
        <v>4561</v>
      </c>
      <c r="B1395" t="s">
        <v>4572</v>
      </c>
      <c r="C1395" t="s">
        <v>4573</v>
      </c>
      <c r="D1395" t="s">
        <v>4574</v>
      </c>
      <c r="E1395" t="s">
        <v>4507</v>
      </c>
      <c r="F1395" t="s">
        <v>23</v>
      </c>
      <c r="G1395" s="2">
        <v>12.5</v>
      </c>
      <c r="H1395" s="1">
        <v>12</v>
      </c>
      <c r="I1395" t="s">
        <v>2700</v>
      </c>
      <c r="K1395" t="s">
        <v>2828</v>
      </c>
      <c r="L1395" s="1">
        <v>1</v>
      </c>
      <c r="M1395" s="3">
        <v>25.27</v>
      </c>
      <c r="N1395" s="3">
        <v>1.26</v>
      </c>
      <c r="O1395" s="3">
        <v>0</v>
      </c>
      <c r="P1395" s="3">
        <v>0.2</v>
      </c>
      <c r="Q1395" s="3">
        <v>26.73</v>
      </c>
      <c r="R1395" s="3">
        <v>7.95</v>
      </c>
      <c r="S1395" s="3">
        <f>VLOOKUP(C1395,[1]page!$C$2:$M$3071,11,0)</f>
        <v>25.25</v>
      </c>
      <c r="T1395" s="6">
        <f t="shared" si="22"/>
        <v>1.9999999999999574E-2</v>
      </c>
    </row>
    <row r="1396" spans="1:20" x14ac:dyDescent="0.2">
      <c r="A1396" t="s">
        <v>4561</v>
      </c>
      <c r="B1396" t="s">
        <v>4575</v>
      </c>
      <c r="C1396" t="s">
        <v>4576</v>
      </c>
      <c r="D1396" t="s">
        <v>4577</v>
      </c>
      <c r="E1396" t="s">
        <v>4507</v>
      </c>
      <c r="F1396" t="s">
        <v>23</v>
      </c>
      <c r="G1396" s="1">
        <v>13</v>
      </c>
      <c r="H1396" s="1">
        <v>12</v>
      </c>
      <c r="I1396" t="s">
        <v>2700</v>
      </c>
      <c r="K1396" t="s">
        <v>2828</v>
      </c>
      <c r="L1396" s="1">
        <v>1</v>
      </c>
      <c r="M1396" s="3">
        <v>12.65</v>
      </c>
      <c r="N1396" s="3">
        <v>0.63</v>
      </c>
      <c r="O1396" s="3">
        <v>0</v>
      </c>
      <c r="P1396" s="3">
        <v>0.2</v>
      </c>
      <c r="Q1396" s="3">
        <v>13.48</v>
      </c>
      <c r="R1396" s="3">
        <v>7.95</v>
      </c>
      <c r="S1396" s="3">
        <f>VLOOKUP(C1396,[1]page!$C$2:$M$3071,11,0)</f>
        <v>12.62</v>
      </c>
      <c r="T1396" s="6">
        <f t="shared" si="22"/>
        <v>3.0000000000001137E-2</v>
      </c>
    </row>
    <row r="1397" spans="1:20" x14ac:dyDescent="0.2">
      <c r="A1397" t="s">
        <v>4561</v>
      </c>
      <c r="B1397" t="s">
        <v>4578</v>
      </c>
      <c r="C1397" t="s">
        <v>4579</v>
      </c>
      <c r="D1397" t="s">
        <v>4580</v>
      </c>
      <c r="E1397" t="s">
        <v>4571</v>
      </c>
      <c r="F1397" t="s">
        <v>23</v>
      </c>
      <c r="G1397" s="1">
        <v>13</v>
      </c>
      <c r="H1397" s="1">
        <v>12</v>
      </c>
      <c r="I1397" t="s">
        <v>57</v>
      </c>
      <c r="K1397" t="s">
        <v>2828</v>
      </c>
      <c r="L1397" s="1">
        <v>1</v>
      </c>
      <c r="M1397" s="3">
        <v>23.03</v>
      </c>
      <c r="N1397" s="3">
        <v>1.1499999999999999</v>
      </c>
      <c r="O1397" s="3">
        <v>0</v>
      </c>
      <c r="P1397" s="3">
        <v>0.2</v>
      </c>
      <c r="Q1397" s="3">
        <v>24.38</v>
      </c>
      <c r="R1397" s="3">
        <v>7.95</v>
      </c>
      <c r="S1397" s="3">
        <f>VLOOKUP(C1397,[1]page!$C$2:$M$3071,11,0)</f>
        <v>23.02</v>
      </c>
      <c r="T1397" s="6">
        <f t="shared" si="22"/>
        <v>1.0000000000001563E-2</v>
      </c>
    </row>
    <row r="1398" spans="1:20" x14ac:dyDescent="0.2">
      <c r="A1398" t="s">
        <v>4561</v>
      </c>
      <c r="B1398" t="s">
        <v>4581</v>
      </c>
      <c r="C1398" t="s">
        <v>4582</v>
      </c>
      <c r="D1398" t="s">
        <v>4583</v>
      </c>
      <c r="E1398" t="s">
        <v>4435</v>
      </c>
      <c r="F1398" t="s">
        <v>23</v>
      </c>
      <c r="G1398" s="2">
        <v>13.5</v>
      </c>
      <c r="H1398" s="1">
        <v>12</v>
      </c>
      <c r="I1398" t="s">
        <v>183</v>
      </c>
      <c r="K1398" t="s">
        <v>2828</v>
      </c>
      <c r="L1398" s="1">
        <v>1</v>
      </c>
      <c r="M1398" s="3">
        <v>19.93</v>
      </c>
      <c r="N1398" s="3">
        <v>1</v>
      </c>
      <c r="O1398" s="3">
        <v>0</v>
      </c>
      <c r="P1398" s="3">
        <v>0.2</v>
      </c>
      <c r="Q1398" s="3">
        <v>21.13</v>
      </c>
      <c r="R1398" s="3">
        <v>7.95</v>
      </c>
      <c r="S1398" s="3">
        <f>VLOOKUP(C1398,[1]page!$C$2:$M$3071,11,0)</f>
        <v>19.920000000000002</v>
      </c>
      <c r="T1398" s="6">
        <f t="shared" si="22"/>
        <v>9.9999999999980105E-3</v>
      </c>
    </row>
    <row r="1399" spans="1:20" x14ac:dyDescent="0.2">
      <c r="A1399" t="s">
        <v>4584</v>
      </c>
      <c r="B1399" t="s">
        <v>4585</v>
      </c>
      <c r="C1399" t="s">
        <v>4586</v>
      </c>
      <c r="D1399" t="s">
        <v>4587</v>
      </c>
      <c r="E1399" t="s">
        <v>4549</v>
      </c>
      <c r="F1399" t="s">
        <v>23</v>
      </c>
      <c r="G1399" s="1">
        <v>13</v>
      </c>
      <c r="H1399" s="1">
        <v>12</v>
      </c>
      <c r="I1399" t="s">
        <v>397</v>
      </c>
      <c r="K1399" t="s">
        <v>2828</v>
      </c>
      <c r="L1399" s="1">
        <v>1</v>
      </c>
      <c r="M1399" s="3">
        <v>19.54</v>
      </c>
      <c r="N1399" s="3">
        <v>0.98</v>
      </c>
      <c r="O1399" s="3">
        <v>0</v>
      </c>
      <c r="P1399" s="3">
        <v>0.2</v>
      </c>
      <c r="Q1399" s="3">
        <v>20.72</v>
      </c>
      <c r="R1399" s="3">
        <v>7.95</v>
      </c>
      <c r="S1399" s="3">
        <f>VLOOKUP(C1399,[1]page!$C$2:$M$3071,11,0)</f>
        <v>19.52</v>
      </c>
      <c r="T1399" s="6">
        <f t="shared" si="22"/>
        <v>1.9999999999999574E-2</v>
      </c>
    </row>
    <row r="1400" spans="1:20" x14ac:dyDescent="0.2">
      <c r="A1400" t="s">
        <v>4584</v>
      </c>
      <c r="B1400" t="s">
        <v>4588</v>
      </c>
      <c r="C1400" t="s">
        <v>4589</v>
      </c>
      <c r="D1400" t="s">
        <v>4590</v>
      </c>
      <c r="E1400" t="s">
        <v>4571</v>
      </c>
      <c r="F1400" t="s">
        <v>23</v>
      </c>
      <c r="G1400" s="2">
        <v>12.5</v>
      </c>
      <c r="H1400" s="1">
        <v>12</v>
      </c>
      <c r="I1400" t="s">
        <v>57</v>
      </c>
      <c r="K1400" t="s">
        <v>2828</v>
      </c>
      <c r="L1400" s="1">
        <v>1</v>
      </c>
      <c r="M1400" s="3">
        <v>21.04</v>
      </c>
      <c r="N1400" s="3">
        <v>1.05</v>
      </c>
      <c r="O1400" s="3">
        <v>0</v>
      </c>
      <c r="P1400" s="3">
        <v>0.2</v>
      </c>
      <c r="Q1400" s="3">
        <v>22.29</v>
      </c>
      <c r="R1400" s="3">
        <v>7.95</v>
      </c>
      <c r="S1400" s="3">
        <f>VLOOKUP(C1400,[1]page!$C$2:$M$3071,11,0)</f>
        <v>21.02</v>
      </c>
      <c r="T1400" s="6">
        <f t="shared" si="22"/>
        <v>1.9999999999999574E-2</v>
      </c>
    </row>
    <row r="1401" spans="1:20" x14ac:dyDescent="0.2">
      <c r="A1401" t="s">
        <v>4591</v>
      </c>
      <c r="B1401" t="s">
        <v>4592</v>
      </c>
      <c r="C1401" t="s">
        <v>4593</v>
      </c>
      <c r="D1401" t="s">
        <v>4594</v>
      </c>
      <c r="E1401" t="s">
        <v>4571</v>
      </c>
      <c r="F1401" t="s">
        <v>23</v>
      </c>
      <c r="G1401" s="1">
        <v>12</v>
      </c>
      <c r="H1401" s="1">
        <v>12</v>
      </c>
      <c r="I1401" t="s">
        <v>57</v>
      </c>
      <c r="K1401" t="s">
        <v>2828</v>
      </c>
      <c r="L1401" s="1">
        <v>1</v>
      </c>
      <c r="M1401" s="3">
        <v>20.02</v>
      </c>
      <c r="N1401" s="3">
        <v>1</v>
      </c>
      <c r="O1401" s="3">
        <v>0</v>
      </c>
      <c r="P1401" s="3">
        <v>0.2</v>
      </c>
      <c r="Q1401" s="3">
        <v>21.22</v>
      </c>
      <c r="R1401" s="3">
        <v>7.95</v>
      </c>
      <c r="S1401" s="3">
        <f>VLOOKUP(C1401,[1]page!$C$2:$M$3071,11,0)</f>
        <v>20</v>
      </c>
      <c r="T1401" s="6">
        <f t="shared" si="22"/>
        <v>1.9999999999999574E-2</v>
      </c>
    </row>
    <row r="1402" spans="1:20" x14ac:dyDescent="0.2">
      <c r="A1402" t="s">
        <v>4595</v>
      </c>
      <c r="B1402" t="s">
        <v>4596</v>
      </c>
      <c r="C1402" t="s">
        <v>4597</v>
      </c>
      <c r="D1402" t="s">
        <v>4598</v>
      </c>
      <c r="E1402" t="s">
        <v>4571</v>
      </c>
      <c r="F1402" t="s">
        <v>23</v>
      </c>
      <c r="G1402" s="2">
        <v>11.5</v>
      </c>
      <c r="H1402" s="1">
        <v>12</v>
      </c>
      <c r="I1402" t="s">
        <v>57</v>
      </c>
      <c r="K1402" t="s">
        <v>2706</v>
      </c>
      <c r="L1402" s="1">
        <v>1</v>
      </c>
      <c r="M1402" s="3">
        <v>16.03</v>
      </c>
      <c r="N1402" s="3">
        <v>0.8</v>
      </c>
      <c r="O1402" s="3">
        <v>0</v>
      </c>
      <c r="P1402" s="3">
        <v>0.2</v>
      </c>
      <c r="Q1402" s="3">
        <v>17.03</v>
      </c>
      <c r="R1402" s="3">
        <v>7.95</v>
      </c>
      <c r="S1402" s="3">
        <f>VLOOKUP(C1402,[1]page!$C$2:$M$3071,11,0)</f>
        <v>16</v>
      </c>
      <c r="T1402" s="6">
        <f t="shared" si="22"/>
        <v>3.0000000000001137E-2</v>
      </c>
    </row>
    <row r="1403" spans="1:20" x14ac:dyDescent="0.2">
      <c r="A1403" t="s">
        <v>4595</v>
      </c>
      <c r="B1403" t="s">
        <v>4599</v>
      </c>
      <c r="C1403" t="s">
        <v>4600</v>
      </c>
      <c r="D1403" t="s">
        <v>4601</v>
      </c>
      <c r="E1403" t="s">
        <v>4507</v>
      </c>
      <c r="F1403" t="s">
        <v>23</v>
      </c>
      <c r="G1403" s="1">
        <v>12</v>
      </c>
      <c r="H1403" s="1">
        <v>12</v>
      </c>
      <c r="I1403" t="s">
        <v>2700</v>
      </c>
      <c r="K1403" t="s">
        <v>2687</v>
      </c>
      <c r="L1403" s="1">
        <v>1</v>
      </c>
      <c r="M1403" s="3">
        <v>12.64</v>
      </c>
      <c r="N1403" s="3">
        <v>0.63</v>
      </c>
      <c r="O1403" s="3">
        <v>0</v>
      </c>
      <c r="P1403" s="3">
        <v>0.2</v>
      </c>
      <c r="Q1403" s="3">
        <v>13.47</v>
      </c>
      <c r="R1403" s="3">
        <v>7.95</v>
      </c>
      <c r="S1403" s="3">
        <f>VLOOKUP(C1403,[1]page!$C$2:$M$3071,11,0)</f>
        <v>12.61</v>
      </c>
      <c r="T1403" s="6">
        <f t="shared" si="22"/>
        <v>3.0000000000001137E-2</v>
      </c>
    </row>
    <row r="1404" spans="1:20" x14ac:dyDescent="0.2">
      <c r="A1404" t="s">
        <v>4602</v>
      </c>
      <c r="B1404" t="s">
        <v>4603</v>
      </c>
      <c r="C1404" t="s">
        <v>4604</v>
      </c>
      <c r="D1404" t="s">
        <v>4605</v>
      </c>
      <c r="E1404" t="s">
        <v>4606</v>
      </c>
      <c r="F1404" t="s">
        <v>23</v>
      </c>
      <c r="G1404" s="1">
        <v>12</v>
      </c>
      <c r="H1404" s="1">
        <v>12</v>
      </c>
      <c r="I1404" t="s">
        <v>2759</v>
      </c>
      <c r="K1404" t="s">
        <v>2687</v>
      </c>
      <c r="L1404" s="1">
        <v>1</v>
      </c>
      <c r="M1404" s="3">
        <v>16.309999999999999</v>
      </c>
      <c r="N1404" s="3">
        <v>0.82</v>
      </c>
      <c r="O1404" s="3">
        <v>0</v>
      </c>
      <c r="P1404" s="3">
        <v>0.2</v>
      </c>
      <c r="Q1404" s="3">
        <v>17.329999999999998</v>
      </c>
      <c r="R1404" s="3">
        <v>7.95</v>
      </c>
      <c r="S1404" s="3">
        <f>VLOOKUP(C1404,[1]page!$C$2:$M$3071,11,0)</f>
        <v>16.29</v>
      </c>
      <c r="T1404" s="6">
        <f t="shared" si="22"/>
        <v>1.9999999999999574E-2</v>
      </c>
    </row>
    <row r="1405" spans="1:20" x14ac:dyDescent="0.2">
      <c r="A1405" t="s">
        <v>4607</v>
      </c>
      <c r="B1405" t="s">
        <v>4608</v>
      </c>
      <c r="C1405" t="s">
        <v>4609</v>
      </c>
      <c r="D1405" t="s">
        <v>4610</v>
      </c>
      <c r="E1405" t="s">
        <v>4420</v>
      </c>
      <c r="F1405" t="s">
        <v>23</v>
      </c>
      <c r="G1405" s="1">
        <v>15</v>
      </c>
      <c r="H1405" s="1">
        <v>12</v>
      </c>
      <c r="I1405" t="s">
        <v>600</v>
      </c>
      <c r="J1405" s="1">
        <v>2006</v>
      </c>
      <c r="K1405" t="s">
        <v>2706</v>
      </c>
      <c r="L1405" s="1">
        <v>1</v>
      </c>
      <c r="M1405" s="3">
        <v>53.26</v>
      </c>
      <c r="N1405" s="3">
        <v>2.66</v>
      </c>
      <c r="O1405" s="3">
        <v>0</v>
      </c>
      <c r="P1405" s="3">
        <v>0.2</v>
      </c>
      <c r="Q1405" s="3">
        <v>56.12</v>
      </c>
      <c r="R1405" s="3">
        <v>7.95</v>
      </c>
      <c r="S1405" s="3">
        <f>VLOOKUP(C1405,[1]page!$C$2:$M$3071,11,0)</f>
        <v>53.25</v>
      </c>
      <c r="T1405" s="6">
        <f t="shared" si="22"/>
        <v>9.9999999999980105E-3</v>
      </c>
    </row>
    <row r="1406" spans="1:20" x14ac:dyDescent="0.2">
      <c r="A1406" t="s">
        <v>4607</v>
      </c>
      <c r="B1406" t="s">
        <v>4611</v>
      </c>
      <c r="C1406" t="s">
        <v>4612</v>
      </c>
      <c r="D1406" t="s">
        <v>4613</v>
      </c>
      <c r="E1406" t="s">
        <v>4435</v>
      </c>
      <c r="F1406" t="s">
        <v>23</v>
      </c>
      <c r="G1406" s="1">
        <v>13</v>
      </c>
      <c r="H1406" s="1">
        <v>12</v>
      </c>
      <c r="I1406" t="s">
        <v>183</v>
      </c>
      <c r="K1406" t="s">
        <v>2828</v>
      </c>
      <c r="L1406" s="1">
        <v>1</v>
      </c>
      <c r="M1406" s="3">
        <v>19.46</v>
      </c>
      <c r="N1406" s="3">
        <v>0.97</v>
      </c>
      <c r="O1406" s="3">
        <v>0</v>
      </c>
      <c r="P1406" s="3">
        <v>0.2</v>
      </c>
      <c r="Q1406" s="3">
        <v>20.63</v>
      </c>
      <c r="R1406" s="3">
        <v>7.95</v>
      </c>
      <c r="S1406" s="3">
        <f>VLOOKUP(C1406,[1]page!$C$2:$M$3071,11,0)</f>
        <v>19.45</v>
      </c>
      <c r="T1406" s="6">
        <f t="shared" si="22"/>
        <v>1.0000000000001563E-2</v>
      </c>
    </row>
    <row r="1407" spans="1:20" x14ac:dyDescent="0.2">
      <c r="A1407" t="s">
        <v>4614</v>
      </c>
      <c r="B1407" t="s">
        <v>4615</v>
      </c>
      <c r="C1407" t="s">
        <v>4616</v>
      </c>
      <c r="D1407" t="s">
        <v>4617</v>
      </c>
      <c r="E1407" t="s">
        <v>2791</v>
      </c>
      <c r="F1407" t="s">
        <v>23</v>
      </c>
      <c r="G1407" s="1">
        <v>8</v>
      </c>
      <c r="H1407" s="1">
        <v>12</v>
      </c>
      <c r="I1407" t="s">
        <v>1604</v>
      </c>
      <c r="K1407" t="s">
        <v>2712</v>
      </c>
      <c r="L1407" s="1">
        <v>1</v>
      </c>
      <c r="M1407" s="3">
        <v>11.9</v>
      </c>
      <c r="N1407" s="3">
        <v>0.6</v>
      </c>
      <c r="O1407" s="3">
        <v>0</v>
      </c>
      <c r="P1407" s="3">
        <v>0.2</v>
      </c>
      <c r="Q1407" s="3">
        <v>12.7</v>
      </c>
      <c r="R1407" s="3">
        <v>7.95</v>
      </c>
      <c r="S1407" s="3">
        <f>VLOOKUP(C1407,[1]page!$C$2:$M$3071,11,0)</f>
        <v>11.88</v>
      </c>
      <c r="T1407" s="6">
        <f t="shared" si="22"/>
        <v>1.9999999999999574E-2</v>
      </c>
    </row>
    <row r="1408" spans="1:20" x14ac:dyDescent="0.2">
      <c r="A1408" t="s">
        <v>4614</v>
      </c>
      <c r="B1408" t="s">
        <v>4618</v>
      </c>
      <c r="C1408" t="s">
        <v>4619</v>
      </c>
      <c r="D1408" t="s">
        <v>4620</v>
      </c>
      <c r="E1408" t="s">
        <v>4621</v>
      </c>
      <c r="F1408" t="s">
        <v>23</v>
      </c>
      <c r="G1408" s="2">
        <v>11.5</v>
      </c>
      <c r="H1408" s="1">
        <v>12</v>
      </c>
      <c r="I1408" t="s">
        <v>3306</v>
      </c>
      <c r="K1408" t="s">
        <v>2712</v>
      </c>
      <c r="L1408" s="1">
        <v>1</v>
      </c>
      <c r="M1408" s="3">
        <v>11.75</v>
      </c>
      <c r="N1408" s="3">
        <v>0.59</v>
      </c>
      <c r="O1408" s="3">
        <v>0</v>
      </c>
      <c r="P1408" s="3">
        <v>0.2</v>
      </c>
      <c r="Q1408" s="3">
        <v>12.54</v>
      </c>
      <c r="R1408" s="3">
        <v>7.95</v>
      </c>
      <c r="S1408" s="3">
        <f>VLOOKUP(C1408,[1]page!$C$2:$M$3071,11,0)</f>
        <v>11.91</v>
      </c>
      <c r="T1408" s="6">
        <f t="shared" si="22"/>
        <v>-0.16000000000000014</v>
      </c>
    </row>
    <row r="1409" spans="1:20" x14ac:dyDescent="0.2">
      <c r="A1409" t="s">
        <v>4614</v>
      </c>
      <c r="B1409" t="s">
        <v>4622</v>
      </c>
      <c r="C1409" t="s">
        <v>4623</v>
      </c>
      <c r="D1409" t="s">
        <v>4624</v>
      </c>
      <c r="E1409" t="s">
        <v>4497</v>
      </c>
      <c r="F1409" t="s">
        <v>23</v>
      </c>
      <c r="G1409" s="1">
        <v>12</v>
      </c>
      <c r="H1409" s="1">
        <v>12</v>
      </c>
      <c r="I1409" t="s">
        <v>607</v>
      </c>
      <c r="K1409" t="s">
        <v>2706</v>
      </c>
      <c r="L1409" s="1">
        <v>1</v>
      </c>
      <c r="M1409" s="3">
        <v>13.99</v>
      </c>
      <c r="N1409" s="3">
        <v>0.7</v>
      </c>
      <c r="O1409" s="3">
        <v>0</v>
      </c>
      <c r="P1409" s="3">
        <v>0.2</v>
      </c>
      <c r="Q1409" s="3">
        <v>14.89</v>
      </c>
      <c r="R1409" s="3">
        <v>7.95</v>
      </c>
      <c r="S1409" s="3">
        <f>VLOOKUP(C1409,[1]page!$C$2:$M$3071,11,0)</f>
        <v>13.97</v>
      </c>
      <c r="T1409" s="6">
        <f t="shared" si="22"/>
        <v>1.9999999999999574E-2</v>
      </c>
    </row>
    <row r="1410" spans="1:20" x14ac:dyDescent="0.2">
      <c r="A1410" t="s">
        <v>4614</v>
      </c>
      <c r="B1410" t="s">
        <v>4625</v>
      </c>
      <c r="C1410" t="s">
        <v>4626</v>
      </c>
      <c r="D1410" t="s">
        <v>4627</v>
      </c>
      <c r="E1410" t="s">
        <v>4530</v>
      </c>
      <c r="F1410" t="s">
        <v>23</v>
      </c>
      <c r="G1410" s="1">
        <v>12</v>
      </c>
      <c r="H1410" s="1">
        <v>12</v>
      </c>
      <c r="I1410" t="s">
        <v>57</v>
      </c>
      <c r="K1410" t="s">
        <v>2828</v>
      </c>
      <c r="L1410" s="1">
        <v>1</v>
      </c>
      <c r="M1410" s="3">
        <v>17.02</v>
      </c>
      <c r="N1410" s="3">
        <v>0.85</v>
      </c>
      <c r="O1410" s="3">
        <v>0</v>
      </c>
      <c r="P1410" s="3">
        <v>0.2</v>
      </c>
      <c r="Q1410" s="3">
        <v>18.07</v>
      </c>
      <c r="R1410" s="3">
        <v>7.95</v>
      </c>
      <c r="S1410" s="3">
        <f>VLOOKUP(C1410,[1]page!$C$2:$M$3071,11,0)</f>
        <v>17</v>
      </c>
      <c r="T1410" s="6">
        <f t="shared" si="22"/>
        <v>1.9999999999999574E-2</v>
      </c>
    </row>
    <row r="1411" spans="1:20" x14ac:dyDescent="0.2">
      <c r="A1411" t="s">
        <v>4628</v>
      </c>
      <c r="B1411" t="s">
        <v>4629</v>
      </c>
      <c r="C1411" t="s">
        <v>4630</v>
      </c>
      <c r="D1411" t="s">
        <v>4631</v>
      </c>
      <c r="E1411" t="s">
        <v>4497</v>
      </c>
      <c r="F1411" t="s">
        <v>23</v>
      </c>
      <c r="G1411" s="1">
        <v>11</v>
      </c>
      <c r="H1411" s="1">
        <v>12</v>
      </c>
      <c r="I1411" t="s">
        <v>607</v>
      </c>
      <c r="K1411" t="s">
        <v>2712</v>
      </c>
      <c r="L1411" s="1">
        <v>1</v>
      </c>
      <c r="M1411" s="3">
        <v>19.05</v>
      </c>
      <c r="N1411" s="3">
        <v>0.95</v>
      </c>
      <c r="O1411" s="3">
        <v>0</v>
      </c>
      <c r="P1411" s="3">
        <v>0.2</v>
      </c>
      <c r="Q1411" s="3">
        <v>20.2</v>
      </c>
      <c r="R1411" s="3">
        <v>7.95</v>
      </c>
      <c r="S1411" s="3">
        <f>VLOOKUP(C1411,[1]page!$C$2:$M$3071,11,0)</f>
        <v>19.04</v>
      </c>
      <c r="T1411" s="6">
        <f t="shared" si="22"/>
        <v>1.0000000000001563E-2</v>
      </c>
    </row>
    <row r="1412" spans="1:20" x14ac:dyDescent="0.2">
      <c r="A1412" t="s">
        <v>4632</v>
      </c>
      <c r="B1412" t="s">
        <v>4633</v>
      </c>
      <c r="C1412" t="s">
        <v>4634</v>
      </c>
      <c r="D1412" t="s">
        <v>4635</v>
      </c>
      <c r="E1412" t="s">
        <v>4462</v>
      </c>
      <c r="F1412" t="s">
        <v>23</v>
      </c>
      <c r="G1412" s="1">
        <v>15</v>
      </c>
      <c r="H1412" s="1">
        <v>12</v>
      </c>
      <c r="I1412" t="s">
        <v>183</v>
      </c>
      <c r="K1412" t="s">
        <v>2828</v>
      </c>
      <c r="L1412" s="1">
        <v>1</v>
      </c>
      <c r="M1412" s="3">
        <v>38</v>
      </c>
      <c r="N1412" s="3">
        <v>1.9</v>
      </c>
      <c r="O1412" s="3">
        <v>0</v>
      </c>
      <c r="P1412" s="3">
        <v>0.2</v>
      </c>
      <c r="Q1412" s="3">
        <v>40.1</v>
      </c>
      <c r="R1412" s="3">
        <v>7.95</v>
      </c>
      <c r="S1412" s="3">
        <f>VLOOKUP(C1412,[1]page!$C$2:$M$3071,11,0)</f>
        <v>37.979999999999997</v>
      </c>
      <c r="T1412" s="6">
        <f t="shared" si="22"/>
        <v>2.0000000000003126E-2</v>
      </c>
    </row>
    <row r="1413" spans="1:20" x14ac:dyDescent="0.2">
      <c r="A1413" t="s">
        <v>4632</v>
      </c>
      <c r="B1413" t="s">
        <v>4636</v>
      </c>
      <c r="C1413" t="s">
        <v>4637</v>
      </c>
      <c r="D1413" t="s">
        <v>4638</v>
      </c>
      <c r="E1413" t="s">
        <v>4462</v>
      </c>
      <c r="F1413" t="s">
        <v>23</v>
      </c>
      <c r="G1413" s="2">
        <v>12.5</v>
      </c>
      <c r="H1413" s="1">
        <v>12</v>
      </c>
      <c r="I1413" t="s">
        <v>183</v>
      </c>
      <c r="K1413" t="s">
        <v>2828</v>
      </c>
      <c r="L1413" s="1">
        <v>1</v>
      </c>
      <c r="M1413" s="3">
        <v>15.55</v>
      </c>
      <c r="N1413" s="3">
        <v>0.78</v>
      </c>
      <c r="O1413" s="3">
        <v>0</v>
      </c>
      <c r="P1413" s="3">
        <v>0.2</v>
      </c>
      <c r="Q1413" s="3">
        <v>16.53</v>
      </c>
      <c r="R1413" s="3">
        <v>7.95</v>
      </c>
      <c r="S1413" s="3">
        <f>VLOOKUP(C1413,[1]page!$C$2:$M$3071,11,0)</f>
        <v>15.53</v>
      </c>
      <c r="T1413" s="6">
        <f t="shared" si="22"/>
        <v>2.000000000000135E-2</v>
      </c>
    </row>
    <row r="1414" spans="1:20" x14ac:dyDescent="0.2">
      <c r="A1414" t="s">
        <v>4632</v>
      </c>
      <c r="B1414" t="s">
        <v>4639</v>
      </c>
      <c r="C1414" t="s">
        <v>4640</v>
      </c>
      <c r="D1414" t="s">
        <v>4641</v>
      </c>
      <c r="E1414" t="s">
        <v>4462</v>
      </c>
      <c r="F1414" t="s">
        <v>23</v>
      </c>
      <c r="G1414" s="2">
        <v>13.5</v>
      </c>
      <c r="H1414" s="1">
        <v>12</v>
      </c>
      <c r="I1414" t="s">
        <v>183</v>
      </c>
      <c r="K1414" t="s">
        <v>2687</v>
      </c>
      <c r="L1414" s="1">
        <v>1</v>
      </c>
      <c r="M1414" s="3">
        <v>19.55</v>
      </c>
      <c r="N1414" s="3">
        <v>0.98</v>
      </c>
      <c r="O1414" s="3">
        <v>0</v>
      </c>
      <c r="P1414" s="3">
        <v>0.2</v>
      </c>
      <c r="Q1414" s="3">
        <v>20.73</v>
      </c>
      <c r="R1414" s="3">
        <v>7.95</v>
      </c>
      <c r="S1414" s="3">
        <f>VLOOKUP(C1414,[1]page!$C$2:$M$3071,11,0)</f>
        <v>19.54</v>
      </c>
      <c r="T1414" s="6">
        <f t="shared" si="22"/>
        <v>1.0000000000001563E-2</v>
      </c>
    </row>
    <row r="1415" spans="1:20" x14ac:dyDescent="0.2">
      <c r="A1415" t="s">
        <v>4632</v>
      </c>
      <c r="B1415" t="s">
        <v>4642</v>
      </c>
      <c r="C1415" t="s">
        <v>4643</v>
      </c>
      <c r="D1415" t="s">
        <v>4644</v>
      </c>
      <c r="E1415" t="s">
        <v>4462</v>
      </c>
      <c r="F1415" t="s">
        <v>23</v>
      </c>
      <c r="G1415" s="1">
        <v>12</v>
      </c>
      <c r="H1415" s="1">
        <v>12</v>
      </c>
      <c r="I1415" t="s">
        <v>183</v>
      </c>
      <c r="K1415" t="s">
        <v>2828</v>
      </c>
      <c r="L1415" s="1">
        <v>1</v>
      </c>
      <c r="M1415" s="3">
        <v>13.84</v>
      </c>
      <c r="N1415" s="3">
        <v>0.69</v>
      </c>
      <c r="O1415" s="3">
        <v>0</v>
      </c>
      <c r="P1415" s="3">
        <v>0.2</v>
      </c>
      <c r="Q1415" s="3">
        <v>14.73</v>
      </c>
      <c r="R1415" s="3">
        <v>7.95</v>
      </c>
      <c r="S1415" s="3">
        <f>VLOOKUP(C1415,[1]page!$C$2:$M$3071,11,0)</f>
        <v>13.82</v>
      </c>
      <c r="T1415" s="6">
        <f t="shared" si="22"/>
        <v>1.9999999999999574E-2</v>
      </c>
    </row>
    <row r="1416" spans="1:20" x14ac:dyDescent="0.2">
      <c r="A1416" t="s">
        <v>4632</v>
      </c>
      <c r="B1416" t="s">
        <v>4645</v>
      </c>
      <c r="C1416" t="s">
        <v>4646</v>
      </c>
      <c r="D1416" t="s">
        <v>4647</v>
      </c>
      <c r="E1416" t="s">
        <v>4462</v>
      </c>
      <c r="F1416" t="s">
        <v>87</v>
      </c>
      <c r="G1416" s="2">
        <v>12.5</v>
      </c>
      <c r="H1416" s="1">
        <v>4</v>
      </c>
      <c r="I1416" t="s">
        <v>183</v>
      </c>
      <c r="K1416" t="s">
        <v>2828</v>
      </c>
      <c r="L1416" s="1">
        <v>1</v>
      </c>
      <c r="M1416" s="3">
        <v>45.25</v>
      </c>
      <c r="N1416" s="3">
        <v>2.2599999999999998</v>
      </c>
      <c r="O1416" s="3">
        <v>0</v>
      </c>
      <c r="P1416" s="3">
        <v>0</v>
      </c>
      <c r="Q1416" s="3">
        <v>47.51</v>
      </c>
      <c r="R1416" s="3">
        <v>26.4</v>
      </c>
      <c r="S1416" s="3">
        <f>VLOOKUP(C1416,[1]page!$C$2:$M$3071,11,0)</f>
        <v>45.17</v>
      </c>
      <c r="T1416" s="6">
        <f t="shared" si="22"/>
        <v>7.9999999999998295E-2</v>
      </c>
    </row>
    <row r="1417" spans="1:20" x14ac:dyDescent="0.2">
      <c r="A1417" t="s">
        <v>4632</v>
      </c>
      <c r="B1417" t="s">
        <v>4648</v>
      </c>
      <c r="C1417" t="s">
        <v>4649</v>
      </c>
      <c r="D1417" t="s">
        <v>4650</v>
      </c>
      <c r="E1417" t="s">
        <v>4462</v>
      </c>
      <c r="F1417" t="s">
        <v>23</v>
      </c>
      <c r="G1417" s="2">
        <v>13.5</v>
      </c>
      <c r="H1417" s="1">
        <v>12</v>
      </c>
      <c r="I1417" t="s">
        <v>183</v>
      </c>
      <c r="K1417" t="s">
        <v>2828</v>
      </c>
      <c r="L1417" s="1">
        <v>1</v>
      </c>
      <c r="M1417" s="3">
        <v>18.57</v>
      </c>
      <c r="N1417" s="3">
        <v>0.93</v>
      </c>
      <c r="O1417" s="3">
        <v>0</v>
      </c>
      <c r="P1417" s="3">
        <v>0.2</v>
      </c>
      <c r="Q1417" s="3">
        <v>19.7</v>
      </c>
      <c r="R1417" s="3">
        <v>7.95</v>
      </c>
      <c r="S1417" s="3">
        <f>VLOOKUP(C1417,[1]page!$C$2:$M$3071,11,0)</f>
        <v>18.55</v>
      </c>
      <c r="T1417" s="6">
        <f t="shared" si="22"/>
        <v>1.9999999999999574E-2</v>
      </c>
    </row>
    <row r="1418" spans="1:20" x14ac:dyDescent="0.2">
      <c r="A1418" t="s">
        <v>4651</v>
      </c>
      <c r="B1418" t="s">
        <v>4652</v>
      </c>
      <c r="C1418" t="s">
        <v>4653</v>
      </c>
      <c r="D1418" t="s">
        <v>4654</v>
      </c>
      <c r="E1418" t="s">
        <v>4462</v>
      </c>
      <c r="F1418" t="s">
        <v>23</v>
      </c>
      <c r="G1418" s="2">
        <v>11.5</v>
      </c>
      <c r="H1418" s="1">
        <v>12</v>
      </c>
      <c r="I1418" t="s">
        <v>183</v>
      </c>
      <c r="K1418" t="s">
        <v>2828</v>
      </c>
      <c r="L1418" s="1">
        <v>1</v>
      </c>
      <c r="M1418" s="3">
        <v>12.57</v>
      </c>
      <c r="N1418" s="3">
        <v>0.63</v>
      </c>
      <c r="O1418" s="3">
        <v>0</v>
      </c>
      <c r="P1418" s="3">
        <v>0.2</v>
      </c>
      <c r="Q1418" s="3">
        <v>13.4</v>
      </c>
      <c r="R1418" s="3">
        <v>7.95</v>
      </c>
      <c r="S1418" s="3">
        <f>VLOOKUP(C1418,[1]page!$C$2:$M$3071,11,0)</f>
        <v>12.55</v>
      </c>
      <c r="T1418" s="6">
        <f t="shared" si="22"/>
        <v>1.9999999999999574E-2</v>
      </c>
    </row>
    <row r="1419" spans="1:20" x14ac:dyDescent="0.2">
      <c r="A1419" t="s">
        <v>4655</v>
      </c>
      <c r="B1419" t="s">
        <v>4656</v>
      </c>
      <c r="C1419" t="s">
        <v>4657</v>
      </c>
      <c r="D1419" t="s">
        <v>4658</v>
      </c>
      <c r="E1419" t="s">
        <v>4420</v>
      </c>
      <c r="F1419" t="s">
        <v>23</v>
      </c>
      <c r="G1419" s="1">
        <v>12</v>
      </c>
      <c r="H1419" s="1">
        <v>12</v>
      </c>
      <c r="I1419" t="s">
        <v>600</v>
      </c>
      <c r="K1419" t="s">
        <v>2828</v>
      </c>
      <c r="L1419" s="1">
        <v>1</v>
      </c>
      <c r="M1419" s="3">
        <v>18.829999999999998</v>
      </c>
      <c r="N1419" s="3">
        <v>0.94</v>
      </c>
      <c r="O1419" s="3">
        <v>0</v>
      </c>
      <c r="P1419" s="3">
        <v>0.2</v>
      </c>
      <c r="Q1419" s="3">
        <v>19.97</v>
      </c>
      <c r="R1419" s="3">
        <v>7.95</v>
      </c>
      <c r="S1419" s="3">
        <f>VLOOKUP(C1419,[1]page!$C$2:$M$3071,11,0)</f>
        <v>18.8</v>
      </c>
      <c r="T1419" s="6">
        <f t="shared" si="22"/>
        <v>2.9999999999997584E-2</v>
      </c>
    </row>
    <row r="1420" spans="1:20" x14ac:dyDescent="0.2">
      <c r="A1420" t="s">
        <v>4659</v>
      </c>
      <c r="B1420" t="s">
        <v>4660</v>
      </c>
      <c r="C1420" t="s">
        <v>4661</v>
      </c>
      <c r="D1420" t="s">
        <v>4662</v>
      </c>
      <c r="E1420" t="s">
        <v>4497</v>
      </c>
      <c r="F1420" t="s">
        <v>23</v>
      </c>
      <c r="G1420" s="1">
        <v>14</v>
      </c>
      <c r="H1420" s="1">
        <v>12</v>
      </c>
      <c r="I1420" t="s">
        <v>607</v>
      </c>
      <c r="K1420" t="s">
        <v>2687</v>
      </c>
      <c r="L1420" s="1">
        <v>1</v>
      </c>
      <c r="M1420" s="3">
        <v>16.600000000000001</v>
      </c>
      <c r="N1420" s="3">
        <v>0.83</v>
      </c>
      <c r="O1420" s="3">
        <v>0</v>
      </c>
      <c r="P1420" s="3">
        <v>0.2</v>
      </c>
      <c r="Q1420" s="3">
        <v>17.63</v>
      </c>
      <c r="R1420" s="3">
        <v>7.95</v>
      </c>
      <c r="S1420" s="3">
        <f>VLOOKUP(C1420,[1]page!$C$2:$M$3071,11,0)</f>
        <v>16.579999999999998</v>
      </c>
      <c r="T1420" s="6">
        <f t="shared" si="22"/>
        <v>2.0000000000003126E-2</v>
      </c>
    </row>
    <row r="1421" spans="1:20" x14ac:dyDescent="0.2">
      <c r="A1421" t="s">
        <v>4659</v>
      </c>
      <c r="B1421" t="s">
        <v>4663</v>
      </c>
      <c r="C1421" t="s">
        <v>4664</v>
      </c>
      <c r="D1421" t="s">
        <v>4665</v>
      </c>
      <c r="E1421" t="s">
        <v>4420</v>
      </c>
      <c r="F1421" t="s">
        <v>23</v>
      </c>
      <c r="G1421" s="1">
        <v>13</v>
      </c>
      <c r="H1421" s="1">
        <v>12</v>
      </c>
      <c r="I1421" t="s">
        <v>600</v>
      </c>
      <c r="K1421" t="s">
        <v>2828</v>
      </c>
      <c r="L1421" s="1">
        <v>1</v>
      </c>
      <c r="M1421" s="3">
        <v>22.1</v>
      </c>
      <c r="N1421" s="3">
        <v>1.1100000000000001</v>
      </c>
      <c r="O1421" s="3">
        <v>0</v>
      </c>
      <c r="P1421" s="3">
        <v>0.2</v>
      </c>
      <c r="Q1421" s="3">
        <v>23.41</v>
      </c>
      <c r="R1421" s="3">
        <v>7.95</v>
      </c>
      <c r="S1421" s="3">
        <f>VLOOKUP(C1421,[1]page!$C$2:$M$3071,11,0)</f>
        <v>22.09</v>
      </c>
      <c r="T1421" s="6">
        <f t="shared" si="22"/>
        <v>1.0000000000001563E-2</v>
      </c>
    </row>
    <row r="1422" spans="1:20" x14ac:dyDescent="0.2">
      <c r="A1422" t="s">
        <v>4659</v>
      </c>
      <c r="B1422" t="s">
        <v>4666</v>
      </c>
      <c r="C1422" t="s">
        <v>4667</v>
      </c>
      <c r="D1422" t="s">
        <v>4668</v>
      </c>
      <c r="E1422" t="s">
        <v>2791</v>
      </c>
      <c r="F1422" t="s">
        <v>23</v>
      </c>
      <c r="G1422" s="1">
        <v>8</v>
      </c>
      <c r="H1422" s="1">
        <v>12</v>
      </c>
      <c r="I1422" t="s">
        <v>1604</v>
      </c>
      <c r="K1422" t="s">
        <v>2773</v>
      </c>
      <c r="L1422" s="1">
        <v>1</v>
      </c>
      <c r="M1422" s="3">
        <v>12.14</v>
      </c>
      <c r="N1422" s="3">
        <v>0.61</v>
      </c>
      <c r="O1422" s="3">
        <v>0</v>
      </c>
      <c r="P1422" s="3">
        <v>0.2</v>
      </c>
      <c r="Q1422" s="3">
        <v>12.95</v>
      </c>
      <c r="R1422" s="3">
        <v>7.95</v>
      </c>
      <c r="S1422" s="3">
        <f>VLOOKUP(C1422,[1]page!$C$2:$M$3071,11,0)</f>
        <v>12.12</v>
      </c>
      <c r="T1422" s="6">
        <f t="shared" si="22"/>
        <v>2.000000000000135E-2</v>
      </c>
    </row>
    <row r="1423" spans="1:20" x14ac:dyDescent="0.2">
      <c r="A1423" t="s">
        <v>4659</v>
      </c>
      <c r="B1423" t="s">
        <v>4669</v>
      </c>
      <c r="C1423" t="s">
        <v>4670</v>
      </c>
      <c r="D1423" t="s">
        <v>4671</v>
      </c>
      <c r="E1423" t="s">
        <v>4606</v>
      </c>
      <c r="F1423" t="s">
        <v>23</v>
      </c>
      <c r="G1423" s="1">
        <v>12</v>
      </c>
      <c r="H1423" s="1">
        <v>12</v>
      </c>
      <c r="I1423" t="s">
        <v>2759</v>
      </c>
      <c r="K1423" t="s">
        <v>2828</v>
      </c>
      <c r="L1423" s="1">
        <v>1</v>
      </c>
      <c r="M1423" s="3">
        <v>17.309999999999999</v>
      </c>
      <c r="N1423" s="3">
        <v>0.87</v>
      </c>
      <c r="O1423" s="3">
        <v>0</v>
      </c>
      <c r="P1423" s="3">
        <v>0.2</v>
      </c>
      <c r="Q1423" s="3">
        <v>18.38</v>
      </c>
      <c r="R1423" s="3">
        <v>7.95</v>
      </c>
      <c r="S1423" s="3">
        <f>VLOOKUP(C1423,[1]page!$C$2:$M$3071,11,0)</f>
        <v>17.29</v>
      </c>
      <c r="T1423" s="6">
        <f t="shared" si="22"/>
        <v>1.9999999999999574E-2</v>
      </c>
    </row>
    <row r="1424" spans="1:20" x14ac:dyDescent="0.2">
      <c r="A1424" t="s">
        <v>4672</v>
      </c>
      <c r="B1424" t="s">
        <v>4673</v>
      </c>
      <c r="C1424" t="s">
        <v>4674</v>
      </c>
      <c r="D1424" t="s">
        <v>4675</v>
      </c>
      <c r="E1424" t="s">
        <v>2791</v>
      </c>
      <c r="F1424" t="s">
        <v>23</v>
      </c>
      <c r="G1424" s="1">
        <v>12</v>
      </c>
      <c r="H1424" s="1">
        <v>12</v>
      </c>
      <c r="I1424" t="s">
        <v>1604</v>
      </c>
      <c r="K1424" t="s">
        <v>2828</v>
      </c>
      <c r="L1424" s="1">
        <v>1</v>
      </c>
      <c r="M1424" s="3">
        <v>11.9</v>
      </c>
      <c r="N1424" s="3">
        <v>0.6</v>
      </c>
      <c r="O1424" s="3">
        <v>0</v>
      </c>
      <c r="P1424" s="3">
        <v>0.2</v>
      </c>
      <c r="Q1424" s="3">
        <v>12.7</v>
      </c>
      <c r="R1424" s="3">
        <v>7.95</v>
      </c>
      <c r="S1424" s="3">
        <f>VLOOKUP(C1424,[1]page!$C$2:$M$3071,11,0)</f>
        <v>11.88</v>
      </c>
      <c r="T1424" s="6">
        <f t="shared" si="22"/>
        <v>1.9999999999999574E-2</v>
      </c>
    </row>
    <row r="1425" spans="1:20" x14ac:dyDescent="0.2">
      <c r="A1425" t="s">
        <v>4672</v>
      </c>
      <c r="B1425" t="s">
        <v>4676</v>
      </c>
      <c r="C1425" t="s">
        <v>4677</v>
      </c>
      <c r="D1425" t="s">
        <v>4678</v>
      </c>
      <c r="E1425" t="s">
        <v>4420</v>
      </c>
      <c r="F1425" t="s">
        <v>23</v>
      </c>
      <c r="G1425" s="1">
        <v>13</v>
      </c>
      <c r="H1425" s="1">
        <v>12</v>
      </c>
      <c r="I1425" t="s">
        <v>600</v>
      </c>
      <c r="K1425" t="s">
        <v>2687</v>
      </c>
      <c r="L1425" s="1">
        <v>1</v>
      </c>
      <c r="M1425" s="3">
        <v>17.43</v>
      </c>
      <c r="N1425" s="3">
        <v>0.87</v>
      </c>
      <c r="O1425" s="3">
        <v>0</v>
      </c>
      <c r="P1425" s="3">
        <v>0.2</v>
      </c>
      <c r="Q1425" s="3">
        <v>18.5</v>
      </c>
      <c r="R1425" s="3">
        <v>7.95</v>
      </c>
      <c r="S1425" s="3">
        <f>VLOOKUP(C1425,[1]page!$C$2:$M$3071,11,0)</f>
        <v>17.399999999999999</v>
      </c>
      <c r="T1425" s="6">
        <f t="shared" si="22"/>
        <v>3.0000000000001137E-2</v>
      </c>
    </row>
    <row r="1426" spans="1:20" x14ac:dyDescent="0.2">
      <c r="A1426" t="s">
        <v>4672</v>
      </c>
      <c r="B1426" t="s">
        <v>4679</v>
      </c>
      <c r="C1426" t="s">
        <v>1202</v>
      </c>
      <c r="D1426" t="s">
        <v>4680</v>
      </c>
      <c r="E1426" t="s">
        <v>4420</v>
      </c>
      <c r="F1426" t="s">
        <v>23</v>
      </c>
      <c r="G1426" s="1">
        <v>12</v>
      </c>
      <c r="H1426" s="1">
        <v>12</v>
      </c>
      <c r="I1426" t="s">
        <v>600</v>
      </c>
      <c r="K1426" t="s">
        <v>2828</v>
      </c>
      <c r="L1426" s="1">
        <v>1</v>
      </c>
      <c r="M1426" s="3">
        <v>14.81</v>
      </c>
      <c r="N1426" s="3">
        <v>0.74</v>
      </c>
      <c r="O1426" s="3">
        <v>0</v>
      </c>
      <c r="P1426" s="3">
        <v>0.2</v>
      </c>
      <c r="Q1426" s="3">
        <v>15.75</v>
      </c>
      <c r="R1426" s="3">
        <v>7.95</v>
      </c>
      <c r="S1426" s="3">
        <f>VLOOKUP(C1426,[1]page!$C$2:$M$3071,11,0)</f>
        <v>14.79</v>
      </c>
      <c r="T1426" s="6">
        <f t="shared" si="22"/>
        <v>2.000000000000135E-2</v>
      </c>
    </row>
    <row r="1427" spans="1:20" x14ac:dyDescent="0.2">
      <c r="A1427" t="s">
        <v>4672</v>
      </c>
      <c r="B1427" t="s">
        <v>4681</v>
      </c>
      <c r="C1427" t="s">
        <v>4682</v>
      </c>
      <c r="D1427" t="s">
        <v>4683</v>
      </c>
      <c r="E1427" t="s">
        <v>4606</v>
      </c>
      <c r="F1427" t="s">
        <v>23</v>
      </c>
      <c r="G1427" s="1">
        <v>12</v>
      </c>
      <c r="H1427" s="1">
        <v>12</v>
      </c>
      <c r="I1427" t="s">
        <v>2759</v>
      </c>
      <c r="K1427" t="s">
        <v>2828</v>
      </c>
      <c r="L1427" s="1">
        <v>1</v>
      </c>
      <c r="M1427" s="3">
        <v>17.309999999999999</v>
      </c>
      <c r="N1427" s="3">
        <v>0.87</v>
      </c>
      <c r="O1427" s="3">
        <v>0</v>
      </c>
      <c r="P1427" s="3">
        <v>0.2</v>
      </c>
      <c r="Q1427" s="3">
        <v>18.38</v>
      </c>
      <c r="R1427" s="3">
        <v>7.95</v>
      </c>
      <c r="S1427" s="3">
        <f>VLOOKUP(C1427,[1]page!$C$2:$M$3071,11,0)</f>
        <v>17.29</v>
      </c>
      <c r="T1427" s="6">
        <f t="shared" si="22"/>
        <v>1.9999999999999574E-2</v>
      </c>
    </row>
    <row r="1428" spans="1:20" x14ac:dyDescent="0.2">
      <c r="A1428" t="s">
        <v>4684</v>
      </c>
      <c r="B1428" t="s">
        <v>4685</v>
      </c>
      <c r="C1428" t="s">
        <v>4686</v>
      </c>
      <c r="D1428" t="s">
        <v>4687</v>
      </c>
      <c r="E1428" t="s">
        <v>4688</v>
      </c>
      <c r="F1428" t="s">
        <v>23</v>
      </c>
      <c r="G1428" s="2">
        <v>13.5</v>
      </c>
      <c r="H1428" s="1">
        <v>12</v>
      </c>
      <c r="I1428" t="s">
        <v>3732</v>
      </c>
      <c r="K1428" t="s">
        <v>2828</v>
      </c>
      <c r="L1428" s="1">
        <v>1</v>
      </c>
      <c r="M1428" s="3">
        <v>17.63</v>
      </c>
      <c r="N1428" s="3">
        <v>0.88</v>
      </c>
      <c r="O1428" s="3">
        <v>0</v>
      </c>
      <c r="P1428" s="3">
        <v>0.2</v>
      </c>
      <c r="Q1428" s="3">
        <v>18.71</v>
      </c>
      <c r="R1428" s="3">
        <v>7.95</v>
      </c>
      <c r="S1428" s="3">
        <f>VLOOKUP(C1428,[1]page!$C$2:$M$3071,11,0)</f>
        <v>17.61</v>
      </c>
      <c r="T1428" s="6">
        <f t="shared" si="22"/>
        <v>1.9999999999999574E-2</v>
      </c>
    </row>
    <row r="1429" spans="1:20" x14ac:dyDescent="0.2">
      <c r="A1429" t="s">
        <v>4689</v>
      </c>
      <c r="B1429" t="s">
        <v>4690</v>
      </c>
      <c r="C1429" t="s">
        <v>4691</v>
      </c>
      <c r="D1429" t="s">
        <v>4692</v>
      </c>
      <c r="E1429" t="s">
        <v>4693</v>
      </c>
      <c r="F1429" t="s">
        <v>23</v>
      </c>
      <c r="G1429" s="1">
        <v>13</v>
      </c>
      <c r="H1429" s="1">
        <v>12</v>
      </c>
      <c r="I1429" t="s">
        <v>3653</v>
      </c>
      <c r="K1429" t="s">
        <v>2828</v>
      </c>
      <c r="L1429" s="1">
        <v>1</v>
      </c>
      <c r="M1429" s="3">
        <v>18.71</v>
      </c>
      <c r="N1429" s="3">
        <v>0.94</v>
      </c>
      <c r="O1429" s="3">
        <v>0</v>
      </c>
      <c r="P1429" s="3">
        <v>0.2</v>
      </c>
      <c r="Q1429" s="3">
        <v>19.850000000000001</v>
      </c>
      <c r="R1429" s="3">
        <v>7.95</v>
      </c>
      <c r="S1429" s="3">
        <f>VLOOKUP(C1429,[1]page!$C$2:$M$3071,11,0)</f>
        <v>18.690000000000001</v>
      </c>
      <c r="T1429" s="6">
        <f t="shared" si="22"/>
        <v>1.9999999999999574E-2</v>
      </c>
    </row>
    <row r="1430" spans="1:20" x14ac:dyDescent="0.2">
      <c r="A1430" t="s">
        <v>4689</v>
      </c>
      <c r="B1430" t="s">
        <v>4694</v>
      </c>
      <c r="C1430" t="s">
        <v>4695</v>
      </c>
      <c r="D1430" t="s">
        <v>4696</v>
      </c>
      <c r="E1430" t="s">
        <v>3642</v>
      </c>
      <c r="F1430" t="s">
        <v>23</v>
      </c>
      <c r="G1430" s="1">
        <v>13</v>
      </c>
      <c r="H1430" s="1">
        <v>12</v>
      </c>
      <c r="I1430" t="s">
        <v>57</v>
      </c>
      <c r="K1430" t="s">
        <v>2828</v>
      </c>
      <c r="L1430" s="1">
        <v>1</v>
      </c>
      <c r="M1430" s="3">
        <v>15.13</v>
      </c>
      <c r="N1430" s="3">
        <v>0.76</v>
      </c>
      <c r="O1430" s="3">
        <v>0</v>
      </c>
      <c r="P1430" s="3">
        <v>0.2</v>
      </c>
      <c r="Q1430" s="3">
        <v>16.09</v>
      </c>
      <c r="R1430" s="3">
        <v>7.95</v>
      </c>
      <c r="S1430" s="3">
        <f>VLOOKUP(C1430,[1]page!$C$2:$M$3071,11,0)</f>
        <v>15.11</v>
      </c>
      <c r="T1430" s="6">
        <f t="shared" si="22"/>
        <v>2.000000000000135E-2</v>
      </c>
    </row>
    <row r="1431" spans="1:20" x14ac:dyDescent="0.2">
      <c r="A1431" t="s">
        <v>4689</v>
      </c>
      <c r="B1431" t="s">
        <v>4697</v>
      </c>
      <c r="C1431" t="s">
        <v>4698</v>
      </c>
      <c r="D1431" t="s">
        <v>4699</v>
      </c>
      <c r="E1431" t="s">
        <v>4688</v>
      </c>
      <c r="F1431" t="s">
        <v>23</v>
      </c>
      <c r="G1431" s="2">
        <v>12.5</v>
      </c>
      <c r="H1431" s="1">
        <v>12</v>
      </c>
      <c r="I1431" t="s">
        <v>3732</v>
      </c>
      <c r="K1431" t="s">
        <v>2828</v>
      </c>
      <c r="L1431" s="1">
        <v>1</v>
      </c>
      <c r="M1431" s="3">
        <v>17.63</v>
      </c>
      <c r="N1431" s="3">
        <v>0.88</v>
      </c>
      <c r="O1431" s="3">
        <v>0</v>
      </c>
      <c r="P1431" s="3">
        <v>0.2</v>
      </c>
      <c r="Q1431" s="3">
        <v>18.71</v>
      </c>
      <c r="R1431" s="3">
        <v>7.95</v>
      </c>
      <c r="S1431" s="3">
        <f>VLOOKUP(C1431,[1]page!$C$2:$M$3071,11,0)</f>
        <v>17.61</v>
      </c>
      <c r="T1431" s="6">
        <f t="shared" si="22"/>
        <v>1.9999999999999574E-2</v>
      </c>
    </row>
    <row r="1432" spans="1:20" x14ac:dyDescent="0.2">
      <c r="A1432" t="s">
        <v>4700</v>
      </c>
      <c r="B1432" t="s">
        <v>4701</v>
      </c>
      <c r="C1432" t="s">
        <v>4702</v>
      </c>
      <c r="D1432" t="s">
        <v>4703</v>
      </c>
      <c r="E1432" t="s">
        <v>4704</v>
      </c>
      <c r="F1432" t="s">
        <v>23</v>
      </c>
      <c r="G1432" s="1">
        <v>13</v>
      </c>
      <c r="H1432" s="1">
        <v>12</v>
      </c>
      <c r="I1432" t="s">
        <v>2700</v>
      </c>
      <c r="K1432" t="s">
        <v>2687</v>
      </c>
      <c r="L1432" s="1">
        <v>1</v>
      </c>
      <c r="M1432" s="3">
        <v>17.64</v>
      </c>
      <c r="N1432" s="3">
        <v>0.88</v>
      </c>
      <c r="O1432" s="3">
        <v>0</v>
      </c>
      <c r="P1432" s="3">
        <v>0.2</v>
      </c>
      <c r="Q1432" s="3">
        <v>18.72</v>
      </c>
      <c r="R1432" s="3">
        <v>7.95</v>
      </c>
      <c r="S1432" s="3">
        <f>VLOOKUP(C1432,[1]page!$C$2:$M$3071,11,0)</f>
        <v>17.61</v>
      </c>
      <c r="T1432" s="6">
        <f t="shared" si="22"/>
        <v>3.0000000000001137E-2</v>
      </c>
    </row>
    <row r="1433" spans="1:20" x14ac:dyDescent="0.2">
      <c r="A1433" t="s">
        <v>4700</v>
      </c>
      <c r="B1433" t="s">
        <v>4705</v>
      </c>
      <c r="C1433" t="s">
        <v>4706</v>
      </c>
      <c r="D1433" t="s">
        <v>4707</v>
      </c>
      <c r="E1433" t="s">
        <v>4688</v>
      </c>
      <c r="F1433" t="s">
        <v>23</v>
      </c>
      <c r="G1433" s="1">
        <v>13</v>
      </c>
      <c r="H1433" s="1">
        <v>12</v>
      </c>
      <c r="I1433" t="s">
        <v>2179</v>
      </c>
      <c r="K1433" t="s">
        <v>2687</v>
      </c>
      <c r="L1433" s="1">
        <v>1</v>
      </c>
      <c r="M1433" s="3">
        <v>17.63</v>
      </c>
      <c r="N1433" s="3">
        <v>0.88</v>
      </c>
      <c r="O1433" s="3">
        <v>0</v>
      </c>
      <c r="P1433" s="3">
        <v>0.2</v>
      </c>
      <c r="Q1433" s="3">
        <v>18.71</v>
      </c>
      <c r="R1433" s="3">
        <v>7.95</v>
      </c>
      <c r="S1433" s="3">
        <f>VLOOKUP(C1433,[1]page!$C$2:$M$3071,11,0)</f>
        <v>17.61</v>
      </c>
      <c r="T1433" s="6">
        <f t="shared" si="22"/>
        <v>1.9999999999999574E-2</v>
      </c>
    </row>
    <row r="1434" spans="1:20" x14ac:dyDescent="0.2">
      <c r="A1434" t="s">
        <v>4700</v>
      </c>
      <c r="B1434" t="s">
        <v>4708</v>
      </c>
      <c r="C1434" t="s">
        <v>4709</v>
      </c>
      <c r="D1434" t="s">
        <v>4710</v>
      </c>
      <c r="E1434" t="s">
        <v>626</v>
      </c>
      <c r="F1434" t="s">
        <v>23</v>
      </c>
      <c r="G1434" s="2">
        <v>9.5</v>
      </c>
      <c r="H1434" s="1">
        <v>6</v>
      </c>
      <c r="I1434" t="s">
        <v>39</v>
      </c>
      <c r="K1434" t="s">
        <v>2706</v>
      </c>
      <c r="L1434" s="1">
        <v>1</v>
      </c>
      <c r="M1434" s="3">
        <v>17.62</v>
      </c>
      <c r="N1434" s="3">
        <v>0.88</v>
      </c>
      <c r="O1434" s="3">
        <v>0</v>
      </c>
      <c r="P1434" s="3">
        <v>0.2</v>
      </c>
      <c r="Q1434" s="3">
        <v>18.7</v>
      </c>
      <c r="R1434" s="3">
        <v>7.95</v>
      </c>
      <c r="S1434" s="3">
        <f>VLOOKUP(C1434,[1]page!$C$2:$M$3071,11,0)</f>
        <v>17.600000000000001</v>
      </c>
      <c r="T1434" s="6">
        <f t="shared" si="22"/>
        <v>1.9999999999999574E-2</v>
      </c>
    </row>
    <row r="1435" spans="1:20" x14ac:dyDescent="0.2">
      <c r="A1435" t="s">
        <v>4711</v>
      </c>
      <c r="B1435" t="s">
        <v>4712</v>
      </c>
      <c r="C1435" t="s">
        <v>4713</v>
      </c>
      <c r="D1435" t="s">
        <v>4714</v>
      </c>
      <c r="E1435" t="s">
        <v>4704</v>
      </c>
      <c r="F1435" t="s">
        <v>23</v>
      </c>
      <c r="G1435" s="2">
        <v>13.5</v>
      </c>
      <c r="H1435" s="1">
        <v>12</v>
      </c>
      <c r="I1435" t="s">
        <v>2700</v>
      </c>
      <c r="K1435" t="s">
        <v>2828</v>
      </c>
      <c r="L1435" s="1">
        <v>1</v>
      </c>
      <c r="M1435" s="3">
        <v>20.09</v>
      </c>
      <c r="N1435" s="3">
        <v>1</v>
      </c>
      <c r="O1435" s="3">
        <v>0</v>
      </c>
      <c r="P1435" s="3">
        <v>0.2</v>
      </c>
      <c r="Q1435" s="3">
        <v>21.29</v>
      </c>
      <c r="R1435" s="3">
        <v>7.95</v>
      </c>
      <c r="S1435" s="3">
        <f>VLOOKUP(C1435,[1]page!$C$2:$M$3071,11,0)</f>
        <v>20.07</v>
      </c>
      <c r="T1435" s="6">
        <f t="shared" si="22"/>
        <v>1.9999999999999574E-2</v>
      </c>
    </row>
    <row r="1436" spans="1:20" x14ac:dyDescent="0.2">
      <c r="A1436" t="s">
        <v>4711</v>
      </c>
      <c r="B1436" t="s">
        <v>4715</v>
      </c>
      <c r="C1436" t="s">
        <v>4716</v>
      </c>
      <c r="D1436" t="s">
        <v>4717</v>
      </c>
      <c r="E1436" t="s">
        <v>4688</v>
      </c>
      <c r="F1436" t="s">
        <v>23</v>
      </c>
      <c r="G1436" s="2">
        <v>13.5</v>
      </c>
      <c r="H1436" s="1">
        <v>12</v>
      </c>
      <c r="I1436" t="s">
        <v>3732</v>
      </c>
      <c r="K1436" t="s">
        <v>2828</v>
      </c>
      <c r="L1436" s="1">
        <v>1</v>
      </c>
      <c r="M1436" s="3">
        <v>20.079999999999998</v>
      </c>
      <c r="N1436" s="3">
        <v>1</v>
      </c>
      <c r="O1436" s="3">
        <v>0</v>
      </c>
      <c r="P1436" s="3">
        <v>0.2</v>
      </c>
      <c r="Q1436" s="3">
        <v>21.28</v>
      </c>
      <c r="R1436" s="3">
        <v>7.95</v>
      </c>
      <c r="S1436" s="3">
        <f>VLOOKUP(C1436,[1]page!$C$2:$M$3071,11,0)</f>
        <v>20.059999999999999</v>
      </c>
      <c r="T1436" s="6">
        <f t="shared" si="22"/>
        <v>1.9999999999999574E-2</v>
      </c>
    </row>
    <row r="1437" spans="1:20" x14ac:dyDescent="0.2">
      <c r="A1437" t="s">
        <v>4718</v>
      </c>
      <c r="B1437" t="s">
        <v>4719</v>
      </c>
      <c r="C1437" t="s">
        <v>4720</v>
      </c>
      <c r="D1437" t="s">
        <v>4721</v>
      </c>
      <c r="E1437" t="s">
        <v>4693</v>
      </c>
      <c r="F1437" t="s">
        <v>23</v>
      </c>
      <c r="G1437" s="2">
        <v>13.5</v>
      </c>
      <c r="H1437" s="1">
        <v>12</v>
      </c>
      <c r="I1437" t="s">
        <v>3653</v>
      </c>
      <c r="K1437" t="s">
        <v>2828</v>
      </c>
      <c r="L1437" s="1">
        <v>1</v>
      </c>
      <c r="M1437" s="3">
        <v>20.309999999999999</v>
      </c>
      <c r="N1437" s="3">
        <v>1.02</v>
      </c>
      <c r="O1437" s="3">
        <v>0</v>
      </c>
      <c r="P1437" s="3">
        <v>0.2</v>
      </c>
      <c r="Q1437" s="3">
        <v>21.53</v>
      </c>
      <c r="R1437" s="3">
        <v>7.95</v>
      </c>
      <c r="S1437" s="3">
        <f>VLOOKUP(C1437,[1]page!$C$2:$M$3071,11,0)</f>
        <v>20.29</v>
      </c>
      <c r="T1437" s="6">
        <f t="shared" si="22"/>
        <v>1.9999999999999574E-2</v>
      </c>
    </row>
    <row r="1438" spans="1:20" x14ac:dyDescent="0.2">
      <c r="A1438" t="s">
        <v>4718</v>
      </c>
      <c r="B1438" t="s">
        <v>4722</v>
      </c>
      <c r="C1438" t="s">
        <v>4723</v>
      </c>
      <c r="D1438" t="s">
        <v>4724</v>
      </c>
      <c r="E1438" t="s">
        <v>4693</v>
      </c>
      <c r="F1438" t="s">
        <v>23</v>
      </c>
      <c r="G1438" s="1">
        <v>13</v>
      </c>
      <c r="H1438" s="1">
        <v>12</v>
      </c>
      <c r="I1438" t="s">
        <v>3653</v>
      </c>
      <c r="K1438" t="s">
        <v>2828</v>
      </c>
      <c r="L1438" s="1">
        <v>1</v>
      </c>
      <c r="M1438" s="3">
        <v>17.64</v>
      </c>
      <c r="N1438" s="3">
        <v>0.88</v>
      </c>
      <c r="O1438" s="3">
        <v>0</v>
      </c>
      <c r="P1438" s="3">
        <v>0.2</v>
      </c>
      <c r="Q1438" s="3">
        <v>18.72</v>
      </c>
      <c r="R1438" s="3">
        <v>7.95</v>
      </c>
      <c r="S1438" s="3">
        <f>VLOOKUP(C1438,[1]page!$C$2:$M$3071,11,0)</f>
        <v>17.62</v>
      </c>
      <c r="T1438" s="6">
        <f t="shared" si="22"/>
        <v>1.9999999999999574E-2</v>
      </c>
    </row>
    <row r="1439" spans="1:20" x14ac:dyDescent="0.2">
      <c r="A1439" t="s">
        <v>4718</v>
      </c>
      <c r="B1439" t="s">
        <v>4725</v>
      </c>
      <c r="C1439" t="s">
        <v>4726</v>
      </c>
      <c r="D1439" t="s">
        <v>4727</v>
      </c>
      <c r="E1439" t="s">
        <v>4728</v>
      </c>
      <c r="F1439" t="s">
        <v>23</v>
      </c>
      <c r="G1439" s="1">
        <v>13</v>
      </c>
      <c r="H1439" s="1">
        <v>12</v>
      </c>
      <c r="I1439" t="s">
        <v>4475</v>
      </c>
      <c r="K1439" t="s">
        <v>2828</v>
      </c>
      <c r="L1439" s="1">
        <v>1</v>
      </c>
      <c r="M1439" s="3">
        <v>19.53</v>
      </c>
      <c r="N1439" s="3">
        <v>0.98</v>
      </c>
      <c r="O1439" s="3">
        <v>0</v>
      </c>
      <c r="P1439" s="3">
        <v>0.2</v>
      </c>
      <c r="Q1439" s="3">
        <v>20.71</v>
      </c>
      <c r="R1439" s="3">
        <v>7.95</v>
      </c>
      <c r="S1439" s="3">
        <f>VLOOKUP(C1439,[1]page!$C$2:$M$3071,11,0)</f>
        <v>19.52</v>
      </c>
      <c r="T1439" s="6">
        <f t="shared" si="22"/>
        <v>1.0000000000001563E-2</v>
      </c>
    </row>
    <row r="1440" spans="1:20" x14ac:dyDescent="0.2">
      <c r="A1440" t="s">
        <v>4718</v>
      </c>
      <c r="B1440" t="s">
        <v>4729</v>
      </c>
      <c r="C1440" t="s">
        <v>4730</v>
      </c>
      <c r="D1440" t="s">
        <v>4731</v>
      </c>
      <c r="E1440" t="s">
        <v>4732</v>
      </c>
      <c r="F1440" t="s">
        <v>23</v>
      </c>
      <c r="G1440" s="2">
        <v>13.6</v>
      </c>
      <c r="H1440" s="1">
        <v>12</v>
      </c>
      <c r="I1440" t="s">
        <v>3228</v>
      </c>
      <c r="K1440" t="s">
        <v>2687</v>
      </c>
      <c r="L1440" s="1">
        <v>1</v>
      </c>
      <c r="M1440" s="3">
        <v>17.64</v>
      </c>
      <c r="N1440" s="3">
        <v>0.88</v>
      </c>
      <c r="O1440" s="3">
        <v>0</v>
      </c>
      <c r="P1440" s="3">
        <v>0.2</v>
      </c>
      <c r="Q1440" s="3">
        <v>18.72</v>
      </c>
      <c r="R1440" s="3">
        <v>7.95</v>
      </c>
      <c r="S1440" s="3">
        <f>VLOOKUP(C1440,[1]page!$C$2:$M$3071,11,0)</f>
        <v>17.61</v>
      </c>
      <c r="T1440" s="6">
        <f t="shared" si="22"/>
        <v>3.0000000000001137E-2</v>
      </c>
    </row>
    <row r="1441" spans="1:20" x14ac:dyDescent="0.2">
      <c r="A1441" t="s">
        <v>4718</v>
      </c>
      <c r="B1441" t="s">
        <v>4733</v>
      </c>
      <c r="C1441" t="s">
        <v>4734</v>
      </c>
      <c r="D1441" t="s">
        <v>4735</v>
      </c>
      <c r="E1441" t="s">
        <v>4704</v>
      </c>
      <c r="F1441" t="s">
        <v>23</v>
      </c>
      <c r="G1441" s="1">
        <v>5</v>
      </c>
      <c r="H1441" s="1">
        <v>12</v>
      </c>
      <c r="I1441" t="s">
        <v>2700</v>
      </c>
      <c r="K1441" t="s">
        <v>2687</v>
      </c>
      <c r="L1441" s="1">
        <v>1</v>
      </c>
      <c r="M1441" s="3">
        <v>17.59</v>
      </c>
      <c r="N1441" s="3">
        <v>0.88</v>
      </c>
      <c r="O1441" s="3">
        <v>0</v>
      </c>
      <c r="P1441" s="3">
        <v>0.2</v>
      </c>
      <c r="Q1441" s="3">
        <v>18.670000000000002</v>
      </c>
      <c r="R1441" s="3">
        <v>7.95</v>
      </c>
      <c r="S1441" s="3">
        <f>VLOOKUP(C1441,[1]page!$C$2:$M$3071,11,0)</f>
        <v>17.579999999999998</v>
      </c>
      <c r="T1441" s="6">
        <f t="shared" si="22"/>
        <v>1.0000000000001563E-2</v>
      </c>
    </row>
    <row r="1442" spans="1:20" x14ac:dyDescent="0.2">
      <c r="A1442" t="s">
        <v>4718</v>
      </c>
      <c r="B1442" t="s">
        <v>4736</v>
      </c>
      <c r="C1442" t="s">
        <v>4737</v>
      </c>
      <c r="D1442" t="s">
        <v>4738</v>
      </c>
      <c r="E1442" t="s">
        <v>4704</v>
      </c>
      <c r="F1442" t="s">
        <v>23</v>
      </c>
      <c r="G1442" s="1">
        <v>14</v>
      </c>
      <c r="H1442" s="1">
        <v>12</v>
      </c>
      <c r="I1442" t="s">
        <v>2700</v>
      </c>
      <c r="K1442" t="s">
        <v>2828</v>
      </c>
      <c r="L1442" s="1">
        <v>1</v>
      </c>
      <c r="M1442" s="3">
        <v>17.64</v>
      </c>
      <c r="N1442" s="3">
        <v>0.88</v>
      </c>
      <c r="O1442" s="3">
        <v>0</v>
      </c>
      <c r="P1442" s="3">
        <v>0.2</v>
      </c>
      <c r="Q1442" s="3">
        <v>18.72</v>
      </c>
      <c r="R1442" s="3">
        <v>7.95</v>
      </c>
      <c r="S1442" s="3">
        <f>VLOOKUP(C1442,[1]page!$C$2:$M$3071,11,0)</f>
        <v>17.61</v>
      </c>
      <c r="T1442" s="6">
        <f t="shared" si="22"/>
        <v>3.0000000000001137E-2</v>
      </c>
    </row>
    <row r="1443" spans="1:20" x14ac:dyDescent="0.2">
      <c r="A1443" t="s">
        <v>4718</v>
      </c>
      <c r="B1443" t="s">
        <v>4739</v>
      </c>
      <c r="C1443" t="s">
        <v>4740</v>
      </c>
      <c r="D1443" t="s">
        <v>4741</v>
      </c>
      <c r="E1443" t="s">
        <v>4704</v>
      </c>
      <c r="F1443" t="s">
        <v>23</v>
      </c>
      <c r="G1443" s="1">
        <v>13</v>
      </c>
      <c r="H1443" s="1">
        <v>12</v>
      </c>
      <c r="I1443" t="s">
        <v>2700</v>
      </c>
      <c r="K1443" t="s">
        <v>2828</v>
      </c>
      <c r="L1443" s="1">
        <v>1</v>
      </c>
      <c r="M1443" s="3">
        <v>17.64</v>
      </c>
      <c r="N1443" s="3">
        <v>0.88</v>
      </c>
      <c r="O1443" s="3">
        <v>0</v>
      </c>
      <c r="P1443" s="3">
        <v>0.2</v>
      </c>
      <c r="Q1443" s="3">
        <v>18.72</v>
      </c>
      <c r="R1443" s="3">
        <v>7.95</v>
      </c>
      <c r="S1443" s="3">
        <f>VLOOKUP(C1443,[1]page!$C$2:$M$3071,11,0)</f>
        <v>17.61</v>
      </c>
      <c r="T1443" s="6">
        <f t="shared" si="22"/>
        <v>3.0000000000001137E-2</v>
      </c>
    </row>
    <row r="1444" spans="1:20" x14ac:dyDescent="0.2">
      <c r="A1444" t="s">
        <v>4718</v>
      </c>
      <c r="B1444" t="s">
        <v>4742</v>
      </c>
      <c r="C1444" t="s">
        <v>4743</v>
      </c>
      <c r="D1444" t="s">
        <v>4744</v>
      </c>
      <c r="E1444" t="s">
        <v>4745</v>
      </c>
      <c r="F1444" t="s">
        <v>23</v>
      </c>
      <c r="G1444" s="1">
        <v>13</v>
      </c>
      <c r="H1444" s="1">
        <v>12</v>
      </c>
      <c r="I1444" t="s">
        <v>183</v>
      </c>
      <c r="K1444" t="s">
        <v>2706</v>
      </c>
      <c r="L1444" s="1">
        <v>1</v>
      </c>
      <c r="M1444" s="3">
        <v>15.18</v>
      </c>
      <c r="N1444" s="3">
        <v>0.76</v>
      </c>
      <c r="O1444" s="3">
        <v>0</v>
      </c>
      <c r="P1444" s="3">
        <v>0.2</v>
      </c>
      <c r="Q1444" s="3">
        <v>16.14</v>
      </c>
      <c r="R1444" s="3">
        <v>7.95</v>
      </c>
      <c r="S1444" s="3">
        <f>VLOOKUP(C1444,[1]page!$C$2:$M$3071,11,0)</f>
        <v>15.15</v>
      </c>
      <c r="T1444" s="6">
        <f t="shared" si="22"/>
        <v>2.9999999999999361E-2</v>
      </c>
    </row>
    <row r="1445" spans="1:20" x14ac:dyDescent="0.2">
      <c r="A1445" t="s">
        <v>4718</v>
      </c>
      <c r="B1445" t="s">
        <v>4746</v>
      </c>
      <c r="C1445" t="s">
        <v>4747</v>
      </c>
      <c r="D1445" t="s">
        <v>4748</v>
      </c>
      <c r="E1445" t="s">
        <v>4745</v>
      </c>
      <c r="F1445" t="s">
        <v>23</v>
      </c>
      <c r="G1445" s="1">
        <v>13</v>
      </c>
      <c r="H1445" s="1">
        <v>12</v>
      </c>
      <c r="I1445" t="s">
        <v>183</v>
      </c>
      <c r="K1445" t="s">
        <v>2687</v>
      </c>
      <c r="L1445" s="1">
        <v>1</v>
      </c>
      <c r="M1445" s="3">
        <v>15.88</v>
      </c>
      <c r="N1445" s="3">
        <v>0.79</v>
      </c>
      <c r="O1445" s="3">
        <v>0</v>
      </c>
      <c r="P1445" s="3">
        <v>0.2</v>
      </c>
      <c r="Q1445" s="3">
        <v>16.87</v>
      </c>
      <c r="R1445" s="3">
        <v>7.95</v>
      </c>
      <c r="S1445" s="3">
        <f>VLOOKUP(C1445,[1]page!$C$2:$M$3071,11,0)</f>
        <v>15.85</v>
      </c>
      <c r="T1445" s="6">
        <f t="shared" si="22"/>
        <v>3.0000000000001137E-2</v>
      </c>
    </row>
    <row r="1446" spans="1:20" x14ac:dyDescent="0.2">
      <c r="A1446" t="s">
        <v>4718</v>
      </c>
      <c r="B1446" t="s">
        <v>4749</v>
      </c>
      <c r="C1446" t="s">
        <v>4750</v>
      </c>
      <c r="D1446" t="s">
        <v>4751</v>
      </c>
      <c r="E1446" t="s">
        <v>3861</v>
      </c>
      <c r="F1446" t="s">
        <v>23</v>
      </c>
      <c r="G1446" s="1">
        <v>13</v>
      </c>
      <c r="H1446" s="1">
        <v>12</v>
      </c>
      <c r="I1446" t="s">
        <v>600</v>
      </c>
      <c r="K1446" t="s">
        <v>2687</v>
      </c>
      <c r="L1446" s="1">
        <v>1</v>
      </c>
      <c r="M1446" s="3">
        <v>15.67</v>
      </c>
      <c r="N1446" s="3">
        <v>0.78</v>
      </c>
      <c r="O1446" s="3">
        <v>0</v>
      </c>
      <c r="P1446" s="3">
        <v>0.2</v>
      </c>
      <c r="Q1446" s="3">
        <v>16.649999999999999</v>
      </c>
      <c r="R1446" s="3">
        <v>7.95</v>
      </c>
      <c r="S1446" s="3">
        <f>VLOOKUP(C1446,[1]page!$C$2:$M$3071,11,0)</f>
        <v>15.65</v>
      </c>
      <c r="T1446" s="6">
        <f t="shared" si="22"/>
        <v>1.9999999999999574E-2</v>
      </c>
    </row>
    <row r="1447" spans="1:20" x14ac:dyDescent="0.2">
      <c r="A1447" t="s">
        <v>4718</v>
      </c>
      <c r="B1447" t="s">
        <v>4752</v>
      </c>
      <c r="C1447" t="s">
        <v>4753</v>
      </c>
      <c r="D1447" t="s">
        <v>4754</v>
      </c>
      <c r="E1447" t="s">
        <v>4755</v>
      </c>
      <c r="F1447" t="s">
        <v>23</v>
      </c>
      <c r="G1447" s="1">
        <v>13</v>
      </c>
      <c r="H1447" s="1">
        <v>12</v>
      </c>
      <c r="I1447" t="s">
        <v>449</v>
      </c>
      <c r="K1447" t="s">
        <v>2828</v>
      </c>
      <c r="L1447" s="1">
        <v>1</v>
      </c>
      <c r="M1447" s="3">
        <v>20.010000000000002</v>
      </c>
      <c r="N1447" s="3">
        <v>1</v>
      </c>
      <c r="O1447" s="3">
        <v>0</v>
      </c>
      <c r="P1447" s="3">
        <v>0.2</v>
      </c>
      <c r="Q1447" s="3">
        <v>21.21</v>
      </c>
      <c r="R1447" s="3">
        <v>7.95</v>
      </c>
      <c r="S1447" s="3">
        <f>VLOOKUP(C1447,[1]page!$C$2:$M$3071,11,0)</f>
        <v>19.989999999999998</v>
      </c>
      <c r="T1447" s="6">
        <f t="shared" si="22"/>
        <v>2.0000000000003126E-2</v>
      </c>
    </row>
    <row r="1448" spans="1:20" x14ac:dyDescent="0.2">
      <c r="A1448" t="s">
        <v>4718</v>
      </c>
      <c r="B1448" t="s">
        <v>4756</v>
      </c>
      <c r="C1448" t="s">
        <v>4757</v>
      </c>
      <c r="D1448" t="s">
        <v>4758</v>
      </c>
      <c r="E1448" t="s">
        <v>4688</v>
      </c>
      <c r="F1448" t="s">
        <v>23</v>
      </c>
      <c r="G1448" s="2">
        <v>13.5</v>
      </c>
      <c r="H1448" s="1">
        <v>12</v>
      </c>
      <c r="I1448" t="s">
        <v>3732</v>
      </c>
      <c r="K1448" t="s">
        <v>2828</v>
      </c>
      <c r="L1448" s="1">
        <v>1</v>
      </c>
      <c r="M1448" s="3">
        <v>17.63</v>
      </c>
      <c r="N1448" s="3">
        <v>0.88</v>
      </c>
      <c r="O1448" s="3">
        <v>0</v>
      </c>
      <c r="P1448" s="3">
        <v>0.2</v>
      </c>
      <c r="Q1448" s="3">
        <v>18.71</v>
      </c>
      <c r="R1448" s="3">
        <v>7.95</v>
      </c>
      <c r="S1448" s="3">
        <f>VLOOKUP(C1448,[1]page!$C$2:$M$3071,11,0)</f>
        <v>17.61</v>
      </c>
      <c r="T1448" s="6">
        <f t="shared" si="22"/>
        <v>1.9999999999999574E-2</v>
      </c>
    </row>
    <row r="1449" spans="1:20" x14ac:dyDescent="0.2">
      <c r="A1449" t="s">
        <v>4718</v>
      </c>
      <c r="B1449" t="s">
        <v>4759</v>
      </c>
      <c r="C1449" t="s">
        <v>4760</v>
      </c>
      <c r="D1449" t="s">
        <v>4761</v>
      </c>
      <c r="E1449" t="s">
        <v>4688</v>
      </c>
      <c r="F1449" t="s">
        <v>23</v>
      </c>
      <c r="G1449" s="1">
        <v>13</v>
      </c>
      <c r="H1449" s="1">
        <v>12</v>
      </c>
      <c r="I1449" t="s">
        <v>3732</v>
      </c>
      <c r="K1449" t="s">
        <v>2828</v>
      </c>
      <c r="L1449" s="1">
        <v>1</v>
      </c>
      <c r="M1449" s="3">
        <v>17.63</v>
      </c>
      <c r="N1449" s="3">
        <v>0.88</v>
      </c>
      <c r="O1449" s="3">
        <v>0</v>
      </c>
      <c r="P1449" s="3">
        <v>0.2</v>
      </c>
      <c r="Q1449" s="3">
        <v>18.71</v>
      </c>
      <c r="R1449" s="3">
        <v>7.95</v>
      </c>
      <c r="S1449" s="3">
        <f>VLOOKUP(C1449,[1]page!$C$2:$M$3071,11,0)</f>
        <v>17.61</v>
      </c>
      <c r="T1449" s="6">
        <f t="shared" ref="T1449:T1511" si="23">SUM(M1449-S1449)</f>
        <v>1.9999999999999574E-2</v>
      </c>
    </row>
    <row r="1450" spans="1:20" x14ac:dyDescent="0.2">
      <c r="A1450" t="s">
        <v>4718</v>
      </c>
      <c r="B1450" t="s">
        <v>4762</v>
      </c>
      <c r="C1450" t="s">
        <v>4763</v>
      </c>
      <c r="D1450" t="s">
        <v>4764</v>
      </c>
      <c r="E1450" t="s">
        <v>4765</v>
      </c>
      <c r="F1450" t="s">
        <v>23</v>
      </c>
      <c r="G1450" s="1">
        <v>13</v>
      </c>
      <c r="H1450" s="1">
        <v>12</v>
      </c>
      <c r="I1450" t="s">
        <v>188</v>
      </c>
      <c r="K1450" t="s">
        <v>2828</v>
      </c>
      <c r="L1450" s="1">
        <v>1</v>
      </c>
      <c r="M1450" s="3">
        <v>19.62</v>
      </c>
      <c r="N1450" s="3">
        <v>0.98</v>
      </c>
      <c r="O1450" s="3">
        <v>0</v>
      </c>
      <c r="P1450" s="3">
        <v>0.2</v>
      </c>
      <c r="Q1450" s="3">
        <v>20.8</v>
      </c>
      <c r="R1450" s="3">
        <v>7.95</v>
      </c>
      <c r="S1450" s="3">
        <f>VLOOKUP(C1450,[1]page!$C$2:$M$3071,11,0)</f>
        <v>19.600000000000001</v>
      </c>
      <c r="T1450" s="6">
        <f t="shared" si="23"/>
        <v>1.9999999999999574E-2</v>
      </c>
    </row>
    <row r="1451" spans="1:20" x14ac:dyDescent="0.2">
      <c r="A1451" t="s">
        <v>4718</v>
      </c>
      <c r="B1451" t="s">
        <v>4766</v>
      </c>
      <c r="C1451" t="s">
        <v>4767</v>
      </c>
      <c r="D1451" t="s">
        <v>4768</v>
      </c>
      <c r="E1451" t="s">
        <v>4769</v>
      </c>
      <c r="F1451" t="s">
        <v>23</v>
      </c>
      <c r="G1451" s="2">
        <v>13.5</v>
      </c>
      <c r="H1451" s="1">
        <v>12</v>
      </c>
      <c r="I1451" t="s">
        <v>4770</v>
      </c>
      <c r="K1451" t="s">
        <v>2828</v>
      </c>
      <c r="L1451" s="1">
        <v>1</v>
      </c>
      <c r="M1451" s="3">
        <v>19.670000000000002</v>
      </c>
      <c r="N1451" s="3">
        <v>0.98</v>
      </c>
      <c r="O1451" s="3">
        <v>0</v>
      </c>
      <c r="P1451" s="3">
        <v>0.2</v>
      </c>
      <c r="Q1451" s="3">
        <v>20.85</v>
      </c>
      <c r="R1451" s="3">
        <v>7.95</v>
      </c>
      <c r="S1451" s="3">
        <f>VLOOKUP(C1451,[1]page!$C$2:$M$3071,11,0)</f>
        <v>19.649999999999999</v>
      </c>
      <c r="T1451" s="6">
        <f t="shared" si="23"/>
        <v>2.0000000000003126E-2</v>
      </c>
    </row>
    <row r="1452" spans="1:20" x14ac:dyDescent="0.2">
      <c r="A1452" t="s">
        <v>4718</v>
      </c>
      <c r="B1452" t="s">
        <v>4771</v>
      </c>
      <c r="C1452" t="s">
        <v>4772</v>
      </c>
      <c r="D1452" t="s">
        <v>4773</v>
      </c>
      <c r="E1452" t="s">
        <v>4774</v>
      </c>
      <c r="F1452" t="s">
        <v>23</v>
      </c>
      <c r="G1452" s="2">
        <v>12.5</v>
      </c>
      <c r="H1452" s="1">
        <v>12</v>
      </c>
      <c r="I1452" t="s">
        <v>3498</v>
      </c>
      <c r="K1452" t="s">
        <v>2828</v>
      </c>
      <c r="L1452" s="1">
        <v>1</v>
      </c>
      <c r="M1452" s="3">
        <v>20.84</v>
      </c>
      <c r="N1452" s="3">
        <v>1.04</v>
      </c>
      <c r="O1452" s="3">
        <v>0</v>
      </c>
      <c r="P1452" s="3">
        <v>0.2</v>
      </c>
      <c r="Q1452" s="3">
        <v>22.08</v>
      </c>
      <c r="R1452" s="3">
        <v>7.95</v>
      </c>
      <c r="S1452" s="3">
        <f>VLOOKUP(C1452,[1]page!$C$2:$M$3071,11,0)</f>
        <v>20.84</v>
      </c>
      <c r="T1452" s="6">
        <f t="shared" si="23"/>
        <v>0</v>
      </c>
    </row>
    <row r="1453" spans="1:20" x14ac:dyDescent="0.2">
      <c r="A1453" t="s">
        <v>4718</v>
      </c>
      <c r="B1453" t="s">
        <v>4775</v>
      </c>
      <c r="C1453" t="s">
        <v>4776</v>
      </c>
      <c r="D1453" t="s">
        <v>4777</v>
      </c>
      <c r="E1453" t="s">
        <v>4778</v>
      </c>
      <c r="F1453" t="s">
        <v>23</v>
      </c>
      <c r="G1453" s="2">
        <v>12.5</v>
      </c>
      <c r="H1453" s="1">
        <v>12</v>
      </c>
      <c r="I1453" t="s">
        <v>1604</v>
      </c>
      <c r="K1453" t="s">
        <v>2828</v>
      </c>
      <c r="L1453" s="1">
        <v>1</v>
      </c>
      <c r="M1453" s="3">
        <v>20.13</v>
      </c>
      <c r="N1453" s="3">
        <v>1.01</v>
      </c>
      <c r="O1453" s="3">
        <v>0</v>
      </c>
      <c r="P1453" s="3">
        <v>0.2</v>
      </c>
      <c r="Q1453" s="3">
        <v>21.34</v>
      </c>
      <c r="R1453" s="3">
        <v>7.95</v>
      </c>
      <c r="S1453" s="3">
        <f>VLOOKUP(C1453,[1]page!$C$2:$M$3071,11,0)</f>
        <v>20.12</v>
      </c>
      <c r="T1453" s="6">
        <f t="shared" si="23"/>
        <v>9.9999999999980105E-3</v>
      </c>
    </row>
    <row r="1454" spans="1:20" x14ac:dyDescent="0.2">
      <c r="A1454" t="s">
        <v>4718</v>
      </c>
      <c r="B1454" t="s">
        <v>4779</v>
      </c>
      <c r="C1454" t="s">
        <v>4780</v>
      </c>
      <c r="D1454" t="s">
        <v>4781</v>
      </c>
      <c r="E1454" t="s">
        <v>626</v>
      </c>
      <c r="F1454" t="s">
        <v>23</v>
      </c>
      <c r="G1454" s="1">
        <v>9</v>
      </c>
      <c r="H1454" s="1">
        <v>12</v>
      </c>
      <c r="I1454" t="s">
        <v>39</v>
      </c>
      <c r="K1454" t="s">
        <v>2828</v>
      </c>
      <c r="L1454" s="1">
        <v>1</v>
      </c>
      <c r="M1454" s="3">
        <v>17.63</v>
      </c>
      <c r="N1454" s="3">
        <v>0.88</v>
      </c>
      <c r="O1454" s="3">
        <v>0</v>
      </c>
      <c r="P1454" s="3">
        <v>0.2</v>
      </c>
      <c r="Q1454" s="3">
        <v>18.71</v>
      </c>
      <c r="R1454" s="3">
        <v>7.95</v>
      </c>
      <c r="S1454" s="3">
        <f>VLOOKUP(C1454,[1]page!$C$2:$M$3071,11,0)</f>
        <v>17.61</v>
      </c>
      <c r="T1454" s="6">
        <f t="shared" si="23"/>
        <v>1.9999999999999574E-2</v>
      </c>
    </row>
    <row r="1455" spans="1:20" x14ac:dyDescent="0.2">
      <c r="A1455" t="s">
        <v>4718</v>
      </c>
      <c r="B1455" t="s">
        <v>4782</v>
      </c>
      <c r="C1455" t="s">
        <v>4783</v>
      </c>
      <c r="D1455" t="s">
        <v>4784</v>
      </c>
      <c r="E1455" t="s">
        <v>4785</v>
      </c>
      <c r="F1455" t="s">
        <v>23</v>
      </c>
      <c r="G1455" s="2">
        <v>13.5</v>
      </c>
      <c r="H1455" s="1">
        <v>12</v>
      </c>
      <c r="I1455" t="s">
        <v>39</v>
      </c>
      <c r="K1455" t="s">
        <v>2828</v>
      </c>
      <c r="L1455" s="1">
        <v>1</v>
      </c>
      <c r="M1455" s="3">
        <v>17.62</v>
      </c>
      <c r="N1455" s="3">
        <v>0.88</v>
      </c>
      <c r="O1455" s="3">
        <v>0</v>
      </c>
      <c r="P1455" s="3">
        <v>0.2</v>
      </c>
      <c r="Q1455" s="3">
        <v>18.7</v>
      </c>
      <c r="R1455" s="3">
        <v>7.95</v>
      </c>
      <c r="S1455" s="3">
        <f>VLOOKUP(C1455,[1]page!$C$2:$M$3071,11,0)</f>
        <v>17.600000000000001</v>
      </c>
      <c r="T1455" s="6">
        <f t="shared" si="23"/>
        <v>1.9999999999999574E-2</v>
      </c>
    </row>
    <row r="1456" spans="1:20" x14ac:dyDescent="0.2">
      <c r="A1456" t="s">
        <v>4718</v>
      </c>
      <c r="B1456" t="s">
        <v>4786</v>
      </c>
      <c r="C1456" t="s">
        <v>4787</v>
      </c>
      <c r="D1456" t="s">
        <v>4788</v>
      </c>
      <c r="E1456" t="s">
        <v>4789</v>
      </c>
      <c r="F1456" t="s">
        <v>23</v>
      </c>
      <c r="G1456" s="1">
        <v>13</v>
      </c>
      <c r="H1456" s="1">
        <v>12</v>
      </c>
      <c r="I1456" t="s">
        <v>4790</v>
      </c>
      <c r="K1456" t="s">
        <v>2706</v>
      </c>
      <c r="L1456" s="1">
        <v>1</v>
      </c>
      <c r="M1456" s="3">
        <v>16.66</v>
      </c>
      <c r="N1456" s="3">
        <v>0.83</v>
      </c>
      <c r="O1456" s="3">
        <v>0</v>
      </c>
      <c r="P1456" s="3">
        <v>0.2</v>
      </c>
      <c r="Q1456" s="3">
        <v>17.690000000000001</v>
      </c>
      <c r="R1456" s="3">
        <v>7.95</v>
      </c>
      <c r="S1456" s="3">
        <f>VLOOKUP(C1456,[1]page!$C$2:$M$3071,11,0)</f>
        <v>16.66</v>
      </c>
      <c r="T1456" s="6">
        <f t="shared" si="23"/>
        <v>0</v>
      </c>
    </row>
    <row r="1457" spans="1:20" x14ac:dyDescent="0.2">
      <c r="A1457" t="s">
        <v>4718</v>
      </c>
      <c r="B1457" t="s">
        <v>4791</v>
      </c>
      <c r="C1457" t="s">
        <v>4792</v>
      </c>
      <c r="D1457" t="s">
        <v>4793</v>
      </c>
      <c r="E1457" t="s">
        <v>4794</v>
      </c>
      <c r="F1457" t="s">
        <v>23</v>
      </c>
      <c r="G1457" s="1">
        <v>13</v>
      </c>
      <c r="H1457" s="1">
        <v>12</v>
      </c>
      <c r="I1457" t="s">
        <v>600</v>
      </c>
      <c r="K1457" t="s">
        <v>2828</v>
      </c>
      <c r="L1457" s="1">
        <v>1</v>
      </c>
      <c r="M1457" s="3">
        <v>15.67</v>
      </c>
      <c r="N1457" s="3">
        <v>0.78</v>
      </c>
      <c r="O1457" s="3">
        <v>0</v>
      </c>
      <c r="P1457" s="3">
        <v>0.2</v>
      </c>
      <c r="Q1457" s="3">
        <v>16.649999999999999</v>
      </c>
      <c r="R1457" s="3">
        <v>7.95</v>
      </c>
      <c r="S1457" s="3">
        <f>VLOOKUP(C1457,[1]page!$C$2:$M$3071,11,0)</f>
        <v>15.65</v>
      </c>
      <c r="T1457" s="6">
        <f t="shared" si="23"/>
        <v>1.9999999999999574E-2</v>
      </c>
    </row>
    <row r="1458" spans="1:20" x14ac:dyDescent="0.2">
      <c r="A1458" t="s">
        <v>4718</v>
      </c>
      <c r="B1458" t="s">
        <v>4795</v>
      </c>
      <c r="C1458" t="s">
        <v>4796</v>
      </c>
      <c r="D1458" t="s">
        <v>4797</v>
      </c>
      <c r="E1458" t="s">
        <v>4745</v>
      </c>
      <c r="F1458" t="s">
        <v>23</v>
      </c>
      <c r="G1458" s="2">
        <v>13.5</v>
      </c>
      <c r="H1458" s="1">
        <v>12</v>
      </c>
      <c r="I1458" t="s">
        <v>183</v>
      </c>
      <c r="J1458" s="1">
        <v>2011</v>
      </c>
      <c r="K1458" t="s">
        <v>2828</v>
      </c>
      <c r="L1458" s="1">
        <v>1</v>
      </c>
      <c r="M1458" s="3">
        <v>17.27</v>
      </c>
      <c r="N1458" s="3">
        <v>0.86</v>
      </c>
      <c r="O1458" s="3">
        <v>0</v>
      </c>
      <c r="P1458" s="3">
        <v>0.2</v>
      </c>
      <c r="Q1458" s="3">
        <v>18.329999999999998</v>
      </c>
      <c r="R1458" s="3">
        <v>7.95</v>
      </c>
      <c r="S1458" s="3">
        <f>VLOOKUP(C1458,[1]page!$C$2:$M$3071,11,0)</f>
        <v>17.239999999999998</v>
      </c>
      <c r="T1458" s="6">
        <f t="shared" si="23"/>
        <v>3.0000000000001137E-2</v>
      </c>
    </row>
    <row r="1459" spans="1:20" x14ac:dyDescent="0.2">
      <c r="A1459" t="s">
        <v>4718</v>
      </c>
      <c r="B1459" t="s">
        <v>4798</v>
      </c>
      <c r="C1459" t="s">
        <v>4799</v>
      </c>
      <c r="D1459" t="s">
        <v>4800</v>
      </c>
      <c r="E1459" t="s">
        <v>2077</v>
      </c>
      <c r="F1459" t="s">
        <v>23</v>
      </c>
      <c r="G1459" s="2">
        <v>13.5</v>
      </c>
      <c r="H1459" s="1">
        <v>12</v>
      </c>
      <c r="I1459" t="s">
        <v>1604</v>
      </c>
      <c r="K1459" t="s">
        <v>2687</v>
      </c>
      <c r="L1459" s="1">
        <v>1</v>
      </c>
      <c r="M1459" s="3">
        <v>18.21</v>
      </c>
      <c r="N1459" s="3">
        <v>0.91</v>
      </c>
      <c r="O1459" s="3">
        <v>0</v>
      </c>
      <c r="P1459" s="3">
        <v>0.2</v>
      </c>
      <c r="Q1459" s="3">
        <v>19.32</v>
      </c>
      <c r="R1459" s="3">
        <v>7.95</v>
      </c>
      <c r="S1459" s="3">
        <f>VLOOKUP(C1459,[1]page!$C$2:$M$3071,11,0)</f>
        <v>18.190000000000001</v>
      </c>
      <c r="T1459" s="6">
        <f t="shared" si="23"/>
        <v>1.9999999999999574E-2</v>
      </c>
    </row>
    <row r="1460" spans="1:20" x14ac:dyDescent="0.2">
      <c r="A1460" t="s">
        <v>4718</v>
      </c>
      <c r="B1460" t="s">
        <v>4801</v>
      </c>
      <c r="C1460" t="s">
        <v>4802</v>
      </c>
      <c r="D1460" t="s">
        <v>4803</v>
      </c>
      <c r="E1460" t="s">
        <v>4804</v>
      </c>
      <c r="F1460" t="s">
        <v>23</v>
      </c>
      <c r="G1460" s="1">
        <v>13</v>
      </c>
      <c r="H1460" s="1">
        <v>12</v>
      </c>
      <c r="I1460" t="s">
        <v>1604</v>
      </c>
      <c r="K1460" t="s">
        <v>2828</v>
      </c>
      <c r="L1460" s="1">
        <v>1</v>
      </c>
      <c r="M1460" s="3">
        <v>18.21</v>
      </c>
      <c r="N1460" s="3">
        <v>0.91</v>
      </c>
      <c r="O1460" s="3">
        <v>0</v>
      </c>
      <c r="P1460" s="3">
        <v>0.2</v>
      </c>
      <c r="Q1460" s="3">
        <v>19.32</v>
      </c>
      <c r="R1460" s="3">
        <v>7.95</v>
      </c>
      <c r="S1460" s="3">
        <f>VLOOKUP(C1460,[1]page!$C$2:$M$3071,11,0)</f>
        <v>18.190000000000001</v>
      </c>
      <c r="T1460" s="6">
        <f t="shared" si="23"/>
        <v>1.9999999999999574E-2</v>
      </c>
    </row>
    <row r="1461" spans="1:20" x14ac:dyDescent="0.2">
      <c r="A1461" t="s">
        <v>4805</v>
      </c>
      <c r="B1461" t="s">
        <v>4807</v>
      </c>
      <c r="C1461" t="s">
        <v>4808</v>
      </c>
      <c r="D1461" t="s">
        <v>4809</v>
      </c>
      <c r="E1461" t="s">
        <v>4806</v>
      </c>
      <c r="F1461" t="s">
        <v>23</v>
      </c>
      <c r="G1461" s="1">
        <v>13</v>
      </c>
      <c r="H1461" s="1">
        <v>12</v>
      </c>
      <c r="I1461" t="s">
        <v>70</v>
      </c>
      <c r="K1461" t="s">
        <v>2712</v>
      </c>
      <c r="L1461" s="1">
        <v>1</v>
      </c>
      <c r="M1461" s="3">
        <v>14.49</v>
      </c>
      <c r="N1461" s="3">
        <v>0.72</v>
      </c>
      <c r="O1461" s="3">
        <v>0</v>
      </c>
      <c r="P1461" s="3">
        <v>0.2</v>
      </c>
      <c r="Q1461" s="3">
        <v>15.41</v>
      </c>
      <c r="R1461" s="3">
        <v>7.95</v>
      </c>
      <c r="S1461" s="3">
        <f>VLOOKUP(C1461,[1]page!$C$2:$M$3071,11,0)</f>
        <v>14.29</v>
      </c>
      <c r="T1461" s="6">
        <f t="shared" si="23"/>
        <v>0.20000000000000107</v>
      </c>
    </row>
    <row r="1462" spans="1:20" x14ac:dyDescent="0.2">
      <c r="A1462" t="s">
        <v>4805</v>
      </c>
      <c r="B1462" t="s">
        <v>4810</v>
      </c>
      <c r="C1462" t="s">
        <v>4811</v>
      </c>
      <c r="D1462" t="s">
        <v>4812</v>
      </c>
      <c r="E1462" t="s">
        <v>4806</v>
      </c>
      <c r="F1462" t="s">
        <v>23</v>
      </c>
      <c r="G1462" s="2">
        <v>13.5</v>
      </c>
      <c r="H1462" s="1">
        <v>12</v>
      </c>
      <c r="I1462" t="s">
        <v>70</v>
      </c>
      <c r="K1462" t="s">
        <v>2706</v>
      </c>
      <c r="L1462" s="1">
        <v>1</v>
      </c>
      <c r="M1462" s="3">
        <v>15.99</v>
      </c>
      <c r="N1462" s="3">
        <v>0.8</v>
      </c>
      <c r="O1462" s="3">
        <v>0</v>
      </c>
      <c r="P1462" s="3">
        <v>0.2</v>
      </c>
      <c r="Q1462" s="3">
        <v>16.989999999999998</v>
      </c>
      <c r="R1462" s="3">
        <v>7.95</v>
      </c>
      <c r="S1462" s="3">
        <f>VLOOKUP(C1462,[1]page!$C$2:$M$3071,11,0)</f>
        <v>16.190000000000001</v>
      </c>
      <c r="T1462" s="6">
        <f t="shared" si="23"/>
        <v>-0.20000000000000107</v>
      </c>
    </row>
    <row r="1463" spans="1:20" x14ac:dyDescent="0.2">
      <c r="A1463" t="s">
        <v>4813</v>
      </c>
      <c r="B1463" t="s">
        <v>4814</v>
      </c>
      <c r="C1463" t="s">
        <v>4815</v>
      </c>
      <c r="D1463" t="s">
        <v>4816</v>
      </c>
      <c r="E1463" t="s">
        <v>4817</v>
      </c>
      <c r="F1463" t="s">
        <v>23</v>
      </c>
      <c r="G1463" s="2">
        <v>9.5</v>
      </c>
      <c r="H1463" s="1">
        <v>12</v>
      </c>
      <c r="I1463" t="s">
        <v>183</v>
      </c>
      <c r="K1463" t="s">
        <v>2706</v>
      </c>
      <c r="L1463" s="1">
        <v>1</v>
      </c>
      <c r="M1463" s="3">
        <v>11.06</v>
      </c>
      <c r="N1463" s="3">
        <v>0.55000000000000004</v>
      </c>
      <c r="O1463" s="3">
        <v>0</v>
      </c>
      <c r="P1463" s="3">
        <v>0.2</v>
      </c>
      <c r="Q1463" s="3">
        <v>11.81</v>
      </c>
      <c r="R1463" s="3">
        <v>7.95</v>
      </c>
      <c r="S1463" s="3">
        <f>VLOOKUP(C1463,[1]page!$C$2:$M$3071,11,0)</f>
        <v>11.04</v>
      </c>
      <c r="T1463" s="6">
        <f t="shared" si="23"/>
        <v>2.000000000000135E-2</v>
      </c>
    </row>
    <row r="1464" spans="1:20" x14ac:dyDescent="0.2">
      <c r="A1464" t="s">
        <v>4813</v>
      </c>
      <c r="B1464" t="s">
        <v>4818</v>
      </c>
      <c r="C1464" t="s">
        <v>4819</v>
      </c>
      <c r="D1464" t="s">
        <v>4820</v>
      </c>
      <c r="E1464" t="s">
        <v>4817</v>
      </c>
      <c r="F1464" t="s">
        <v>23</v>
      </c>
      <c r="G1464" s="2">
        <v>9.5</v>
      </c>
      <c r="H1464" s="1">
        <v>12</v>
      </c>
      <c r="I1464" t="s">
        <v>183</v>
      </c>
      <c r="K1464" t="s">
        <v>2712</v>
      </c>
      <c r="L1464" s="1">
        <v>1</v>
      </c>
      <c r="M1464" s="3">
        <v>12.35</v>
      </c>
      <c r="N1464" s="3">
        <v>0.62</v>
      </c>
      <c r="O1464" s="3">
        <v>0</v>
      </c>
      <c r="P1464" s="3">
        <v>0.2</v>
      </c>
      <c r="Q1464" s="3">
        <v>13.17</v>
      </c>
      <c r="R1464" s="3">
        <v>7.95</v>
      </c>
      <c r="S1464" s="3">
        <f>VLOOKUP(C1464,[1]page!$C$2:$M$3071,11,0)</f>
        <v>12.33</v>
      </c>
      <c r="T1464" s="6">
        <f t="shared" si="23"/>
        <v>1.9999999999999574E-2</v>
      </c>
    </row>
    <row r="1465" spans="1:20" x14ac:dyDescent="0.2">
      <c r="A1465" t="s">
        <v>4813</v>
      </c>
      <c r="B1465" t="s">
        <v>4821</v>
      </c>
      <c r="C1465" t="s">
        <v>4822</v>
      </c>
      <c r="D1465" t="s">
        <v>4823</v>
      </c>
      <c r="E1465" t="s">
        <v>4806</v>
      </c>
      <c r="F1465" t="s">
        <v>23</v>
      </c>
      <c r="G1465" s="1">
        <v>13</v>
      </c>
      <c r="H1465" s="1">
        <v>12</v>
      </c>
      <c r="I1465" t="s">
        <v>70</v>
      </c>
      <c r="K1465" t="s">
        <v>2706</v>
      </c>
      <c r="L1465" s="1">
        <v>1</v>
      </c>
      <c r="M1465" s="3">
        <v>14.49</v>
      </c>
      <c r="N1465" s="3">
        <v>0.72</v>
      </c>
      <c r="O1465" s="3">
        <v>0</v>
      </c>
      <c r="P1465" s="3">
        <v>0.2</v>
      </c>
      <c r="Q1465" s="3">
        <v>15.41</v>
      </c>
      <c r="R1465" s="3">
        <v>7.95</v>
      </c>
      <c r="S1465" s="3">
        <f>VLOOKUP(C1465,[1]page!$C$2:$M$3071,11,0)</f>
        <v>14.29</v>
      </c>
      <c r="T1465" s="6">
        <f t="shared" si="23"/>
        <v>0.20000000000000107</v>
      </c>
    </row>
    <row r="1466" spans="1:20" x14ac:dyDescent="0.2">
      <c r="A1466" t="s">
        <v>4824</v>
      </c>
      <c r="B1466" t="s">
        <v>4825</v>
      </c>
      <c r="C1466" t="s">
        <v>4826</v>
      </c>
      <c r="D1466" t="s">
        <v>4827</v>
      </c>
      <c r="E1466" t="s">
        <v>4817</v>
      </c>
      <c r="F1466" t="s">
        <v>23</v>
      </c>
      <c r="G1466" s="1">
        <v>13</v>
      </c>
      <c r="H1466" s="1">
        <v>12</v>
      </c>
      <c r="I1466" t="s">
        <v>183</v>
      </c>
      <c r="K1466" t="s">
        <v>2828</v>
      </c>
      <c r="L1466" s="1">
        <v>1</v>
      </c>
      <c r="M1466" s="3">
        <v>11.06</v>
      </c>
      <c r="N1466" s="3">
        <v>0.55000000000000004</v>
      </c>
      <c r="O1466" s="3">
        <v>0</v>
      </c>
      <c r="P1466" s="3">
        <v>0.2</v>
      </c>
      <c r="Q1466" s="3">
        <v>11.81</v>
      </c>
      <c r="R1466" s="3">
        <v>7.95</v>
      </c>
      <c r="S1466" s="3">
        <f>VLOOKUP(C1466,[1]page!$C$2:$M$3071,11,0)</f>
        <v>11.04</v>
      </c>
      <c r="T1466" s="6">
        <f t="shared" si="23"/>
        <v>2.000000000000135E-2</v>
      </c>
    </row>
    <row r="1467" spans="1:20" x14ac:dyDescent="0.2">
      <c r="A1467" t="s">
        <v>4824</v>
      </c>
      <c r="B1467" t="s">
        <v>4828</v>
      </c>
      <c r="C1467" t="s">
        <v>4829</v>
      </c>
      <c r="D1467" t="s">
        <v>4830</v>
      </c>
      <c r="E1467" t="s">
        <v>4831</v>
      </c>
      <c r="F1467" t="s">
        <v>23</v>
      </c>
      <c r="G1467" s="1">
        <v>13</v>
      </c>
      <c r="H1467" s="1">
        <v>12</v>
      </c>
      <c r="I1467" t="s">
        <v>188</v>
      </c>
      <c r="K1467" t="s">
        <v>2706</v>
      </c>
      <c r="L1467" s="1">
        <v>1</v>
      </c>
      <c r="M1467" s="3">
        <v>15.59</v>
      </c>
      <c r="N1467" s="3">
        <v>0.78</v>
      </c>
      <c r="O1467" s="3">
        <v>0</v>
      </c>
      <c r="P1467" s="3">
        <v>0.2</v>
      </c>
      <c r="Q1467" s="3">
        <v>16.57</v>
      </c>
      <c r="R1467" s="3">
        <v>7.95</v>
      </c>
      <c r="S1467" s="3">
        <f>VLOOKUP(C1467,[1]page!$C$2:$M$3071,11,0)</f>
        <v>15.57</v>
      </c>
      <c r="T1467" s="6">
        <f t="shared" si="23"/>
        <v>1.9999999999999574E-2</v>
      </c>
    </row>
    <row r="1468" spans="1:20" x14ac:dyDescent="0.2">
      <c r="A1468" t="s">
        <v>4832</v>
      </c>
      <c r="B1468" t="s">
        <v>4833</v>
      </c>
      <c r="C1468" t="s">
        <v>4834</v>
      </c>
      <c r="D1468" t="s">
        <v>4835</v>
      </c>
      <c r="E1468" t="s">
        <v>4806</v>
      </c>
      <c r="F1468" t="s">
        <v>23</v>
      </c>
      <c r="G1468" s="1">
        <v>9</v>
      </c>
      <c r="H1468" s="1">
        <v>12</v>
      </c>
      <c r="I1468" t="s">
        <v>70</v>
      </c>
      <c r="K1468" t="s">
        <v>2828</v>
      </c>
      <c r="L1468" s="1">
        <v>1</v>
      </c>
      <c r="M1468" s="3">
        <v>10.99</v>
      </c>
      <c r="N1468" s="3">
        <v>0.55000000000000004</v>
      </c>
      <c r="O1468" s="3">
        <v>0</v>
      </c>
      <c r="P1468" s="3">
        <v>0.2</v>
      </c>
      <c r="Q1468" s="3">
        <v>11.74</v>
      </c>
      <c r="R1468" s="3">
        <v>7.95</v>
      </c>
      <c r="S1468" s="3">
        <f>VLOOKUP(C1468,[1]page!$C$2:$M$3071,11,0)</f>
        <v>10.99</v>
      </c>
      <c r="T1468" s="6">
        <f t="shared" si="23"/>
        <v>0</v>
      </c>
    </row>
    <row r="1469" spans="1:20" x14ac:dyDescent="0.2">
      <c r="A1469" t="s">
        <v>4836</v>
      </c>
      <c r="B1469" t="s">
        <v>4837</v>
      </c>
      <c r="C1469" t="s">
        <v>4838</v>
      </c>
      <c r="D1469" t="s">
        <v>4839</v>
      </c>
      <c r="E1469" t="s">
        <v>4806</v>
      </c>
      <c r="F1469" t="s">
        <v>23</v>
      </c>
      <c r="G1469" s="1">
        <v>11</v>
      </c>
      <c r="H1469" s="1">
        <v>12</v>
      </c>
      <c r="I1469" t="s">
        <v>70</v>
      </c>
      <c r="K1469" t="s">
        <v>2687</v>
      </c>
      <c r="L1469" s="1">
        <v>1</v>
      </c>
      <c r="M1469" s="3">
        <v>10.99</v>
      </c>
      <c r="N1469" s="3">
        <v>0.55000000000000004</v>
      </c>
      <c r="O1469" s="3">
        <v>0</v>
      </c>
      <c r="P1469" s="3">
        <v>0.2</v>
      </c>
      <c r="Q1469" s="3">
        <v>11.74</v>
      </c>
      <c r="R1469" s="3">
        <v>7.95</v>
      </c>
      <c r="S1469" s="3">
        <f>VLOOKUP(C1469,[1]page!$C$2:$M$3071,11,0)</f>
        <v>10.99</v>
      </c>
      <c r="T1469" s="6">
        <f t="shared" si="23"/>
        <v>0</v>
      </c>
    </row>
    <row r="1470" spans="1:20" x14ac:dyDescent="0.2">
      <c r="A1470" t="s">
        <v>4840</v>
      </c>
      <c r="B1470" t="s">
        <v>4841</v>
      </c>
      <c r="C1470" t="s">
        <v>4842</v>
      </c>
      <c r="D1470" t="s">
        <v>4843</v>
      </c>
      <c r="E1470" t="s">
        <v>4806</v>
      </c>
      <c r="F1470" t="s">
        <v>23</v>
      </c>
      <c r="G1470" s="1">
        <v>13</v>
      </c>
      <c r="H1470" s="1">
        <v>12</v>
      </c>
      <c r="I1470" t="s">
        <v>600</v>
      </c>
      <c r="K1470" t="s">
        <v>2687</v>
      </c>
      <c r="L1470" s="1">
        <v>1</v>
      </c>
      <c r="M1470" s="3">
        <v>17.170000000000002</v>
      </c>
      <c r="N1470" s="3">
        <v>0.86</v>
      </c>
      <c r="O1470" s="3">
        <v>0</v>
      </c>
      <c r="P1470" s="3">
        <v>0.2</v>
      </c>
      <c r="Q1470" s="3">
        <v>18.23</v>
      </c>
      <c r="R1470" s="3">
        <v>7.95</v>
      </c>
      <c r="S1470" s="3">
        <f>VLOOKUP(C1470,[1]page!$C$2:$M$3071,11,0)</f>
        <v>17.14</v>
      </c>
      <c r="T1470" s="6">
        <f t="shared" si="23"/>
        <v>3.0000000000001137E-2</v>
      </c>
    </row>
    <row r="1471" spans="1:20" x14ac:dyDescent="0.2">
      <c r="A1471" t="s">
        <v>4844</v>
      </c>
      <c r="B1471" t="s">
        <v>4845</v>
      </c>
      <c r="C1471" t="s">
        <v>4846</v>
      </c>
      <c r="D1471" t="s">
        <v>4847</v>
      </c>
      <c r="E1471" t="s">
        <v>4848</v>
      </c>
      <c r="F1471" t="s">
        <v>23</v>
      </c>
      <c r="G1471" s="2">
        <v>12.5</v>
      </c>
      <c r="H1471" s="1">
        <v>12</v>
      </c>
      <c r="I1471" t="s">
        <v>600</v>
      </c>
      <c r="K1471" t="s">
        <v>2712</v>
      </c>
      <c r="L1471" s="1">
        <v>1</v>
      </c>
      <c r="M1471" s="3">
        <v>14.89</v>
      </c>
      <c r="N1471" s="3">
        <v>0.74</v>
      </c>
      <c r="O1471" s="3">
        <v>0</v>
      </c>
      <c r="P1471" s="3">
        <v>0.2</v>
      </c>
      <c r="Q1471" s="3">
        <v>15.83</v>
      </c>
      <c r="R1471" s="3">
        <v>7.95</v>
      </c>
      <c r="S1471" s="3">
        <f>VLOOKUP(C1471,[1]page!$C$2:$M$3071,11,0)</f>
        <v>14.86</v>
      </c>
      <c r="T1471" s="6">
        <f t="shared" si="23"/>
        <v>3.0000000000001137E-2</v>
      </c>
    </row>
    <row r="1472" spans="1:20" x14ac:dyDescent="0.2">
      <c r="A1472" t="s">
        <v>4844</v>
      </c>
      <c r="B1472" t="s">
        <v>4849</v>
      </c>
      <c r="C1472" t="s">
        <v>4850</v>
      </c>
      <c r="D1472" t="s">
        <v>4851</v>
      </c>
      <c r="E1472" t="s">
        <v>4852</v>
      </c>
      <c r="F1472" t="s">
        <v>23</v>
      </c>
      <c r="G1472" s="2">
        <v>14.5</v>
      </c>
      <c r="H1472" s="1">
        <v>12</v>
      </c>
      <c r="I1472" t="s">
        <v>397</v>
      </c>
      <c r="K1472" t="s">
        <v>2687</v>
      </c>
      <c r="L1472" s="1">
        <v>1</v>
      </c>
      <c r="M1472" s="3">
        <v>11.5</v>
      </c>
      <c r="N1472" s="3">
        <v>0.57999999999999996</v>
      </c>
      <c r="O1472" s="3">
        <v>0</v>
      </c>
      <c r="P1472" s="3">
        <v>0.2</v>
      </c>
      <c r="Q1472" s="3">
        <v>12.28</v>
      </c>
      <c r="R1472" s="3">
        <v>7.95</v>
      </c>
      <c r="S1472" s="3">
        <f>VLOOKUP(C1472,[1]page!$C$2:$M$3071,11,0)</f>
        <v>11.48</v>
      </c>
      <c r="T1472" s="6">
        <f t="shared" si="23"/>
        <v>1.9999999999999574E-2</v>
      </c>
    </row>
    <row r="1473" spans="1:20" x14ac:dyDescent="0.2">
      <c r="A1473" t="s">
        <v>4844</v>
      </c>
      <c r="B1473" t="s">
        <v>4853</v>
      </c>
      <c r="C1473" t="s">
        <v>4854</v>
      </c>
      <c r="D1473" t="s">
        <v>4855</v>
      </c>
      <c r="E1473" t="s">
        <v>4856</v>
      </c>
      <c r="F1473" t="s">
        <v>23</v>
      </c>
      <c r="G1473" s="1">
        <v>14</v>
      </c>
      <c r="H1473" s="1">
        <v>12</v>
      </c>
      <c r="I1473" t="s">
        <v>34</v>
      </c>
      <c r="K1473" t="s">
        <v>2828</v>
      </c>
      <c r="L1473" s="1">
        <v>1</v>
      </c>
      <c r="M1473" s="3">
        <v>10.56</v>
      </c>
      <c r="N1473" s="3">
        <v>0.53</v>
      </c>
      <c r="O1473" s="3">
        <v>0</v>
      </c>
      <c r="P1473" s="3">
        <v>0.2</v>
      </c>
      <c r="Q1473" s="3">
        <v>11.29</v>
      </c>
      <c r="R1473" s="3">
        <v>7.95</v>
      </c>
      <c r="S1473" s="3">
        <f>VLOOKUP(C1473,[1]page!$C$2:$M$3071,11,0)</f>
        <v>10.54</v>
      </c>
      <c r="T1473" s="6">
        <f t="shared" si="23"/>
        <v>2.000000000000135E-2</v>
      </c>
    </row>
    <row r="1474" spans="1:20" x14ac:dyDescent="0.2">
      <c r="A1474" t="s">
        <v>4857</v>
      </c>
      <c r="B1474" t="s">
        <v>4858</v>
      </c>
      <c r="C1474" t="s">
        <v>4859</v>
      </c>
      <c r="D1474" t="s">
        <v>4860</v>
      </c>
      <c r="E1474" t="s">
        <v>4861</v>
      </c>
      <c r="F1474" t="s">
        <v>23</v>
      </c>
      <c r="G1474" s="1">
        <v>12</v>
      </c>
      <c r="H1474" s="1">
        <v>12</v>
      </c>
      <c r="I1474" t="s">
        <v>3653</v>
      </c>
      <c r="K1474" t="s">
        <v>2687</v>
      </c>
      <c r="L1474" s="1">
        <v>1</v>
      </c>
      <c r="M1474" s="3">
        <v>11.41</v>
      </c>
      <c r="N1474" s="3">
        <v>0.56999999999999995</v>
      </c>
      <c r="O1474" s="3">
        <v>0</v>
      </c>
      <c r="P1474" s="3">
        <v>0.2</v>
      </c>
      <c r="Q1474" s="3">
        <v>12.18</v>
      </c>
      <c r="R1474" s="3">
        <v>7.95</v>
      </c>
      <c r="S1474" s="3">
        <f>VLOOKUP(C1474,[1]page!$C$2:$M$3071,11,0)</f>
        <v>11.39</v>
      </c>
      <c r="T1474" s="6">
        <f t="shared" si="23"/>
        <v>1.9999999999999574E-2</v>
      </c>
    </row>
    <row r="1475" spans="1:20" x14ac:dyDescent="0.2">
      <c r="A1475" t="s">
        <v>4857</v>
      </c>
      <c r="B1475" t="s">
        <v>4862</v>
      </c>
      <c r="C1475" t="s">
        <v>4863</v>
      </c>
      <c r="D1475" t="s">
        <v>4864</v>
      </c>
      <c r="E1475" t="s">
        <v>4856</v>
      </c>
      <c r="F1475" t="s">
        <v>23</v>
      </c>
      <c r="G1475" s="1">
        <v>8</v>
      </c>
      <c r="H1475" s="1">
        <v>12</v>
      </c>
      <c r="I1475" t="s">
        <v>34</v>
      </c>
      <c r="K1475" t="s">
        <v>2773</v>
      </c>
      <c r="L1475" s="1">
        <v>1</v>
      </c>
      <c r="M1475" s="3">
        <v>10.52</v>
      </c>
      <c r="N1475" s="3">
        <v>0.53</v>
      </c>
      <c r="O1475" s="3">
        <v>0</v>
      </c>
      <c r="P1475" s="3">
        <v>0.2</v>
      </c>
      <c r="Q1475" s="3">
        <v>11.25</v>
      </c>
      <c r="R1475" s="3">
        <v>7.95</v>
      </c>
      <c r="S1475" s="3">
        <f>VLOOKUP(C1475,[1]page!$C$2:$M$3071,11,0)</f>
        <v>10.5</v>
      </c>
      <c r="T1475" s="6">
        <f t="shared" si="23"/>
        <v>1.9999999999999574E-2</v>
      </c>
    </row>
    <row r="1476" spans="1:20" x14ac:dyDescent="0.2">
      <c r="A1476" t="s">
        <v>4857</v>
      </c>
      <c r="B1476" t="s">
        <v>4865</v>
      </c>
      <c r="C1476" t="s">
        <v>4866</v>
      </c>
      <c r="D1476" t="s">
        <v>4867</v>
      </c>
      <c r="E1476" t="s">
        <v>2173</v>
      </c>
      <c r="F1476" t="s">
        <v>87</v>
      </c>
      <c r="G1476" s="1">
        <v>13</v>
      </c>
      <c r="H1476" s="1">
        <v>4</v>
      </c>
      <c r="I1476" t="s">
        <v>34</v>
      </c>
      <c r="K1476" t="s">
        <v>2828</v>
      </c>
      <c r="L1476" s="1">
        <v>1</v>
      </c>
      <c r="M1476" s="3">
        <v>32.68</v>
      </c>
      <c r="N1476" s="3">
        <v>1.63</v>
      </c>
      <c r="O1476" s="3">
        <v>0</v>
      </c>
      <c r="P1476" s="3">
        <v>0</v>
      </c>
      <c r="Q1476" s="3">
        <v>34.31</v>
      </c>
      <c r="R1476" s="3">
        <v>26.4</v>
      </c>
      <c r="S1476" s="3">
        <f>VLOOKUP(C1476,[1]page!$C$2:$M$3071,11,0)</f>
        <v>32.590000000000003</v>
      </c>
      <c r="T1476" s="6">
        <f t="shared" si="23"/>
        <v>8.9999999999996305E-2</v>
      </c>
    </row>
    <row r="1477" spans="1:20" x14ac:dyDescent="0.2">
      <c r="A1477" t="s">
        <v>4868</v>
      </c>
      <c r="B1477" t="s">
        <v>4869</v>
      </c>
      <c r="C1477" t="s">
        <v>4870</v>
      </c>
      <c r="D1477" t="s">
        <v>4871</v>
      </c>
      <c r="E1477" t="s">
        <v>4872</v>
      </c>
      <c r="F1477" t="s">
        <v>23</v>
      </c>
      <c r="G1477" s="1">
        <v>14</v>
      </c>
      <c r="H1477" s="1">
        <v>12</v>
      </c>
      <c r="I1477" t="s">
        <v>188</v>
      </c>
      <c r="K1477" t="s">
        <v>2828</v>
      </c>
      <c r="L1477" s="1">
        <v>1</v>
      </c>
      <c r="M1477" s="3">
        <v>15.09</v>
      </c>
      <c r="N1477" s="3">
        <v>0.75</v>
      </c>
      <c r="O1477" s="3">
        <v>0</v>
      </c>
      <c r="P1477" s="3">
        <v>0.2</v>
      </c>
      <c r="Q1477" s="3">
        <v>16.04</v>
      </c>
      <c r="R1477" s="3">
        <v>7.95</v>
      </c>
      <c r="S1477" s="3">
        <f>VLOOKUP(C1477,[1]page!$C$2:$M$3071,11,0)</f>
        <v>15.07</v>
      </c>
      <c r="T1477" s="6">
        <f t="shared" si="23"/>
        <v>1.9999999999999574E-2</v>
      </c>
    </row>
    <row r="1478" spans="1:20" x14ac:dyDescent="0.2">
      <c r="A1478" t="s">
        <v>4868</v>
      </c>
      <c r="B1478" t="s">
        <v>4873</v>
      </c>
      <c r="C1478" t="s">
        <v>4874</v>
      </c>
      <c r="D1478" t="s">
        <v>4875</v>
      </c>
      <c r="E1478" t="s">
        <v>2729</v>
      </c>
      <c r="F1478" t="s">
        <v>23</v>
      </c>
      <c r="G1478" s="2">
        <v>12.5</v>
      </c>
      <c r="H1478" s="1">
        <v>12</v>
      </c>
      <c r="I1478" t="s">
        <v>183</v>
      </c>
      <c r="K1478" t="s">
        <v>2828</v>
      </c>
      <c r="L1478" s="1">
        <v>1</v>
      </c>
      <c r="M1478" s="3">
        <v>11.56</v>
      </c>
      <c r="N1478" s="3">
        <v>0.57999999999999996</v>
      </c>
      <c r="O1478" s="3">
        <v>0</v>
      </c>
      <c r="P1478" s="3">
        <v>0.2</v>
      </c>
      <c r="Q1478" s="3">
        <v>12.34</v>
      </c>
      <c r="R1478" s="3">
        <v>7.95</v>
      </c>
      <c r="S1478" s="3">
        <f>VLOOKUP(C1478,[1]page!$C$2:$M$3071,11,0)</f>
        <v>11.54</v>
      </c>
      <c r="T1478" s="6">
        <f t="shared" si="23"/>
        <v>2.000000000000135E-2</v>
      </c>
    </row>
    <row r="1479" spans="1:20" x14ac:dyDescent="0.2">
      <c r="A1479" t="s">
        <v>4868</v>
      </c>
      <c r="B1479" t="s">
        <v>4876</v>
      </c>
      <c r="C1479" t="s">
        <v>70</v>
      </c>
      <c r="D1479" t="s">
        <v>4877</v>
      </c>
      <c r="E1479" t="s">
        <v>4878</v>
      </c>
      <c r="F1479" t="s">
        <v>23</v>
      </c>
      <c r="G1479" s="1">
        <v>14</v>
      </c>
      <c r="H1479" s="1">
        <v>12</v>
      </c>
      <c r="I1479" t="s">
        <v>34</v>
      </c>
      <c r="K1479" t="s">
        <v>2828</v>
      </c>
      <c r="L1479" s="1">
        <v>1</v>
      </c>
      <c r="M1479" s="3">
        <v>13.38</v>
      </c>
      <c r="N1479" s="3">
        <v>0.67</v>
      </c>
      <c r="O1479" s="3">
        <v>0</v>
      </c>
      <c r="P1479" s="3">
        <v>0.2</v>
      </c>
      <c r="Q1479" s="3">
        <v>14.25</v>
      </c>
      <c r="R1479" s="3">
        <v>7.95</v>
      </c>
      <c r="S1479" s="3">
        <f>VLOOKUP(C1479,[1]page!$C$2:$M$3071,11,0)</f>
        <v>13.36</v>
      </c>
      <c r="T1479" s="6">
        <f t="shared" si="23"/>
        <v>2.000000000000135E-2</v>
      </c>
    </row>
    <row r="1480" spans="1:20" x14ac:dyDescent="0.2">
      <c r="A1480" t="s">
        <v>4879</v>
      </c>
      <c r="B1480" t="s">
        <v>4880</v>
      </c>
      <c r="C1480" t="s">
        <v>4881</v>
      </c>
      <c r="D1480" t="s">
        <v>4882</v>
      </c>
      <c r="E1480" t="s">
        <v>4883</v>
      </c>
      <c r="F1480" t="s">
        <v>23</v>
      </c>
      <c r="G1480" s="1">
        <v>14</v>
      </c>
      <c r="H1480" s="1">
        <v>6</v>
      </c>
      <c r="I1480" t="s">
        <v>2759</v>
      </c>
      <c r="K1480" t="s">
        <v>2828</v>
      </c>
      <c r="L1480" s="1">
        <v>1</v>
      </c>
      <c r="M1480" s="3">
        <v>24.01</v>
      </c>
      <c r="N1480" s="3">
        <v>1.2</v>
      </c>
      <c r="O1480" s="3">
        <v>0</v>
      </c>
      <c r="P1480" s="3">
        <v>0.2</v>
      </c>
      <c r="Q1480" s="3">
        <v>25.41</v>
      </c>
      <c r="R1480" s="3">
        <v>7.95</v>
      </c>
      <c r="S1480" s="3">
        <f>VLOOKUP(C1480,[1]page!$C$2:$M$3071,11,0)</f>
        <v>23.99</v>
      </c>
      <c r="T1480" s="6">
        <f t="shared" si="23"/>
        <v>2.0000000000003126E-2</v>
      </c>
    </row>
    <row r="1481" spans="1:20" x14ac:dyDescent="0.2">
      <c r="A1481" t="s">
        <v>4879</v>
      </c>
      <c r="B1481" t="s">
        <v>4884</v>
      </c>
      <c r="C1481" t="s">
        <v>4885</v>
      </c>
      <c r="D1481" t="s">
        <v>4886</v>
      </c>
      <c r="E1481" t="s">
        <v>4887</v>
      </c>
      <c r="F1481" t="s">
        <v>23</v>
      </c>
      <c r="G1481" s="1">
        <v>14</v>
      </c>
      <c r="H1481" s="1">
        <v>12</v>
      </c>
      <c r="I1481" t="s">
        <v>34</v>
      </c>
      <c r="K1481" t="s">
        <v>2687</v>
      </c>
      <c r="L1481" s="1">
        <v>1</v>
      </c>
      <c r="M1481" s="3">
        <v>14.42</v>
      </c>
      <c r="N1481" s="3">
        <v>0.72</v>
      </c>
      <c r="O1481" s="3">
        <v>0</v>
      </c>
      <c r="P1481" s="3">
        <v>0.2</v>
      </c>
      <c r="Q1481" s="3">
        <v>15.34</v>
      </c>
      <c r="R1481" s="3">
        <v>7.95</v>
      </c>
      <c r="S1481" s="3">
        <f>VLOOKUP(C1481,[1]page!$C$2:$M$3071,11,0)</f>
        <v>14.4</v>
      </c>
      <c r="T1481" s="6">
        <f t="shared" si="23"/>
        <v>1.9999999999999574E-2</v>
      </c>
    </row>
    <row r="1482" spans="1:20" x14ac:dyDescent="0.2">
      <c r="A1482" t="s">
        <v>4879</v>
      </c>
      <c r="B1482" t="s">
        <v>4888</v>
      </c>
      <c r="C1482" t="s">
        <v>4889</v>
      </c>
      <c r="D1482" t="s">
        <v>4890</v>
      </c>
      <c r="E1482" t="s">
        <v>4856</v>
      </c>
      <c r="F1482" t="s">
        <v>23</v>
      </c>
      <c r="G1482" s="2">
        <v>13.5</v>
      </c>
      <c r="H1482" s="1">
        <v>12</v>
      </c>
      <c r="I1482" t="s">
        <v>34</v>
      </c>
      <c r="K1482" t="s">
        <v>2828</v>
      </c>
      <c r="L1482" s="1">
        <v>1</v>
      </c>
      <c r="M1482" s="3">
        <v>10.52</v>
      </c>
      <c r="N1482" s="3">
        <v>0.53</v>
      </c>
      <c r="O1482" s="3">
        <v>0</v>
      </c>
      <c r="P1482" s="3">
        <v>0.2</v>
      </c>
      <c r="Q1482" s="3">
        <v>11.25</v>
      </c>
      <c r="R1482" s="3">
        <v>7.95</v>
      </c>
      <c r="S1482" s="3">
        <f>VLOOKUP(C1482,[1]page!$C$2:$M$3071,11,0)</f>
        <v>10.5</v>
      </c>
      <c r="T1482" s="6">
        <f t="shared" si="23"/>
        <v>1.9999999999999574E-2</v>
      </c>
    </row>
    <row r="1483" spans="1:20" x14ac:dyDescent="0.2">
      <c r="A1483" t="s">
        <v>4891</v>
      </c>
      <c r="B1483" t="s">
        <v>4892</v>
      </c>
      <c r="C1483" t="s">
        <v>4893</v>
      </c>
      <c r="D1483" t="s">
        <v>4894</v>
      </c>
      <c r="E1483" t="s">
        <v>4856</v>
      </c>
      <c r="F1483" t="s">
        <v>23</v>
      </c>
      <c r="G1483" s="2">
        <v>12.5</v>
      </c>
      <c r="H1483" s="1">
        <v>12</v>
      </c>
      <c r="I1483" t="s">
        <v>34</v>
      </c>
      <c r="K1483" t="s">
        <v>2687</v>
      </c>
      <c r="L1483" s="1">
        <v>1</v>
      </c>
      <c r="M1483" s="3">
        <v>10.52</v>
      </c>
      <c r="N1483" s="3">
        <v>0.53</v>
      </c>
      <c r="O1483" s="3">
        <v>0</v>
      </c>
      <c r="P1483" s="3">
        <v>0.2</v>
      </c>
      <c r="Q1483" s="3">
        <v>11.25</v>
      </c>
      <c r="R1483" s="3">
        <v>7.95</v>
      </c>
      <c r="S1483" s="3">
        <f>VLOOKUP(C1483,[1]page!$C$2:$M$3071,11,0)</f>
        <v>10.5</v>
      </c>
      <c r="T1483" s="6">
        <f t="shared" si="23"/>
        <v>1.9999999999999574E-2</v>
      </c>
    </row>
    <row r="1484" spans="1:20" x14ac:dyDescent="0.2">
      <c r="A1484" t="s">
        <v>4891</v>
      </c>
      <c r="B1484" t="s">
        <v>4895</v>
      </c>
      <c r="C1484" t="s">
        <v>4896</v>
      </c>
      <c r="D1484" t="s">
        <v>4867</v>
      </c>
      <c r="E1484" t="s">
        <v>4856</v>
      </c>
      <c r="F1484" t="s">
        <v>23</v>
      </c>
      <c r="G1484" s="1">
        <v>11</v>
      </c>
      <c r="H1484" s="1">
        <v>12</v>
      </c>
      <c r="I1484" t="s">
        <v>34</v>
      </c>
      <c r="K1484" t="s">
        <v>2828</v>
      </c>
      <c r="L1484" s="1">
        <v>1</v>
      </c>
      <c r="M1484" s="3">
        <v>10.52</v>
      </c>
      <c r="N1484" s="3">
        <v>0.53</v>
      </c>
      <c r="O1484" s="3">
        <v>0</v>
      </c>
      <c r="P1484" s="3">
        <v>0.2</v>
      </c>
      <c r="Q1484" s="3">
        <v>11.25</v>
      </c>
      <c r="R1484" s="3">
        <v>7.95</v>
      </c>
      <c r="S1484" s="3">
        <f>VLOOKUP(C1484,[1]page!$C$2:$M$3071,11,0)</f>
        <v>10.5</v>
      </c>
      <c r="T1484" s="6">
        <f t="shared" si="23"/>
        <v>1.9999999999999574E-2</v>
      </c>
    </row>
    <row r="1485" spans="1:20" x14ac:dyDescent="0.2">
      <c r="A1485" t="s">
        <v>4897</v>
      </c>
      <c r="B1485" t="s">
        <v>4898</v>
      </c>
      <c r="C1485" t="s">
        <v>4899</v>
      </c>
      <c r="D1485" t="s">
        <v>4900</v>
      </c>
      <c r="E1485" t="s">
        <v>4883</v>
      </c>
      <c r="F1485" t="s">
        <v>23</v>
      </c>
      <c r="G1485" s="1">
        <v>13</v>
      </c>
      <c r="H1485" s="1">
        <v>12</v>
      </c>
      <c r="I1485" t="s">
        <v>2759</v>
      </c>
      <c r="K1485" t="s">
        <v>2687</v>
      </c>
      <c r="L1485" s="1">
        <v>1</v>
      </c>
      <c r="M1485" s="3">
        <v>15.01</v>
      </c>
      <c r="N1485" s="3">
        <v>0.75</v>
      </c>
      <c r="O1485" s="3">
        <v>0</v>
      </c>
      <c r="P1485" s="3">
        <v>0.2</v>
      </c>
      <c r="Q1485" s="3">
        <v>15.96</v>
      </c>
      <c r="R1485" s="3">
        <v>7.95</v>
      </c>
      <c r="S1485" s="3">
        <f>VLOOKUP(C1485,[1]page!$C$2:$M$3071,11,0)</f>
        <v>14.99</v>
      </c>
      <c r="T1485" s="6">
        <f t="shared" si="23"/>
        <v>1.9999999999999574E-2</v>
      </c>
    </row>
    <row r="1486" spans="1:20" x14ac:dyDescent="0.2">
      <c r="A1486" t="s">
        <v>4897</v>
      </c>
      <c r="B1486" t="s">
        <v>4901</v>
      </c>
      <c r="C1486" t="s">
        <v>4902</v>
      </c>
      <c r="D1486" t="s">
        <v>4903</v>
      </c>
      <c r="E1486" t="s">
        <v>4883</v>
      </c>
      <c r="F1486" t="s">
        <v>23</v>
      </c>
      <c r="G1486" s="1">
        <v>13</v>
      </c>
      <c r="H1486" s="1">
        <v>12</v>
      </c>
      <c r="I1486" t="s">
        <v>2759</v>
      </c>
      <c r="K1486" t="s">
        <v>2828</v>
      </c>
      <c r="L1486" s="1">
        <v>1</v>
      </c>
      <c r="M1486" s="3">
        <v>14.01</v>
      </c>
      <c r="N1486" s="3">
        <v>0.7</v>
      </c>
      <c r="O1486" s="3">
        <v>0</v>
      </c>
      <c r="P1486" s="3">
        <v>0.2</v>
      </c>
      <c r="Q1486" s="3">
        <v>14.91</v>
      </c>
      <c r="R1486" s="3">
        <v>7.95</v>
      </c>
      <c r="S1486" s="3">
        <f>VLOOKUP(C1486,[1]page!$C$2:$M$3071,11,0)</f>
        <v>13.99</v>
      </c>
      <c r="T1486" s="6">
        <f t="shared" si="23"/>
        <v>1.9999999999999574E-2</v>
      </c>
    </row>
    <row r="1487" spans="1:20" x14ac:dyDescent="0.2">
      <c r="A1487" t="s">
        <v>4904</v>
      </c>
      <c r="B1487" t="s">
        <v>4905</v>
      </c>
      <c r="C1487" t="s">
        <v>4906</v>
      </c>
      <c r="D1487" t="s">
        <v>4907</v>
      </c>
      <c r="E1487" t="s">
        <v>4908</v>
      </c>
      <c r="F1487" t="s">
        <v>23</v>
      </c>
      <c r="G1487" s="2">
        <v>13.5</v>
      </c>
      <c r="H1487" s="1">
        <v>6</v>
      </c>
      <c r="I1487" t="s">
        <v>39</v>
      </c>
      <c r="K1487" t="s">
        <v>2828</v>
      </c>
      <c r="L1487" s="1">
        <v>1</v>
      </c>
      <c r="M1487" s="3">
        <v>14.33</v>
      </c>
      <c r="N1487" s="3">
        <v>0.72</v>
      </c>
      <c r="O1487" s="3">
        <v>0</v>
      </c>
      <c r="P1487" s="3">
        <v>0.2</v>
      </c>
      <c r="Q1487" s="3">
        <v>15.25</v>
      </c>
      <c r="R1487" s="3">
        <v>7.95</v>
      </c>
      <c r="S1487" s="3">
        <f>VLOOKUP(C1487,[1]page!$C$2:$M$3071,11,0)</f>
        <v>14.31</v>
      </c>
      <c r="T1487" s="6">
        <f t="shared" si="23"/>
        <v>1.9999999999999574E-2</v>
      </c>
    </row>
    <row r="1488" spans="1:20" x14ac:dyDescent="0.2">
      <c r="A1488" t="s">
        <v>4904</v>
      </c>
      <c r="B1488" t="s">
        <v>4909</v>
      </c>
      <c r="C1488" t="s">
        <v>4910</v>
      </c>
      <c r="D1488" t="s">
        <v>4911</v>
      </c>
      <c r="E1488" t="s">
        <v>4448</v>
      </c>
      <c r="F1488" t="s">
        <v>23</v>
      </c>
      <c r="G1488" s="2">
        <v>12.5</v>
      </c>
      <c r="H1488" s="1">
        <v>12</v>
      </c>
      <c r="I1488" t="s">
        <v>449</v>
      </c>
      <c r="K1488" t="s">
        <v>2687</v>
      </c>
      <c r="L1488" s="1">
        <v>1</v>
      </c>
      <c r="M1488" s="3">
        <v>15.94</v>
      </c>
      <c r="N1488" s="3">
        <v>0.8</v>
      </c>
      <c r="O1488" s="3">
        <v>0</v>
      </c>
      <c r="P1488" s="3">
        <v>0.2</v>
      </c>
      <c r="Q1488" s="3">
        <v>16.940000000000001</v>
      </c>
      <c r="R1488" s="3">
        <v>7.95</v>
      </c>
      <c r="S1488" s="3">
        <f>VLOOKUP(C1488,[1]page!$C$2:$M$3071,11,0)</f>
        <v>15.92</v>
      </c>
      <c r="T1488" s="6">
        <f t="shared" si="23"/>
        <v>1.9999999999999574E-2</v>
      </c>
    </row>
    <row r="1489" spans="1:20" x14ac:dyDescent="0.2">
      <c r="A1489" t="s">
        <v>4904</v>
      </c>
      <c r="B1489" t="s">
        <v>4912</v>
      </c>
      <c r="C1489" t="s">
        <v>4913</v>
      </c>
      <c r="D1489" t="s">
        <v>4914</v>
      </c>
      <c r="E1489" t="s">
        <v>4341</v>
      </c>
      <c r="F1489" t="s">
        <v>23</v>
      </c>
      <c r="G1489" s="1">
        <v>11</v>
      </c>
      <c r="H1489" s="1">
        <v>12</v>
      </c>
      <c r="I1489" t="s">
        <v>2179</v>
      </c>
      <c r="K1489" t="s">
        <v>2677</v>
      </c>
      <c r="L1489" s="1">
        <v>1</v>
      </c>
      <c r="M1489" s="3">
        <v>12.74</v>
      </c>
      <c r="N1489" s="3">
        <v>0.64</v>
      </c>
      <c r="O1489" s="3">
        <v>0</v>
      </c>
      <c r="P1489" s="3">
        <v>0.2</v>
      </c>
      <c r="Q1489" s="3">
        <v>13.58</v>
      </c>
      <c r="R1489" s="3">
        <v>7.95</v>
      </c>
      <c r="S1489" s="3">
        <f>VLOOKUP(C1489,[1]page!$C$2:$M$3071,11,0)</f>
        <v>12.72</v>
      </c>
      <c r="T1489" s="6">
        <f t="shared" si="23"/>
        <v>1.9999999999999574E-2</v>
      </c>
    </row>
    <row r="1490" spans="1:20" x14ac:dyDescent="0.2">
      <c r="A1490" t="s">
        <v>4915</v>
      </c>
      <c r="B1490" t="s">
        <v>4916</v>
      </c>
      <c r="C1490" t="s">
        <v>4917</v>
      </c>
      <c r="D1490" t="s">
        <v>4918</v>
      </c>
      <c r="E1490" t="s">
        <v>4919</v>
      </c>
      <c r="F1490" t="s">
        <v>23</v>
      </c>
      <c r="G1490" s="1">
        <v>13</v>
      </c>
      <c r="H1490" s="1">
        <v>12</v>
      </c>
      <c r="I1490" t="s">
        <v>2759</v>
      </c>
      <c r="K1490" t="s">
        <v>2828</v>
      </c>
      <c r="L1490" s="1">
        <v>1</v>
      </c>
      <c r="M1490" s="3">
        <v>15.31</v>
      </c>
      <c r="N1490" s="3">
        <v>0.77</v>
      </c>
      <c r="O1490" s="3">
        <v>0</v>
      </c>
      <c r="P1490" s="3">
        <v>0.2</v>
      </c>
      <c r="Q1490" s="3">
        <v>16.28</v>
      </c>
      <c r="R1490" s="3">
        <v>7.95</v>
      </c>
      <c r="S1490" s="3">
        <f>VLOOKUP(C1490,[1]page!$C$2:$M$3071,11,0)</f>
        <v>15.29</v>
      </c>
      <c r="T1490" s="6">
        <f t="shared" si="23"/>
        <v>2.000000000000135E-2</v>
      </c>
    </row>
    <row r="1491" spans="1:20" x14ac:dyDescent="0.2">
      <c r="A1491" t="s">
        <v>4915</v>
      </c>
      <c r="B1491" t="s">
        <v>4920</v>
      </c>
      <c r="C1491" t="s">
        <v>4921</v>
      </c>
      <c r="D1491" t="s">
        <v>4922</v>
      </c>
      <c r="E1491" t="s">
        <v>4923</v>
      </c>
      <c r="F1491" t="s">
        <v>23</v>
      </c>
      <c r="G1491" s="2">
        <v>12.5</v>
      </c>
      <c r="H1491" s="1">
        <v>12</v>
      </c>
      <c r="I1491" t="s">
        <v>70</v>
      </c>
      <c r="K1491" t="s">
        <v>2828</v>
      </c>
      <c r="L1491" s="1">
        <v>1</v>
      </c>
      <c r="M1491" s="3">
        <v>12.99</v>
      </c>
      <c r="N1491" s="3">
        <v>0.65</v>
      </c>
      <c r="O1491" s="3">
        <v>0</v>
      </c>
      <c r="P1491" s="3">
        <v>0.2</v>
      </c>
      <c r="Q1491" s="3">
        <v>13.84</v>
      </c>
      <c r="R1491" s="3">
        <v>7.95</v>
      </c>
      <c r="S1491" s="3">
        <f>VLOOKUP(C1491,[1]page!$C$2:$M$3071,11,0)</f>
        <v>12.92</v>
      </c>
      <c r="T1491" s="6">
        <f t="shared" si="23"/>
        <v>7.0000000000000284E-2</v>
      </c>
    </row>
    <row r="1492" spans="1:20" x14ac:dyDescent="0.2">
      <c r="A1492" t="s">
        <v>4915</v>
      </c>
      <c r="B1492" t="s">
        <v>4924</v>
      </c>
      <c r="C1492" t="s">
        <v>4925</v>
      </c>
      <c r="D1492" t="s">
        <v>4926</v>
      </c>
      <c r="E1492" t="s">
        <v>4927</v>
      </c>
      <c r="F1492" t="s">
        <v>23</v>
      </c>
      <c r="G1492" s="2">
        <v>13.5</v>
      </c>
      <c r="H1492" s="1">
        <v>12</v>
      </c>
      <c r="I1492" t="s">
        <v>3653</v>
      </c>
      <c r="K1492" t="s">
        <v>2828</v>
      </c>
      <c r="L1492" s="1">
        <v>1</v>
      </c>
      <c r="M1492" s="3">
        <v>13.12</v>
      </c>
      <c r="N1492" s="3">
        <v>0.66</v>
      </c>
      <c r="O1492" s="3">
        <v>0</v>
      </c>
      <c r="P1492" s="3">
        <v>0.2</v>
      </c>
      <c r="Q1492" s="3">
        <v>13.98</v>
      </c>
      <c r="R1492" s="3">
        <v>7.95</v>
      </c>
      <c r="S1492" s="3">
        <f>VLOOKUP(C1492,[1]page!$C$2:$M$3071,11,0)</f>
        <v>13.1</v>
      </c>
      <c r="T1492" s="6">
        <f t="shared" si="23"/>
        <v>1.9999999999999574E-2</v>
      </c>
    </row>
    <row r="1493" spans="1:20" x14ac:dyDescent="0.2">
      <c r="A1493" t="s">
        <v>4915</v>
      </c>
      <c r="B1493" t="s">
        <v>4928</v>
      </c>
      <c r="C1493" t="s">
        <v>4929</v>
      </c>
      <c r="D1493" t="s">
        <v>4930</v>
      </c>
      <c r="E1493" t="s">
        <v>4931</v>
      </c>
      <c r="F1493" t="s">
        <v>23</v>
      </c>
      <c r="G1493" s="2">
        <v>14.5</v>
      </c>
      <c r="H1493" s="1">
        <v>12</v>
      </c>
      <c r="I1493" t="s">
        <v>257</v>
      </c>
      <c r="K1493" t="s">
        <v>2712</v>
      </c>
      <c r="L1493" s="1">
        <v>1</v>
      </c>
      <c r="M1493" s="3">
        <v>12.63</v>
      </c>
      <c r="N1493" s="3">
        <v>0.63</v>
      </c>
      <c r="O1493" s="3">
        <v>0</v>
      </c>
      <c r="P1493" s="3">
        <v>0.2</v>
      </c>
      <c r="Q1493" s="3">
        <v>13.46</v>
      </c>
      <c r="R1493" s="3">
        <v>7.95</v>
      </c>
      <c r="S1493" s="3">
        <f>VLOOKUP(C1493,[1]page!$C$2:$M$3071,11,0)</f>
        <v>12.61</v>
      </c>
      <c r="T1493" s="6">
        <f t="shared" si="23"/>
        <v>2.000000000000135E-2</v>
      </c>
    </row>
    <row r="1494" spans="1:20" x14ac:dyDescent="0.2">
      <c r="A1494" t="s">
        <v>4915</v>
      </c>
      <c r="B1494" t="s">
        <v>4932</v>
      </c>
      <c r="C1494" t="s">
        <v>4933</v>
      </c>
      <c r="D1494" t="s">
        <v>4934</v>
      </c>
      <c r="E1494" t="s">
        <v>518</v>
      </c>
      <c r="F1494" t="s">
        <v>23</v>
      </c>
      <c r="G1494" s="2">
        <v>12.5</v>
      </c>
      <c r="H1494" s="1">
        <v>12</v>
      </c>
      <c r="I1494" t="s">
        <v>397</v>
      </c>
      <c r="K1494" t="s">
        <v>2687</v>
      </c>
      <c r="L1494" s="1">
        <v>1</v>
      </c>
      <c r="M1494" s="3">
        <v>8.89</v>
      </c>
      <c r="N1494" s="3">
        <v>0.44</v>
      </c>
      <c r="O1494" s="3">
        <v>0</v>
      </c>
      <c r="P1494" s="3">
        <v>0.2</v>
      </c>
      <c r="Q1494" s="3">
        <v>9.5299999999999994</v>
      </c>
      <c r="R1494" s="3">
        <v>7.95</v>
      </c>
      <c r="S1494" s="3">
        <f>VLOOKUP(C1494,[1]page!$C$2:$M$3071,11,0)</f>
        <v>8.8699999999999992</v>
      </c>
      <c r="T1494" s="6">
        <f t="shared" si="23"/>
        <v>2.000000000000135E-2</v>
      </c>
    </row>
    <row r="1495" spans="1:20" x14ac:dyDescent="0.2">
      <c r="A1495" t="s">
        <v>4935</v>
      </c>
      <c r="B1495" t="s">
        <v>4936</v>
      </c>
      <c r="C1495" t="s">
        <v>4937</v>
      </c>
      <c r="D1495" t="s">
        <v>4938</v>
      </c>
      <c r="E1495" t="s">
        <v>4939</v>
      </c>
      <c r="F1495" t="s">
        <v>23</v>
      </c>
      <c r="G1495" s="2">
        <v>12.5</v>
      </c>
      <c r="H1495" s="1">
        <v>12</v>
      </c>
      <c r="I1495" t="s">
        <v>595</v>
      </c>
      <c r="K1495" t="s">
        <v>2687</v>
      </c>
      <c r="L1495" s="1">
        <v>1</v>
      </c>
      <c r="M1495" s="3">
        <v>16.07</v>
      </c>
      <c r="N1495" s="3">
        <v>0.8</v>
      </c>
      <c r="O1495" s="3">
        <v>0</v>
      </c>
      <c r="P1495" s="3">
        <v>0.2</v>
      </c>
      <c r="Q1495" s="3">
        <v>17.07</v>
      </c>
      <c r="R1495" s="3">
        <v>7.95</v>
      </c>
      <c r="S1495" s="3">
        <f>VLOOKUP(C1495,[1]page!$C$2:$M$3071,11,0)</f>
        <v>16.05</v>
      </c>
      <c r="T1495" s="6">
        <f t="shared" si="23"/>
        <v>1.9999999999999574E-2</v>
      </c>
    </row>
    <row r="1496" spans="1:20" x14ac:dyDescent="0.2">
      <c r="A1496" t="s">
        <v>4940</v>
      </c>
      <c r="B1496" t="s">
        <v>4941</v>
      </c>
      <c r="C1496" t="s">
        <v>4942</v>
      </c>
      <c r="D1496" t="s">
        <v>4943</v>
      </c>
      <c r="E1496" t="s">
        <v>4944</v>
      </c>
      <c r="F1496" t="s">
        <v>23</v>
      </c>
      <c r="G1496" s="1">
        <v>14</v>
      </c>
      <c r="H1496" s="1">
        <v>12</v>
      </c>
      <c r="I1496" t="s">
        <v>257</v>
      </c>
      <c r="K1496" t="s">
        <v>2687</v>
      </c>
      <c r="L1496" s="1">
        <v>1</v>
      </c>
      <c r="M1496" s="3">
        <v>10.81</v>
      </c>
      <c r="N1496" s="3">
        <v>0.54</v>
      </c>
      <c r="O1496" s="3">
        <v>0</v>
      </c>
      <c r="P1496" s="3">
        <v>0.2</v>
      </c>
      <c r="Q1496" s="3">
        <v>11.55</v>
      </c>
      <c r="R1496" s="3">
        <v>7.95</v>
      </c>
      <c r="S1496" s="3">
        <f>VLOOKUP(C1496,[1]page!$C$2:$M$3071,11,0)</f>
        <v>10.79</v>
      </c>
      <c r="T1496" s="6">
        <f t="shared" si="23"/>
        <v>2.000000000000135E-2</v>
      </c>
    </row>
    <row r="1497" spans="1:20" x14ac:dyDescent="0.2">
      <c r="A1497" t="s">
        <v>4945</v>
      </c>
      <c r="B1497" t="s">
        <v>4946</v>
      </c>
      <c r="C1497" t="s">
        <v>4947</v>
      </c>
      <c r="D1497" t="s">
        <v>4948</v>
      </c>
      <c r="E1497" t="s">
        <v>4944</v>
      </c>
      <c r="F1497" t="s">
        <v>23</v>
      </c>
      <c r="G1497" s="1">
        <v>12</v>
      </c>
      <c r="H1497" s="1">
        <v>12</v>
      </c>
      <c r="I1497" t="s">
        <v>257</v>
      </c>
      <c r="K1497" t="s">
        <v>2687</v>
      </c>
      <c r="L1497" s="1">
        <v>1</v>
      </c>
      <c r="M1497" s="3">
        <v>10.81</v>
      </c>
      <c r="N1497" s="3">
        <v>0.54</v>
      </c>
      <c r="O1497" s="3">
        <v>0</v>
      </c>
      <c r="P1497" s="3">
        <v>0.2</v>
      </c>
      <c r="Q1497" s="3">
        <v>11.55</v>
      </c>
      <c r="R1497" s="3">
        <v>7.95</v>
      </c>
      <c r="S1497" s="3">
        <f>VLOOKUP(C1497,[1]page!$C$2:$M$3071,11,0)</f>
        <v>10.79</v>
      </c>
      <c r="T1497" s="6">
        <f t="shared" si="23"/>
        <v>2.000000000000135E-2</v>
      </c>
    </row>
    <row r="1498" spans="1:20" x14ac:dyDescent="0.2">
      <c r="A1498" t="s">
        <v>4949</v>
      </c>
      <c r="B1498" t="s">
        <v>4950</v>
      </c>
      <c r="C1498" t="s">
        <v>4951</v>
      </c>
      <c r="D1498" t="s">
        <v>4952</v>
      </c>
      <c r="E1498" t="s">
        <v>4944</v>
      </c>
      <c r="F1498" t="s">
        <v>23</v>
      </c>
      <c r="G1498" s="1">
        <v>14</v>
      </c>
      <c r="H1498" s="1">
        <v>12</v>
      </c>
      <c r="I1498" t="s">
        <v>257</v>
      </c>
      <c r="K1498" t="s">
        <v>2828</v>
      </c>
      <c r="L1498" s="1">
        <v>1</v>
      </c>
      <c r="M1498" s="3">
        <v>12.02</v>
      </c>
      <c r="N1498" s="3">
        <v>0.6</v>
      </c>
      <c r="O1498" s="3">
        <v>0</v>
      </c>
      <c r="P1498" s="3">
        <v>0.2</v>
      </c>
      <c r="Q1498" s="3">
        <v>12.82</v>
      </c>
      <c r="R1498" s="3">
        <v>7.95</v>
      </c>
      <c r="S1498" s="3">
        <f>VLOOKUP(C1498,[1]page!$C$2:$M$3071,11,0)</f>
        <v>12</v>
      </c>
      <c r="T1498" s="6">
        <f t="shared" si="23"/>
        <v>1.9999999999999574E-2</v>
      </c>
    </row>
    <row r="1499" spans="1:20" x14ac:dyDescent="0.2">
      <c r="A1499" t="s">
        <v>4953</v>
      </c>
      <c r="B1499" t="s">
        <v>4954</v>
      </c>
      <c r="C1499" t="s">
        <v>4955</v>
      </c>
      <c r="D1499" t="s">
        <v>4956</v>
      </c>
      <c r="E1499" t="s">
        <v>4927</v>
      </c>
      <c r="F1499" t="s">
        <v>23</v>
      </c>
      <c r="G1499" s="1">
        <v>14</v>
      </c>
      <c r="H1499" s="1">
        <v>12</v>
      </c>
      <c r="I1499" t="s">
        <v>3653</v>
      </c>
      <c r="K1499" t="s">
        <v>2828</v>
      </c>
      <c r="L1499" s="1">
        <v>1</v>
      </c>
      <c r="M1499" s="3">
        <v>13.12</v>
      </c>
      <c r="N1499" s="3">
        <v>0.66</v>
      </c>
      <c r="O1499" s="3">
        <v>0</v>
      </c>
      <c r="P1499" s="3">
        <v>0.2</v>
      </c>
      <c r="Q1499" s="3">
        <v>13.98</v>
      </c>
      <c r="R1499" s="3">
        <v>7.95</v>
      </c>
      <c r="S1499" s="3" t="e">
        <f>VLOOKUP(C1499,[1]page!$C$2:$M$3071,11,0)</f>
        <v>#N/A</v>
      </c>
      <c r="T1499" s="6" t="e">
        <f t="shared" si="23"/>
        <v>#N/A</v>
      </c>
    </row>
    <row r="1500" spans="1:20" x14ac:dyDescent="0.2">
      <c r="A1500" t="s">
        <v>4957</v>
      </c>
      <c r="B1500" t="s">
        <v>4958</v>
      </c>
      <c r="C1500" t="s">
        <v>4959</v>
      </c>
      <c r="D1500" t="s">
        <v>4960</v>
      </c>
      <c r="E1500" t="s">
        <v>4961</v>
      </c>
      <c r="F1500" t="s">
        <v>23</v>
      </c>
      <c r="G1500" s="1">
        <v>14</v>
      </c>
      <c r="H1500" s="1">
        <v>12</v>
      </c>
      <c r="I1500" t="s">
        <v>188</v>
      </c>
      <c r="K1500" t="s">
        <v>2828</v>
      </c>
      <c r="L1500" s="1">
        <v>1</v>
      </c>
      <c r="M1500" s="3">
        <v>18.41</v>
      </c>
      <c r="N1500" s="3">
        <v>0.92</v>
      </c>
      <c r="O1500" s="3">
        <v>0</v>
      </c>
      <c r="P1500" s="3">
        <v>0.2</v>
      </c>
      <c r="Q1500" s="3">
        <v>19.53</v>
      </c>
      <c r="R1500" s="3">
        <v>7.95</v>
      </c>
      <c r="S1500" s="3">
        <f>VLOOKUP(C1500,[1]page!$C$2:$M$3071,11,0)</f>
        <v>18.39</v>
      </c>
      <c r="T1500" s="6">
        <f t="shared" si="23"/>
        <v>1.9999999999999574E-2</v>
      </c>
    </row>
    <row r="1501" spans="1:20" x14ac:dyDescent="0.2">
      <c r="A1501" t="s">
        <v>4962</v>
      </c>
      <c r="B1501" t="s">
        <v>4963</v>
      </c>
      <c r="C1501" t="s">
        <v>4964</v>
      </c>
      <c r="D1501" t="s">
        <v>4965</v>
      </c>
      <c r="E1501" t="s">
        <v>4919</v>
      </c>
      <c r="F1501" t="s">
        <v>23</v>
      </c>
      <c r="G1501" s="2">
        <v>13.5</v>
      </c>
      <c r="H1501" s="1">
        <v>12</v>
      </c>
      <c r="I1501" t="s">
        <v>2759</v>
      </c>
      <c r="K1501" t="s">
        <v>2828</v>
      </c>
      <c r="L1501" s="1">
        <v>1</v>
      </c>
      <c r="M1501" s="3">
        <v>14.01</v>
      </c>
      <c r="N1501" s="3">
        <v>0.7</v>
      </c>
      <c r="O1501" s="3">
        <v>0</v>
      </c>
      <c r="P1501" s="3">
        <v>0.2</v>
      </c>
      <c r="Q1501" s="3">
        <v>14.91</v>
      </c>
      <c r="R1501" s="3">
        <v>7.95</v>
      </c>
      <c r="S1501" s="3">
        <f>VLOOKUP(C1501,[1]page!$C$2:$M$3071,11,0)</f>
        <v>13.99</v>
      </c>
      <c r="T1501" s="6">
        <f t="shared" si="23"/>
        <v>1.9999999999999574E-2</v>
      </c>
    </row>
    <row r="1502" spans="1:20" x14ac:dyDescent="0.2">
      <c r="A1502" t="s">
        <v>4966</v>
      </c>
      <c r="B1502" t="s">
        <v>4967</v>
      </c>
      <c r="C1502" t="s">
        <v>4968</v>
      </c>
      <c r="D1502" t="s">
        <v>4969</v>
      </c>
      <c r="E1502" t="s">
        <v>4970</v>
      </c>
      <c r="F1502" t="s">
        <v>23</v>
      </c>
      <c r="G1502" s="2">
        <v>14.5</v>
      </c>
      <c r="H1502" s="1">
        <v>12</v>
      </c>
      <c r="I1502" t="s">
        <v>183</v>
      </c>
      <c r="K1502" t="s">
        <v>2828</v>
      </c>
      <c r="L1502" s="1">
        <v>1</v>
      </c>
      <c r="M1502" s="3">
        <v>22.51</v>
      </c>
      <c r="N1502" s="3">
        <v>1.1299999999999999</v>
      </c>
      <c r="O1502" s="3">
        <v>0</v>
      </c>
      <c r="P1502" s="3">
        <v>0.2</v>
      </c>
      <c r="Q1502" s="3">
        <v>23.84</v>
      </c>
      <c r="R1502" s="3">
        <v>7.95</v>
      </c>
      <c r="S1502" s="3">
        <f>VLOOKUP(C1502,[1]page!$C$2:$M$3071,11,0)</f>
        <v>22.5</v>
      </c>
      <c r="T1502" s="6">
        <f t="shared" si="23"/>
        <v>1.0000000000001563E-2</v>
      </c>
    </row>
    <row r="1503" spans="1:20" x14ac:dyDescent="0.2">
      <c r="A1503" t="s">
        <v>4971</v>
      </c>
      <c r="B1503" t="s">
        <v>4972</v>
      </c>
      <c r="C1503" t="s">
        <v>4973</v>
      </c>
      <c r="D1503" t="s">
        <v>4974</v>
      </c>
      <c r="E1503" t="s">
        <v>4975</v>
      </c>
      <c r="F1503" t="s">
        <v>23</v>
      </c>
      <c r="G1503" s="2">
        <v>13.5</v>
      </c>
      <c r="H1503" s="1">
        <v>12</v>
      </c>
      <c r="I1503" t="s">
        <v>34</v>
      </c>
      <c r="K1503" t="s">
        <v>2828</v>
      </c>
      <c r="L1503" s="1">
        <v>1</v>
      </c>
      <c r="M1503" s="3">
        <v>16.77</v>
      </c>
      <c r="N1503" s="3">
        <v>0.84</v>
      </c>
      <c r="O1503" s="3">
        <v>0</v>
      </c>
      <c r="P1503" s="3">
        <v>0.2</v>
      </c>
      <c r="Q1503" s="3">
        <v>17.809999999999999</v>
      </c>
      <c r="R1503" s="3">
        <v>7.95</v>
      </c>
      <c r="S1503" s="3">
        <f>VLOOKUP(C1503,[1]page!$C$2:$M$3071,11,0)</f>
        <v>16.739999999999998</v>
      </c>
      <c r="T1503" s="6">
        <f t="shared" si="23"/>
        <v>3.0000000000001137E-2</v>
      </c>
    </row>
    <row r="1504" spans="1:20" x14ac:dyDescent="0.2">
      <c r="A1504" t="s">
        <v>4971</v>
      </c>
      <c r="B1504" t="s">
        <v>4976</v>
      </c>
      <c r="C1504" t="s">
        <v>4977</v>
      </c>
      <c r="D1504" t="s">
        <v>4978</v>
      </c>
      <c r="E1504" t="s">
        <v>4975</v>
      </c>
      <c r="F1504" t="s">
        <v>23</v>
      </c>
      <c r="G1504" s="2">
        <v>13.5</v>
      </c>
      <c r="H1504" s="1">
        <v>12</v>
      </c>
      <c r="I1504" t="s">
        <v>34</v>
      </c>
      <c r="K1504" t="s">
        <v>2828</v>
      </c>
      <c r="L1504" s="1">
        <v>1</v>
      </c>
      <c r="M1504" s="3">
        <v>19.73</v>
      </c>
      <c r="N1504" s="3">
        <v>0.99</v>
      </c>
      <c r="O1504" s="3">
        <v>0</v>
      </c>
      <c r="P1504" s="3">
        <v>0.2</v>
      </c>
      <c r="Q1504" s="3">
        <v>20.92</v>
      </c>
      <c r="R1504" s="3">
        <v>7.95</v>
      </c>
      <c r="S1504" s="3">
        <f>VLOOKUP(C1504,[1]page!$C$2:$M$3071,11,0)</f>
        <v>19.71</v>
      </c>
      <c r="T1504" s="6">
        <f t="shared" si="23"/>
        <v>1.9999999999999574E-2</v>
      </c>
    </row>
    <row r="1505" spans="1:20" x14ac:dyDescent="0.2">
      <c r="A1505" t="s">
        <v>4979</v>
      </c>
      <c r="B1505" t="s">
        <v>4980</v>
      </c>
      <c r="C1505" t="s">
        <v>4981</v>
      </c>
      <c r="D1505" t="s">
        <v>4982</v>
      </c>
      <c r="E1505" t="s">
        <v>4983</v>
      </c>
      <c r="F1505" t="s">
        <v>23</v>
      </c>
      <c r="G1505" s="1">
        <v>13</v>
      </c>
      <c r="H1505" s="1">
        <v>12</v>
      </c>
      <c r="I1505" t="s">
        <v>600</v>
      </c>
      <c r="K1505" t="s">
        <v>2828</v>
      </c>
      <c r="L1505" s="1">
        <v>1</v>
      </c>
      <c r="M1505" s="3">
        <v>22.11</v>
      </c>
      <c r="N1505" s="3">
        <v>1.1100000000000001</v>
      </c>
      <c r="O1505" s="3">
        <v>0</v>
      </c>
      <c r="P1505" s="3">
        <v>0.2</v>
      </c>
      <c r="Q1505" s="3">
        <v>23.42</v>
      </c>
      <c r="R1505" s="3">
        <v>7.95</v>
      </c>
      <c r="S1505" s="3">
        <f>VLOOKUP(C1505,[1]page!$C$2:$M$3071,11,0)</f>
        <v>22.09</v>
      </c>
      <c r="T1505" s="6">
        <f t="shared" si="23"/>
        <v>1.9999999999999574E-2</v>
      </c>
    </row>
    <row r="1506" spans="1:20" x14ac:dyDescent="0.2">
      <c r="A1506" t="s">
        <v>4979</v>
      </c>
      <c r="B1506" t="s">
        <v>4984</v>
      </c>
      <c r="C1506" t="s">
        <v>4985</v>
      </c>
      <c r="D1506" t="s">
        <v>4986</v>
      </c>
      <c r="E1506" t="s">
        <v>4983</v>
      </c>
      <c r="F1506" t="s">
        <v>23</v>
      </c>
      <c r="G1506" s="1">
        <v>13</v>
      </c>
      <c r="H1506" s="1">
        <v>12</v>
      </c>
      <c r="I1506" t="s">
        <v>600</v>
      </c>
      <c r="K1506" t="s">
        <v>2828</v>
      </c>
      <c r="L1506" s="1">
        <v>1</v>
      </c>
      <c r="M1506" s="3">
        <v>16.510000000000002</v>
      </c>
      <c r="N1506" s="3">
        <v>0.83</v>
      </c>
      <c r="O1506" s="3">
        <v>0</v>
      </c>
      <c r="P1506" s="3">
        <v>0.2</v>
      </c>
      <c r="Q1506" s="3">
        <v>17.54</v>
      </c>
      <c r="R1506" s="3">
        <v>7.95</v>
      </c>
      <c r="S1506" s="3">
        <f>VLOOKUP(C1506,[1]page!$C$2:$M$3071,11,0)</f>
        <v>16.489999999999998</v>
      </c>
      <c r="T1506" s="6">
        <f t="shared" si="23"/>
        <v>2.0000000000003126E-2</v>
      </c>
    </row>
    <row r="1507" spans="1:20" x14ac:dyDescent="0.2">
      <c r="A1507" t="s">
        <v>4979</v>
      </c>
      <c r="B1507" t="s">
        <v>4987</v>
      </c>
      <c r="C1507" t="s">
        <v>4988</v>
      </c>
      <c r="D1507" t="s">
        <v>4989</v>
      </c>
      <c r="E1507" t="s">
        <v>4908</v>
      </c>
      <c r="F1507" t="s">
        <v>23</v>
      </c>
      <c r="G1507" s="2">
        <v>13.5</v>
      </c>
      <c r="H1507" s="1">
        <v>12</v>
      </c>
      <c r="I1507" t="s">
        <v>39</v>
      </c>
      <c r="K1507" t="s">
        <v>2828</v>
      </c>
      <c r="L1507" s="1">
        <v>1</v>
      </c>
      <c r="M1507" s="3">
        <v>18.13</v>
      </c>
      <c r="N1507" s="3">
        <v>0.91</v>
      </c>
      <c r="O1507" s="3">
        <v>0</v>
      </c>
      <c r="P1507" s="3">
        <v>0.2</v>
      </c>
      <c r="Q1507" s="3">
        <v>19.239999999999998</v>
      </c>
      <c r="R1507" s="3">
        <v>7.95</v>
      </c>
      <c r="S1507" s="3">
        <f>VLOOKUP(C1507,[1]page!$C$2:$M$3071,11,0)</f>
        <v>18.100000000000001</v>
      </c>
      <c r="T1507" s="6">
        <f t="shared" si="23"/>
        <v>2.9999999999997584E-2</v>
      </c>
    </row>
    <row r="1508" spans="1:20" x14ac:dyDescent="0.2">
      <c r="A1508" t="s">
        <v>4979</v>
      </c>
      <c r="B1508" t="s">
        <v>4990</v>
      </c>
      <c r="C1508" t="s">
        <v>4991</v>
      </c>
      <c r="D1508" t="s">
        <v>4992</v>
      </c>
      <c r="E1508" t="s">
        <v>4993</v>
      </c>
      <c r="F1508" t="s">
        <v>23</v>
      </c>
      <c r="G1508" s="1">
        <v>14</v>
      </c>
      <c r="H1508" s="1">
        <v>12</v>
      </c>
      <c r="I1508" t="s">
        <v>57</v>
      </c>
      <c r="K1508" t="s">
        <v>2828</v>
      </c>
      <c r="L1508" s="1">
        <v>1</v>
      </c>
      <c r="M1508" s="3">
        <v>15.02</v>
      </c>
      <c r="N1508" s="3">
        <v>0.75</v>
      </c>
      <c r="O1508" s="3">
        <v>0</v>
      </c>
      <c r="P1508" s="3">
        <v>0.2</v>
      </c>
      <c r="Q1508" s="3">
        <v>15.97</v>
      </c>
      <c r="R1508" s="3">
        <v>7.95</v>
      </c>
      <c r="S1508" s="3">
        <f>VLOOKUP(C1508,[1]page!$C$2:$M$3071,11,0)</f>
        <v>15</v>
      </c>
      <c r="T1508" s="6">
        <f t="shared" si="23"/>
        <v>1.9999999999999574E-2</v>
      </c>
    </row>
    <row r="1509" spans="1:20" x14ac:dyDescent="0.2">
      <c r="A1509" t="s">
        <v>4994</v>
      </c>
      <c r="B1509" t="s">
        <v>4995</v>
      </c>
      <c r="C1509" t="s">
        <v>4996</v>
      </c>
      <c r="D1509" t="s">
        <v>4997</v>
      </c>
      <c r="E1509" t="s">
        <v>4998</v>
      </c>
      <c r="F1509" t="s">
        <v>23</v>
      </c>
      <c r="G1509" s="1">
        <v>14</v>
      </c>
      <c r="H1509" s="1">
        <v>12</v>
      </c>
      <c r="I1509" t="s">
        <v>397</v>
      </c>
      <c r="K1509" t="s">
        <v>2828</v>
      </c>
      <c r="L1509" s="1">
        <v>1</v>
      </c>
      <c r="M1509" s="3">
        <v>21.21</v>
      </c>
      <c r="N1509" s="3">
        <v>1.06</v>
      </c>
      <c r="O1509" s="3">
        <v>0</v>
      </c>
      <c r="P1509" s="3">
        <v>0.2</v>
      </c>
      <c r="Q1509" s="3">
        <v>22.47</v>
      </c>
      <c r="R1509" s="3">
        <v>7.95</v>
      </c>
      <c r="S1509" s="3">
        <f>VLOOKUP(C1509,[1]page!$C$2:$M$3071,11,0)</f>
        <v>21.2</v>
      </c>
      <c r="T1509" s="6">
        <f t="shared" si="23"/>
        <v>1.0000000000001563E-2</v>
      </c>
    </row>
    <row r="1510" spans="1:20" x14ac:dyDescent="0.2">
      <c r="A1510" t="s">
        <v>4994</v>
      </c>
      <c r="B1510" t="s">
        <v>4999</v>
      </c>
      <c r="C1510" t="s">
        <v>5000</v>
      </c>
      <c r="D1510" t="s">
        <v>5001</v>
      </c>
      <c r="E1510" t="s">
        <v>4908</v>
      </c>
      <c r="F1510" t="s">
        <v>23</v>
      </c>
      <c r="G1510" s="2">
        <v>13.5</v>
      </c>
      <c r="H1510" s="1">
        <v>12</v>
      </c>
      <c r="I1510" t="s">
        <v>39</v>
      </c>
      <c r="K1510" t="s">
        <v>2828</v>
      </c>
      <c r="L1510" s="1">
        <v>1</v>
      </c>
      <c r="M1510" s="3">
        <v>14.33</v>
      </c>
      <c r="N1510" s="3">
        <v>0.72</v>
      </c>
      <c r="O1510" s="3">
        <v>0</v>
      </c>
      <c r="P1510" s="3">
        <v>0.2</v>
      </c>
      <c r="Q1510" s="3">
        <v>15.25</v>
      </c>
      <c r="R1510" s="3">
        <v>7.95</v>
      </c>
      <c r="S1510" s="3">
        <f>VLOOKUP(C1510,[1]page!$C$2:$M$3071,11,0)</f>
        <v>14.31</v>
      </c>
      <c r="T1510" s="6">
        <f t="shared" si="23"/>
        <v>1.9999999999999574E-2</v>
      </c>
    </row>
    <row r="1511" spans="1:20" x14ac:dyDescent="0.2">
      <c r="A1511" t="s">
        <v>5002</v>
      </c>
      <c r="B1511" t="s">
        <v>5003</v>
      </c>
      <c r="C1511" t="s">
        <v>5004</v>
      </c>
      <c r="D1511" t="s">
        <v>5005</v>
      </c>
      <c r="E1511" t="s">
        <v>4927</v>
      </c>
      <c r="F1511" t="s">
        <v>23</v>
      </c>
      <c r="G1511" s="1">
        <v>13</v>
      </c>
      <c r="H1511" s="1">
        <v>12</v>
      </c>
      <c r="I1511" t="s">
        <v>3653</v>
      </c>
      <c r="K1511" t="s">
        <v>2706</v>
      </c>
      <c r="L1511" s="1">
        <v>1</v>
      </c>
      <c r="M1511" s="3">
        <v>12.64</v>
      </c>
      <c r="N1511" s="3">
        <v>0.63</v>
      </c>
      <c r="O1511" s="3">
        <v>0</v>
      </c>
      <c r="P1511" s="3">
        <v>0.2</v>
      </c>
      <c r="Q1511" s="3">
        <v>13.47</v>
      </c>
      <c r="R1511" s="3">
        <v>7.95</v>
      </c>
      <c r="S1511" s="3">
        <f>VLOOKUP(C1511,[1]page!$C$2:$M$3071,11,0)</f>
        <v>12.62</v>
      </c>
      <c r="T1511" s="6">
        <f t="shared" si="23"/>
        <v>2.000000000000135E-2</v>
      </c>
    </row>
    <row r="1512" spans="1:20" x14ac:dyDescent="0.2">
      <c r="A1512" t="s">
        <v>5002</v>
      </c>
      <c r="B1512" t="s">
        <v>5006</v>
      </c>
      <c r="C1512" t="s">
        <v>5007</v>
      </c>
      <c r="D1512" t="s">
        <v>5005</v>
      </c>
      <c r="E1512" t="s">
        <v>4927</v>
      </c>
      <c r="F1512" t="s">
        <v>87</v>
      </c>
      <c r="G1512" s="1">
        <v>13</v>
      </c>
      <c r="H1512" s="1">
        <v>4</v>
      </c>
      <c r="I1512" t="s">
        <v>3653</v>
      </c>
      <c r="K1512" t="s">
        <v>2706</v>
      </c>
      <c r="L1512" s="1">
        <v>1</v>
      </c>
      <c r="M1512" s="3">
        <v>35.57</v>
      </c>
      <c r="N1512" s="3">
        <v>1.78</v>
      </c>
      <c r="O1512" s="3">
        <v>0</v>
      </c>
      <c r="P1512" s="3">
        <v>0</v>
      </c>
      <c r="Q1512" s="3">
        <v>37.35</v>
      </c>
      <c r="R1512" s="3">
        <v>26.4</v>
      </c>
      <c r="S1512" s="3">
        <f>VLOOKUP(C1512,[1]page!$C$2:$M$3071,11,0)</f>
        <v>35.479999999999997</v>
      </c>
      <c r="T1512" s="6">
        <f t="shared" ref="T1512:T1574" si="24">SUM(M1512-S1512)</f>
        <v>9.0000000000003411E-2</v>
      </c>
    </row>
    <row r="1513" spans="1:20" x14ac:dyDescent="0.2">
      <c r="A1513" t="s">
        <v>5008</v>
      </c>
      <c r="B1513" t="s">
        <v>5009</v>
      </c>
      <c r="C1513" t="s">
        <v>5010</v>
      </c>
      <c r="D1513" t="s">
        <v>5011</v>
      </c>
      <c r="E1513" t="s">
        <v>5012</v>
      </c>
      <c r="F1513" t="s">
        <v>23</v>
      </c>
      <c r="G1513" s="2">
        <v>13.9</v>
      </c>
      <c r="H1513" s="1">
        <v>12</v>
      </c>
      <c r="I1513" t="s">
        <v>3653</v>
      </c>
      <c r="K1513" t="s">
        <v>2828</v>
      </c>
      <c r="L1513" s="1">
        <v>1</v>
      </c>
      <c r="M1513" s="3">
        <v>22.81</v>
      </c>
      <c r="N1513" s="3">
        <v>1.1399999999999999</v>
      </c>
      <c r="O1513" s="3">
        <v>0</v>
      </c>
      <c r="P1513" s="3">
        <v>0.2</v>
      </c>
      <c r="Q1513" s="3">
        <v>24.15</v>
      </c>
      <c r="R1513" s="3">
        <v>7.95</v>
      </c>
      <c r="S1513" s="3">
        <f>VLOOKUP(C1513,[1]page!$C$2:$M$3071,11,0)</f>
        <v>22.79</v>
      </c>
      <c r="T1513" s="6">
        <f t="shared" si="24"/>
        <v>1.9999999999999574E-2</v>
      </c>
    </row>
    <row r="1514" spans="1:20" x14ac:dyDescent="0.2">
      <c r="A1514" t="s">
        <v>5013</v>
      </c>
      <c r="B1514" t="s">
        <v>5014</v>
      </c>
      <c r="C1514" t="s">
        <v>5015</v>
      </c>
      <c r="D1514" t="s">
        <v>5016</v>
      </c>
      <c r="E1514" t="s">
        <v>5017</v>
      </c>
      <c r="F1514" t="s">
        <v>23</v>
      </c>
      <c r="G1514" s="1">
        <v>15</v>
      </c>
      <c r="H1514" s="1">
        <v>12</v>
      </c>
      <c r="I1514" t="s">
        <v>2700</v>
      </c>
      <c r="K1514" t="s">
        <v>2687</v>
      </c>
      <c r="L1514" s="1">
        <v>1</v>
      </c>
      <c r="M1514" s="3">
        <v>16.11</v>
      </c>
      <c r="N1514" s="3">
        <v>0.81</v>
      </c>
      <c r="O1514" s="3">
        <v>0</v>
      </c>
      <c r="P1514" s="3">
        <v>0.2</v>
      </c>
      <c r="Q1514" s="3">
        <v>17.12</v>
      </c>
      <c r="R1514" s="3">
        <v>7.95</v>
      </c>
      <c r="S1514" s="3">
        <f>VLOOKUP(C1514,[1]page!$C$2:$M$3071,11,0)</f>
        <v>16.079999999999998</v>
      </c>
      <c r="T1514" s="6">
        <f t="shared" si="24"/>
        <v>3.0000000000001137E-2</v>
      </c>
    </row>
    <row r="1515" spans="1:20" x14ac:dyDescent="0.2">
      <c r="A1515" t="s">
        <v>5013</v>
      </c>
      <c r="B1515" t="s">
        <v>5018</v>
      </c>
      <c r="C1515" t="s">
        <v>5019</v>
      </c>
      <c r="D1515" t="s">
        <v>5020</v>
      </c>
      <c r="E1515" t="s">
        <v>5021</v>
      </c>
      <c r="F1515" t="s">
        <v>23</v>
      </c>
      <c r="G1515" s="2">
        <v>13.5</v>
      </c>
      <c r="H1515" s="1">
        <v>12</v>
      </c>
      <c r="I1515" t="s">
        <v>1604</v>
      </c>
      <c r="K1515" t="s">
        <v>2712</v>
      </c>
      <c r="L1515" s="1">
        <v>1</v>
      </c>
      <c r="M1515" s="3">
        <v>14.35</v>
      </c>
      <c r="N1515" s="3">
        <v>0.72</v>
      </c>
      <c r="O1515" s="3">
        <v>0</v>
      </c>
      <c r="P1515" s="3">
        <v>0.2</v>
      </c>
      <c r="Q1515" s="3">
        <v>15.27</v>
      </c>
      <c r="R1515" s="3">
        <v>7.95</v>
      </c>
      <c r="S1515" s="3">
        <f>VLOOKUP(C1515,[1]page!$C$2:$M$3071,11,0)</f>
        <v>14.33</v>
      </c>
      <c r="T1515" s="6">
        <f t="shared" si="24"/>
        <v>1.9999999999999574E-2</v>
      </c>
    </row>
    <row r="1516" spans="1:20" x14ac:dyDescent="0.2">
      <c r="A1516" t="s">
        <v>5013</v>
      </c>
      <c r="B1516" t="s">
        <v>5022</v>
      </c>
      <c r="C1516" t="s">
        <v>5023</v>
      </c>
      <c r="D1516" t="s">
        <v>5024</v>
      </c>
      <c r="E1516" t="s">
        <v>2077</v>
      </c>
      <c r="F1516" t="s">
        <v>23</v>
      </c>
      <c r="G1516" s="2">
        <v>13.5</v>
      </c>
      <c r="H1516" s="1">
        <v>12</v>
      </c>
      <c r="I1516" t="s">
        <v>1604</v>
      </c>
      <c r="K1516" t="s">
        <v>2706</v>
      </c>
      <c r="L1516" s="1">
        <v>1</v>
      </c>
      <c r="M1516" s="3">
        <v>14.32</v>
      </c>
      <c r="N1516" s="3">
        <v>0.72</v>
      </c>
      <c r="O1516" s="3">
        <v>0</v>
      </c>
      <c r="P1516" s="3">
        <v>0.2</v>
      </c>
      <c r="Q1516" s="3">
        <v>15.24</v>
      </c>
      <c r="R1516" s="3">
        <v>7.95</v>
      </c>
      <c r="S1516" s="3">
        <f>VLOOKUP(C1516,[1]page!$C$2:$M$3071,11,0)</f>
        <v>14.3</v>
      </c>
      <c r="T1516" s="6">
        <f t="shared" si="24"/>
        <v>1.9999999999999574E-2</v>
      </c>
    </row>
    <row r="1517" spans="1:20" x14ac:dyDescent="0.2">
      <c r="A1517" t="s">
        <v>5025</v>
      </c>
      <c r="B1517" t="s">
        <v>5026</v>
      </c>
      <c r="C1517" t="s">
        <v>5027</v>
      </c>
      <c r="D1517" t="s">
        <v>5028</v>
      </c>
      <c r="E1517" t="s">
        <v>5029</v>
      </c>
      <c r="F1517" t="s">
        <v>23</v>
      </c>
      <c r="G1517" s="1">
        <v>13</v>
      </c>
      <c r="H1517" s="1">
        <v>12</v>
      </c>
      <c r="I1517" t="s">
        <v>607</v>
      </c>
      <c r="K1517" t="s">
        <v>2687</v>
      </c>
      <c r="L1517" s="1">
        <v>1</v>
      </c>
      <c r="M1517" s="3">
        <v>20.94</v>
      </c>
      <c r="N1517" s="3">
        <v>1.05</v>
      </c>
      <c r="O1517" s="3">
        <v>0</v>
      </c>
      <c r="P1517" s="3">
        <v>0.2</v>
      </c>
      <c r="Q1517" s="3">
        <v>22.19</v>
      </c>
      <c r="R1517" s="3">
        <v>7.95</v>
      </c>
      <c r="S1517" s="3">
        <f>VLOOKUP(C1517,[1]page!$C$2:$M$3071,11,0)</f>
        <v>20.93</v>
      </c>
      <c r="T1517" s="6">
        <f t="shared" si="24"/>
        <v>1.0000000000001563E-2</v>
      </c>
    </row>
    <row r="1518" spans="1:20" x14ac:dyDescent="0.2">
      <c r="A1518" t="s">
        <v>5025</v>
      </c>
      <c r="B1518" t="s">
        <v>5030</v>
      </c>
      <c r="C1518" t="s">
        <v>5031</v>
      </c>
      <c r="D1518" t="s">
        <v>5032</v>
      </c>
      <c r="E1518" t="s">
        <v>5033</v>
      </c>
      <c r="F1518" t="s">
        <v>23</v>
      </c>
      <c r="G1518" s="2">
        <v>13.5</v>
      </c>
      <c r="H1518" s="1">
        <v>12</v>
      </c>
      <c r="I1518" t="s">
        <v>4034</v>
      </c>
      <c r="K1518" t="s">
        <v>2706</v>
      </c>
      <c r="L1518" s="1">
        <v>1</v>
      </c>
      <c r="M1518" s="3">
        <v>22.59</v>
      </c>
      <c r="N1518" s="3">
        <v>1.1299999999999999</v>
      </c>
      <c r="O1518" s="3">
        <v>0</v>
      </c>
      <c r="P1518" s="3">
        <v>0.2</v>
      </c>
      <c r="Q1518" s="3">
        <v>23.92</v>
      </c>
      <c r="R1518" s="3">
        <v>7.95</v>
      </c>
      <c r="S1518" s="3">
        <f>VLOOKUP(C1518,[1]page!$C$2:$M$3071,11,0)</f>
        <v>22.59</v>
      </c>
      <c r="T1518" s="6">
        <f t="shared" si="24"/>
        <v>0</v>
      </c>
    </row>
    <row r="1519" spans="1:20" x14ac:dyDescent="0.2">
      <c r="A1519" t="s">
        <v>5034</v>
      </c>
      <c r="B1519" t="s">
        <v>5035</v>
      </c>
      <c r="C1519" t="s">
        <v>5036</v>
      </c>
      <c r="D1519" t="s">
        <v>5037</v>
      </c>
      <c r="E1519" t="s">
        <v>2768</v>
      </c>
      <c r="F1519" t="s">
        <v>23</v>
      </c>
      <c r="G1519" s="2">
        <v>13.5</v>
      </c>
      <c r="H1519" s="1">
        <v>12</v>
      </c>
      <c r="I1519" t="s">
        <v>2179</v>
      </c>
      <c r="J1519" s="1">
        <v>2012</v>
      </c>
      <c r="K1519" t="s">
        <v>2706</v>
      </c>
      <c r="L1519" s="1">
        <v>1</v>
      </c>
      <c r="M1519" s="3">
        <v>13.12</v>
      </c>
      <c r="N1519" s="3">
        <v>0.66</v>
      </c>
      <c r="O1519" s="3">
        <v>0</v>
      </c>
      <c r="P1519" s="3">
        <v>0.2</v>
      </c>
      <c r="Q1519" s="3">
        <v>13.98</v>
      </c>
      <c r="R1519" s="3">
        <v>7.95</v>
      </c>
      <c r="S1519" s="3">
        <f>VLOOKUP(C1519,[1]page!$C$2:$M$3071,11,0)</f>
        <v>13.1</v>
      </c>
      <c r="T1519" s="6">
        <f t="shared" si="24"/>
        <v>1.9999999999999574E-2</v>
      </c>
    </row>
    <row r="1520" spans="1:20" x14ac:dyDescent="0.2">
      <c r="A1520" t="s">
        <v>5034</v>
      </c>
      <c r="B1520" t="s">
        <v>5038</v>
      </c>
      <c r="C1520" t="s">
        <v>5039</v>
      </c>
      <c r="D1520" t="s">
        <v>5040</v>
      </c>
      <c r="E1520" t="s">
        <v>5041</v>
      </c>
      <c r="F1520" t="s">
        <v>23</v>
      </c>
      <c r="G1520" s="2">
        <v>13.5</v>
      </c>
      <c r="H1520" s="1">
        <v>12</v>
      </c>
      <c r="I1520" t="s">
        <v>57</v>
      </c>
      <c r="K1520" t="s">
        <v>2828</v>
      </c>
      <c r="L1520" s="1">
        <v>1</v>
      </c>
      <c r="M1520" s="3">
        <v>18.38</v>
      </c>
      <c r="N1520" s="3">
        <v>0.92</v>
      </c>
      <c r="O1520" s="3">
        <v>0</v>
      </c>
      <c r="P1520" s="3">
        <v>0.2</v>
      </c>
      <c r="Q1520" s="3">
        <v>19.5</v>
      </c>
      <c r="R1520" s="3">
        <v>7.95</v>
      </c>
      <c r="S1520" s="3">
        <f>VLOOKUP(C1520,[1]page!$C$2:$M$3071,11,0)</f>
        <v>18.36</v>
      </c>
      <c r="T1520" s="6">
        <f t="shared" si="24"/>
        <v>1.9999999999999574E-2</v>
      </c>
    </row>
    <row r="1521" spans="1:20" x14ac:dyDescent="0.2">
      <c r="A1521" t="s">
        <v>5034</v>
      </c>
      <c r="B1521" t="s">
        <v>5042</v>
      </c>
      <c r="C1521" t="s">
        <v>5043</v>
      </c>
      <c r="D1521" t="s">
        <v>5044</v>
      </c>
      <c r="E1521" t="s">
        <v>5045</v>
      </c>
      <c r="F1521" t="s">
        <v>23</v>
      </c>
      <c r="G1521" s="2">
        <v>13.5</v>
      </c>
      <c r="H1521" s="1">
        <v>12</v>
      </c>
      <c r="I1521" t="s">
        <v>1604</v>
      </c>
      <c r="K1521" t="s">
        <v>2828</v>
      </c>
      <c r="L1521" s="1">
        <v>1</v>
      </c>
      <c r="M1521" s="3">
        <v>14.66</v>
      </c>
      <c r="N1521" s="3">
        <v>0.73</v>
      </c>
      <c r="O1521" s="3">
        <v>0</v>
      </c>
      <c r="P1521" s="3">
        <v>0.2</v>
      </c>
      <c r="Q1521" s="3">
        <v>15.59</v>
      </c>
      <c r="R1521" s="3">
        <v>7.95</v>
      </c>
      <c r="S1521" s="3">
        <f>VLOOKUP(C1521,[1]page!$C$2:$M$3071,11,0)</f>
        <v>14.63</v>
      </c>
      <c r="T1521" s="6">
        <f t="shared" si="24"/>
        <v>2.9999999999999361E-2</v>
      </c>
    </row>
    <row r="1522" spans="1:20" x14ac:dyDescent="0.2">
      <c r="A1522" t="s">
        <v>5034</v>
      </c>
      <c r="B1522" t="s">
        <v>5046</v>
      </c>
      <c r="C1522" t="s">
        <v>5047</v>
      </c>
      <c r="D1522" t="s">
        <v>5048</v>
      </c>
      <c r="E1522" t="s">
        <v>5049</v>
      </c>
      <c r="F1522" t="s">
        <v>23</v>
      </c>
      <c r="G1522" s="2">
        <v>13.5</v>
      </c>
      <c r="H1522" s="1">
        <v>12</v>
      </c>
      <c r="I1522" t="s">
        <v>57</v>
      </c>
      <c r="K1522" t="s">
        <v>2828</v>
      </c>
      <c r="L1522" s="1">
        <v>1</v>
      </c>
      <c r="M1522" s="3">
        <v>17.03</v>
      </c>
      <c r="N1522" s="3">
        <v>0.85</v>
      </c>
      <c r="O1522" s="3">
        <v>0</v>
      </c>
      <c r="P1522" s="3">
        <v>0.2</v>
      </c>
      <c r="Q1522" s="3">
        <v>18.079999999999998</v>
      </c>
      <c r="R1522" s="3">
        <v>7.95</v>
      </c>
      <c r="S1522" s="3">
        <f>VLOOKUP(C1522,[1]page!$C$2:$M$3071,11,0)</f>
        <v>17.010000000000002</v>
      </c>
      <c r="T1522" s="6">
        <f t="shared" si="24"/>
        <v>1.9999999999999574E-2</v>
      </c>
    </row>
    <row r="1523" spans="1:20" x14ac:dyDescent="0.2">
      <c r="A1523" t="s">
        <v>5034</v>
      </c>
      <c r="B1523" t="s">
        <v>5050</v>
      </c>
      <c r="C1523" t="s">
        <v>5051</v>
      </c>
      <c r="D1523" t="s">
        <v>5052</v>
      </c>
      <c r="E1523" t="s">
        <v>5049</v>
      </c>
      <c r="F1523" t="s">
        <v>23</v>
      </c>
      <c r="G1523" s="2">
        <v>13.5</v>
      </c>
      <c r="H1523" s="1">
        <v>12</v>
      </c>
      <c r="I1523" t="s">
        <v>57</v>
      </c>
      <c r="K1523" t="s">
        <v>2828</v>
      </c>
      <c r="L1523" s="1">
        <v>1</v>
      </c>
      <c r="M1523" s="3">
        <v>12.63</v>
      </c>
      <c r="N1523" s="3">
        <v>0.63</v>
      </c>
      <c r="O1523" s="3">
        <v>0</v>
      </c>
      <c r="P1523" s="3">
        <v>0.2</v>
      </c>
      <c r="Q1523" s="3">
        <v>13.46</v>
      </c>
      <c r="R1523" s="3">
        <v>7.95</v>
      </c>
      <c r="S1523" s="3">
        <f>VLOOKUP(C1523,[1]page!$C$2:$M$3071,11,0)</f>
        <v>12.61</v>
      </c>
      <c r="T1523" s="6">
        <f t="shared" si="24"/>
        <v>2.000000000000135E-2</v>
      </c>
    </row>
    <row r="1524" spans="1:20" x14ac:dyDescent="0.2">
      <c r="A1524" t="s">
        <v>5034</v>
      </c>
      <c r="B1524" t="s">
        <v>5053</v>
      </c>
      <c r="C1524" t="s">
        <v>5054</v>
      </c>
      <c r="D1524" t="s">
        <v>5055</v>
      </c>
      <c r="E1524" t="s">
        <v>5056</v>
      </c>
      <c r="F1524" t="s">
        <v>23</v>
      </c>
      <c r="G1524" s="2">
        <v>13.5</v>
      </c>
      <c r="H1524" s="1">
        <v>12</v>
      </c>
      <c r="I1524" t="s">
        <v>57</v>
      </c>
      <c r="K1524" t="s">
        <v>2828</v>
      </c>
      <c r="L1524" s="1">
        <v>1</v>
      </c>
      <c r="M1524" s="3">
        <v>15</v>
      </c>
      <c r="N1524" s="3">
        <v>0.75</v>
      </c>
      <c r="O1524" s="3">
        <v>0</v>
      </c>
      <c r="P1524" s="3">
        <v>0.2</v>
      </c>
      <c r="Q1524" s="3">
        <v>15.95</v>
      </c>
      <c r="R1524" s="3">
        <v>7.95</v>
      </c>
      <c r="S1524" s="3">
        <f>VLOOKUP(C1524,[1]page!$C$2:$M$3071,11,0)</f>
        <v>14.98</v>
      </c>
      <c r="T1524" s="6">
        <f t="shared" si="24"/>
        <v>1.9999999999999574E-2</v>
      </c>
    </row>
    <row r="1525" spans="1:20" x14ac:dyDescent="0.2">
      <c r="A1525" t="s">
        <v>5057</v>
      </c>
      <c r="B1525" t="s">
        <v>5058</v>
      </c>
      <c r="C1525" t="s">
        <v>5059</v>
      </c>
      <c r="D1525" t="s">
        <v>5060</v>
      </c>
      <c r="E1525" t="s">
        <v>2768</v>
      </c>
      <c r="F1525" t="s">
        <v>23</v>
      </c>
      <c r="G1525" s="2">
        <v>13.5</v>
      </c>
      <c r="H1525" s="1">
        <v>12</v>
      </c>
      <c r="I1525" t="s">
        <v>449</v>
      </c>
      <c r="K1525" t="s">
        <v>2687</v>
      </c>
      <c r="L1525" s="1">
        <v>1</v>
      </c>
      <c r="M1525" s="3">
        <v>12.88</v>
      </c>
      <c r="N1525" s="3">
        <v>0.64</v>
      </c>
      <c r="O1525" s="3">
        <v>0</v>
      </c>
      <c r="P1525" s="3">
        <v>0.2</v>
      </c>
      <c r="Q1525" s="3">
        <v>13.72</v>
      </c>
      <c r="R1525" s="3">
        <v>7.95</v>
      </c>
      <c r="S1525" s="3">
        <f>VLOOKUP(C1525,[1]page!$C$2:$M$3071,11,0)</f>
        <v>12.86</v>
      </c>
      <c r="T1525" s="6">
        <f t="shared" si="24"/>
        <v>2.000000000000135E-2</v>
      </c>
    </row>
    <row r="1526" spans="1:20" x14ac:dyDescent="0.2">
      <c r="A1526" t="s">
        <v>5057</v>
      </c>
      <c r="B1526" t="s">
        <v>5061</v>
      </c>
      <c r="C1526" t="s">
        <v>5062</v>
      </c>
      <c r="D1526" t="s">
        <v>5063</v>
      </c>
      <c r="E1526" t="s">
        <v>5064</v>
      </c>
      <c r="F1526" t="s">
        <v>23</v>
      </c>
      <c r="G1526" s="1">
        <v>12</v>
      </c>
      <c r="H1526" s="1">
        <v>12</v>
      </c>
      <c r="I1526" t="s">
        <v>188</v>
      </c>
      <c r="K1526" t="s">
        <v>2828</v>
      </c>
      <c r="L1526" s="1">
        <v>1</v>
      </c>
      <c r="M1526" s="3">
        <v>23.74</v>
      </c>
      <c r="N1526" s="3">
        <v>1.19</v>
      </c>
      <c r="O1526" s="3">
        <v>0</v>
      </c>
      <c r="P1526" s="3">
        <v>0.2</v>
      </c>
      <c r="Q1526" s="3">
        <v>25.13</v>
      </c>
      <c r="R1526" s="3">
        <v>7.95</v>
      </c>
      <c r="S1526" s="3">
        <f>VLOOKUP(C1526,[1]page!$C$2:$M$3071,11,0)</f>
        <v>23.98</v>
      </c>
      <c r="T1526" s="6">
        <f t="shared" si="24"/>
        <v>-0.24000000000000199</v>
      </c>
    </row>
    <row r="1527" spans="1:20" x14ac:dyDescent="0.2">
      <c r="A1527" t="s">
        <v>5057</v>
      </c>
      <c r="B1527" t="s">
        <v>5065</v>
      </c>
      <c r="C1527" t="s">
        <v>5066</v>
      </c>
      <c r="D1527" t="s">
        <v>5067</v>
      </c>
      <c r="E1527" t="s">
        <v>5049</v>
      </c>
      <c r="F1527" t="s">
        <v>23</v>
      </c>
      <c r="G1527" s="2">
        <v>13.5</v>
      </c>
      <c r="H1527" s="1">
        <v>12</v>
      </c>
      <c r="I1527" t="s">
        <v>57</v>
      </c>
      <c r="K1527" t="s">
        <v>2828</v>
      </c>
      <c r="L1527" s="1">
        <v>1</v>
      </c>
      <c r="M1527" s="3">
        <v>17.03</v>
      </c>
      <c r="N1527" s="3">
        <v>0.85</v>
      </c>
      <c r="O1527" s="3">
        <v>0</v>
      </c>
      <c r="P1527" s="3">
        <v>0.2</v>
      </c>
      <c r="Q1527" s="3">
        <v>18.079999999999998</v>
      </c>
      <c r="R1527" s="3">
        <v>7.95</v>
      </c>
      <c r="S1527" s="3">
        <f>VLOOKUP(C1527,[1]page!$C$2:$M$3071,11,0)</f>
        <v>17.010000000000002</v>
      </c>
      <c r="T1527" s="6">
        <f t="shared" si="24"/>
        <v>1.9999999999999574E-2</v>
      </c>
    </row>
    <row r="1528" spans="1:20" x14ac:dyDescent="0.2">
      <c r="A1528" t="s">
        <v>5068</v>
      </c>
      <c r="B1528" t="s">
        <v>5069</v>
      </c>
      <c r="C1528" t="s">
        <v>5070</v>
      </c>
      <c r="D1528" t="s">
        <v>5071</v>
      </c>
      <c r="E1528" t="s">
        <v>5072</v>
      </c>
      <c r="F1528" t="s">
        <v>2737</v>
      </c>
      <c r="G1528" s="2">
        <v>8.5</v>
      </c>
      <c r="H1528" s="1">
        <v>6</v>
      </c>
      <c r="I1528" t="s">
        <v>1604</v>
      </c>
      <c r="K1528" t="s">
        <v>2687</v>
      </c>
      <c r="L1528" s="1">
        <v>1</v>
      </c>
      <c r="M1528" s="3">
        <v>15.95</v>
      </c>
      <c r="N1528" s="3">
        <v>0.8</v>
      </c>
      <c r="O1528" s="3">
        <v>0</v>
      </c>
      <c r="P1528" s="3">
        <v>0.4</v>
      </c>
      <c r="Q1528" s="3">
        <v>17.149999999999999</v>
      </c>
      <c r="R1528" s="3">
        <v>14.45</v>
      </c>
      <c r="S1528" s="3">
        <f>VLOOKUP(C1528,[1]page!$C$2:$M$3071,11,0)</f>
        <v>15.9</v>
      </c>
      <c r="T1528" s="6">
        <f t="shared" si="24"/>
        <v>4.9999999999998934E-2</v>
      </c>
    </row>
    <row r="1529" spans="1:20" x14ac:dyDescent="0.2">
      <c r="A1529" t="s">
        <v>5068</v>
      </c>
      <c r="B1529" t="s">
        <v>5073</v>
      </c>
      <c r="C1529" t="s">
        <v>5074</v>
      </c>
      <c r="D1529" t="s">
        <v>5075</v>
      </c>
      <c r="E1529" t="s">
        <v>2077</v>
      </c>
      <c r="F1529" t="s">
        <v>23</v>
      </c>
      <c r="G1529" s="2">
        <v>9.5</v>
      </c>
      <c r="H1529" s="1">
        <v>12</v>
      </c>
      <c r="I1529" t="s">
        <v>3486</v>
      </c>
      <c r="K1529" t="s">
        <v>2687</v>
      </c>
      <c r="L1529" s="1">
        <v>1</v>
      </c>
      <c r="M1529" s="3">
        <v>10.1</v>
      </c>
      <c r="N1529" s="3">
        <v>0.51</v>
      </c>
      <c r="O1529" s="3">
        <v>0</v>
      </c>
      <c r="P1529" s="3">
        <v>0.2</v>
      </c>
      <c r="Q1529" s="3">
        <v>10.81</v>
      </c>
      <c r="R1529" s="3">
        <v>7.95</v>
      </c>
      <c r="S1529" s="3">
        <f>VLOOKUP(C1529,[1]page!$C$2:$M$3071,11,0)</f>
        <v>10.08</v>
      </c>
      <c r="T1529" s="6">
        <f t="shared" si="24"/>
        <v>1.9999999999999574E-2</v>
      </c>
    </row>
    <row r="1530" spans="1:20" x14ac:dyDescent="0.2">
      <c r="A1530" t="s">
        <v>5068</v>
      </c>
      <c r="B1530" t="s">
        <v>5076</v>
      </c>
      <c r="C1530" t="s">
        <v>5077</v>
      </c>
      <c r="D1530" t="s">
        <v>5075</v>
      </c>
      <c r="E1530" t="s">
        <v>2077</v>
      </c>
      <c r="F1530" t="s">
        <v>2737</v>
      </c>
      <c r="G1530" s="2">
        <v>9.5</v>
      </c>
      <c r="H1530" s="1">
        <v>6</v>
      </c>
      <c r="I1530" t="s">
        <v>1604</v>
      </c>
      <c r="K1530" t="s">
        <v>2687</v>
      </c>
      <c r="L1530" s="1">
        <v>1</v>
      </c>
      <c r="M1530" s="3">
        <v>19.61</v>
      </c>
      <c r="N1530" s="3">
        <v>0.98</v>
      </c>
      <c r="O1530" s="3">
        <v>0</v>
      </c>
      <c r="P1530" s="3">
        <v>0.4</v>
      </c>
      <c r="Q1530" s="3">
        <v>20.99</v>
      </c>
      <c r="R1530" s="3">
        <v>14.45</v>
      </c>
      <c r="S1530" s="3">
        <f>VLOOKUP(C1530,[1]page!$C$2:$M$3071,11,0)</f>
        <v>19.559999999999999</v>
      </c>
      <c r="T1530" s="6">
        <f t="shared" si="24"/>
        <v>5.0000000000000711E-2</v>
      </c>
    </row>
    <row r="1531" spans="1:20" x14ac:dyDescent="0.2">
      <c r="A1531" t="s">
        <v>5068</v>
      </c>
      <c r="B1531" t="s">
        <v>5078</v>
      </c>
      <c r="C1531" t="s">
        <v>5079</v>
      </c>
      <c r="D1531" t="s">
        <v>5080</v>
      </c>
      <c r="E1531" t="s">
        <v>5081</v>
      </c>
      <c r="F1531" t="s">
        <v>87</v>
      </c>
      <c r="G1531" s="1">
        <v>9</v>
      </c>
      <c r="H1531" s="1">
        <v>6</v>
      </c>
      <c r="I1531" t="s">
        <v>57</v>
      </c>
      <c r="K1531" t="s">
        <v>2687</v>
      </c>
      <c r="L1531" s="1">
        <v>1</v>
      </c>
      <c r="M1531" s="3">
        <v>26.49</v>
      </c>
      <c r="N1531" s="3">
        <v>1.32</v>
      </c>
      <c r="O1531" s="3">
        <v>0</v>
      </c>
      <c r="P1531" s="3">
        <v>0</v>
      </c>
      <c r="Q1531" s="3">
        <v>27.81</v>
      </c>
      <c r="R1531" s="3">
        <v>26.4</v>
      </c>
      <c r="S1531" s="3">
        <f>VLOOKUP(C1531,[1]page!$C$2:$M$3071,11,0)</f>
        <v>26.4</v>
      </c>
      <c r="T1531" s="6">
        <f t="shared" si="24"/>
        <v>8.9999999999999858E-2</v>
      </c>
    </row>
    <row r="1532" spans="1:20" x14ac:dyDescent="0.2">
      <c r="A1532" t="s">
        <v>5082</v>
      </c>
      <c r="B1532" t="s">
        <v>5083</v>
      </c>
      <c r="C1532" t="s">
        <v>5084</v>
      </c>
      <c r="D1532" t="s">
        <v>5085</v>
      </c>
      <c r="E1532" t="s">
        <v>5072</v>
      </c>
      <c r="F1532" t="s">
        <v>2737</v>
      </c>
      <c r="G1532" s="1">
        <v>12</v>
      </c>
      <c r="H1532" s="1">
        <v>6</v>
      </c>
      <c r="I1532" t="s">
        <v>1604</v>
      </c>
      <c r="K1532" t="s">
        <v>2687</v>
      </c>
      <c r="L1532" s="1">
        <v>1</v>
      </c>
      <c r="M1532" s="3">
        <v>15.95</v>
      </c>
      <c r="N1532" s="3">
        <v>0.8</v>
      </c>
      <c r="O1532" s="3">
        <v>0</v>
      </c>
      <c r="P1532" s="3">
        <v>0.4</v>
      </c>
      <c r="Q1532" s="3">
        <v>17.149999999999999</v>
      </c>
      <c r="R1532" s="3">
        <v>14.45</v>
      </c>
      <c r="S1532" s="3">
        <f>VLOOKUP(C1532,[1]page!$C$2:$M$3071,11,0)</f>
        <v>15.9</v>
      </c>
      <c r="T1532" s="6">
        <f t="shared" si="24"/>
        <v>4.9999999999998934E-2</v>
      </c>
    </row>
    <row r="1533" spans="1:20" x14ac:dyDescent="0.2">
      <c r="A1533" t="s">
        <v>5082</v>
      </c>
      <c r="B1533" t="s">
        <v>5086</v>
      </c>
      <c r="C1533" t="s">
        <v>5087</v>
      </c>
      <c r="D1533" t="s">
        <v>5085</v>
      </c>
      <c r="E1533" t="s">
        <v>5072</v>
      </c>
      <c r="F1533" t="s">
        <v>87</v>
      </c>
      <c r="G1533" s="1">
        <v>11</v>
      </c>
      <c r="H1533" s="1">
        <v>4</v>
      </c>
      <c r="I1533" t="s">
        <v>1604</v>
      </c>
      <c r="K1533" t="s">
        <v>2687</v>
      </c>
      <c r="L1533" s="1">
        <v>1</v>
      </c>
      <c r="M1533" s="3">
        <v>30.59</v>
      </c>
      <c r="N1533" s="3">
        <v>1.53</v>
      </c>
      <c r="O1533" s="3">
        <v>0</v>
      </c>
      <c r="P1533" s="3">
        <v>0.4</v>
      </c>
      <c r="Q1533" s="3">
        <v>32.520000000000003</v>
      </c>
      <c r="R1533" s="3">
        <v>26.4</v>
      </c>
      <c r="S1533" s="3">
        <f>VLOOKUP(C1533,[1]page!$C$2:$M$3071,11,0)</f>
        <v>30.51</v>
      </c>
      <c r="T1533" s="6">
        <f t="shared" si="24"/>
        <v>7.9999999999998295E-2</v>
      </c>
    </row>
    <row r="1534" spans="1:20" x14ac:dyDescent="0.2">
      <c r="A1534" t="s">
        <v>5082</v>
      </c>
      <c r="B1534" t="s">
        <v>5088</v>
      </c>
      <c r="C1534" t="s">
        <v>5089</v>
      </c>
      <c r="D1534" t="s">
        <v>5090</v>
      </c>
      <c r="E1534" t="s">
        <v>5072</v>
      </c>
      <c r="F1534" t="s">
        <v>2737</v>
      </c>
      <c r="G1534" s="1">
        <v>10</v>
      </c>
      <c r="H1534" s="1">
        <v>6</v>
      </c>
      <c r="I1534" t="s">
        <v>1604</v>
      </c>
      <c r="K1534" t="s">
        <v>2706</v>
      </c>
      <c r="L1534" s="1">
        <v>1</v>
      </c>
      <c r="M1534" s="3">
        <v>15.95</v>
      </c>
      <c r="N1534" s="3">
        <v>0.8</v>
      </c>
      <c r="O1534" s="3">
        <v>0</v>
      </c>
      <c r="P1534" s="3">
        <v>0.4</v>
      </c>
      <c r="Q1534" s="3">
        <v>17.149999999999999</v>
      </c>
      <c r="R1534" s="3">
        <v>14.45</v>
      </c>
      <c r="S1534" s="3">
        <f>VLOOKUP(C1534,[1]page!$C$2:$M$3071,11,0)</f>
        <v>15.9</v>
      </c>
      <c r="T1534" s="6">
        <f t="shared" si="24"/>
        <v>4.9999999999998934E-2</v>
      </c>
    </row>
    <row r="1535" spans="1:20" x14ac:dyDescent="0.2">
      <c r="A1535" t="s">
        <v>5082</v>
      </c>
      <c r="B1535" t="s">
        <v>5091</v>
      </c>
      <c r="C1535" t="s">
        <v>5092</v>
      </c>
      <c r="D1535" t="s">
        <v>5093</v>
      </c>
      <c r="E1535" t="s">
        <v>2077</v>
      </c>
      <c r="F1535" t="s">
        <v>23</v>
      </c>
      <c r="G1535" s="1">
        <v>13</v>
      </c>
      <c r="H1535" s="1">
        <v>12</v>
      </c>
      <c r="I1535" t="s">
        <v>1604</v>
      </c>
      <c r="K1535" t="s">
        <v>2828</v>
      </c>
      <c r="L1535" s="1">
        <v>1</v>
      </c>
      <c r="M1535" s="3">
        <v>10.1</v>
      </c>
      <c r="N1535" s="3">
        <v>0.51</v>
      </c>
      <c r="O1535" s="3">
        <v>0</v>
      </c>
      <c r="P1535" s="3">
        <v>0.2</v>
      </c>
      <c r="Q1535" s="3">
        <v>10.81</v>
      </c>
      <c r="R1535" s="3">
        <v>7.95</v>
      </c>
      <c r="S1535" s="3">
        <f>VLOOKUP(C1535,[1]page!$C$2:$M$3071,11,0)</f>
        <v>10.08</v>
      </c>
      <c r="T1535" s="6">
        <f t="shared" si="24"/>
        <v>1.9999999999999574E-2</v>
      </c>
    </row>
    <row r="1536" spans="1:20" x14ac:dyDescent="0.2">
      <c r="A1536" t="s">
        <v>5082</v>
      </c>
      <c r="B1536" t="s">
        <v>5094</v>
      </c>
      <c r="C1536" t="s">
        <v>5095</v>
      </c>
      <c r="D1536" t="s">
        <v>5096</v>
      </c>
      <c r="E1536" t="s">
        <v>2077</v>
      </c>
      <c r="F1536" t="s">
        <v>23</v>
      </c>
      <c r="G1536" s="1">
        <v>13</v>
      </c>
      <c r="H1536" s="1">
        <v>12</v>
      </c>
      <c r="I1536" t="s">
        <v>1604</v>
      </c>
      <c r="K1536" t="s">
        <v>2828</v>
      </c>
      <c r="L1536" s="1">
        <v>1</v>
      </c>
      <c r="M1536" s="3">
        <v>10.1</v>
      </c>
      <c r="N1536" s="3">
        <v>0.51</v>
      </c>
      <c r="O1536" s="3">
        <v>0</v>
      </c>
      <c r="P1536" s="3">
        <v>0.2</v>
      </c>
      <c r="Q1536" s="3">
        <v>10.81</v>
      </c>
      <c r="R1536" s="3">
        <v>7.95</v>
      </c>
      <c r="S1536" s="3">
        <f>VLOOKUP(C1536,[1]page!$C$2:$M$3071,11,0)</f>
        <v>10.08</v>
      </c>
      <c r="T1536" s="6">
        <f t="shared" si="24"/>
        <v>1.9999999999999574E-2</v>
      </c>
    </row>
    <row r="1537" spans="1:20" x14ac:dyDescent="0.2">
      <c r="A1537" t="s">
        <v>5097</v>
      </c>
      <c r="B1537" t="s">
        <v>5098</v>
      </c>
      <c r="C1537" t="s">
        <v>5099</v>
      </c>
      <c r="D1537" t="s">
        <v>5100</v>
      </c>
      <c r="E1537" t="s">
        <v>5072</v>
      </c>
      <c r="F1537" t="s">
        <v>2737</v>
      </c>
      <c r="G1537" s="1">
        <v>11</v>
      </c>
      <c r="H1537" s="1">
        <v>6</v>
      </c>
      <c r="I1537" t="s">
        <v>3486</v>
      </c>
      <c r="K1537" t="s">
        <v>2687</v>
      </c>
      <c r="L1537" s="1">
        <v>1</v>
      </c>
      <c r="M1537" s="3">
        <v>15.95</v>
      </c>
      <c r="N1537" s="3">
        <v>0.8</v>
      </c>
      <c r="O1537" s="3">
        <v>0</v>
      </c>
      <c r="P1537" s="3">
        <v>0.4</v>
      </c>
      <c r="Q1537" s="3">
        <v>17.149999999999999</v>
      </c>
      <c r="R1537" s="3">
        <v>14.45</v>
      </c>
      <c r="S1537" s="3">
        <f>VLOOKUP(C1537,[1]page!$C$2:$M$3071,11,0)</f>
        <v>15.9</v>
      </c>
      <c r="T1537" s="6">
        <f t="shared" si="24"/>
        <v>4.9999999999998934E-2</v>
      </c>
    </row>
    <row r="1538" spans="1:20" x14ac:dyDescent="0.2">
      <c r="A1538" t="s">
        <v>5097</v>
      </c>
      <c r="B1538" t="s">
        <v>5101</v>
      </c>
      <c r="C1538" t="s">
        <v>5102</v>
      </c>
      <c r="D1538" t="s">
        <v>5100</v>
      </c>
      <c r="E1538" t="s">
        <v>5072</v>
      </c>
      <c r="F1538" t="s">
        <v>87</v>
      </c>
      <c r="G1538" s="1">
        <v>11</v>
      </c>
      <c r="H1538" s="1">
        <v>4</v>
      </c>
      <c r="I1538" t="s">
        <v>1604</v>
      </c>
      <c r="K1538" t="s">
        <v>2687</v>
      </c>
      <c r="L1538" s="1">
        <v>1</v>
      </c>
      <c r="M1538" s="3">
        <v>30.59</v>
      </c>
      <c r="N1538" s="3">
        <v>1.53</v>
      </c>
      <c r="O1538" s="3">
        <v>0</v>
      </c>
      <c r="P1538" s="3">
        <v>0.4</v>
      </c>
      <c r="Q1538" s="3">
        <v>32.520000000000003</v>
      </c>
      <c r="R1538" s="3">
        <v>26.4</v>
      </c>
      <c r="S1538" s="3">
        <f>VLOOKUP(C1538,[1]page!$C$2:$M$3071,11,0)</f>
        <v>30.51</v>
      </c>
      <c r="T1538" s="6">
        <f t="shared" si="24"/>
        <v>7.9999999999998295E-2</v>
      </c>
    </row>
    <row r="1539" spans="1:20" x14ac:dyDescent="0.2">
      <c r="A1539" t="s">
        <v>5097</v>
      </c>
      <c r="B1539" t="s">
        <v>5103</v>
      </c>
      <c r="C1539" t="s">
        <v>5104</v>
      </c>
      <c r="D1539" t="s">
        <v>5105</v>
      </c>
      <c r="E1539" t="s">
        <v>5072</v>
      </c>
      <c r="F1539" t="s">
        <v>2737</v>
      </c>
      <c r="G1539" s="2">
        <v>9.5</v>
      </c>
      <c r="H1539" s="1">
        <v>6</v>
      </c>
      <c r="I1539" t="s">
        <v>1604</v>
      </c>
      <c r="K1539" t="s">
        <v>2706</v>
      </c>
      <c r="L1539" s="1">
        <v>1</v>
      </c>
      <c r="M1539" s="3">
        <v>15.95</v>
      </c>
      <c r="N1539" s="3">
        <v>0.8</v>
      </c>
      <c r="O1539" s="3">
        <v>0</v>
      </c>
      <c r="P1539" s="3">
        <v>0.4</v>
      </c>
      <c r="Q1539" s="3">
        <v>17.149999999999999</v>
      </c>
      <c r="R1539" s="3">
        <v>14.45</v>
      </c>
      <c r="S1539" s="3">
        <f>VLOOKUP(C1539,[1]page!$C$2:$M$3071,11,0)</f>
        <v>15.9</v>
      </c>
      <c r="T1539" s="6">
        <f t="shared" si="24"/>
        <v>4.9999999999998934E-2</v>
      </c>
    </row>
    <row r="1540" spans="1:20" x14ac:dyDescent="0.2">
      <c r="A1540" t="s">
        <v>5097</v>
      </c>
      <c r="B1540" t="s">
        <v>5106</v>
      </c>
      <c r="C1540" t="s">
        <v>5107</v>
      </c>
      <c r="D1540" t="s">
        <v>5108</v>
      </c>
      <c r="E1540" t="s">
        <v>2077</v>
      </c>
      <c r="F1540" t="s">
        <v>23</v>
      </c>
      <c r="G1540" s="2">
        <v>11.6</v>
      </c>
      <c r="H1540" s="1">
        <v>12</v>
      </c>
      <c r="I1540" t="s">
        <v>1604</v>
      </c>
      <c r="K1540" t="s">
        <v>2828</v>
      </c>
      <c r="L1540" s="1">
        <v>1</v>
      </c>
      <c r="M1540" s="3">
        <v>10.1</v>
      </c>
      <c r="N1540" s="3">
        <v>0.51</v>
      </c>
      <c r="O1540" s="3">
        <v>0</v>
      </c>
      <c r="P1540" s="3">
        <v>0.2</v>
      </c>
      <c r="Q1540" s="3">
        <v>10.81</v>
      </c>
      <c r="R1540" s="3">
        <v>7.95</v>
      </c>
      <c r="S1540" s="3">
        <f>VLOOKUP(C1540,[1]page!$C$2:$M$3071,11,0)</f>
        <v>10.08</v>
      </c>
      <c r="T1540" s="6">
        <f t="shared" si="24"/>
        <v>1.9999999999999574E-2</v>
      </c>
    </row>
    <row r="1541" spans="1:20" x14ac:dyDescent="0.2">
      <c r="A1541" t="s">
        <v>5097</v>
      </c>
      <c r="B1541" t="s">
        <v>5109</v>
      </c>
      <c r="C1541" t="s">
        <v>5110</v>
      </c>
      <c r="D1541" t="s">
        <v>5111</v>
      </c>
      <c r="E1541" t="s">
        <v>5081</v>
      </c>
      <c r="F1541" t="s">
        <v>87</v>
      </c>
      <c r="G1541" s="1">
        <v>10</v>
      </c>
      <c r="H1541" s="1">
        <v>6</v>
      </c>
      <c r="I1541" t="s">
        <v>57</v>
      </c>
      <c r="K1541" t="s">
        <v>2828</v>
      </c>
      <c r="L1541" s="1">
        <v>1</v>
      </c>
      <c r="M1541" s="3">
        <v>26.49</v>
      </c>
      <c r="N1541" s="3">
        <v>1.32</v>
      </c>
      <c r="O1541" s="3">
        <v>0</v>
      </c>
      <c r="P1541" s="3">
        <v>0</v>
      </c>
      <c r="Q1541" s="3">
        <v>27.81</v>
      </c>
      <c r="R1541" s="3">
        <v>26.4</v>
      </c>
      <c r="S1541" s="3">
        <f>VLOOKUP(C1541,[1]page!$C$2:$M$3071,11,0)</f>
        <v>26.4</v>
      </c>
      <c r="T1541" s="6">
        <f t="shared" si="24"/>
        <v>8.9999999999999858E-2</v>
      </c>
    </row>
    <row r="1542" spans="1:20" x14ac:dyDescent="0.2">
      <c r="A1542" t="s">
        <v>5112</v>
      </c>
      <c r="B1542" t="s">
        <v>5113</v>
      </c>
      <c r="C1542" t="s">
        <v>5114</v>
      </c>
      <c r="D1542" t="s">
        <v>5115</v>
      </c>
      <c r="E1542" t="s">
        <v>5116</v>
      </c>
      <c r="F1542" t="s">
        <v>23</v>
      </c>
      <c r="G1542" s="2">
        <v>13.9</v>
      </c>
      <c r="H1542" s="1">
        <v>12</v>
      </c>
      <c r="I1542" t="s">
        <v>2700</v>
      </c>
      <c r="K1542" t="s">
        <v>2828</v>
      </c>
      <c r="L1542" s="1">
        <v>1</v>
      </c>
      <c r="M1542" s="3">
        <v>20.05</v>
      </c>
      <c r="N1542" s="3">
        <v>1</v>
      </c>
      <c r="O1542" s="3">
        <v>0</v>
      </c>
      <c r="P1542" s="3">
        <v>0.2</v>
      </c>
      <c r="Q1542" s="3">
        <v>21.25</v>
      </c>
      <c r="R1542" s="3">
        <v>7.95</v>
      </c>
      <c r="S1542" s="3">
        <f>VLOOKUP(C1542,[1]page!$C$2:$M$3071,11,0)</f>
        <v>20.03</v>
      </c>
      <c r="T1542" s="6">
        <f t="shared" si="24"/>
        <v>1.9999999999999574E-2</v>
      </c>
    </row>
    <row r="1543" spans="1:20" x14ac:dyDescent="0.2">
      <c r="A1543" t="s">
        <v>5117</v>
      </c>
      <c r="B1543" t="s">
        <v>5118</v>
      </c>
      <c r="C1543" t="s">
        <v>5119</v>
      </c>
      <c r="D1543" t="s">
        <v>5120</v>
      </c>
      <c r="E1543" t="s">
        <v>5116</v>
      </c>
      <c r="F1543" t="s">
        <v>23</v>
      </c>
      <c r="G1543" s="1">
        <v>12</v>
      </c>
      <c r="H1543" s="1">
        <v>12</v>
      </c>
      <c r="I1543" t="s">
        <v>420</v>
      </c>
      <c r="K1543" t="s">
        <v>2706</v>
      </c>
      <c r="L1543" s="1">
        <v>1</v>
      </c>
      <c r="M1543" s="3">
        <v>13.63</v>
      </c>
      <c r="N1543" s="3">
        <v>0.68</v>
      </c>
      <c r="O1543" s="3">
        <v>0</v>
      </c>
      <c r="P1543" s="3">
        <v>0.2</v>
      </c>
      <c r="Q1543" s="3">
        <v>14.51</v>
      </c>
      <c r="R1543" s="3">
        <v>7.95</v>
      </c>
      <c r="S1543" s="3">
        <f>VLOOKUP(C1543,[1]page!$C$2:$M$3071,11,0)</f>
        <v>13.61</v>
      </c>
      <c r="T1543" s="6">
        <f t="shared" si="24"/>
        <v>2.000000000000135E-2</v>
      </c>
    </row>
    <row r="1544" spans="1:20" x14ac:dyDescent="0.2">
      <c r="A1544" t="s">
        <v>5121</v>
      </c>
      <c r="B1544" t="s">
        <v>5122</v>
      </c>
      <c r="C1544" t="s">
        <v>5123</v>
      </c>
      <c r="D1544" t="s">
        <v>5124</v>
      </c>
      <c r="E1544" t="s">
        <v>5125</v>
      </c>
      <c r="F1544" t="s">
        <v>23</v>
      </c>
      <c r="G1544" s="2">
        <v>13.5</v>
      </c>
      <c r="H1544" s="1">
        <v>12</v>
      </c>
      <c r="I1544" t="s">
        <v>2700</v>
      </c>
      <c r="K1544" t="s">
        <v>2828</v>
      </c>
      <c r="L1544" s="1">
        <v>1</v>
      </c>
      <c r="M1544" s="3">
        <v>23.07</v>
      </c>
      <c r="N1544" s="3">
        <v>1.1499999999999999</v>
      </c>
      <c r="O1544" s="3">
        <v>0</v>
      </c>
      <c r="P1544" s="3">
        <v>0.2</v>
      </c>
      <c r="Q1544" s="3">
        <v>24.42</v>
      </c>
      <c r="R1544" s="3">
        <v>7.95</v>
      </c>
      <c r="S1544" s="3">
        <f>VLOOKUP(C1544,[1]page!$C$2:$M$3071,11,0)</f>
        <v>23.05</v>
      </c>
      <c r="T1544" s="6">
        <f t="shared" si="24"/>
        <v>1.9999999999999574E-2</v>
      </c>
    </row>
    <row r="1545" spans="1:20" x14ac:dyDescent="0.2">
      <c r="A1545" t="s">
        <v>5121</v>
      </c>
      <c r="B1545" t="s">
        <v>5126</v>
      </c>
      <c r="C1545" t="s">
        <v>5127</v>
      </c>
      <c r="D1545" t="s">
        <v>5128</v>
      </c>
      <c r="E1545" t="s">
        <v>5017</v>
      </c>
      <c r="F1545" t="s">
        <v>23</v>
      </c>
      <c r="G1545" s="2">
        <v>14.5</v>
      </c>
      <c r="H1545" s="1">
        <v>12</v>
      </c>
      <c r="I1545" t="s">
        <v>2700</v>
      </c>
      <c r="K1545" t="s">
        <v>2828</v>
      </c>
      <c r="L1545" s="1">
        <v>1</v>
      </c>
      <c r="M1545" s="3">
        <v>14.83</v>
      </c>
      <c r="N1545" s="3">
        <v>0.74</v>
      </c>
      <c r="O1545" s="3">
        <v>0</v>
      </c>
      <c r="P1545" s="3">
        <v>0.2</v>
      </c>
      <c r="Q1545" s="3">
        <v>15.77</v>
      </c>
      <c r="R1545" s="3">
        <v>7.95</v>
      </c>
      <c r="S1545" s="3">
        <f>VLOOKUP(C1545,[1]page!$C$2:$M$3071,11,0)</f>
        <v>14.81</v>
      </c>
      <c r="T1545" s="6">
        <f t="shared" si="24"/>
        <v>1.9999999999999574E-2</v>
      </c>
    </row>
    <row r="1546" spans="1:20" x14ac:dyDescent="0.2">
      <c r="A1546" t="s">
        <v>5129</v>
      </c>
      <c r="B1546" t="s">
        <v>5130</v>
      </c>
      <c r="C1546" t="s">
        <v>5131</v>
      </c>
      <c r="D1546" t="s">
        <v>5132</v>
      </c>
      <c r="E1546" t="s">
        <v>2768</v>
      </c>
      <c r="F1546" t="s">
        <v>23</v>
      </c>
      <c r="G1546" s="2">
        <v>13.1</v>
      </c>
      <c r="H1546" s="1">
        <v>12</v>
      </c>
      <c r="I1546" t="s">
        <v>57</v>
      </c>
      <c r="K1546" t="s">
        <v>2706</v>
      </c>
      <c r="L1546" s="1">
        <v>1</v>
      </c>
      <c r="M1546" s="3">
        <v>9.6</v>
      </c>
      <c r="N1546" s="3">
        <v>0.48</v>
      </c>
      <c r="O1546" s="3">
        <v>0</v>
      </c>
      <c r="P1546" s="3">
        <v>0.2</v>
      </c>
      <c r="Q1546" s="3">
        <v>10.28</v>
      </c>
      <c r="R1546" s="3">
        <v>7.95</v>
      </c>
      <c r="S1546" s="3">
        <f>VLOOKUP(C1546,[1]page!$C$2:$M$3071,11,0)</f>
        <v>9.57</v>
      </c>
      <c r="T1546" s="6">
        <f t="shared" si="24"/>
        <v>2.9999999999999361E-2</v>
      </c>
    </row>
    <row r="1547" spans="1:20" x14ac:dyDescent="0.2">
      <c r="A1547" t="s">
        <v>5133</v>
      </c>
      <c r="B1547" t="s">
        <v>5134</v>
      </c>
      <c r="C1547" t="s">
        <v>5135</v>
      </c>
      <c r="D1547" t="s">
        <v>5136</v>
      </c>
      <c r="E1547" t="s">
        <v>5137</v>
      </c>
      <c r="F1547" t="s">
        <v>23</v>
      </c>
      <c r="G1547" s="2">
        <v>14.5</v>
      </c>
      <c r="H1547" s="1">
        <v>12</v>
      </c>
      <c r="I1547" t="s">
        <v>57</v>
      </c>
      <c r="K1547" t="s">
        <v>2687</v>
      </c>
      <c r="L1547" s="1">
        <v>1</v>
      </c>
      <c r="M1547" s="3">
        <v>15.56</v>
      </c>
      <c r="N1547" s="3">
        <v>0.78</v>
      </c>
      <c r="O1547" s="3">
        <v>0</v>
      </c>
      <c r="P1547" s="3">
        <v>0.2</v>
      </c>
      <c r="Q1547" s="3">
        <v>16.54</v>
      </c>
      <c r="R1547" s="3">
        <v>7.95</v>
      </c>
      <c r="S1547" s="3">
        <f>VLOOKUP(C1547,[1]page!$C$2:$M$3071,11,0)</f>
        <v>15.54</v>
      </c>
      <c r="T1547" s="6">
        <f t="shared" si="24"/>
        <v>2.000000000000135E-2</v>
      </c>
    </row>
    <row r="1548" spans="1:20" x14ac:dyDescent="0.2">
      <c r="A1548" t="s">
        <v>5133</v>
      </c>
      <c r="B1548" t="s">
        <v>5138</v>
      </c>
      <c r="C1548" t="s">
        <v>5139</v>
      </c>
      <c r="D1548" t="s">
        <v>5140</v>
      </c>
      <c r="E1548" t="s">
        <v>2768</v>
      </c>
      <c r="F1548" t="s">
        <v>23</v>
      </c>
      <c r="G1548" s="2">
        <v>13.9</v>
      </c>
      <c r="H1548" s="1">
        <v>12</v>
      </c>
      <c r="I1548" t="s">
        <v>57</v>
      </c>
      <c r="K1548" t="s">
        <v>2828</v>
      </c>
      <c r="L1548" s="1">
        <v>1</v>
      </c>
      <c r="M1548" s="3">
        <v>15.61</v>
      </c>
      <c r="N1548" s="3">
        <v>0.78</v>
      </c>
      <c r="O1548" s="3">
        <v>0</v>
      </c>
      <c r="P1548" s="3">
        <v>0.2</v>
      </c>
      <c r="Q1548" s="3">
        <v>16.59</v>
      </c>
      <c r="R1548" s="3">
        <v>7.95</v>
      </c>
      <c r="S1548" s="3">
        <f>VLOOKUP(C1548,[1]page!$C$2:$M$3071,11,0)</f>
        <v>15.59</v>
      </c>
      <c r="T1548" s="6">
        <f t="shared" si="24"/>
        <v>1.9999999999999574E-2</v>
      </c>
    </row>
    <row r="1549" spans="1:20" x14ac:dyDescent="0.2">
      <c r="A1549" t="s">
        <v>5133</v>
      </c>
      <c r="B1549" t="s">
        <v>5141</v>
      </c>
      <c r="C1549" t="s">
        <v>5142</v>
      </c>
      <c r="D1549" t="s">
        <v>5143</v>
      </c>
      <c r="E1549" t="s">
        <v>2768</v>
      </c>
      <c r="F1549" t="s">
        <v>23</v>
      </c>
      <c r="G1549" s="2">
        <v>13.5</v>
      </c>
      <c r="H1549" s="1">
        <v>12</v>
      </c>
      <c r="I1549" t="s">
        <v>57</v>
      </c>
      <c r="K1549" t="s">
        <v>2828</v>
      </c>
      <c r="L1549" s="1">
        <v>1</v>
      </c>
      <c r="M1549" s="3">
        <v>9.6</v>
      </c>
      <c r="N1549" s="3">
        <v>0.48</v>
      </c>
      <c r="O1549" s="3">
        <v>0</v>
      </c>
      <c r="P1549" s="3">
        <v>0.2</v>
      </c>
      <c r="Q1549" s="3">
        <v>10.28</v>
      </c>
      <c r="R1549" s="3">
        <v>7.95</v>
      </c>
      <c r="S1549" s="3">
        <f>VLOOKUP(C1549,[1]page!$C$2:$M$3071,11,0)</f>
        <v>9.57</v>
      </c>
      <c r="T1549" s="6">
        <f t="shared" si="24"/>
        <v>2.9999999999999361E-2</v>
      </c>
    </row>
    <row r="1550" spans="1:20" x14ac:dyDescent="0.2">
      <c r="A1550" t="s">
        <v>5133</v>
      </c>
      <c r="B1550" t="s">
        <v>5144</v>
      </c>
      <c r="C1550" t="s">
        <v>5145</v>
      </c>
      <c r="D1550" t="s">
        <v>5146</v>
      </c>
      <c r="E1550" t="s">
        <v>5147</v>
      </c>
      <c r="F1550" t="s">
        <v>23</v>
      </c>
      <c r="G1550" s="2">
        <v>14.6</v>
      </c>
      <c r="H1550" s="1">
        <v>12</v>
      </c>
      <c r="I1550" t="s">
        <v>5148</v>
      </c>
      <c r="K1550" t="s">
        <v>2828</v>
      </c>
      <c r="L1550" s="1">
        <v>1</v>
      </c>
      <c r="M1550" s="3">
        <v>85.17</v>
      </c>
      <c r="N1550" s="3">
        <v>4.26</v>
      </c>
      <c r="O1550" s="3">
        <v>0</v>
      </c>
      <c r="P1550" s="3">
        <v>0.2</v>
      </c>
      <c r="Q1550" s="3">
        <v>89.63</v>
      </c>
      <c r="R1550" s="3">
        <v>7.95</v>
      </c>
      <c r="S1550" s="3">
        <f>VLOOKUP(C1550,[1]page!$C$2:$M$3071,11,0)</f>
        <v>85.15</v>
      </c>
      <c r="T1550" s="6">
        <f t="shared" si="24"/>
        <v>1.9999999999996021E-2</v>
      </c>
    </row>
    <row r="1551" spans="1:20" x14ac:dyDescent="0.2">
      <c r="A1551" t="s">
        <v>5133</v>
      </c>
      <c r="B1551" t="s">
        <v>5149</v>
      </c>
      <c r="C1551" t="s">
        <v>5150</v>
      </c>
      <c r="D1551" t="s">
        <v>5151</v>
      </c>
      <c r="E1551" t="s">
        <v>5125</v>
      </c>
      <c r="F1551" t="s">
        <v>23</v>
      </c>
      <c r="G1551" s="2">
        <v>13.5</v>
      </c>
      <c r="H1551" s="1">
        <v>12</v>
      </c>
      <c r="I1551" t="s">
        <v>2700</v>
      </c>
      <c r="J1551" s="1">
        <v>2011</v>
      </c>
      <c r="K1551" t="s">
        <v>2828</v>
      </c>
      <c r="L1551" s="1">
        <v>1</v>
      </c>
      <c r="M1551" s="3">
        <v>26.7</v>
      </c>
      <c r="N1551" s="3">
        <v>1.34</v>
      </c>
      <c r="O1551" s="3">
        <v>0</v>
      </c>
      <c r="P1551" s="3">
        <v>0.2</v>
      </c>
      <c r="Q1551" s="3">
        <v>28.24</v>
      </c>
      <c r="R1551" s="3">
        <v>7.95</v>
      </c>
      <c r="S1551" s="3">
        <f>VLOOKUP(C1551,[1]page!$C$2:$M$3071,11,0)</f>
        <v>26.69</v>
      </c>
      <c r="T1551" s="6">
        <f t="shared" si="24"/>
        <v>9.9999999999980105E-3</v>
      </c>
    </row>
    <row r="1552" spans="1:20" x14ac:dyDescent="0.2">
      <c r="A1552" t="s">
        <v>5133</v>
      </c>
      <c r="B1552" t="s">
        <v>5152</v>
      </c>
      <c r="C1552" t="s">
        <v>5153</v>
      </c>
      <c r="D1552" t="s">
        <v>5154</v>
      </c>
      <c r="E1552" t="s">
        <v>5081</v>
      </c>
      <c r="F1552" t="s">
        <v>87</v>
      </c>
      <c r="G1552" s="2">
        <v>12.5</v>
      </c>
      <c r="H1552" s="1">
        <v>4</v>
      </c>
      <c r="I1552" t="s">
        <v>57</v>
      </c>
      <c r="K1552" t="s">
        <v>2706</v>
      </c>
      <c r="L1552" s="1">
        <v>1</v>
      </c>
      <c r="M1552" s="3">
        <v>30.37</v>
      </c>
      <c r="N1552" s="3">
        <v>1.52</v>
      </c>
      <c r="O1552" s="3">
        <v>0</v>
      </c>
      <c r="P1552" s="3">
        <v>0</v>
      </c>
      <c r="Q1552" s="3">
        <v>31.89</v>
      </c>
      <c r="R1552" s="3">
        <v>26.4</v>
      </c>
      <c r="S1552" s="3">
        <f>VLOOKUP(C1552,[1]page!$C$2:$M$3071,11,0)</f>
        <v>30.28</v>
      </c>
      <c r="T1552" s="6">
        <f t="shared" si="24"/>
        <v>8.9999999999999858E-2</v>
      </c>
    </row>
    <row r="1553" spans="1:20" x14ac:dyDescent="0.2">
      <c r="A1553" t="s">
        <v>5133</v>
      </c>
      <c r="B1553" t="s">
        <v>5155</v>
      </c>
      <c r="C1553" t="s">
        <v>5156</v>
      </c>
      <c r="D1553" t="s">
        <v>5157</v>
      </c>
      <c r="E1553" t="s">
        <v>5158</v>
      </c>
      <c r="F1553" t="s">
        <v>23</v>
      </c>
      <c r="G1553" s="2">
        <v>14.5</v>
      </c>
      <c r="H1553" s="1">
        <v>12</v>
      </c>
      <c r="I1553" t="s">
        <v>1604</v>
      </c>
      <c r="J1553" s="1">
        <v>2011</v>
      </c>
      <c r="K1553" t="s">
        <v>2828</v>
      </c>
      <c r="L1553" s="1">
        <v>1</v>
      </c>
      <c r="M1553" s="3">
        <v>21.54</v>
      </c>
      <c r="N1553" s="3">
        <v>1.08</v>
      </c>
      <c r="O1553" s="3">
        <v>0</v>
      </c>
      <c r="P1553" s="3">
        <v>0.2</v>
      </c>
      <c r="Q1553" s="3">
        <v>22.82</v>
      </c>
      <c r="R1553" s="3">
        <v>7.95</v>
      </c>
      <c r="S1553" s="3">
        <f>VLOOKUP(C1553,[1]page!$C$2:$M$3071,11,0)</f>
        <v>21.52</v>
      </c>
      <c r="T1553" s="6">
        <f t="shared" si="24"/>
        <v>1.9999999999999574E-2</v>
      </c>
    </row>
    <row r="1554" spans="1:20" x14ac:dyDescent="0.2">
      <c r="A1554" t="s">
        <v>5133</v>
      </c>
      <c r="B1554" t="s">
        <v>5159</v>
      </c>
      <c r="C1554" t="s">
        <v>5160</v>
      </c>
      <c r="D1554" t="s">
        <v>5161</v>
      </c>
      <c r="E1554" t="s">
        <v>5162</v>
      </c>
      <c r="F1554" t="s">
        <v>23</v>
      </c>
      <c r="G1554" s="2">
        <v>13.9</v>
      </c>
      <c r="H1554" s="1">
        <v>12</v>
      </c>
      <c r="I1554" t="s">
        <v>183</v>
      </c>
      <c r="K1554" t="s">
        <v>2828</v>
      </c>
      <c r="L1554" s="1">
        <v>1</v>
      </c>
      <c r="M1554" s="3">
        <v>22.91</v>
      </c>
      <c r="N1554" s="3">
        <v>1.1499999999999999</v>
      </c>
      <c r="O1554" s="3">
        <v>0</v>
      </c>
      <c r="P1554" s="3">
        <v>0.2</v>
      </c>
      <c r="Q1554" s="3">
        <v>24.26</v>
      </c>
      <c r="R1554" s="3">
        <v>7.95</v>
      </c>
      <c r="S1554" s="3">
        <f>VLOOKUP(C1554,[1]page!$C$2:$M$3071,11,0)</f>
        <v>22.89</v>
      </c>
      <c r="T1554" s="6">
        <f t="shared" si="24"/>
        <v>1.9999999999999574E-2</v>
      </c>
    </row>
    <row r="1555" spans="1:20" x14ac:dyDescent="0.2">
      <c r="A1555" t="s">
        <v>5133</v>
      </c>
      <c r="B1555" t="s">
        <v>5163</v>
      </c>
      <c r="C1555" t="s">
        <v>5164</v>
      </c>
      <c r="D1555" t="s">
        <v>5165</v>
      </c>
      <c r="E1555" t="s">
        <v>5166</v>
      </c>
      <c r="F1555" t="s">
        <v>23</v>
      </c>
      <c r="G1555" s="2">
        <v>14.5</v>
      </c>
      <c r="H1555" s="1">
        <v>6</v>
      </c>
      <c r="I1555" t="s">
        <v>70</v>
      </c>
      <c r="K1555" t="s">
        <v>2828</v>
      </c>
      <c r="L1555" s="1">
        <v>1</v>
      </c>
      <c r="M1555" s="3">
        <v>131.21</v>
      </c>
      <c r="N1555" s="3">
        <v>6.56</v>
      </c>
      <c r="O1555" s="3">
        <v>0</v>
      </c>
      <c r="P1555" s="3">
        <v>0.2</v>
      </c>
      <c r="Q1555" s="3">
        <v>137.97</v>
      </c>
      <c r="R1555" s="3">
        <v>7.95</v>
      </c>
      <c r="S1555" s="3">
        <f>VLOOKUP(C1555,[1]page!$C$2:$M$3071,11,0)</f>
        <v>131.19999999999999</v>
      </c>
      <c r="T1555" s="6">
        <f t="shared" si="24"/>
        <v>1.0000000000019327E-2</v>
      </c>
    </row>
    <row r="1556" spans="1:20" x14ac:dyDescent="0.2">
      <c r="A1556" t="s">
        <v>5133</v>
      </c>
      <c r="B1556" t="s">
        <v>5167</v>
      </c>
      <c r="C1556" t="s">
        <v>5168</v>
      </c>
      <c r="D1556" t="s">
        <v>5169</v>
      </c>
      <c r="E1556" t="s">
        <v>5162</v>
      </c>
      <c r="F1556" t="s">
        <v>23</v>
      </c>
      <c r="G1556" s="2">
        <v>13.5</v>
      </c>
      <c r="H1556" s="1">
        <v>12</v>
      </c>
      <c r="I1556" t="s">
        <v>183</v>
      </c>
      <c r="K1556" t="s">
        <v>2828</v>
      </c>
      <c r="L1556" s="1">
        <v>1</v>
      </c>
      <c r="M1556" s="3">
        <v>16.170000000000002</v>
      </c>
      <c r="N1556" s="3">
        <v>0.81</v>
      </c>
      <c r="O1556" s="3">
        <v>0</v>
      </c>
      <c r="P1556" s="3">
        <v>0.2</v>
      </c>
      <c r="Q1556" s="3">
        <v>17.18</v>
      </c>
      <c r="R1556" s="3">
        <v>7.95</v>
      </c>
      <c r="S1556" s="3">
        <f>VLOOKUP(C1556,[1]page!$C$2:$M$3071,11,0)</f>
        <v>16.14</v>
      </c>
      <c r="T1556" s="6">
        <f t="shared" si="24"/>
        <v>3.0000000000001137E-2</v>
      </c>
    </row>
    <row r="1557" spans="1:20" x14ac:dyDescent="0.2">
      <c r="A1557" t="s">
        <v>5133</v>
      </c>
      <c r="B1557" t="s">
        <v>5170</v>
      </c>
      <c r="C1557" t="s">
        <v>5171</v>
      </c>
      <c r="D1557" t="s">
        <v>5172</v>
      </c>
      <c r="E1557" t="s">
        <v>5162</v>
      </c>
      <c r="F1557" t="s">
        <v>23</v>
      </c>
      <c r="G1557" s="2">
        <v>13.5</v>
      </c>
      <c r="H1557" s="1">
        <v>12</v>
      </c>
      <c r="I1557" t="s">
        <v>183</v>
      </c>
      <c r="K1557" t="s">
        <v>2828</v>
      </c>
      <c r="L1557" s="1">
        <v>1</v>
      </c>
      <c r="M1557" s="3">
        <v>15.96</v>
      </c>
      <c r="N1557" s="3">
        <v>0.8</v>
      </c>
      <c r="O1557" s="3">
        <v>0</v>
      </c>
      <c r="P1557" s="3">
        <v>0.2</v>
      </c>
      <c r="Q1557" s="3">
        <v>16.96</v>
      </c>
      <c r="R1557" s="3">
        <v>7.95</v>
      </c>
      <c r="S1557" s="3">
        <f>VLOOKUP(C1557,[1]page!$C$2:$M$3071,11,0)</f>
        <v>15.94</v>
      </c>
      <c r="T1557" s="6">
        <f t="shared" si="24"/>
        <v>2.000000000000135E-2</v>
      </c>
    </row>
    <row r="1558" spans="1:20" x14ac:dyDescent="0.2">
      <c r="A1558" t="s">
        <v>5133</v>
      </c>
      <c r="B1558" t="s">
        <v>5173</v>
      </c>
      <c r="C1558" t="s">
        <v>5174</v>
      </c>
      <c r="D1558" t="s">
        <v>5175</v>
      </c>
      <c r="E1558" t="s">
        <v>5162</v>
      </c>
      <c r="F1558" t="s">
        <v>23</v>
      </c>
      <c r="G1558" s="2">
        <v>13.7</v>
      </c>
      <c r="H1558" s="1">
        <v>12</v>
      </c>
      <c r="I1558" t="s">
        <v>183</v>
      </c>
      <c r="K1558" t="s">
        <v>2828</v>
      </c>
      <c r="L1558" s="1">
        <v>1</v>
      </c>
      <c r="M1558" s="3">
        <v>16.170000000000002</v>
      </c>
      <c r="N1558" s="3">
        <v>0.81</v>
      </c>
      <c r="O1558" s="3">
        <v>0</v>
      </c>
      <c r="P1558" s="3">
        <v>0.2</v>
      </c>
      <c r="Q1558" s="3">
        <v>17.18</v>
      </c>
      <c r="R1558" s="3">
        <v>7.95</v>
      </c>
      <c r="S1558" s="3">
        <f>VLOOKUP(C1558,[1]page!$C$2:$M$3071,11,0)</f>
        <v>16.14</v>
      </c>
      <c r="T1558" s="6">
        <f t="shared" si="24"/>
        <v>3.0000000000001137E-2</v>
      </c>
    </row>
    <row r="1559" spans="1:20" x14ac:dyDescent="0.2">
      <c r="A1559" t="s">
        <v>5133</v>
      </c>
      <c r="B1559" t="s">
        <v>5176</v>
      </c>
      <c r="C1559" t="s">
        <v>5177</v>
      </c>
      <c r="D1559" t="s">
        <v>5178</v>
      </c>
      <c r="E1559" t="s">
        <v>5179</v>
      </c>
      <c r="F1559" t="s">
        <v>23</v>
      </c>
      <c r="G1559" s="1">
        <v>14</v>
      </c>
      <c r="H1559" s="1">
        <v>6</v>
      </c>
      <c r="I1559" t="s">
        <v>5180</v>
      </c>
      <c r="J1559" s="1">
        <v>2018</v>
      </c>
      <c r="K1559" t="s">
        <v>2828</v>
      </c>
      <c r="L1559" s="1">
        <v>1</v>
      </c>
      <c r="M1559" s="3">
        <v>568.20000000000005</v>
      </c>
      <c r="N1559" s="3">
        <v>28.41</v>
      </c>
      <c r="O1559" s="3">
        <v>0</v>
      </c>
      <c r="P1559" s="3">
        <v>0.2</v>
      </c>
      <c r="Q1559" s="3">
        <v>596.80999999999995</v>
      </c>
      <c r="R1559" s="3">
        <v>7.95</v>
      </c>
      <c r="S1559" s="3">
        <f>VLOOKUP(C1559,[1]page!$C$2:$M$3071,11,0)</f>
        <v>574.08000000000004</v>
      </c>
      <c r="T1559" s="6">
        <f t="shared" si="24"/>
        <v>-5.8799999999999955</v>
      </c>
    </row>
    <row r="1560" spans="1:20" x14ac:dyDescent="0.2">
      <c r="A1560" t="s">
        <v>5133</v>
      </c>
      <c r="B1560" t="s">
        <v>5181</v>
      </c>
      <c r="C1560" t="s">
        <v>5182</v>
      </c>
      <c r="D1560" t="s">
        <v>5183</v>
      </c>
      <c r="E1560" t="s">
        <v>5179</v>
      </c>
      <c r="F1560" t="s">
        <v>23</v>
      </c>
      <c r="G1560" s="2">
        <v>13.5</v>
      </c>
      <c r="H1560" s="1">
        <v>6</v>
      </c>
      <c r="I1560" t="s">
        <v>5180</v>
      </c>
      <c r="K1560" t="s">
        <v>2828</v>
      </c>
      <c r="L1560" s="1">
        <v>1</v>
      </c>
      <c r="M1560" s="3">
        <v>557.84</v>
      </c>
      <c r="N1560" s="3">
        <v>27.89</v>
      </c>
      <c r="O1560" s="3">
        <v>0</v>
      </c>
      <c r="P1560" s="3">
        <v>0.2</v>
      </c>
      <c r="Q1560" s="3">
        <v>585.92999999999995</v>
      </c>
      <c r="R1560" s="3">
        <v>7.95</v>
      </c>
      <c r="S1560" s="3">
        <f>VLOOKUP(C1560,[1]page!$C$2:$M$3071,11,0)</f>
        <v>563.61</v>
      </c>
      <c r="T1560" s="6">
        <f t="shared" si="24"/>
        <v>-5.7699999999999818</v>
      </c>
    </row>
    <row r="1561" spans="1:20" x14ac:dyDescent="0.2">
      <c r="A1561" t="s">
        <v>5133</v>
      </c>
      <c r="B1561" t="s">
        <v>5184</v>
      </c>
      <c r="C1561" t="s">
        <v>5185</v>
      </c>
      <c r="D1561" t="s">
        <v>5186</v>
      </c>
      <c r="E1561" t="s">
        <v>5187</v>
      </c>
      <c r="F1561" t="s">
        <v>23</v>
      </c>
      <c r="G1561" s="2">
        <v>14.1</v>
      </c>
      <c r="H1561" s="1">
        <v>12</v>
      </c>
      <c r="I1561" t="s">
        <v>57</v>
      </c>
      <c r="J1561" s="1">
        <v>2011</v>
      </c>
      <c r="K1561" t="s">
        <v>2828</v>
      </c>
      <c r="L1561" s="1">
        <v>1</v>
      </c>
      <c r="M1561" s="3">
        <v>45.7</v>
      </c>
      <c r="N1561" s="3">
        <v>2.29</v>
      </c>
      <c r="O1561" s="3">
        <v>0</v>
      </c>
      <c r="P1561" s="3">
        <v>0.2</v>
      </c>
      <c r="Q1561" s="3">
        <v>48.19</v>
      </c>
      <c r="R1561" s="3">
        <v>7.95</v>
      </c>
      <c r="S1561" s="3">
        <f>VLOOKUP(C1561,[1]page!$C$2:$M$3071,11,0)</f>
        <v>45.68</v>
      </c>
      <c r="T1561" s="6">
        <f t="shared" si="24"/>
        <v>2.0000000000003126E-2</v>
      </c>
    </row>
    <row r="1562" spans="1:20" x14ac:dyDescent="0.2">
      <c r="A1562" t="s">
        <v>5133</v>
      </c>
      <c r="B1562" t="s">
        <v>5188</v>
      </c>
      <c r="C1562" t="s">
        <v>5189</v>
      </c>
      <c r="D1562" t="s">
        <v>5190</v>
      </c>
      <c r="E1562" t="s">
        <v>2768</v>
      </c>
      <c r="F1562" t="s">
        <v>23</v>
      </c>
      <c r="G1562" s="2">
        <v>13.5</v>
      </c>
      <c r="H1562" s="1">
        <v>12</v>
      </c>
      <c r="I1562" t="s">
        <v>57</v>
      </c>
      <c r="K1562" t="s">
        <v>2828</v>
      </c>
      <c r="L1562" s="1">
        <v>1</v>
      </c>
      <c r="M1562" s="3">
        <v>13.38</v>
      </c>
      <c r="N1562" s="3">
        <v>0.67</v>
      </c>
      <c r="O1562" s="3">
        <v>0</v>
      </c>
      <c r="P1562" s="3">
        <v>0.2</v>
      </c>
      <c r="Q1562" s="3">
        <v>14.25</v>
      </c>
      <c r="R1562" s="3">
        <v>7.95</v>
      </c>
      <c r="S1562" s="3">
        <f>VLOOKUP(C1562,[1]page!$C$2:$M$3071,11,0)</f>
        <v>13.36</v>
      </c>
      <c r="T1562" s="6">
        <f t="shared" si="24"/>
        <v>2.000000000000135E-2</v>
      </c>
    </row>
    <row r="1563" spans="1:20" x14ac:dyDescent="0.2">
      <c r="A1563" t="s">
        <v>5133</v>
      </c>
      <c r="B1563" t="s">
        <v>5191</v>
      </c>
      <c r="C1563" t="s">
        <v>5192</v>
      </c>
      <c r="D1563" t="s">
        <v>5193</v>
      </c>
      <c r="E1563" t="s">
        <v>5194</v>
      </c>
      <c r="F1563" t="s">
        <v>23</v>
      </c>
      <c r="G1563" s="2">
        <v>15.2</v>
      </c>
      <c r="H1563" s="1">
        <v>12</v>
      </c>
      <c r="I1563" t="s">
        <v>2700</v>
      </c>
      <c r="K1563" t="s">
        <v>2687</v>
      </c>
      <c r="L1563" s="1">
        <v>1</v>
      </c>
      <c r="M1563" s="3">
        <v>53.43</v>
      </c>
      <c r="N1563" s="3">
        <v>2.67</v>
      </c>
      <c r="O1563" s="3">
        <v>0</v>
      </c>
      <c r="P1563" s="3">
        <v>0.2</v>
      </c>
      <c r="Q1563" s="3">
        <v>56.3</v>
      </c>
      <c r="R1563" s="3">
        <v>7.95</v>
      </c>
      <c r="S1563" s="3">
        <f>VLOOKUP(C1563,[1]page!$C$2:$M$3071,11,0)</f>
        <v>53.41</v>
      </c>
      <c r="T1563" s="6">
        <f t="shared" si="24"/>
        <v>2.0000000000003126E-2</v>
      </c>
    </row>
    <row r="1564" spans="1:20" x14ac:dyDescent="0.2">
      <c r="A1564" t="s">
        <v>5133</v>
      </c>
      <c r="B1564" t="s">
        <v>5195</v>
      </c>
      <c r="C1564" t="s">
        <v>5196</v>
      </c>
      <c r="D1564" t="s">
        <v>5197</v>
      </c>
      <c r="E1564" t="s">
        <v>5056</v>
      </c>
      <c r="F1564" t="s">
        <v>23</v>
      </c>
      <c r="G1564" s="1">
        <v>13</v>
      </c>
      <c r="H1564" s="1">
        <v>12</v>
      </c>
      <c r="I1564" t="s">
        <v>449</v>
      </c>
      <c r="K1564" t="s">
        <v>2828</v>
      </c>
      <c r="L1564" s="1">
        <v>1</v>
      </c>
      <c r="M1564" s="3">
        <v>12.97</v>
      </c>
      <c r="N1564" s="3">
        <v>0.65</v>
      </c>
      <c r="O1564" s="3">
        <v>0</v>
      </c>
      <c r="P1564" s="3">
        <v>0.2</v>
      </c>
      <c r="Q1564" s="3">
        <v>13.82</v>
      </c>
      <c r="R1564" s="3">
        <v>7.95</v>
      </c>
      <c r="S1564" s="3">
        <f>VLOOKUP(C1564,[1]page!$C$2:$M$3071,11,0)</f>
        <v>10.95</v>
      </c>
      <c r="T1564" s="6">
        <f t="shared" si="24"/>
        <v>2.0200000000000014</v>
      </c>
    </row>
    <row r="1565" spans="1:20" x14ac:dyDescent="0.2">
      <c r="A1565" t="s">
        <v>5133</v>
      </c>
      <c r="B1565" t="s">
        <v>5198</v>
      </c>
      <c r="C1565" t="s">
        <v>5199</v>
      </c>
      <c r="D1565" t="s">
        <v>5200</v>
      </c>
      <c r="E1565" t="s">
        <v>5056</v>
      </c>
      <c r="F1565" t="s">
        <v>23</v>
      </c>
      <c r="G1565" s="2">
        <v>13.5</v>
      </c>
      <c r="H1565" s="1">
        <v>12</v>
      </c>
      <c r="I1565" t="s">
        <v>449</v>
      </c>
      <c r="K1565" t="s">
        <v>2687</v>
      </c>
      <c r="L1565" s="1">
        <v>1</v>
      </c>
      <c r="M1565" s="3">
        <v>15.49</v>
      </c>
      <c r="N1565" s="3">
        <v>0.77</v>
      </c>
      <c r="O1565" s="3">
        <v>0</v>
      </c>
      <c r="P1565" s="3">
        <v>0.2</v>
      </c>
      <c r="Q1565" s="3">
        <v>16.46</v>
      </c>
      <c r="R1565" s="3">
        <v>7.95</v>
      </c>
      <c r="S1565" s="3">
        <f>VLOOKUP(C1565,[1]page!$C$2:$M$3071,11,0)</f>
        <v>12.94</v>
      </c>
      <c r="T1565" s="6">
        <f t="shared" si="24"/>
        <v>2.5500000000000007</v>
      </c>
    </row>
    <row r="1566" spans="1:20" x14ac:dyDescent="0.2">
      <c r="A1566" t="s">
        <v>5201</v>
      </c>
      <c r="B1566" t="s">
        <v>5202</v>
      </c>
      <c r="C1566" t="s">
        <v>5203</v>
      </c>
      <c r="D1566" t="s">
        <v>5204</v>
      </c>
      <c r="E1566" t="s">
        <v>5205</v>
      </c>
      <c r="F1566" t="s">
        <v>23</v>
      </c>
      <c r="G1566" s="1">
        <v>13</v>
      </c>
      <c r="H1566" s="1">
        <v>12</v>
      </c>
      <c r="I1566" t="s">
        <v>57</v>
      </c>
      <c r="K1566" t="s">
        <v>2712</v>
      </c>
      <c r="L1566" s="1">
        <v>1</v>
      </c>
      <c r="M1566" s="3">
        <v>17.29</v>
      </c>
      <c r="N1566" s="3">
        <v>0.86</v>
      </c>
      <c r="O1566" s="3">
        <v>0</v>
      </c>
      <c r="P1566" s="3">
        <v>0.2</v>
      </c>
      <c r="Q1566" s="3">
        <v>18.350000000000001</v>
      </c>
      <c r="R1566" s="3">
        <v>7.95</v>
      </c>
      <c r="S1566" s="3">
        <f>VLOOKUP(C1566,[1]page!$C$2:$M$3071,11,0)</f>
        <v>17.27</v>
      </c>
      <c r="T1566" s="6">
        <f t="shared" si="24"/>
        <v>1.9999999999999574E-2</v>
      </c>
    </row>
    <row r="1567" spans="1:20" x14ac:dyDescent="0.2">
      <c r="A1567" t="s">
        <v>5201</v>
      </c>
      <c r="B1567" t="s">
        <v>5206</v>
      </c>
      <c r="C1567" t="s">
        <v>5207</v>
      </c>
      <c r="D1567" t="s">
        <v>5208</v>
      </c>
      <c r="E1567" t="s">
        <v>2768</v>
      </c>
      <c r="F1567" t="s">
        <v>23</v>
      </c>
      <c r="G1567" s="1">
        <v>13</v>
      </c>
      <c r="H1567" s="1">
        <v>12</v>
      </c>
      <c r="I1567" t="s">
        <v>57</v>
      </c>
      <c r="K1567" t="s">
        <v>2706</v>
      </c>
      <c r="L1567" s="1">
        <v>1</v>
      </c>
      <c r="M1567" s="3">
        <v>9.6199999999999992</v>
      </c>
      <c r="N1567" s="3">
        <v>0.48</v>
      </c>
      <c r="O1567" s="3">
        <v>0</v>
      </c>
      <c r="P1567" s="3">
        <v>0.2</v>
      </c>
      <c r="Q1567" s="3">
        <v>10.3</v>
      </c>
      <c r="R1567" s="3">
        <v>7.95</v>
      </c>
      <c r="S1567" s="3">
        <f>VLOOKUP(C1567,[1]page!$C$2:$M$3071,11,0)</f>
        <v>9.6</v>
      </c>
      <c r="T1567" s="6">
        <f t="shared" si="24"/>
        <v>1.9999999999999574E-2</v>
      </c>
    </row>
    <row r="1568" spans="1:20" x14ac:dyDescent="0.2">
      <c r="A1568" t="s">
        <v>5201</v>
      </c>
      <c r="B1568" t="s">
        <v>5209</v>
      </c>
      <c r="C1568" t="s">
        <v>5210</v>
      </c>
      <c r="D1568" t="s">
        <v>5211</v>
      </c>
      <c r="E1568" t="s">
        <v>2768</v>
      </c>
      <c r="F1568" t="s">
        <v>23</v>
      </c>
      <c r="G1568" s="2">
        <v>12.5</v>
      </c>
      <c r="H1568" s="1">
        <v>12</v>
      </c>
      <c r="I1568" t="s">
        <v>57</v>
      </c>
      <c r="K1568" t="s">
        <v>2828</v>
      </c>
      <c r="L1568" s="1">
        <v>1</v>
      </c>
      <c r="M1568" s="3">
        <v>9.6</v>
      </c>
      <c r="N1568" s="3">
        <v>0.48</v>
      </c>
      <c r="O1568" s="3">
        <v>0</v>
      </c>
      <c r="P1568" s="3">
        <v>0.2</v>
      </c>
      <c r="Q1568" s="3">
        <v>10.28</v>
      </c>
      <c r="R1568" s="3">
        <v>7.95</v>
      </c>
      <c r="S1568" s="3">
        <f>VLOOKUP(C1568,[1]page!$C$2:$M$3071,11,0)</f>
        <v>9.57</v>
      </c>
      <c r="T1568" s="6">
        <f t="shared" si="24"/>
        <v>2.9999999999999361E-2</v>
      </c>
    </row>
    <row r="1569" spans="1:20" x14ac:dyDescent="0.2">
      <c r="A1569" t="s">
        <v>5201</v>
      </c>
      <c r="B1569" t="s">
        <v>5212</v>
      </c>
      <c r="C1569" t="s">
        <v>5213</v>
      </c>
      <c r="D1569" t="s">
        <v>5214</v>
      </c>
      <c r="E1569" t="s">
        <v>5147</v>
      </c>
      <c r="F1569" t="s">
        <v>23</v>
      </c>
      <c r="G1569" s="2">
        <v>13.5</v>
      </c>
      <c r="H1569" s="1">
        <v>12</v>
      </c>
      <c r="I1569" t="s">
        <v>5148</v>
      </c>
      <c r="J1569" s="1">
        <v>2012</v>
      </c>
      <c r="K1569" t="s">
        <v>2828</v>
      </c>
      <c r="L1569" s="1">
        <v>1</v>
      </c>
      <c r="M1569" s="3">
        <v>18</v>
      </c>
      <c r="N1569" s="3">
        <v>0.9</v>
      </c>
      <c r="O1569" s="3">
        <v>0</v>
      </c>
      <c r="P1569" s="3">
        <v>0.2</v>
      </c>
      <c r="Q1569" s="3">
        <v>19.100000000000001</v>
      </c>
      <c r="R1569" s="3">
        <v>7.95</v>
      </c>
      <c r="S1569" s="3">
        <f>VLOOKUP(C1569,[1]page!$C$2:$M$3071,11,0)</f>
        <v>17.98</v>
      </c>
      <c r="T1569" s="6">
        <f t="shared" si="24"/>
        <v>1.9999999999999574E-2</v>
      </c>
    </row>
    <row r="1570" spans="1:20" x14ac:dyDescent="0.2">
      <c r="A1570" t="s">
        <v>5201</v>
      </c>
      <c r="B1570" t="s">
        <v>5215</v>
      </c>
      <c r="C1570" t="s">
        <v>5216</v>
      </c>
      <c r="D1570" t="s">
        <v>5217</v>
      </c>
      <c r="E1570" t="s">
        <v>5056</v>
      </c>
      <c r="F1570" t="s">
        <v>23</v>
      </c>
      <c r="G1570" s="1">
        <v>12</v>
      </c>
      <c r="H1570" s="1">
        <v>12</v>
      </c>
      <c r="I1570" t="s">
        <v>449</v>
      </c>
      <c r="K1570" t="s">
        <v>2828</v>
      </c>
      <c r="L1570" s="1">
        <v>1</v>
      </c>
      <c r="M1570" s="3">
        <v>12.97</v>
      </c>
      <c r="N1570" s="3">
        <v>0.65</v>
      </c>
      <c r="O1570" s="3">
        <v>0</v>
      </c>
      <c r="P1570" s="3">
        <v>0.2</v>
      </c>
      <c r="Q1570" s="3">
        <v>13.82</v>
      </c>
      <c r="R1570" s="3">
        <v>7.95</v>
      </c>
      <c r="S1570" s="3">
        <f>VLOOKUP(C1570,[1]page!$C$2:$M$3071,11,0)</f>
        <v>10.94</v>
      </c>
      <c r="T1570" s="6">
        <f t="shared" si="24"/>
        <v>2.0300000000000011</v>
      </c>
    </row>
    <row r="1571" spans="1:20" x14ac:dyDescent="0.2">
      <c r="A1571" t="s">
        <v>5201</v>
      </c>
      <c r="B1571" t="s">
        <v>5218</v>
      </c>
      <c r="C1571" t="s">
        <v>5219</v>
      </c>
      <c r="D1571" t="s">
        <v>5220</v>
      </c>
      <c r="E1571" t="s">
        <v>5056</v>
      </c>
      <c r="F1571" t="s">
        <v>23</v>
      </c>
      <c r="G1571" s="1">
        <v>13</v>
      </c>
      <c r="H1571" s="1">
        <v>12</v>
      </c>
      <c r="I1571" t="s">
        <v>449</v>
      </c>
      <c r="K1571" t="s">
        <v>2828</v>
      </c>
      <c r="L1571" s="1">
        <v>1</v>
      </c>
      <c r="M1571" s="3">
        <v>15.49</v>
      </c>
      <c r="N1571" s="3">
        <v>0.77</v>
      </c>
      <c r="O1571" s="3">
        <v>0</v>
      </c>
      <c r="P1571" s="3">
        <v>0.2</v>
      </c>
      <c r="Q1571" s="3">
        <v>16.46</v>
      </c>
      <c r="R1571" s="3">
        <v>7.95</v>
      </c>
      <c r="S1571" s="3">
        <f>VLOOKUP(C1571,[1]page!$C$2:$M$3071,11,0)</f>
        <v>12.94</v>
      </c>
      <c r="T1571" s="6">
        <f t="shared" si="24"/>
        <v>2.5500000000000007</v>
      </c>
    </row>
    <row r="1572" spans="1:20" x14ac:dyDescent="0.2">
      <c r="A1572" t="s">
        <v>5221</v>
      </c>
      <c r="B1572" t="s">
        <v>5222</v>
      </c>
      <c r="C1572" t="s">
        <v>5223</v>
      </c>
      <c r="D1572" t="s">
        <v>5224</v>
      </c>
      <c r="E1572" t="s">
        <v>5205</v>
      </c>
      <c r="F1572" t="s">
        <v>23</v>
      </c>
      <c r="G1572" s="2">
        <v>14.4</v>
      </c>
      <c r="H1572" s="1">
        <v>12</v>
      </c>
      <c r="I1572" t="s">
        <v>57</v>
      </c>
      <c r="K1572" t="s">
        <v>2687</v>
      </c>
      <c r="L1572" s="1">
        <v>1</v>
      </c>
      <c r="M1572" s="3">
        <v>24.33</v>
      </c>
      <c r="N1572" s="3">
        <v>1.22</v>
      </c>
      <c r="O1572" s="3">
        <v>0</v>
      </c>
      <c r="P1572" s="3">
        <v>0.2</v>
      </c>
      <c r="Q1572" s="3">
        <v>25.75</v>
      </c>
      <c r="R1572" s="3">
        <v>7.95</v>
      </c>
      <c r="S1572" s="3">
        <f>VLOOKUP(C1572,[1]page!$C$2:$M$3071,11,0)</f>
        <v>24.32</v>
      </c>
      <c r="T1572" s="6">
        <f t="shared" si="24"/>
        <v>9.9999999999980105E-3</v>
      </c>
    </row>
    <row r="1573" spans="1:20" x14ac:dyDescent="0.2">
      <c r="A1573" t="s">
        <v>5225</v>
      </c>
      <c r="B1573" t="s">
        <v>5226</v>
      </c>
      <c r="C1573" t="s">
        <v>5227</v>
      </c>
      <c r="D1573" t="s">
        <v>5228</v>
      </c>
      <c r="E1573" t="s">
        <v>5205</v>
      </c>
      <c r="F1573" t="s">
        <v>23</v>
      </c>
      <c r="G1573" s="2">
        <v>10.5</v>
      </c>
      <c r="H1573" s="1">
        <v>12</v>
      </c>
      <c r="I1573" t="s">
        <v>57</v>
      </c>
      <c r="K1573" t="s">
        <v>2706</v>
      </c>
      <c r="L1573" s="1">
        <v>1</v>
      </c>
      <c r="M1573" s="3">
        <v>17.29</v>
      </c>
      <c r="N1573" s="3">
        <v>0.86</v>
      </c>
      <c r="O1573" s="3">
        <v>0</v>
      </c>
      <c r="P1573" s="3">
        <v>0.2</v>
      </c>
      <c r="Q1573" s="3">
        <v>18.350000000000001</v>
      </c>
      <c r="R1573" s="3">
        <v>7.95</v>
      </c>
      <c r="S1573" s="3">
        <f>VLOOKUP(C1573,[1]page!$C$2:$M$3071,11,0)</f>
        <v>17.27</v>
      </c>
      <c r="T1573" s="6">
        <f t="shared" si="24"/>
        <v>1.9999999999999574E-2</v>
      </c>
    </row>
    <row r="1574" spans="1:20" x14ac:dyDescent="0.2">
      <c r="A1574" t="s">
        <v>5225</v>
      </c>
      <c r="B1574" t="s">
        <v>5229</v>
      </c>
      <c r="C1574" t="s">
        <v>5230</v>
      </c>
      <c r="D1574" t="s">
        <v>5231</v>
      </c>
      <c r="E1574" t="s">
        <v>5232</v>
      </c>
      <c r="F1574" t="s">
        <v>23</v>
      </c>
      <c r="G1574" s="1">
        <v>9</v>
      </c>
      <c r="H1574" s="1">
        <v>12</v>
      </c>
      <c r="I1574" t="s">
        <v>1604</v>
      </c>
      <c r="K1574" t="s">
        <v>2706</v>
      </c>
      <c r="L1574" s="1">
        <v>1</v>
      </c>
      <c r="M1574" s="3">
        <v>10.66</v>
      </c>
      <c r="N1574" s="3">
        <v>0.53</v>
      </c>
      <c r="O1574" s="3">
        <v>0</v>
      </c>
      <c r="P1574" s="3">
        <v>0.2</v>
      </c>
      <c r="Q1574" s="3">
        <v>11.39</v>
      </c>
      <c r="R1574" s="3">
        <v>7.95</v>
      </c>
      <c r="S1574" s="3">
        <f>VLOOKUP(C1574,[1]page!$C$2:$M$3071,11,0)</f>
        <v>10.64</v>
      </c>
      <c r="T1574" s="6">
        <f t="shared" si="24"/>
        <v>1.9999999999999574E-2</v>
      </c>
    </row>
    <row r="1575" spans="1:20" x14ac:dyDescent="0.2">
      <c r="A1575" t="s">
        <v>5225</v>
      </c>
      <c r="B1575" t="s">
        <v>5233</v>
      </c>
      <c r="C1575" t="s">
        <v>5234</v>
      </c>
      <c r="D1575" t="s">
        <v>5235</v>
      </c>
      <c r="E1575" t="s">
        <v>5232</v>
      </c>
      <c r="F1575" t="s">
        <v>23</v>
      </c>
      <c r="G1575" s="1">
        <v>9</v>
      </c>
      <c r="H1575" s="1">
        <v>12</v>
      </c>
      <c r="I1575" t="s">
        <v>1604</v>
      </c>
      <c r="K1575" t="s">
        <v>2828</v>
      </c>
      <c r="L1575" s="1">
        <v>1</v>
      </c>
      <c r="M1575" s="3">
        <v>10.66</v>
      </c>
      <c r="N1575" s="3">
        <v>0.53</v>
      </c>
      <c r="O1575" s="3">
        <v>0</v>
      </c>
      <c r="P1575" s="3">
        <v>0.2</v>
      </c>
      <c r="Q1575" s="3">
        <v>11.39</v>
      </c>
      <c r="R1575" s="3">
        <v>7.95</v>
      </c>
      <c r="S1575" s="3">
        <f>VLOOKUP(C1575,[1]page!$C$2:$M$3071,11,0)</f>
        <v>10.64</v>
      </c>
      <c r="T1575" s="6">
        <f t="shared" ref="T1575:T1637" si="25">SUM(M1575-S1575)</f>
        <v>1.9999999999999574E-2</v>
      </c>
    </row>
    <row r="1576" spans="1:20" x14ac:dyDescent="0.2">
      <c r="A1576" t="s">
        <v>5225</v>
      </c>
      <c r="B1576" t="s">
        <v>5236</v>
      </c>
      <c r="C1576" t="s">
        <v>5237</v>
      </c>
      <c r="D1576" t="s">
        <v>5238</v>
      </c>
      <c r="E1576" t="s">
        <v>5029</v>
      </c>
      <c r="F1576" t="s">
        <v>23</v>
      </c>
      <c r="G1576" s="2">
        <v>12.5</v>
      </c>
      <c r="H1576" s="1">
        <v>12</v>
      </c>
      <c r="I1576" t="s">
        <v>607</v>
      </c>
      <c r="K1576" t="s">
        <v>2828</v>
      </c>
      <c r="L1576" s="1">
        <v>1</v>
      </c>
      <c r="M1576" s="3">
        <v>20.93</v>
      </c>
      <c r="N1576" s="3">
        <v>1.05</v>
      </c>
      <c r="O1576" s="3">
        <v>0</v>
      </c>
      <c r="P1576" s="3">
        <v>0.2</v>
      </c>
      <c r="Q1576" s="3">
        <v>22.18</v>
      </c>
      <c r="R1576" s="3">
        <v>7.95</v>
      </c>
      <c r="S1576" s="3">
        <f>VLOOKUP(C1576,[1]page!$C$2:$M$3071,11,0)</f>
        <v>20.92</v>
      </c>
      <c r="T1576" s="6">
        <f t="shared" si="25"/>
        <v>9.9999999999980105E-3</v>
      </c>
    </row>
    <row r="1577" spans="1:20" x14ac:dyDescent="0.2">
      <c r="A1577" t="s">
        <v>5225</v>
      </c>
      <c r="B1577" t="s">
        <v>5239</v>
      </c>
      <c r="C1577" t="s">
        <v>5240</v>
      </c>
      <c r="D1577" t="s">
        <v>5241</v>
      </c>
      <c r="E1577" t="s">
        <v>5017</v>
      </c>
      <c r="F1577" t="s">
        <v>87</v>
      </c>
      <c r="G1577" s="2">
        <v>11.5</v>
      </c>
      <c r="H1577" s="1">
        <v>3</v>
      </c>
      <c r="I1577" t="s">
        <v>2700</v>
      </c>
      <c r="K1577" t="s">
        <v>2828</v>
      </c>
      <c r="L1577" s="1">
        <v>1</v>
      </c>
      <c r="M1577" s="3">
        <v>33.29</v>
      </c>
      <c r="N1577" s="3">
        <v>1.66</v>
      </c>
      <c r="O1577" s="3">
        <v>0</v>
      </c>
      <c r="P1577" s="3">
        <v>0</v>
      </c>
      <c r="Q1577" s="3">
        <v>34.950000000000003</v>
      </c>
      <c r="R1577" s="3">
        <v>26.4</v>
      </c>
      <c r="S1577" s="3">
        <f>VLOOKUP(C1577,[1]page!$C$2:$M$3071,11,0)</f>
        <v>33.200000000000003</v>
      </c>
      <c r="T1577" s="6">
        <f t="shared" si="25"/>
        <v>8.9999999999996305E-2</v>
      </c>
    </row>
    <row r="1578" spans="1:20" x14ac:dyDescent="0.2">
      <c r="A1578" t="s">
        <v>5225</v>
      </c>
      <c r="B1578" t="s">
        <v>5242</v>
      </c>
      <c r="C1578" t="s">
        <v>5243</v>
      </c>
      <c r="D1578" t="s">
        <v>5244</v>
      </c>
      <c r="E1578" t="s">
        <v>5245</v>
      </c>
      <c r="F1578" t="s">
        <v>23</v>
      </c>
      <c r="G1578" s="2">
        <v>12.5</v>
      </c>
      <c r="H1578" s="1">
        <v>12</v>
      </c>
      <c r="I1578" t="s">
        <v>449</v>
      </c>
      <c r="K1578" t="s">
        <v>2687</v>
      </c>
      <c r="L1578" s="1">
        <v>1</v>
      </c>
      <c r="M1578" s="3">
        <v>17.57</v>
      </c>
      <c r="N1578" s="3">
        <v>0.88</v>
      </c>
      <c r="O1578" s="3">
        <v>0</v>
      </c>
      <c r="P1578" s="3">
        <v>0.2</v>
      </c>
      <c r="Q1578" s="3">
        <v>18.649999999999999</v>
      </c>
      <c r="R1578" s="3">
        <v>7.95</v>
      </c>
      <c r="S1578" s="3">
        <f>VLOOKUP(C1578,[1]page!$C$2:$M$3071,11,0)</f>
        <v>17.55</v>
      </c>
      <c r="T1578" s="6">
        <f t="shared" si="25"/>
        <v>1.9999999999999574E-2</v>
      </c>
    </row>
    <row r="1579" spans="1:20" x14ac:dyDescent="0.2">
      <c r="A1579" t="s">
        <v>5225</v>
      </c>
      <c r="B1579" t="s">
        <v>5246</v>
      </c>
      <c r="C1579" t="s">
        <v>5247</v>
      </c>
      <c r="D1579" t="s">
        <v>5248</v>
      </c>
      <c r="E1579" t="s">
        <v>2077</v>
      </c>
      <c r="F1579" t="s">
        <v>23</v>
      </c>
      <c r="G1579" s="2">
        <v>12.5</v>
      </c>
      <c r="H1579" s="1">
        <v>12</v>
      </c>
      <c r="I1579" t="s">
        <v>1604</v>
      </c>
      <c r="K1579" t="s">
        <v>2706</v>
      </c>
      <c r="L1579" s="1">
        <v>1</v>
      </c>
      <c r="M1579" s="3">
        <v>14.1</v>
      </c>
      <c r="N1579" s="3">
        <v>0.71</v>
      </c>
      <c r="O1579" s="3">
        <v>0</v>
      </c>
      <c r="P1579" s="3">
        <v>0.2</v>
      </c>
      <c r="Q1579" s="3">
        <v>15.01</v>
      </c>
      <c r="R1579" s="3">
        <v>7.95</v>
      </c>
      <c r="S1579" s="3">
        <f>VLOOKUP(C1579,[1]page!$C$2:$M$3071,11,0)</f>
        <v>14.08</v>
      </c>
      <c r="T1579" s="6">
        <f t="shared" si="25"/>
        <v>1.9999999999999574E-2</v>
      </c>
    </row>
    <row r="1580" spans="1:20" x14ac:dyDescent="0.2">
      <c r="A1580" t="s">
        <v>5225</v>
      </c>
      <c r="B1580" t="s">
        <v>5249</v>
      </c>
      <c r="C1580" t="s">
        <v>5250</v>
      </c>
      <c r="D1580" t="s">
        <v>5251</v>
      </c>
      <c r="E1580" t="s">
        <v>2768</v>
      </c>
      <c r="F1580" t="s">
        <v>23</v>
      </c>
      <c r="G1580" s="1">
        <v>12</v>
      </c>
      <c r="H1580" s="1">
        <v>12</v>
      </c>
      <c r="I1580" t="s">
        <v>57</v>
      </c>
      <c r="K1580" t="s">
        <v>2687</v>
      </c>
      <c r="L1580" s="1">
        <v>1</v>
      </c>
      <c r="M1580" s="3">
        <v>18.8</v>
      </c>
      <c r="N1580" s="3">
        <v>0.94</v>
      </c>
      <c r="O1580" s="3">
        <v>0</v>
      </c>
      <c r="P1580" s="3">
        <v>0.2</v>
      </c>
      <c r="Q1580" s="3">
        <v>19.940000000000001</v>
      </c>
      <c r="R1580" s="3">
        <v>7.95</v>
      </c>
      <c r="S1580" s="3">
        <f>VLOOKUP(C1580,[1]page!$C$2:$M$3071,11,0)</f>
        <v>18.78</v>
      </c>
      <c r="T1580" s="6">
        <f t="shared" si="25"/>
        <v>1.9999999999999574E-2</v>
      </c>
    </row>
    <row r="1581" spans="1:20" x14ac:dyDescent="0.2">
      <c r="A1581" t="s">
        <v>5225</v>
      </c>
      <c r="B1581" t="s">
        <v>5252</v>
      </c>
      <c r="C1581" t="s">
        <v>5253</v>
      </c>
      <c r="D1581" t="s">
        <v>5254</v>
      </c>
      <c r="E1581" t="s">
        <v>5116</v>
      </c>
      <c r="F1581" t="s">
        <v>23</v>
      </c>
      <c r="G1581" s="1">
        <v>13</v>
      </c>
      <c r="H1581" s="1">
        <v>12</v>
      </c>
      <c r="I1581" t="s">
        <v>2700</v>
      </c>
      <c r="K1581" t="s">
        <v>2687</v>
      </c>
      <c r="L1581" s="1">
        <v>1</v>
      </c>
      <c r="M1581" s="3">
        <v>18.100000000000001</v>
      </c>
      <c r="N1581" s="3">
        <v>0.91</v>
      </c>
      <c r="O1581" s="3">
        <v>0</v>
      </c>
      <c r="P1581" s="3">
        <v>0.2</v>
      </c>
      <c r="Q1581" s="3">
        <v>19.21</v>
      </c>
      <c r="R1581" s="3">
        <v>7.95</v>
      </c>
      <c r="S1581" s="3">
        <f>VLOOKUP(C1581,[1]page!$C$2:$M$3071,11,0)</f>
        <v>18.07</v>
      </c>
      <c r="T1581" s="6">
        <f t="shared" si="25"/>
        <v>3.0000000000001137E-2</v>
      </c>
    </row>
    <row r="1582" spans="1:20" x14ac:dyDescent="0.2">
      <c r="A1582" t="s">
        <v>5255</v>
      </c>
      <c r="B1582" t="s">
        <v>5256</v>
      </c>
      <c r="C1582" t="s">
        <v>5257</v>
      </c>
      <c r="D1582" t="s">
        <v>5258</v>
      </c>
      <c r="E1582" t="s">
        <v>5205</v>
      </c>
      <c r="F1582" t="s">
        <v>23</v>
      </c>
      <c r="G1582" s="2">
        <v>14.1</v>
      </c>
      <c r="H1582" s="1">
        <v>12</v>
      </c>
      <c r="I1582" t="s">
        <v>57</v>
      </c>
      <c r="K1582" t="s">
        <v>2828</v>
      </c>
      <c r="L1582" s="1">
        <v>1</v>
      </c>
      <c r="M1582" s="3">
        <v>17.29</v>
      </c>
      <c r="N1582" s="3">
        <v>0.86</v>
      </c>
      <c r="O1582" s="3">
        <v>0</v>
      </c>
      <c r="P1582" s="3">
        <v>0.2</v>
      </c>
      <c r="Q1582" s="3">
        <v>18.350000000000001</v>
      </c>
      <c r="R1582" s="3">
        <v>7.95</v>
      </c>
      <c r="S1582" s="3">
        <f>VLOOKUP(C1582,[1]page!$C$2:$M$3071,11,0)</f>
        <v>17.27</v>
      </c>
      <c r="T1582" s="6">
        <f t="shared" si="25"/>
        <v>1.9999999999999574E-2</v>
      </c>
    </row>
    <row r="1583" spans="1:20" x14ac:dyDescent="0.2">
      <c r="A1583" t="s">
        <v>5255</v>
      </c>
      <c r="B1583" t="s">
        <v>5259</v>
      </c>
      <c r="C1583" t="s">
        <v>5260</v>
      </c>
      <c r="D1583" t="s">
        <v>5261</v>
      </c>
      <c r="E1583" t="s">
        <v>2768</v>
      </c>
      <c r="F1583" t="s">
        <v>23</v>
      </c>
      <c r="G1583" s="2">
        <v>14.5</v>
      </c>
      <c r="H1583" s="1">
        <v>12</v>
      </c>
      <c r="I1583" t="s">
        <v>449</v>
      </c>
      <c r="K1583" t="s">
        <v>2828</v>
      </c>
      <c r="L1583" s="1">
        <v>1</v>
      </c>
      <c r="M1583" s="3">
        <v>22.1</v>
      </c>
      <c r="N1583" s="3">
        <v>1.1100000000000001</v>
      </c>
      <c r="O1583" s="3">
        <v>0</v>
      </c>
      <c r="P1583" s="3">
        <v>0.2</v>
      </c>
      <c r="Q1583" s="3">
        <v>23.41</v>
      </c>
      <c r="R1583" s="3">
        <v>7.95</v>
      </c>
      <c r="S1583" s="3">
        <f>VLOOKUP(C1583,[1]page!$C$2:$M$3071,11,0)</f>
        <v>22.08</v>
      </c>
      <c r="T1583" s="6">
        <f t="shared" si="25"/>
        <v>2.0000000000003126E-2</v>
      </c>
    </row>
    <row r="1584" spans="1:20" x14ac:dyDescent="0.2">
      <c r="A1584" t="s">
        <v>5255</v>
      </c>
      <c r="B1584" t="s">
        <v>5262</v>
      </c>
      <c r="C1584" t="s">
        <v>5263</v>
      </c>
      <c r="D1584" t="s">
        <v>5264</v>
      </c>
      <c r="E1584" t="s">
        <v>2077</v>
      </c>
      <c r="F1584" t="s">
        <v>23</v>
      </c>
      <c r="G1584" s="2">
        <v>14.5</v>
      </c>
      <c r="H1584" s="1">
        <v>12</v>
      </c>
      <c r="I1584" t="s">
        <v>1604</v>
      </c>
      <c r="K1584" t="s">
        <v>2828</v>
      </c>
      <c r="L1584" s="1">
        <v>1</v>
      </c>
      <c r="M1584" s="3">
        <v>14.32</v>
      </c>
      <c r="N1584" s="3">
        <v>0.72</v>
      </c>
      <c r="O1584" s="3">
        <v>0</v>
      </c>
      <c r="P1584" s="3">
        <v>0.2</v>
      </c>
      <c r="Q1584" s="3">
        <v>15.24</v>
      </c>
      <c r="R1584" s="3">
        <v>7.95</v>
      </c>
      <c r="S1584" s="3">
        <f>VLOOKUP(C1584,[1]page!$C$2:$M$3071,11,0)</f>
        <v>14.3</v>
      </c>
      <c r="T1584" s="6">
        <f t="shared" si="25"/>
        <v>1.9999999999999574E-2</v>
      </c>
    </row>
    <row r="1585" spans="1:20" x14ac:dyDescent="0.2">
      <c r="A1585" t="s">
        <v>5255</v>
      </c>
      <c r="B1585" t="s">
        <v>5265</v>
      </c>
      <c r="C1585" t="s">
        <v>5266</v>
      </c>
      <c r="D1585" t="s">
        <v>5267</v>
      </c>
      <c r="E1585" t="s">
        <v>5021</v>
      </c>
      <c r="F1585" t="s">
        <v>23</v>
      </c>
      <c r="G1585" s="1">
        <v>14</v>
      </c>
      <c r="H1585" s="1">
        <v>12</v>
      </c>
      <c r="I1585" t="s">
        <v>3486</v>
      </c>
      <c r="K1585" t="s">
        <v>2828</v>
      </c>
      <c r="L1585" s="1">
        <v>1</v>
      </c>
      <c r="M1585" s="3">
        <v>14.39</v>
      </c>
      <c r="N1585" s="3">
        <v>0.72</v>
      </c>
      <c r="O1585" s="3">
        <v>0</v>
      </c>
      <c r="P1585" s="3">
        <v>0.2</v>
      </c>
      <c r="Q1585" s="3">
        <v>15.31</v>
      </c>
      <c r="R1585" s="3">
        <v>7.95</v>
      </c>
      <c r="S1585" s="3">
        <f>VLOOKUP(C1585,[1]page!$C$2:$M$3071,11,0)</f>
        <v>14.37</v>
      </c>
      <c r="T1585" s="6">
        <f t="shared" si="25"/>
        <v>2.000000000000135E-2</v>
      </c>
    </row>
    <row r="1586" spans="1:20" x14ac:dyDescent="0.2">
      <c r="A1586" t="s">
        <v>5255</v>
      </c>
      <c r="B1586" t="s">
        <v>5268</v>
      </c>
      <c r="C1586" t="s">
        <v>5269</v>
      </c>
      <c r="D1586" t="s">
        <v>5270</v>
      </c>
      <c r="E1586" t="s">
        <v>5021</v>
      </c>
      <c r="F1586" t="s">
        <v>23</v>
      </c>
      <c r="G1586" s="1">
        <v>13</v>
      </c>
      <c r="H1586" s="1">
        <v>12</v>
      </c>
      <c r="I1586" t="s">
        <v>3486</v>
      </c>
      <c r="K1586" t="s">
        <v>2712</v>
      </c>
      <c r="L1586" s="1">
        <v>1</v>
      </c>
      <c r="M1586" s="3">
        <v>14.35</v>
      </c>
      <c r="N1586" s="3">
        <v>0.72</v>
      </c>
      <c r="O1586" s="3">
        <v>0</v>
      </c>
      <c r="P1586" s="3">
        <v>0.2</v>
      </c>
      <c r="Q1586" s="3">
        <v>15.27</v>
      </c>
      <c r="R1586" s="3">
        <v>7.95</v>
      </c>
      <c r="S1586" s="3">
        <f>VLOOKUP(C1586,[1]page!$C$2:$M$3071,11,0)</f>
        <v>14.33</v>
      </c>
      <c r="T1586" s="6">
        <f t="shared" si="25"/>
        <v>1.9999999999999574E-2</v>
      </c>
    </row>
    <row r="1587" spans="1:20" x14ac:dyDescent="0.2">
      <c r="A1587" t="s">
        <v>5255</v>
      </c>
      <c r="B1587" t="s">
        <v>5271</v>
      </c>
      <c r="C1587" t="s">
        <v>5272</v>
      </c>
      <c r="D1587" t="s">
        <v>5270</v>
      </c>
      <c r="E1587" t="s">
        <v>5021</v>
      </c>
      <c r="F1587" t="s">
        <v>87</v>
      </c>
      <c r="G1587" s="2">
        <v>13.5</v>
      </c>
      <c r="H1587" s="1">
        <v>6</v>
      </c>
      <c r="I1587" t="s">
        <v>1604</v>
      </c>
      <c r="K1587" t="s">
        <v>2712</v>
      </c>
      <c r="L1587" s="1">
        <v>1</v>
      </c>
      <c r="M1587" s="3">
        <v>46.25</v>
      </c>
      <c r="N1587" s="3">
        <v>2.31</v>
      </c>
      <c r="O1587" s="3">
        <v>0</v>
      </c>
      <c r="P1587" s="3">
        <v>0</v>
      </c>
      <c r="Q1587" s="3">
        <v>48.56</v>
      </c>
      <c r="R1587" s="3">
        <v>26.4</v>
      </c>
      <c r="S1587" s="3">
        <f>VLOOKUP(C1587,[1]page!$C$2:$M$3071,11,0)</f>
        <v>46.16</v>
      </c>
      <c r="T1587" s="6">
        <f t="shared" si="25"/>
        <v>9.0000000000003411E-2</v>
      </c>
    </row>
    <row r="1588" spans="1:20" x14ac:dyDescent="0.2">
      <c r="A1588" t="s">
        <v>5255</v>
      </c>
      <c r="B1588" t="s">
        <v>5273</v>
      </c>
      <c r="C1588" t="s">
        <v>5274</v>
      </c>
      <c r="D1588" t="s">
        <v>5275</v>
      </c>
      <c r="E1588" t="s">
        <v>5232</v>
      </c>
      <c r="F1588" t="s">
        <v>23</v>
      </c>
      <c r="G1588" s="1">
        <v>13</v>
      </c>
      <c r="H1588" s="1">
        <v>12</v>
      </c>
      <c r="I1588" t="s">
        <v>1604</v>
      </c>
      <c r="K1588" t="s">
        <v>2828</v>
      </c>
      <c r="L1588" s="1">
        <v>1</v>
      </c>
      <c r="M1588" s="3">
        <v>10.66</v>
      </c>
      <c r="N1588" s="3">
        <v>0.53</v>
      </c>
      <c r="O1588" s="3">
        <v>0</v>
      </c>
      <c r="P1588" s="3">
        <v>0.2</v>
      </c>
      <c r="Q1588" s="3">
        <v>11.39</v>
      </c>
      <c r="R1588" s="3">
        <v>7.95</v>
      </c>
      <c r="S1588" s="3">
        <f>VLOOKUP(C1588,[1]page!$C$2:$M$3071,11,0)</f>
        <v>10.64</v>
      </c>
      <c r="T1588" s="6">
        <f t="shared" si="25"/>
        <v>1.9999999999999574E-2</v>
      </c>
    </row>
    <row r="1589" spans="1:20" x14ac:dyDescent="0.2">
      <c r="A1589" t="s">
        <v>5255</v>
      </c>
      <c r="B1589" t="s">
        <v>5276</v>
      </c>
      <c r="C1589" t="s">
        <v>5277</v>
      </c>
      <c r="D1589" t="s">
        <v>5278</v>
      </c>
      <c r="E1589" t="s">
        <v>5232</v>
      </c>
      <c r="F1589" t="s">
        <v>23</v>
      </c>
      <c r="G1589" s="2">
        <v>13.5</v>
      </c>
      <c r="H1589" s="1">
        <v>12</v>
      </c>
      <c r="I1589" t="s">
        <v>1604</v>
      </c>
      <c r="K1589" t="s">
        <v>2828</v>
      </c>
      <c r="L1589" s="1">
        <v>1</v>
      </c>
      <c r="M1589" s="3">
        <v>10.66</v>
      </c>
      <c r="N1589" s="3">
        <v>0.53</v>
      </c>
      <c r="O1589" s="3">
        <v>0</v>
      </c>
      <c r="P1589" s="3">
        <v>0.2</v>
      </c>
      <c r="Q1589" s="3">
        <v>11.39</v>
      </c>
      <c r="R1589" s="3">
        <v>7.95</v>
      </c>
      <c r="S1589" s="3">
        <f>VLOOKUP(C1589,[1]page!$C$2:$M$3071,11,0)</f>
        <v>10.64</v>
      </c>
      <c r="T1589" s="6">
        <f t="shared" si="25"/>
        <v>1.9999999999999574E-2</v>
      </c>
    </row>
    <row r="1590" spans="1:20" x14ac:dyDescent="0.2">
      <c r="A1590" t="s">
        <v>5255</v>
      </c>
      <c r="B1590" t="s">
        <v>5279</v>
      </c>
      <c r="C1590" t="s">
        <v>5280</v>
      </c>
      <c r="D1590" t="s">
        <v>5281</v>
      </c>
      <c r="E1590" t="s">
        <v>2077</v>
      </c>
      <c r="F1590" t="s">
        <v>23</v>
      </c>
      <c r="G1590" s="1">
        <v>9</v>
      </c>
      <c r="H1590" s="1">
        <v>12</v>
      </c>
      <c r="I1590" t="s">
        <v>1604</v>
      </c>
      <c r="K1590" t="s">
        <v>2706</v>
      </c>
      <c r="L1590" s="1">
        <v>1</v>
      </c>
      <c r="M1590" s="3">
        <v>10.63</v>
      </c>
      <c r="N1590" s="3">
        <v>0.53</v>
      </c>
      <c r="O1590" s="3">
        <v>0</v>
      </c>
      <c r="P1590" s="3">
        <v>0.2</v>
      </c>
      <c r="Q1590" s="3">
        <v>11.36</v>
      </c>
      <c r="R1590" s="3">
        <v>7.95</v>
      </c>
      <c r="S1590" s="3">
        <f>VLOOKUP(C1590,[1]page!$C$2:$M$3071,11,0)</f>
        <v>10.61</v>
      </c>
      <c r="T1590" s="6">
        <f t="shared" si="25"/>
        <v>2.000000000000135E-2</v>
      </c>
    </row>
    <row r="1591" spans="1:20" x14ac:dyDescent="0.2">
      <c r="A1591" t="s">
        <v>5255</v>
      </c>
      <c r="B1591" t="s">
        <v>5282</v>
      </c>
      <c r="C1591" t="s">
        <v>5283</v>
      </c>
      <c r="D1591" t="s">
        <v>5284</v>
      </c>
      <c r="E1591" t="s">
        <v>5232</v>
      </c>
      <c r="F1591" t="s">
        <v>23</v>
      </c>
      <c r="G1591" s="1">
        <v>13</v>
      </c>
      <c r="H1591" s="1">
        <v>12</v>
      </c>
      <c r="I1591" t="s">
        <v>1604</v>
      </c>
      <c r="K1591" t="s">
        <v>2828</v>
      </c>
      <c r="L1591" s="1">
        <v>1</v>
      </c>
      <c r="M1591" s="3">
        <v>10.66</v>
      </c>
      <c r="N1591" s="3">
        <v>0.53</v>
      </c>
      <c r="O1591" s="3">
        <v>0</v>
      </c>
      <c r="P1591" s="3">
        <v>0.2</v>
      </c>
      <c r="Q1591" s="3">
        <v>11.39</v>
      </c>
      <c r="R1591" s="3">
        <v>7.95</v>
      </c>
      <c r="S1591" s="3">
        <f>VLOOKUP(C1591,[1]page!$C$2:$M$3071,11,0)</f>
        <v>10.64</v>
      </c>
      <c r="T1591" s="6">
        <f t="shared" si="25"/>
        <v>1.9999999999999574E-2</v>
      </c>
    </row>
    <row r="1592" spans="1:20" x14ac:dyDescent="0.2">
      <c r="A1592" t="s">
        <v>5255</v>
      </c>
      <c r="B1592" t="s">
        <v>5285</v>
      </c>
      <c r="C1592" t="s">
        <v>5286</v>
      </c>
      <c r="D1592" t="s">
        <v>5287</v>
      </c>
      <c r="E1592" t="s">
        <v>2768</v>
      </c>
      <c r="F1592" t="s">
        <v>23</v>
      </c>
      <c r="G1592" s="2">
        <v>13.9</v>
      </c>
      <c r="H1592" s="1">
        <v>12</v>
      </c>
      <c r="I1592" t="s">
        <v>57</v>
      </c>
      <c r="K1592" t="s">
        <v>2828</v>
      </c>
      <c r="L1592" s="1">
        <v>1</v>
      </c>
      <c r="M1592" s="3">
        <v>15.61</v>
      </c>
      <c r="N1592" s="3">
        <v>0.78</v>
      </c>
      <c r="O1592" s="3">
        <v>0</v>
      </c>
      <c r="P1592" s="3">
        <v>0.2</v>
      </c>
      <c r="Q1592" s="3">
        <v>16.59</v>
      </c>
      <c r="R1592" s="3">
        <v>7.95</v>
      </c>
      <c r="S1592" s="3">
        <f>VLOOKUP(C1592,[1]page!$C$2:$M$3071,11,0)</f>
        <v>15.59</v>
      </c>
      <c r="T1592" s="6">
        <f t="shared" si="25"/>
        <v>1.9999999999999574E-2</v>
      </c>
    </row>
    <row r="1593" spans="1:20" x14ac:dyDescent="0.2">
      <c r="A1593" t="s">
        <v>5255</v>
      </c>
      <c r="B1593" t="s">
        <v>5288</v>
      </c>
      <c r="C1593" t="s">
        <v>5289</v>
      </c>
      <c r="D1593" t="s">
        <v>5290</v>
      </c>
      <c r="E1593" t="s">
        <v>5137</v>
      </c>
      <c r="F1593" t="s">
        <v>23</v>
      </c>
      <c r="G1593" s="2">
        <v>14.5</v>
      </c>
      <c r="H1593" s="1">
        <v>12</v>
      </c>
      <c r="I1593" t="s">
        <v>57</v>
      </c>
      <c r="K1593" t="s">
        <v>2687</v>
      </c>
      <c r="L1593" s="1">
        <v>1</v>
      </c>
      <c r="M1593" s="3">
        <v>43.06</v>
      </c>
      <c r="N1593" s="3">
        <v>2.15</v>
      </c>
      <c r="O1593" s="3">
        <v>0</v>
      </c>
      <c r="P1593" s="3">
        <v>0.2</v>
      </c>
      <c r="Q1593" s="3">
        <v>45.41</v>
      </c>
      <c r="R1593" s="3">
        <v>7.95</v>
      </c>
      <c r="S1593" s="3">
        <f>VLOOKUP(C1593,[1]page!$C$2:$M$3071,11,0)</f>
        <v>43.04</v>
      </c>
      <c r="T1593" s="6">
        <f t="shared" si="25"/>
        <v>2.0000000000003126E-2</v>
      </c>
    </row>
    <row r="1594" spans="1:20" x14ac:dyDescent="0.2">
      <c r="A1594" t="s">
        <v>5255</v>
      </c>
      <c r="B1594" t="s">
        <v>5291</v>
      </c>
      <c r="C1594" t="s">
        <v>5292</v>
      </c>
      <c r="D1594" t="s">
        <v>5293</v>
      </c>
      <c r="E1594" t="s">
        <v>5017</v>
      </c>
      <c r="F1594" t="s">
        <v>87</v>
      </c>
      <c r="G1594" s="2">
        <v>13.5</v>
      </c>
      <c r="H1594" s="1">
        <v>4</v>
      </c>
      <c r="I1594" t="s">
        <v>2700</v>
      </c>
      <c r="K1594" t="s">
        <v>2828</v>
      </c>
      <c r="L1594" s="1">
        <v>1</v>
      </c>
      <c r="M1594" s="3">
        <v>33.96</v>
      </c>
      <c r="N1594" s="3">
        <v>1.7</v>
      </c>
      <c r="O1594" s="3">
        <v>0</v>
      </c>
      <c r="P1594" s="3">
        <v>0</v>
      </c>
      <c r="Q1594" s="3">
        <v>35.659999999999997</v>
      </c>
      <c r="R1594" s="3">
        <v>26.4</v>
      </c>
      <c r="S1594" s="3">
        <f>VLOOKUP(C1594,[1]page!$C$2:$M$3071,11,0)</f>
        <v>33.869999999999997</v>
      </c>
      <c r="T1594" s="6">
        <f t="shared" si="25"/>
        <v>9.0000000000003411E-2</v>
      </c>
    </row>
    <row r="1595" spans="1:20" x14ac:dyDescent="0.2">
      <c r="A1595" t="s">
        <v>5255</v>
      </c>
      <c r="B1595" t="s">
        <v>5294</v>
      </c>
      <c r="C1595" t="s">
        <v>5295</v>
      </c>
      <c r="D1595" t="s">
        <v>5296</v>
      </c>
      <c r="E1595" t="s">
        <v>5029</v>
      </c>
      <c r="F1595" t="s">
        <v>23</v>
      </c>
      <c r="G1595" s="2">
        <v>13.5</v>
      </c>
      <c r="H1595" s="1">
        <v>12</v>
      </c>
      <c r="I1595" t="s">
        <v>607</v>
      </c>
      <c r="K1595" t="s">
        <v>2828</v>
      </c>
      <c r="L1595" s="1">
        <v>1</v>
      </c>
      <c r="M1595" s="3">
        <v>20.94</v>
      </c>
      <c r="N1595" s="3">
        <v>1.05</v>
      </c>
      <c r="O1595" s="3">
        <v>0</v>
      </c>
      <c r="P1595" s="3">
        <v>0.2</v>
      </c>
      <c r="Q1595" s="3">
        <v>22.19</v>
      </c>
      <c r="R1595" s="3">
        <v>7.95</v>
      </c>
      <c r="S1595" s="3">
        <f>VLOOKUP(C1595,[1]page!$C$2:$M$3071,11,0)</f>
        <v>20.93</v>
      </c>
      <c r="T1595" s="6">
        <f t="shared" si="25"/>
        <v>1.0000000000001563E-2</v>
      </c>
    </row>
    <row r="1596" spans="1:20" x14ac:dyDescent="0.2">
      <c r="A1596" t="s">
        <v>5255</v>
      </c>
      <c r="B1596" t="s">
        <v>5297</v>
      </c>
      <c r="C1596" t="s">
        <v>5298</v>
      </c>
      <c r="D1596" t="s">
        <v>5299</v>
      </c>
      <c r="E1596" t="s">
        <v>5029</v>
      </c>
      <c r="F1596" t="s">
        <v>23</v>
      </c>
      <c r="G1596" s="2">
        <v>13.5</v>
      </c>
      <c r="H1596" s="1">
        <v>12</v>
      </c>
      <c r="I1596" t="s">
        <v>607</v>
      </c>
      <c r="K1596" t="s">
        <v>2687</v>
      </c>
      <c r="L1596" s="1">
        <v>1</v>
      </c>
      <c r="M1596" s="3">
        <v>20.94</v>
      </c>
      <c r="N1596" s="3">
        <v>1.05</v>
      </c>
      <c r="O1596" s="3">
        <v>0</v>
      </c>
      <c r="P1596" s="3">
        <v>0.2</v>
      </c>
      <c r="Q1596" s="3">
        <v>22.19</v>
      </c>
      <c r="R1596" s="3">
        <v>7.95</v>
      </c>
      <c r="S1596" s="3">
        <f>VLOOKUP(C1596,[1]page!$C$2:$M$3071,11,0)</f>
        <v>20.93</v>
      </c>
      <c r="T1596" s="6">
        <f t="shared" si="25"/>
        <v>1.0000000000001563E-2</v>
      </c>
    </row>
    <row r="1597" spans="1:20" x14ac:dyDescent="0.2">
      <c r="A1597" t="s">
        <v>5255</v>
      </c>
      <c r="B1597" t="s">
        <v>5300</v>
      </c>
      <c r="C1597" t="s">
        <v>5301</v>
      </c>
      <c r="D1597" t="s">
        <v>5302</v>
      </c>
      <c r="E1597" t="s">
        <v>5029</v>
      </c>
      <c r="F1597" t="s">
        <v>23</v>
      </c>
      <c r="G1597" s="2">
        <v>13.5</v>
      </c>
      <c r="H1597" s="1">
        <v>12</v>
      </c>
      <c r="I1597" t="s">
        <v>607</v>
      </c>
      <c r="K1597" t="s">
        <v>2828</v>
      </c>
      <c r="L1597" s="1">
        <v>1</v>
      </c>
      <c r="M1597" s="3">
        <v>20.94</v>
      </c>
      <c r="N1597" s="3">
        <v>1.05</v>
      </c>
      <c r="O1597" s="3">
        <v>0</v>
      </c>
      <c r="P1597" s="3">
        <v>0.2</v>
      </c>
      <c r="Q1597" s="3">
        <v>22.19</v>
      </c>
      <c r="R1597" s="3">
        <v>7.95</v>
      </c>
      <c r="S1597" s="3">
        <f>VLOOKUP(C1597,[1]page!$C$2:$M$3071,11,0)</f>
        <v>20.93</v>
      </c>
      <c r="T1597" s="6">
        <f t="shared" si="25"/>
        <v>1.0000000000001563E-2</v>
      </c>
    </row>
    <row r="1598" spans="1:20" x14ac:dyDescent="0.2">
      <c r="A1598" t="s">
        <v>5255</v>
      </c>
      <c r="B1598" t="s">
        <v>5303</v>
      </c>
      <c r="C1598" t="s">
        <v>5304</v>
      </c>
      <c r="D1598" t="s">
        <v>5305</v>
      </c>
      <c r="E1598" t="s">
        <v>2077</v>
      </c>
      <c r="F1598" t="s">
        <v>23</v>
      </c>
      <c r="G1598" s="2">
        <v>13.5</v>
      </c>
      <c r="H1598" s="1">
        <v>12</v>
      </c>
      <c r="I1598" t="s">
        <v>57</v>
      </c>
      <c r="K1598" t="s">
        <v>2828</v>
      </c>
      <c r="L1598" s="1">
        <v>1</v>
      </c>
      <c r="M1598" s="3">
        <v>15.83</v>
      </c>
      <c r="N1598" s="3">
        <v>0.79</v>
      </c>
      <c r="O1598" s="3">
        <v>0</v>
      </c>
      <c r="P1598" s="3">
        <v>0.2</v>
      </c>
      <c r="Q1598" s="3">
        <v>16.82</v>
      </c>
      <c r="R1598" s="3">
        <v>7.95</v>
      </c>
      <c r="S1598" s="3">
        <f>VLOOKUP(C1598,[1]page!$C$2:$M$3071,11,0)</f>
        <v>15.8</v>
      </c>
      <c r="T1598" s="6">
        <f t="shared" si="25"/>
        <v>2.9999999999999361E-2</v>
      </c>
    </row>
    <row r="1599" spans="1:20" x14ac:dyDescent="0.2">
      <c r="A1599" t="s">
        <v>5255</v>
      </c>
      <c r="B1599" t="s">
        <v>5306</v>
      </c>
      <c r="C1599" t="s">
        <v>5307</v>
      </c>
      <c r="D1599" t="s">
        <v>5308</v>
      </c>
      <c r="E1599" t="s">
        <v>5147</v>
      </c>
      <c r="F1599" t="s">
        <v>23</v>
      </c>
      <c r="G1599" s="2">
        <v>14.2</v>
      </c>
      <c r="H1599" s="1">
        <v>12</v>
      </c>
      <c r="I1599" t="s">
        <v>5148</v>
      </c>
      <c r="K1599" t="s">
        <v>2828</v>
      </c>
      <c r="L1599" s="1">
        <v>1</v>
      </c>
      <c r="M1599" s="3">
        <v>22.28</v>
      </c>
      <c r="N1599" s="3">
        <v>1.1100000000000001</v>
      </c>
      <c r="O1599" s="3">
        <v>0</v>
      </c>
      <c r="P1599" s="3">
        <v>0.2</v>
      </c>
      <c r="Q1599" s="3">
        <v>23.59</v>
      </c>
      <c r="R1599" s="3">
        <v>7.95</v>
      </c>
      <c r="S1599" s="3">
        <f>VLOOKUP(C1599,[1]page!$C$2:$M$3071,11,0)</f>
        <v>22.27</v>
      </c>
      <c r="T1599" s="6">
        <f t="shared" si="25"/>
        <v>1.0000000000001563E-2</v>
      </c>
    </row>
    <row r="1600" spans="1:20" x14ac:dyDescent="0.2">
      <c r="A1600" t="s">
        <v>5255</v>
      </c>
      <c r="B1600" t="s">
        <v>5309</v>
      </c>
      <c r="C1600" t="s">
        <v>5310</v>
      </c>
      <c r="D1600" t="s">
        <v>5311</v>
      </c>
      <c r="E1600" t="s">
        <v>5017</v>
      </c>
      <c r="F1600" t="s">
        <v>87</v>
      </c>
      <c r="G1600" s="1">
        <v>13</v>
      </c>
      <c r="H1600" s="1">
        <v>3</v>
      </c>
      <c r="I1600" t="s">
        <v>2700</v>
      </c>
      <c r="K1600" t="s">
        <v>2828</v>
      </c>
      <c r="L1600" s="1">
        <v>1</v>
      </c>
      <c r="M1600" s="3">
        <v>33.28</v>
      </c>
      <c r="N1600" s="3">
        <v>1.66</v>
      </c>
      <c r="O1600" s="3">
        <v>0</v>
      </c>
      <c r="P1600" s="3">
        <v>0</v>
      </c>
      <c r="Q1600" s="3">
        <v>34.94</v>
      </c>
      <c r="R1600" s="3">
        <v>26.4</v>
      </c>
      <c r="S1600" s="3">
        <f>VLOOKUP(C1600,[1]page!$C$2:$M$3071,11,0)</f>
        <v>33.19</v>
      </c>
      <c r="T1600" s="6">
        <f t="shared" si="25"/>
        <v>9.0000000000003411E-2</v>
      </c>
    </row>
    <row r="1601" spans="1:20" x14ac:dyDescent="0.2">
      <c r="A1601" t="s">
        <v>5255</v>
      </c>
      <c r="B1601" t="s">
        <v>5312</v>
      </c>
      <c r="C1601" t="s">
        <v>5313</v>
      </c>
      <c r="D1601" t="s">
        <v>5314</v>
      </c>
      <c r="E1601" t="s">
        <v>5012</v>
      </c>
      <c r="F1601" t="s">
        <v>23</v>
      </c>
      <c r="G1601" s="2">
        <v>13.9</v>
      </c>
      <c r="H1601" s="1">
        <v>12</v>
      </c>
      <c r="I1601" t="s">
        <v>3653</v>
      </c>
      <c r="K1601" t="s">
        <v>2712</v>
      </c>
      <c r="L1601" s="1">
        <v>1</v>
      </c>
      <c r="M1601" s="3">
        <v>27.47</v>
      </c>
      <c r="N1601" s="3">
        <v>1.37</v>
      </c>
      <c r="O1601" s="3">
        <v>0</v>
      </c>
      <c r="P1601" s="3">
        <v>0.2</v>
      </c>
      <c r="Q1601" s="3">
        <v>29.04</v>
      </c>
      <c r="R1601" s="3">
        <v>7.95</v>
      </c>
      <c r="S1601" s="3">
        <f>VLOOKUP(C1601,[1]page!$C$2:$M$3071,11,0)</f>
        <v>27.45</v>
      </c>
      <c r="T1601" s="6">
        <f t="shared" si="25"/>
        <v>1.9999999999999574E-2</v>
      </c>
    </row>
    <row r="1602" spans="1:20" x14ac:dyDescent="0.2">
      <c r="A1602" t="s">
        <v>5255</v>
      </c>
      <c r="B1602" t="s">
        <v>5315</v>
      </c>
      <c r="C1602" t="s">
        <v>5316</v>
      </c>
      <c r="D1602" t="s">
        <v>5317</v>
      </c>
      <c r="E1602" t="s">
        <v>5245</v>
      </c>
      <c r="F1602" t="s">
        <v>23</v>
      </c>
      <c r="G1602" s="2">
        <v>13.5</v>
      </c>
      <c r="H1602" s="1">
        <v>12</v>
      </c>
      <c r="I1602" t="s">
        <v>449</v>
      </c>
      <c r="K1602" t="s">
        <v>2828</v>
      </c>
      <c r="L1602" s="1">
        <v>1</v>
      </c>
      <c r="M1602" s="3">
        <v>17.57</v>
      </c>
      <c r="N1602" s="3">
        <v>0.88</v>
      </c>
      <c r="O1602" s="3">
        <v>0</v>
      </c>
      <c r="P1602" s="3">
        <v>0.2</v>
      </c>
      <c r="Q1602" s="3">
        <v>18.649999999999999</v>
      </c>
      <c r="R1602" s="3">
        <v>7.95</v>
      </c>
      <c r="S1602" s="3">
        <f>VLOOKUP(C1602,[1]page!$C$2:$M$3071,11,0)</f>
        <v>17.55</v>
      </c>
      <c r="T1602" s="6">
        <f t="shared" si="25"/>
        <v>1.9999999999999574E-2</v>
      </c>
    </row>
    <row r="1603" spans="1:20" x14ac:dyDescent="0.2">
      <c r="A1603" t="s">
        <v>5255</v>
      </c>
      <c r="B1603" t="s">
        <v>5318</v>
      </c>
      <c r="C1603" t="s">
        <v>5319</v>
      </c>
      <c r="D1603" t="s">
        <v>5320</v>
      </c>
      <c r="E1603" t="s">
        <v>5245</v>
      </c>
      <c r="F1603" t="s">
        <v>23</v>
      </c>
      <c r="G1603" s="2">
        <v>13.5</v>
      </c>
      <c r="H1603" s="1">
        <v>12</v>
      </c>
      <c r="I1603" t="s">
        <v>449</v>
      </c>
      <c r="K1603" t="s">
        <v>2687</v>
      </c>
      <c r="L1603" s="1">
        <v>1</v>
      </c>
      <c r="M1603" s="3">
        <v>17.57</v>
      </c>
      <c r="N1603" s="3">
        <v>0.88</v>
      </c>
      <c r="O1603" s="3">
        <v>0</v>
      </c>
      <c r="P1603" s="3">
        <v>0.2</v>
      </c>
      <c r="Q1603" s="3">
        <v>18.649999999999999</v>
      </c>
      <c r="R1603" s="3">
        <v>7.95</v>
      </c>
      <c r="S1603" s="3">
        <f>VLOOKUP(C1603,[1]page!$C$2:$M$3071,11,0)</f>
        <v>17.55</v>
      </c>
      <c r="T1603" s="6">
        <f t="shared" si="25"/>
        <v>1.9999999999999574E-2</v>
      </c>
    </row>
    <row r="1604" spans="1:20" x14ac:dyDescent="0.2">
      <c r="A1604" t="s">
        <v>5255</v>
      </c>
      <c r="B1604" t="s">
        <v>5321</v>
      </c>
      <c r="C1604" t="s">
        <v>5322</v>
      </c>
      <c r="D1604" t="s">
        <v>5323</v>
      </c>
      <c r="E1604" t="s">
        <v>5324</v>
      </c>
      <c r="F1604" t="s">
        <v>23</v>
      </c>
      <c r="G1604" s="2">
        <v>14.3</v>
      </c>
      <c r="H1604" s="1">
        <v>12</v>
      </c>
      <c r="I1604" t="s">
        <v>3344</v>
      </c>
      <c r="K1604" t="s">
        <v>2828</v>
      </c>
      <c r="L1604" s="1">
        <v>1</v>
      </c>
      <c r="M1604" s="3">
        <v>29.27</v>
      </c>
      <c r="N1604" s="3">
        <v>1.46</v>
      </c>
      <c r="O1604" s="3">
        <v>0</v>
      </c>
      <c r="P1604" s="3">
        <v>0.2</v>
      </c>
      <c r="Q1604" s="3">
        <v>30.93</v>
      </c>
      <c r="R1604" s="3">
        <v>7.95</v>
      </c>
      <c r="S1604" s="3">
        <f>VLOOKUP(C1604,[1]page!$C$2:$M$3071,11,0)</f>
        <v>29.26</v>
      </c>
      <c r="T1604" s="6">
        <f t="shared" si="25"/>
        <v>9.9999999999980105E-3</v>
      </c>
    </row>
    <row r="1605" spans="1:20" x14ac:dyDescent="0.2">
      <c r="A1605" t="s">
        <v>5255</v>
      </c>
      <c r="B1605" t="s">
        <v>5325</v>
      </c>
      <c r="C1605" t="s">
        <v>5326</v>
      </c>
      <c r="D1605" t="s">
        <v>5327</v>
      </c>
      <c r="E1605" t="s">
        <v>3527</v>
      </c>
      <c r="F1605" t="s">
        <v>23</v>
      </c>
      <c r="G1605" s="2">
        <v>13.5</v>
      </c>
      <c r="H1605" s="1">
        <v>12</v>
      </c>
      <c r="I1605" t="s">
        <v>600</v>
      </c>
      <c r="K1605" t="s">
        <v>2828</v>
      </c>
      <c r="L1605" s="1">
        <v>1</v>
      </c>
      <c r="M1605" s="3">
        <v>23.67</v>
      </c>
      <c r="N1605" s="3">
        <v>1.18</v>
      </c>
      <c r="O1605" s="3">
        <v>0</v>
      </c>
      <c r="P1605" s="3">
        <v>0.2</v>
      </c>
      <c r="Q1605" s="3">
        <v>25.05</v>
      </c>
      <c r="R1605" s="3">
        <v>7.95</v>
      </c>
      <c r="S1605" s="3">
        <f>VLOOKUP(C1605,[1]page!$C$2:$M$3071,11,0)</f>
        <v>23.66</v>
      </c>
      <c r="T1605" s="6">
        <f t="shared" si="25"/>
        <v>1.0000000000001563E-2</v>
      </c>
    </row>
    <row r="1606" spans="1:20" x14ac:dyDescent="0.2">
      <c r="A1606" t="s">
        <v>5255</v>
      </c>
      <c r="B1606" t="s">
        <v>5328</v>
      </c>
      <c r="C1606" t="s">
        <v>5329</v>
      </c>
      <c r="D1606" t="s">
        <v>5330</v>
      </c>
      <c r="E1606" t="s">
        <v>2077</v>
      </c>
      <c r="F1606" t="s">
        <v>23</v>
      </c>
      <c r="G1606" s="2">
        <v>13.5</v>
      </c>
      <c r="H1606" s="1">
        <v>12</v>
      </c>
      <c r="I1606" t="s">
        <v>3486</v>
      </c>
      <c r="K1606" t="s">
        <v>2706</v>
      </c>
      <c r="L1606" s="1">
        <v>1</v>
      </c>
      <c r="M1606" s="3">
        <v>14.1</v>
      </c>
      <c r="N1606" s="3">
        <v>0.71</v>
      </c>
      <c r="O1606" s="3">
        <v>0</v>
      </c>
      <c r="P1606" s="3">
        <v>0.2</v>
      </c>
      <c r="Q1606" s="3">
        <v>15.01</v>
      </c>
      <c r="R1606" s="3">
        <v>7.95</v>
      </c>
      <c r="S1606" s="3">
        <f>VLOOKUP(C1606,[1]page!$C$2:$M$3071,11,0)</f>
        <v>14.08</v>
      </c>
      <c r="T1606" s="6">
        <f t="shared" si="25"/>
        <v>1.9999999999999574E-2</v>
      </c>
    </row>
    <row r="1607" spans="1:20" x14ac:dyDescent="0.2">
      <c r="A1607" t="s">
        <v>5255</v>
      </c>
      <c r="B1607" t="s">
        <v>5331</v>
      </c>
      <c r="C1607" t="s">
        <v>5332</v>
      </c>
      <c r="D1607" t="s">
        <v>5333</v>
      </c>
      <c r="E1607" t="s">
        <v>5334</v>
      </c>
      <c r="F1607" t="s">
        <v>23</v>
      </c>
      <c r="G1607" s="2">
        <v>13.9</v>
      </c>
      <c r="H1607" s="1">
        <v>12</v>
      </c>
      <c r="I1607" t="s">
        <v>188</v>
      </c>
      <c r="K1607" t="s">
        <v>2706</v>
      </c>
      <c r="L1607" s="1">
        <v>1</v>
      </c>
      <c r="M1607" s="3">
        <v>20.100000000000001</v>
      </c>
      <c r="N1607" s="3">
        <v>1.01</v>
      </c>
      <c r="O1607" s="3">
        <v>0</v>
      </c>
      <c r="P1607" s="3">
        <v>0.2</v>
      </c>
      <c r="Q1607" s="3">
        <v>21.31</v>
      </c>
      <c r="R1607" s="3">
        <v>7.95</v>
      </c>
      <c r="S1607" s="3">
        <f>VLOOKUP(C1607,[1]page!$C$2:$M$3071,11,0)</f>
        <v>20.09</v>
      </c>
      <c r="T1607" s="6">
        <f t="shared" si="25"/>
        <v>1.0000000000001563E-2</v>
      </c>
    </row>
    <row r="1608" spans="1:20" x14ac:dyDescent="0.2">
      <c r="A1608" t="s">
        <v>5255</v>
      </c>
      <c r="B1608" t="s">
        <v>5335</v>
      </c>
      <c r="C1608" t="s">
        <v>5336</v>
      </c>
      <c r="D1608" t="s">
        <v>5337</v>
      </c>
      <c r="E1608" t="s">
        <v>5338</v>
      </c>
      <c r="F1608" t="s">
        <v>23</v>
      </c>
      <c r="G1608" s="2">
        <v>13.9</v>
      </c>
      <c r="H1608" s="1">
        <v>12</v>
      </c>
      <c r="I1608" t="s">
        <v>3498</v>
      </c>
      <c r="K1608" t="s">
        <v>2828</v>
      </c>
      <c r="L1608" s="1">
        <v>1</v>
      </c>
      <c r="M1608" s="3">
        <v>19.73</v>
      </c>
      <c r="N1608" s="3">
        <v>0.99</v>
      </c>
      <c r="O1608" s="3">
        <v>0</v>
      </c>
      <c r="P1608" s="3">
        <v>0.2</v>
      </c>
      <c r="Q1608" s="3">
        <v>20.92</v>
      </c>
      <c r="R1608" s="3">
        <v>7.95</v>
      </c>
      <c r="S1608" s="3">
        <f>VLOOKUP(C1608,[1]page!$C$2:$M$3071,11,0)</f>
        <v>19.73</v>
      </c>
      <c r="T1608" s="6">
        <f t="shared" si="25"/>
        <v>0</v>
      </c>
    </row>
    <row r="1609" spans="1:20" x14ac:dyDescent="0.2">
      <c r="A1609" t="s">
        <v>5255</v>
      </c>
      <c r="B1609" t="s">
        <v>5339</v>
      </c>
      <c r="C1609" t="s">
        <v>5340</v>
      </c>
      <c r="D1609" t="s">
        <v>5341</v>
      </c>
      <c r="E1609" t="s">
        <v>5342</v>
      </c>
      <c r="F1609" t="s">
        <v>23</v>
      </c>
      <c r="G1609" s="2">
        <v>13.5</v>
      </c>
      <c r="H1609" s="1">
        <v>12</v>
      </c>
      <c r="I1609" t="s">
        <v>3498</v>
      </c>
      <c r="K1609" t="s">
        <v>2828</v>
      </c>
      <c r="L1609" s="1">
        <v>1</v>
      </c>
      <c r="M1609" s="3">
        <v>21.01</v>
      </c>
      <c r="N1609" s="3">
        <v>1.05</v>
      </c>
      <c r="O1609" s="3">
        <v>0</v>
      </c>
      <c r="P1609" s="3">
        <v>0.2</v>
      </c>
      <c r="Q1609" s="3">
        <v>22.26</v>
      </c>
      <c r="R1609" s="3">
        <v>7.95</v>
      </c>
      <c r="S1609" s="3">
        <f>VLOOKUP(C1609,[1]page!$C$2:$M$3071,11,0)</f>
        <v>21.01</v>
      </c>
      <c r="T1609" s="6">
        <f t="shared" si="25"/>
        <v>0</v>
      </c>
    </row>
    <row r="1610" spans="1:20" x14ac:dyDescent="0.2">
      <c r="A1610" t="s">
        <v>5255</v>
      </c>
      <c r="B1610" t="s">
        <v>5343</v>
      </c>
      <c r="C1610" t="s">
        <v>5344</v>
      </c>
      <c r="D1610" t="s">
        <v>5345</v>
      </c>
      <c r="E1610" t="s">
        <v>5056</v>
      </c>
      <c r="F1610" t="s">
        <v>23</v>
      </c>
      <c r="G1610" s="1">
        <v>8</v>
      </c>
      <c r="H1610" s="1">
        <v>12</v>
      </c>
      <c r="I1610" t="s">
        <v>57</v>
      </c>
      <c r="K1610" t="s">
        <v>2712</v>
      </c>
      <c r="L1610" s="1">
        <v>1</v>
      </c>
      <c r="M1610" s="3">
        <v>21.88</v>
      </c>
      <c r="N1610" s="3">
        <v>1.0900000000000001</v>
      </c>
      <c r="O1610" s="3">
        <v>0</v>
      </c>
      <c r="P1610" s="3">
        <v>0.2</v>
      </c>
      <c r="Q1610" s="3">
        <v>23.17</v>
      </c>
      <c r="R1610" s="3">
        <v>7.95</v>
      </c>
      <c r="S1610" s="3">
        <f>VLOOKUP(C1610,[1]page!$C$2:$M$3071,11,0)</f>
        <v>21.85</v>
      </c>
      <c r="T1610" s="6">
        <f t="shared" si="25"/>
        <v>2.9999999999997584E-2</v>
      </c>
    </row>
    <row r="1611" spans="1:20" x14ac:dyDescent="0.2">
      <c r="A1611" t="s">
        <v>5255</v>
      </c>
      <c r="B1611" t="s">
        <v>5346</v>
      </c>
      <c r="C1611" t="s">
        <v>5347</v>
      </c>
      <c r="D1611" t="s">
        <v>5348</v>
      </c>
      <c r="E1611" t="s">
        <v>5056</v>
      </c>
      <c r="F1611" t="s">
        <v>23</v>
      </c>
      <c r="G1611" s="2">
        <v>14.5</v>
      </c>
      <c r="H1611" s="1">
        <v>12</v>
      </c>
      <c r="I1611" t="s">
        <v>57</v>
      </c>
      <c r="K1611" t="s">
        <v>2687</v>
      </c>
      <c r="L1611" s="1">
        <v>1</v>
      </c>
      <c r="M1611" s="3">
        <v>22.67</v>
      </c>
      <c r="N1611" s="3">
        <v>1.1299999999999999</v>
      </c>
      <c r="O1611" s="3">
        <v>0</v>
      </c>
      <c r="P1611" s="3">
        <v>0.2</v>
      </c>
      <c r="Q1611" s="3">
        <v>24</v>
      </c>
      <c r="R1611" s="3">
        <v>7.95</v>
      </c>
      <c r="S1611" s="3">
        <f>VLOOKUP(C1611,[1]page!$C$2:$M$3071,11,0)</f>
        <v>22.65</v>
      </c>
      <c r="T1611" s="6">
        <f t="shared" si="25"/>
        <v>2.0000000000003126E-2</v>
      </c>
    </row>
    <row r="1612" spans="1:20" x14ac:dyDescent="0.2">
      <c r="A1612" t="s">
        <v>5255</v>
      </c>
      <c r="B1612" t="s">
        <v>5349</v>
      </c>
      <c r="C1612" t="s">
        <v>5350</v>
      </c>
      <c r="D1612" t="s">
        <v>5351</v>
      </c>
      <c r="E1612" t="s">
        <v>5352</v>
      </c>
      <c r="F1612" t="s">
        <v>23</v>
      </c>
      <c r="G1612" s="2">
        <v>13.5</v>
      </c>
      <c r="H1612" s="1">
        <v>12</v>
      </c>
      <c r="I1612" t="s">
        <v>4034</v>
      </c>
      <c r="K1612" t="s">
        <v>2706</v>
      </c>
      <c r="L1612" s="1">
        <v>1</v>
      </c>
      <c r="M1612" s="3">
        <v>21.61</v>
      </c>
      <c r="N1612" s="3">
        <v>1.08</v>
      </c>
      <c r="O1612" s="3">
        <v>0</v>
      </c>
      <c r="P1612" s="3">
        <v>0.2</v>
      </c>
      <c r="Q1612" s="3">
        <v>22.89</v>
      </c>
      <c r="R1612" s="3">
        <v>7.95</v>
      </c>
      <c r="S1612" s="3">
        <f>VLOOKUP(C1612,[1]page!$C$2:$M$3071,11,0)</f>
        <v>21.61</v>
      </c>
      <c r="T1612" s="6">
        <f t="shared" si="25"/>
        <v>0</v>
      </c>
    </row>
    <row r="1613" spans="1:20" x14ac:dyDescent="0.2">
      <c r="A1613" t="s">
        <v>5255</v>
      </c>
      <c r="B1613" t="s">
        <v>5353</v>
      </c>
      <c r="C1613" t="s">
        <v>5354</v>
      </c>
      <c r="D1613" t="s">
        <v>5355</v>
      </c>
      <c r="E1613" t="s">
        <v>5017</v>
      </c>
      <c r="F1613" t="s">
        <v>23</v>
      </c>
      <c r="G1613" s="2">
        <v>14.5</v>
      </c>
      <c r="H1613" s="1">
        <v>12</v>
      </c>
      <c r="I1613" t="s">
        <v>2700</v>
      </c>
      <c r="K1613" t="s">
        <v>2828</v>
      </c>
      <c r="L1613" s="1">
        <v>1</v>
      </c>
      <c r="M1613" s="3">
        <v>16.38</v>
      </c>
      <c r="N1613" s="3">
        <v>0.82</v>
      </c>
      <c r="O1613" s="3">
        <v>0</v>
      </c>
      <c r="P1613" s="3">
        <v>0.2</v>
      </c>
      <c r="Q1613" s="3">
        <v>17.399999999999999</v>
      </c>
      <c r="R1613" s="3">
        <v>7.95</v>
      </c>
      <c r="S1613" s="3">
        <f>VLOOKUP(C1613,[1]page!$C$2:$M$3071,11,0)</f>
        <v>16.36</v>
      </c>
      <c r="T1613" s="6">
        <f t="shared" si="25"/>
        <v>1.9999999999999574E-2</v>
      </c>
    </row>
    <row r="1614" spans="1:20" x14ac:dyDescent="0.2">
      <c r="A1614" t="s">
        <v>5255</v>
      </c>
      <c r="B1614" t="s">
        <v>5356</v>
      </c>
      <c r="C1614" t="s">
        <v>5357</v>
      </c>
      <c r="D1614" t="s">
        <v>5358</v>
      </c>
      <c r="E1614" t="s">
        <v>2077</v>
      </c>
      <c r="F1614" t="s">
        <v>23</v>
      </c>
      <c r="G1614" s="2">
        <v>13.8</v>
      </c>
      <c r="H1614" s="1">
        <v>12</v>
      </c>
      <c r="I1614" t="s">
        <v>1604</v>
      </c>
      <c r="K1614" t="s">
        <v>2828</v>
      </c>
      <c r="L1614" s="1">
        <v>1</v>
      </c>
      <c r="M1614" s="3">
        <v>16.850000000000001</v>
      </c>
      <c r="N1614" s="3">
        <v>0.84</v>
      </c>
      <c r="O1614" s="3">
        <v>0</v>
      </c>
      <c r="P1614" s="3">
        <v>0.2</v>
      </c>
      <c r="Q1614" s="3">
        <v>17.89</v>
      </c>
      <c r="R1614" s="3">
        <v>7.95</v>
      </c>
      <c r="S1614" s="3">
        <f>VLOOKUP(C1614,[1]page!$C$2:$M$3071,11,0)</f>
        <v>16.829999999999998</v>
      </c>
      <c r="T1614" s="6">
        <f t="shared" si="25"/>
        <v>2.0000000000003126E-2</v>
      </c>
    </row>
    <row r="1615" spans="1:20" x14ac:dyDescent="0.2">
      <c r="A1615" t="s">
        <v>5255</v>
      </c>
      <c r="B1615" t="s">
        <v>5359</v>
      </c>
      <c r="C1615" t="s">
        <v>5360</v>
      </c>
      <c r="D1615" t="s">
        <v>5361</v>
      </c>
      <c r="E1615" t="s">
        <v>5362</v>
      </c>
      <c r="F1615" t="s">
        <v>23</v>
      </c>
      <c r="G1615" s="2">
        <v>14.5</v>
      </c>
      <c r="H1615" s="1">
        <v>12</v>
      </c>
      <c r="I1615" t="s">
        <v>1604</v>
      </c>
      <c r="K1615" t="s">
        <v>2687</v>
      </c>
      <c r="L1615" s="1">
        <v>1</v>
      </c>
      <c r="M1615" s="3">
        <v>20.63</v>
      </c>
      <c r="N1615" s="3">
        <v>1.03</v>
      </c>
      <c r="O1615" s="3">
        <v>0</v>
      </c>
      <c r="P1615" s="3">
        <v>0.2</v>
      </c>
      <c r="Q1615" s="3">
        <v>21.86</v>
      </c>
      <c r="R1615" s="3">
        <v>7.95</v>
      </c>
      <c r="S1615" s="3">
        <f>VLOOKUP(C1615,[1]page!$C$2:$M$3071,11,0)</f>
        <v>22.46</v>
      </c>
      <c r="T1615" s="6">
        <f t="shared" si="25"/>
        <v>-1.8300000000000018</v>
      </c>
    </row>
    <row r="1616" spans="1:20" x14ac:dyDescent="0.2">
      <c r="A1616" t="s">
        <v>5255</v>
      </c>
      <c r="B1616" t="s">
        <v>5363</v>
      </c>
      <c r="C1616" t="s">
        <v>5364</v>
      </c>
      <c r="D1616" t="s">
        <v>5365</v>
      </c>
      <c r="E1616" t="s">
        <v>5056</v>
      </c>
      <c r="F1616" t="s">
        <v>23</v>
      </c>
      <c r="G1616" s="2">
        <v>13.5</v>
      </c>
      <c r="H1616" s="1">
        <v>12</v>
      </c>
      <c r="I1616" t="s">
        <v>57</v>
      </c>
      <c r="K1616" t="s">
        <v>2828</v>
      </c>
      <c r="L1616" s="1">
        <v>1</v>
      </c>
      <c r="M1616" s="3">
        <v>15</v>
      </c>
      <c r="N1616" s="3">
        <v>0.75</v>
      </c>
      <c r="O1616" s="3">
        <v>0</v>
      </c>
      <c r="P1616" s="3">
        <v>0.2</v>
      </c>
      <c r="Q1616" s="3">
        <v>15.95</v>
      </c>
      <c r="R1616" s="3">
        <v>7.95</v>
      </c>
      <c r="S1616" s="3">
        <f>VLOOKUP(C1616,[1]page!$C$2:$M$3071,11,0)</f>
        <v>14.95</v>
      </c>
      <c r="T1616" s="6">
        <f t="shared" si="25"/>
        <v>5.0000000000000711E-2</v>
      </c>
    </row>
    <row r="1617" spans="1:20" x14ac:dyDescent="0.2">
      <c r="A1617" t="s">
        <v>5255</v>
      </c>
      <c r="B1617" t="s">
        <v>5366</v>
      </c>
      <c r="C1617" t="s">
        <v>5367</v>
      </c>
      <c r="D1617" t="s">
        <v>5368</v>
      </c>
      <c r="E1617" t="s">
        <v>5147</v>
      </c>
      <c r="F1617" t="s">
        <v>23</v>
      </c>
      <c r="G1617" s="2">
        <v>14.2</v>
      </c>
      <c r="H1617" s="1">
        <v>12</v>
      </c>
      <c r="I1617" t="s">
        <v>5148</v>
      </c>
      <c r="K1617" t="s">
        <v>2706</v>
      </c>
      <c r="L1617" s="1">
        <v>1</v>
      </c>
      <c r="M1617" s="3">
        <v>21.33</v>
      </c>
      <c r="N1617" s="3">
        <v>1.07</v>
      </c>
      <c r="O1617" s="3">
        <v>0</v>
      </c>
      <c r="P1617" s="3">
        <v>0.2</v>
      </c>
      <c r="Q1617" s="3">
        <v>22.6</v>
      </c>
      <c r="R1617" s="3">
        <v>7.95</v>
      </c>
      <c r="S1617" s="3">
        <f>VLOOKUP(C1617,[1]page!$C$2:$M$3071,11,0)</f>
        <v>21.32</v>
      </c>
      <c r="T1617" s="6">
        <f t="shared" si="25"/>
        <v>9.9999999999980105E-3</v>
      </c>
    </row>
    <row r="1618" spans="1:20" x14ac:dyDescent="0.2">
      <c r="A1618" t="s">
        <v>5255</v>
      </c>
      <c r="B1618" t="s">
        <v>5369</v>
      </c>
      <c r="C1618" t="s">
        <v>5370</v>
      </c>
      <c r="D1618" t="s">
        <v>5371</v>
      </c>
      <c r="E1618" t="s">
        <v>2768</v>
      </c>
      <c r="F1618" t="s">
        <v>23</v>
      </c>
      <c r="G1618" s="2">
        <v>13.5</v>
      </c>
      <c r="H1618" s="1">
        <v>12</v>
      </c>
      <c r="I1618" t="s">
        <v>39</v>
      </c>
      <c r="K1618" t="s">
        <v>2828</v>
      </c>
      <c r="L1618" s="1">
        <v>1</v>
      </c>
      <c r="M1618" s="3">
        <v>19.309999999999999</v>
      </c>
      <c r="N1618" s="3">
        <v>0.97</v>
      </c>
      <c r="O1618" s="3">
        <v>0</v>
      </c>
      <c r="P1618" s="3">
        <v>0.2</v>
      </c>
      <c r="Q1618" s="3">
        <v>20.48</v>
      </c>
      <c r="R1618" s="3">
        <v>7.95</v>
      </c>
      <c r="S1618" s="3">
        <f>VLOOKUP(C1618,[1]page!$C$2:$M$3071,11,0)</f>
        <v>19.29</v>
      </c>
      <c r="T1618" s="6">
        <f t="shared" si="25"/>
        <v>1.9999999999999574E-2</v>
      </c>
    </row>
    <row r="1619" spans="1:20" x14ac:dyDescent="0.2">
      <c r="A1619" t="s">
        <v>5255</v>
      </c>
      <c r="B1619" t="s">
        <v>5372</v>
      </c>
      <c r="C1619" t="s">
        <v>5373</v>
      </c>
      <c r="D1619" t="s">
        <v>5374</v>
      </c>
      <c r="E1619" t="s">
        <v>5375</v>
      </c>
      <c r="F1619" t="s">
        <v>23</v>
      </c>
      <c r="G1619" s="2">
        <v>13.5</v>
      </c>
      <c r="H1619" s="1">
        <v>12</v>
      </c>
      <c r="I1619" t="s">
        <v>257</v>
      </c>
      <c r="K1619" t="s">
        <v>2828</v>
      </c>
      <c r="L1619" s="1">
        <v>1</v>
      </c>
      <c r="M1619" s="3">
        <v>12.56</v>
      </c>
      <c r="N1619" s="3">
        <v>0.63</v>
      </c>
      <c r="O1619" s="3">
        <v>0</v>
      </c>
      <c r="P1619" s="3">
        <v>0.2</v>
      </c>
      <c r="Q1619" s="3">
        <v>13.39</v>
      </c>
      <c r="R1619" s="3">
        <v>7.95</v>
      </c>
      <c r="S1619" s="3">
        <f>VLOOKUP(C1619,[1]page!$C$2:$M$3071,11,0)</f>
        <v>12.54</v>
      </c>
      <c r="T1619" s="6">
        <f t="shared" si="25"/>
        <v>2.000000000000135E-2</v>
      </c>
    </row>
    <row r="1620" spans="1:20" x14ac:dyDescent="0.2">
      <c r="A1620" t="s">
        <v>5255</v>
      </c>
      <c r="B1620" t="s">
        <v>5376</v>
      </c>
      <c r="C1620" t="s">
        <v>5377</v>
      </c>
      <c r="D1620" t="s">
        <v>5378</v>
      </c>
      <c r="E1620" t="s">
        <v>5375</v>
      </c>
      <c r="F1620" t="s">
        <v>23</v>
      </c>
      <c r="G1620" s="1">
        <v>14</v>
      </c>
      <c r="H1620" s="1">
        <v>12</v>
      </c>
      <c r="I1620" t="s">
        <v>257</v>
      </c>
      <c r="K1620" t="s">
        <v>2687</v>
      </c>
      <c r="L1620" s="1">
        <v>1</v>
      </c>
      <c r="M1620" s="3">
        <v>12.6</v>
      </c>
      <c r="N1620" s="3">
        <v>0.63</v>
      </c>
      <c r="O1620" s="3">
        <v>0</v>
      </c>
      <c r="P1620" s="3">
        <v>0.2</v>
      </c>
      <c r="Q1620" s="3">
        <v>13.43</v>
      </c>
      <c r="R1620" s="3">
        <v>7.95</v>
      </c>
      <c r="S1620" s="3">
        <f>VLOOKUP(C1620,[1]page!$C$2:$M$3071,11,0)</f>
        <v>12.58</v>
      </c>
      <c r="T1620" s="6">
        <f t="shared" si="25"/>
        <v>1.9999999999999574E-2</v>
      </c>
    </row>
    <row r="1621" spans="1:20" x14ac:dyDescent="0.2">
      <c r="A1621" t="s">
        <v>5255</v>
      </c>
      <c r="B1621" t="s">
        <v>5379</v>
      </c>
      <c r="C1621" t="s">
        <v>5380</v>
      </c>
      <c r="D1621" t="s">
        <v>5381</v>
      </c>
      <c r="E1621" t="s">
        <v>5382</v>
      </c>
      <c r="F1621" t="s">
        <v>23</v>
      </c>
      <c r="G1621" s="2">
        <v>13.5</v>
      </c>
      <c r="H1621" s="1">
        <v>12</v>
      </c>
      <c r="I1621" t="s">
        <v>4356</v>
      </c>
      <c r="K1621" t="s">
        <v>2828</v>
      </c>
      <c r="L1621" s="1">
        <v>1</v>
      </c>
      <c r="M1621" s="3">
        <v>20.86</v>
      </c>
      <c r="N1621" s="3">
        <v>1.04</v>
      </c>
      <c r="O1621" s="3">
        <v>0</v>
      </c>
      <c r="P1621" s="3">
        <v>0.2</v>
      </c>
      <c r="Q1621" s="3">
        <v>22.1</v>
      </c>
      <c r="R1621" s="3">
        <v>7.95</v>
      </c>
      <c r="S1621" s="3">
        <f>VLOOKUP(C1621,[1]page!$C$2:$M$3071,11,0)</f>
        <v>20.85</v>
      </c>
      <c r="T1621" s="6">
        <f t="shared" si="25"/>
        <v>9.9999999999980105E-3</v>
      </c>
    </row>
    <row r="1622" spans="1:20" x14ac:dyDescent="0.2">
      <c r="A1622" t="s">
        <v>5255</v>
      </c>
      <c r="B1622" t="s">
        <v>5383</v>
      </c>
      <c r="C1622" t="s">
        <v>5384</v>
      </c>
      <c r="D1622" t="s">
        <v>5385</v>
      </c>
      <c r="E1622" t="s">
        <v>2768</v>
      </c>
      <c r="F1622" t="s">
        <v>23</v>
      </c>
      <c r="G1622" s="2">
        <v>13.5</v>
      </c>
      <c r="H1622" s="1">
        <v>12</v>
      </c>
      <c r="I1622" t="s">
        <v>39</v>
      </c>
      <c r="K1622" t="s">
        <v>2828</v>
      </c>
      <c r="L1622" s="1">
        <v>1</v>
      </c>
      <c r="M1622" s="3">
        <v>19.14</v>
      </c>
      <c r="N1622" s="3">
        <v>0.96</v>
      </c>
      <c r="O1622" s="3">
        <v>0</v>
      </c>
      <c r="P1622" s="3">
        <v>0.2</v>
      </c>
      <c r="Q1622" s="3">
        <v>20.3</v>
      </c>
      <c r="R1622" s="3">
        <v>7.95</v>
      </c>
      <c r="S1622" s="3">
        <f>VLOOKUP(C1622,[1]page!$C$2:$M$3071,11,0)</f>
        <v>19.12</v>
      </c>
      <c r="T1622" s="6">
        <f t="shared" si="25"/>
        <v>1.9999999999999574E-2</v>
      </c>
    </row>
    <row r="1623" spans="1:20" x14ac:dyDescent="0.2">
      <c r="A1623" t="s">
        <v>5255</v>
      </c>
      <c r="B1623" t="s">
        <v>5386</v>
      </c>
      <c r="C1623" t="s">
        <v>5387</v>
      </c>
      <c r="D1623" t="s">
        <v>5388</v>
      </c>
      <c r="E1623" t="s">
        <v>5389</v>
      </c>
      <c r="F1623" t="s">
        <v>23</v>
      </c>
      <c r="G1623" s="2">
        <v>13.7</v>
      </c>
      <c r="H1623" s="1">
        <v>12</v>
      </c>
      <c r="I1623" t="s">
        <v>2759</v>
      </c>
      <c r="K1623" t="s">
        <v>2687</v>
      </c>
      <c r="L1623" s="1">
        <v>1</v>
      </c>
      <c r="M1623" s="3">
        <v>22</v>
      </c>
      <c r="N1623" s="3">
        <v>1.1000000000000001</v>
      </c>
      <c r="O1623" s="3">
        <v>0</v>
      </c>
      <c r="P1623" s="3">
        <v>0.2</v>
      </c>
      <c r="Q1623" s="3">
        <v>23.3</v>
      </c>
      <c r="R1623" s="3">
        <v>7.95</v>
      </c>
      <c r="S1623" s="3">
        <f>VLOOKUP(C1623,[1]page!$C$2:$M$3071,11,0)</f>
        <v>22</v>
      </c>
      <c r="T1623" s="6">
        <f t="shared" si="25"/>
        <v>0</v>
      </c>
    </row>
    <row r="1624" spans="1:20" x14ac:dyDescent="0.2">
      <c r="A1624" t="s">
        <v>5255</v>
      </c>
      <c r="B1624" t="s">
        <v>5390</v>
      </c>
      <c r="C1624" t="s">
        <v>5391</v>
      </c>
      <c r="D1624" t="s">
        <v>5392</v>
      </c>
      <c r="E1624" t="s">
        <v>2768</v>
      </c>
      <c r="F1624" t="s">
        <v>23</v>
      </c>
      <c r="G1624" s="2">
        <v>13.5</v>
      </c>
      <c r="H1624" s="1">
        <v>12</v>
      </c>
      <c r="I1624" t="s">
        <v>57</v>
      </c>
      <c r="K1624" t="s">
        <v>2687</v>
      </c>
      <c r="L1624" s="1">
        <v>1</v>
      </c>
      <c r="M1624" s="3">
        <v>15.47</v>
      </c>
      <c r="N1624" s="3">
        <v>0.77</v>
      </c>
      <c r="O1624" s="3">
        <v>0</v>
      </c>
      <c r="P1624" s="3">
        <v>0.2</v>
      </c>
      <c r="Q1624" s="3">
        <v>16.440000000000001</v>
      </c>
      <c r="R1624" s="3">
        <v>7.95</v>
      </c>
      <c r="S1624" s="3">
        <f>VLOOKUP(C1624,[1]page!$C$2:$M$3071,11,0)</f>
        <v>18.600000000000001</v>
      </c>
      <c r="T1624" s="6">
        <f t="shared" si="25"/>
        <v>-3.1300000000000008</v>
      </c>
    </row>
    <row r="1625" spans="1:20" x14ac:dyDescent="0.2">
      <c r="A1625" t="s">
        <v>5255</v>
      </c>
      <c r="B1625" t="s">
        <v>5393</v>
      </c>
      <c r="C1625" t="s">
        <v>5394</v>
      </c>
      <c r="D1625" t="s">
        <v>5395</v>
      </c>
      <c r="E1625" t="s">
        <v>5162</v>
      </c>
      <c r="F1625" t="s">
        <v>23</v>
      </c>
      <c r="G1625" s="2">
        <v>13.9</v>
      </c>
      <c r="H1625" s="1">
        <v>12</v>
      </c>
      <c r="I1625" t="s">
        <v>183</v>
      </c>
      <c r="K1625" t="s">
        <v>2828</v>
      </c>
      <c r="L1625" s="1">
        <v>1</v>
      </c>
      <c r="M1625" s="3">
        <v>20.53</v>
      </c>
      <c r="N1625" s="3">
        <v>1.03</v>
      </c>
      <c r="O1625" s="3">
        <v>0</v>
      </c>
      <c r="P1625" s="3">
        <v>0.2</v>
      </c>
      <c r="Q1625" s="3">
        <v>21.76</v>
      </c>
      <c r="R1625" s="3">
        <v>7.95</v>
      </c>
      <c r="S1625" s="3">
        <f>VLOOKUP(C1625,[1]page!$C$2:$M$3071,11,0)</f>
        <v>20.52</v>
      </c>
      <c r="T1625" s="6">
        <f t="shared" si="25"/>
        <v>1.0000000000001563E-2</v>
      </c>
    </row>
    <row r="1626" spans="1:20" x14ac:dyDescent="0.2">
      <c r="A1626" t="s">
        <v>5255</v>
      </c>
      <c r="B1626" t="s">
        <v>5396</v>
      </c>
      <c r="C1626" t="s">
        <v>5397</v>
      </c>
      <c r="D1626" t="s">
        <v>5398</v>
      </c>
      <c r="E1626" t="s">
        <v>5017</v>
      </c>
      <c r="F1626" t="s">
        <v>23</v>
      </c>
      <c r="G1626" s="1">
        <v>14</v>
      </c>
      <c r="H1626" s="1">
        <v>12</v>
      </c>
      <c r="I1626" t="s">
        <v>257</v>
      </c>
      <c r="K1626" t="s">
        <v>2828</v>
      </c>
      <c r="L1626" s="1">
        <v>1</v>
      </c>
      <c r="M1626" s="3">
        <v>21.37</v>
      </c>
      <c r="N1626" s="3">
        <v>1.07</v>
      </c>
      <c r="O1626" s="3">
        <v>0</v>
      </c>
      <c r="P1626" s="3">
        <v>0.2</v>
      </c>
      <c r="Q1626" s="3">
        <v>22.64</v>
      </c>
      <c r="R1626" s="3">
        <v>7.95</v>
      </c>
      <c r="S1626" s="3">
        <f>VLOOKUP(C1626,[1]page!$C$2:$M$3071,11,0)</f>
        <v>21.35</v>
      </c>
      <c r="T1626" s="6">
        <f t="shared" si="25"/>
        <v>1.9999999999999574E-2</v>
      </c>
    </row>
    <row r="1627" spans="1:20" x14ac:dyDescent="0.2">
      <c r="A1627" t="s">
        <v>5255</v>
      </c>
      <c r="B1627" t="s">
        <v>5399</v>
      </c>
      <c r="C1627" t="s">
        <v>5400</v>
      </c>
      <c r="D1627" t="s">
        <v>5401</v>
      </c>
      <c r="E1627" t="s">
        <v>5162</v>
      </c>
      <c r="F1627" t="s">
        <v>23</v>
      </c>
      <c r="G1627" s="2">
        <v>13.45</v>
      </c>
      <c r="H1627" s="1">
        <v>12</v>
      </c>
      <c r="I1627" t="s">
        <v>183</v>
      </c>
      <c r="K1627" t="s">
        <v>2828</v>
      </c>
      <c r="L1627" s="1">
        <v>1</v>
      </c>
      <c r="M1627" s="3">
        <v>15.88</v>
      </c>
      <c r="N1627" s="3">
        <v>0.79</v>
      </c>
      <c r="O1627" s="3">
        <v>0</v>
      </c>
      <c r="P1627" s="3">
        <v>0.2</v>
      </c>
      <c r="Q1627" s="3">
        <v>16.87</v>
      </c>
      <c r="R1627" s="3">
        <v>7.95</v>
      </c>
      <c r="S1627" s="3">
        <f>VLOOKUP(C1627,[1]page!$C$2:$M$3071,11,0)</f>
        <v>15.86</v>
      </c>
      <c r="T1627" s="6">
        <f t="shared" si="25"/>
        <v>2.000000000000135E-2</v>
      </c>
    </row>
    <row r="1628" spans="1:20" x14ac:dyDescent="0.2">
      <c r="A1628" t="s">
        <v>5255</v>
      </c>
      <c r="B1628" t="s">
        <v>5402</v>
      </c>
      <c r="C1628" t="s">
        <v>5403</v>
      </c>
      <c r="D1628" t="s">
        <v>5404</v>
      </c>
      <c r="E1628" t="s">
        <v>2699</v>
      </c>
      <c r="F1628" t="s">
        <v>23</v>
      </c>
      <c r="G1628" s="2">
        <v>13.5</v>
      </c>
      <c r="H1628" s="1">
        <v>12</v>
      </c>
      <c r="I1628" t="s">
        <v>2700</v>
      </c>
      <c r="K1628" t="s">
        <v>2828</v>
      </c>
      <c r="L1628" s="1">
        <v>1</v>
      </c>
      <c r="M1628" s="3">
        <v>18.22</v>
      </c>
      <c r="N1628" s="3">
        <v>0.91</v>
      </c>
      <c r="O1628" s="3">
        <v>0</v>
      </c>
      <c r="P1628" s="3">
        <v>0.2</v>
      </c>
      <c r="Q1628" s="3">
        <v>19.329999999999998</v>
      </c>
      <c r="R1628" s="3">
        <v>7.95</v>
      </c>
      <c r="S1628" s="3">
        <f>VLOOKUP(C1628,[1]page!$C$2:$M$3071,11,0)</f>
        <v>18.190000000000001</v>
      </c>
      <c r="T1628" s="6">
        <f t="shared" si="25"/>
        <v>2.9999999999997584E-2</v>
      </c>
    </row>
    <row r="1629" spans="1:20" x14ac:dyDescent="0.2">
      <c r="A1629" t="s">
        <v>5255</v>
      </c>
      <c r="B1629" t="s">
        <v>5405</v>
      </c>
      <c r="C1629" t="s">
        <v>5406</v>
      </c>
      <c r="D1629" t="s">
        <v>5407</v>
      </c>
      <c r="E1629" t="s">
        <v>5116</v>
      </c>
      <c r="F1629" t="s">
        <v>23</v>
      </c>
      <c r="G1629" s="2">
        <v>13.5</v>
      </c>
      <c r="H1629" s="1">
        <v>12</v>
      </c>
      <c r="I1629" t="s">
        <v>2700</v>
      </c>
      <c r="K1629" t="s">
        <v>2687</v>
      </c>
      <c r="L1629" s="1">
        <v>1</v>
      </c>
      <c r="M1629" s="3">
        <v>18.100000000000001</v>
      </c>
      <c r="N1629" s="3">
        <v>0.91</v>
      </c>
      <c r="O1629" s="3">
        <v>0</v>
      </c>
      <c r="P1629" s="3">
        <v>0.2</v>
      </c>
      <c r="Q1629" s="3">
        <v>19.21</v>
      </c>
      <c r="R1629" s="3">
        <v>7.95</v>
      </c>
      <c r="S1629" s="3">
        <f>VLOOKUP(C1629,[1]page!$C$2:$M$3071,11,0)</f>
        <v>18.07</v>
      </c>
      <c r="T1629" s="6">
        <f t="shared" si="25"/>
        <v>3.0000000000001137E-2</v>
      </c>
    </row>
    <row r="1630" spans="1:20" x14ac:dyDescent="0.2">
      <c r="A1630" t="s">
        <v>5255</v>
      </c>
      <c r="B1630" t="s">
        <v>5408</v>
      </c>
      <c r="C1630" t="s">
        <v>5409</v>
      </c>
      <c r="D1630" t="s">
        <v>5410</v>
      </c>
      <c r="E1630" t="s">
        <v>5116</v>
      </c>
      <c r="F1630" t="s">
        <v>23</v>
      </c>
      <c r="G1630" s="2">
        <v>13.5</v>
      </c>
      <c r="H1630" s="1">
        <v>12</v>
      </c>
      <c r="I1630" t="s">
        <v>2700</v>
      </c>
      <c r="K1630" t="s">
        <v>2687</v>
      </c>
      <c r="L1630" s="1">
        <v>1</v>
      </c>
      <c r="M1630" s="3">
        <v>18.11</v>
      </c>
      <c r="N1630" s="3">
        <v>0.91</v>
      </c>
      <c r="O1630" s="3">
        <v>0</v>
      </c>
      <c r="P1630" s="3">
        <v>0.2</v>
      </c>
      <c r="Q1630" s="3">
        <v>19.22</v>
      </c>
      <c r="R1630" s="3">
        <v>7.95</v>
      </c>
      <c r="S1630" s="3">
        <f>VLOOKUP(C1630,[1]page!$C$2:$M$3071,11,0)</f>
        <v>18.079999999999998</v>
      </c>
      <c r="T1630" s="6">
        <f t="shared" si="25"/>
        <v>3.0000000000001137E-2</v>
      </c>
    </row>
    <row r="1631" spans="1:20" x14ac:dyDescent="0.2">
      <c r="A1631" t="s">
        <v>5255</v>
      </c>
      <c r="B1631" t="s">
        <v>5411</v>
      </c>
      <c r="C1631" t="s">
        <v>5412</v>
      </c>
      <c r="D1631" t="s">
        <v>5197</v>
      </c>
      <c r="E1631" t="s">
        <v>2699</v>
      </c>
      <c r="F1631" t="s">
        <v>87</v>
      </c>
      <c r="G1631" s="2">
        <v>13.5</v>
      </c>
      <c r="H1631" s="1">
        <v>4</v>
      </c>
      <c r="I1631" t="s">
        <v>2700</v>
      </c>
      <c r="K1631" t="s">
        <v>2828</v>
      </c>
      <c r="L1631" s="1">
        <v>1</v>
      </c>
      <c r="M1631" s="3">
        <v>37.729999999999997</v>
      </c>
      <c r="N1631" s="3">
        <v>1.89</v>
      </c>
      <c r="O1631" s="3">
        <v>0</v>
      </c>
      <c r="P1631" s="3">
        <v>0</v>
      </c>
      <c r="Q1631" s="3">
        <v>39.619999999999997</v>
      </c>
      <c r="R1631" s="3">
        <v>26.4</v>
      </c>
      <c r="S1631" s="3">
        <f>VLOOKUP(C1631,[1]page!$C$2:$M$3071,11,0)</f>
        <v>37.729999999999997</v>
      </c>
      <c r="T1631" s="6">
        <f t="shared" si="25"/>
        <v>0</v>
      </c>
    </row>
    <row r="1632" spans="1:20" x14ac:dyDescent="0.2">
      <c r="A1632" t="s">
        <v>5255</v>
      </c>
      <c r="B1632" t="s">
        <v>5413</v>
      </c>
      <c r="C1632" t="s">
        <v>5414</v>
      </c>
      <c r="D1632" t="s">
        <v>5415</v>
      </c>
      <c r="E1632" t="s">
        <v>5416</v>
      </c>
      <c r="F1632" t="s">
        <v>23</v>
      </c>
      <c r="G1632" s="1">
        <v>13</v>
      </c>
      <c r="H1632" s="1">
        <v>12</v>
      </c>
      <c r="I1632" t="s">
        <v>57</v>
      </c>
      <c r="K1632" t="s">
        <v>2828</v>
      </c>
      <c r="L1632" s="1">
        <v>1</v>
      </c>
      <c r="M1632" s="3">
        <v>13.51</v>
      </c>
      <c r="N1632" s="3">
        <v>0.68</v>
      </c>
      <c r="O1632" s="3">
        <v>0</v>
      </c>
      <c r="P1632" s="3">
        <v>0.2</v>
      </c>
      <c r="Q1632" s="3">
        <v>14.39</v>
      </c>
      <c r="R1632" s="3">
        <v>7.95</v>
      </c>
      <c r="S1632" s="3">
        <f>VLOOKUP(C1632,[1]page!$C$2:$M$3071,11,0)</f>
        <v>13.49</v>
      </c>
      <c r="T1632" s="6">
        <f t="shared" si="25"/>
        <v>1.9999999999999574E-2</v>
      </c>
    </row>
    <row r="1633" spans="1:20" x14ac:dyDescent="0.2">
      <c r="A1633" t="s">
        <v>5417</v>
      </c>
      <c r="B1633" t="s">
        <v>5418</v>
      </c>
      <c r="C1633" t="s">
        <v>5419</v>
      </c>
      <c r="D1633" t="s">
        <v>5420</v>
      </c>
      <c r="E1633" t="s">
        <v>5021</v>
      </c>
      <c r="F1633" t="s">
        <v>23</v>
      </c>
      <c r="G1633" s="2">
        <v>13.5</v>
      </c>
      <c r="H1633" s="1">
        <v>12</v>
      </c>
      <c r="I1633" t="s">
        <v>1604</v>
      </c>
      <c r="K1633" t="s">
        <v>2687</v>
      </c>
      <c r="L1633" s="1">
        <v>1</v>
      </c>
      <c r="M1633" s="3">
        <v>14.32</v>
      </c>
      <c r="N1633" s="3">
        <v>0.72</v>
      </c>
      <c r="O1633" s="3">
        <v>0</v>
      </c>
      <c r="P1633" s="3">
        <v>0.2</v>
      </c>
      <c r="Q1633" s="3">
        <v>15.24</v>
      </c>
      <c r="R1633" s="3">
        <v>7.95</v>
      </c>
      <c r="S1633" s="3">
        <f>VLOOKUP(C1633,[1]page!$C$2:$M$3071,11,0)</f>
        <v>14.3</v>
      </c>
      <c r="T1633" s="6">
        <f t="shared" si="25"/>
        <v>1.9999999999999574E-2</v>
      </c>
    </row>
    <row r="1634" spans="1:20" x14ac:dyDescent="0.2">
      <c r="A1634" t="s">
        <v>5417</v>
      </c>
      <c r="B1634" t="s">
        <v>5421</v>
      </c>
      <c r="C1634" t="s">
        <v>5422</v>
      </c>
      <c r="D1634" t="s">
        <v>5423</v>
      </c>
      <c r="E1634" t="s">
        <v>5021</v>
      </c>
      <c r="F1634" t="s">
        <v>23</v>
      </c>
      <c r="G1634" s="2">
        <v>12.5</v>
      </c>
      <c r="H1634" s="1">
        <v>12</v>
      </c>
      <c r="I1634" t="s">
        <v>1604</v>
      </c>
      <c r="K1634" t="s">
        <v>2677</v>
      </c>
      <c r="L1634" s="1">
        <v>1</v>
      </c>
      <c r="M1634" s="3">
        <v>14.35</v>
      </c>
      <c r="N1634" s="3">
        <v>0.72</v>
      </c>
      <c r="O1634" s="3">
        <v>0</v>
      </c>
      <c r="P1634" s="3">
        <v>0.2</v>
      </c>
      <c r="Q1634" s="3">
        <v>15.27</v>
      </c>
      <c r="R1634" s="3">
        <v>7.95</v>
      </c>
      <c r="S1634" s="3">
        <f>VLOOKUP(C1634,[1]page!$C$2:$M$3071,11,0)</f>
        <v>14.33</v>
      </c>
      <c r="T1634" s="6">
        <f t="shared" si="25"/>
        <v>1.9999999999999574E-2</v>
      </c>
    </row>
    <row r="1635" spans="1:20" x14ac:dyDescent="0.2">
      <c r="A1635" t="s">
        <v>5417</v>
      </c>
      <c r="B1635" t="s">
        <v>5424</v>
      </c>
      <c r="C1635" t="s">
        <v>5425</v>
      </c>
      <c r="D1635" t="s">
        <v>5426</v>
      </c>
      <c r="E1635" t="s">
        <v>5232</v>
      </c>
      <c r="F1635" t="s">
        <v>23</v>
      </c>
      <c r="G1635" s="1">
        <v>9</v>
      </c>
      <c r="H1635" s="1">
        <v>12</v>
      </c>
      <c r="I1635" t="s">
        <v>1604</v>
      </c>
      <c r="K1635" t="s">
        <v>2706</v>
      </c>
      <c r="L1635" s="1">
        <v>1</v>
      </c>
      <c r="M1635" s="3">
        <v>10.66</v>
      </c>
      <c r="N1635" s="3">
        <v>0.53</v>
      </c>
      <c r="O1635" s="3">
        <v>0</v>
      </c>
      <c r="P1635" s="3">
        <v>0.2</v>
      </c>
      <c r="Q1635" s="3">
        <v>11.39</v>
      </c>
      <c r="R1635" s="3">
        <v>7.95</v>
      </c>
      <c r="S1635" s="3">
        <f>VLOOKUP(C1635,[1]page!$C$2:$M$3071,11,0)</f>
        <v>10.64</v>
      </c>
      <c r="T1635" s="6">
        <f t="shared" si="25"/>
        <v>1.9999999999999574E-2</v>
      </c>
    </row>
    <row r="1636" spans="1:20" x14ac:dyDescent="0.2">
      <c r="A1636" t="s">
        <v>5417</v>
      </c>
      <c r="B1636" t="s">
        <v>5427</v>
      </c>
      <c r="C1636" t="s">
        <v>5428</v>
      </c>
      <c r="D1636" t="s">
        <v>5429</v>
      </c>
      <c r="E1636" t="s">
        <v>5232</v>
      </c>
      <c r="F1636" t="s">
        <v>23</v>
      </c>
      <c r="G1636" s="1">
        <v>13</v>
      </c>
      <c r="H1636" s="1">
        <v>12</v>
      </c>
      <c r="I1636" t="s">
        <v>1604</v>
      </c>
      <c r="K1636" t="s">
        <v>2828</v>
      </c>
      <c r="L1636" s="1">
        <v>1</v>
      </c>
      <c r="M1636" s="3">
        <v>10.66</v>
      </c>
      <c r="N1636" s="3">
        <v>0.53</v>
      </c>
      <c r="O1636" s="3">
        <v>0</v>
      </c>
      <c r="P1636" s="3">
        <v>0.2</v>
      </c>
      <c r="Q1636" s="3">
        <v>11.39</v>
      </c>
      <c r="R1636" s="3">
        <v>7.95</v>
      </c>
      <c r="S1636" s="3">
        <f>VLOOKUP(C1636,[1]page!$C$2:$M$3071,11,0)</f>
        <v>10.64</v>
      </c>
      <c r="T1636" s="6">
        <f t="shared" si="25"/>
        <v>1.9999999999999574E-2</v>
      </c>
    </row>
    <row r="1637" spans="1:20" x14ac:dyDescent="0.2">
      <c r="A1637" t="s">
        <v>5417</v>
      </c>
      <c r="B1637" t="s">
        <v>5430</v>
      </c>
      <c r="C1637" t="s">
        <v>5431</v>
      </c>
      <c r="D1637" t="s">
        <v>5432</v>
      </c>
      <c r="E1637" t="s">
        <v>5232</v>
      </c>
      <c r="F1637" t="s">
        <v>23</v>
      </c>
      <c r="G1637" s="1">
        <v>8</v>
      </c>
      <c r="H1637" s="1">
        <v>12</v>
      </c>
      <c r="I1637" t="s">
        <v>1604</v>
      </c>
      <c r="K1637" t="s">
        <v>2706</v>
      </c>
      <c r="L1637" s="1">
        <v>1</v>
      </c>
      <c r="M1637" s="3">
        <v>10.66</v>
      </c>
      <c r="N1637" s="3">
        <v>0.53</v>
      </c>
      <c r="O1637" s="3">
        <v>0</v>
      </c>
      <c r="P1637" s="3">
        <v>0.2</v>
      </c>
      <c r="Q1637" s="3">
        <v>11.39</v>
      </c>
      <c r="R1637" s="3">
        <v>7.95</v>
      </c>
      <c r="S1637" s="3">
        <f>VLOOKUP(C1637,[1]page!$C$2:$M$3071,11,0)</f>
        <v>10.64</v>
      </c>
      <c r="T1637" s="6">
        <f t="shared" si="25"/>
        <v>1.9999999999999574E-2</v>
      </c>
    </row>
    <row r="1638" spans="1:20" x14ac:dyDescent="0.2">
      <c r="A1638" t="s">
        <v>5417</v>
      </c>
      <c r="B1638" t="s">
        <v>5433</v>
      </c>
      <c r="C1638" t="s">
        <v>5434</v>
      </c>
      <c r="D1638" t="s">
        <v>5435</v>
      </c>
      <c r="E1638" t="s">
        <v>5029</v>
      </c>
      <c r="F1638" t="s">
        <v>23</v>
      </c>
      <c r="G1638" s="2">
        <v>13.5</v>
      </c>
      <c r="H1638" s="1">
        <v>12</v>
      </c>
      <c r="I1638" t="s">
        <v>607</v>
      </c>
      <c r="K1638" t="s">
        <v>2687</v>
      </c>
      <c r="L1638" s="1">
        <v>1</v>
      </c>
      <c r="M1638" s="3">
        <v>20.94</v>
      </c>
      <c r="N1638" s="3">
        <v>1.05</v>
      </c>
      <c r="O1638" s="3">
        <v>0</v>
      </c>
      <c r="P1638" s="3">
        <v>0.2</v>
      </c>
      <c r="Q1638" s="3">
        <v>22.19</v>
      </c>
      <c r="R1638" s="3">
        <v>7.95</v>
      </c>
      <c r="S1638" s="3">
        <f>VLOOKUP(C1638,[1]page!$C$2:$M$3071,11,0)</f>
        <v>20.93</v>
      </c>
      <c r="T1638" s="6">
        <f t="shared" ref="T1638:T1699" si="26">SUM(M1638-S1638)</f>
        <v>1.0000000000001563E-2</v>
      </c>
    </row>
    <row r="1639" spans="1:20" x14ac:dyDescent="0.2">
      <c r="A1639" t="s">
        <v>5417</v>
      </c>
      <c r="B1639" t="s">
        <v>5436</v>
      </c>
      <c r="C1639" t="s">
        <v>5437</v>
      </c>
      <c r="D1639" t="s">
        <v>5438</v>
      </c>
      <c r="E1639" t="s">
        <v>5029</v>
      </c>
      <c r="F1639" t="s">
        <v>23</v>
      </c>
      <c r="G1639" s="1">
        <v>9</v>
      </c>
      <c r="H1639" s="1">
        <v>12</v>
      </c>
      <c r="I1639" t="s">
        <v>607</v>
      </c>
      <c r="K1639" t="s">
        <v>2687</v>
      </c>
      <c r="L1639" s="1">
        <v>1</v>
      </c>
      <c r="M1639" s="3">
        <v>20.88</v>
      </c>
      <c r="N1639" s="3">
        <v>1.04</v>
      </c>
      <c r="O1639" s="3">
        <v>0</v>
      </c>
      <c r="P1639" s="3">
        <v>0.2</v>
      </c>
      <c r="Q1639" s="3">
        <v>22.12</v>
      </c>
      <c r="R1639" s="3">
        <v>7.95</v>
      </c>
      <c r="S1639" s="3">
        <f>VLOOKUP(C1639,[1]page!$C$2:$M$3071,11,0)</f>
        <v>20.87</v>
      </c>
      <c r="T1639" s="6">
        <f t="shared" si="26"/>
        <v>9.9999999999980105E-3</v>
      </c>
    </row>
    <row r="1640" spans="1:20" x14ac:dyDescent="0.2">
      <c r="A1640" t="s">
        <v>5417</v>
      </c>
      <c r="B1640" t="s">
        <v>5439</v>
      </c>
      <c r="C1640" t="s">
        <v>5440</v>
      </c>
      <c r="D1640" t="s">
        <v>5441</v>
      </c>
      <c r="E1640" t="s">
        <v>5017</v>
      </c>
      <c r="F1640" t="s">
        <v>87</v>
      </c>
      <c r="G1640" s="2">
        <v>12.5</v>
      </c>
      <c r="H1640" s="1">
        <v>3</v>
      </c>
      <c r="I1640" t="s">
        <v>2700</v>
      </c>
      <c r="K1640" t="s">
        <v>2828</v>
      </c>
      <c r="L1640" s="1">
        <v>1</v>
      </c>
      <c r="M1640" s="3">
        <v>33.29</v>
      </c>
      <c r="N1640" s="3">
        <v>1.66</v>
      </c>
      <c r="O1640" s="3">
        <v>0</v>
      </c>
      <c r="P1640" s="3">
        <v>0</v>
      </c>
      <c r="Q1640" s="3">
        <v>34.950000000000003</v>
      </c>
      <c r="R1640" s="3">
        <v>26.4</v>
      </c>
      <c r="S1640" s="3">
        <f>VLOOKUP(C1640,[1]page!$C$2:$M$3071,11,0)</f>
        <v>33.200000000000003</v>
      </c>
      <c r="T1640" s="6">
        <f t="shared" si="26"/>
        <v>8.9999999999996305E-2</v>
      </c>
    </row>
    <row r="1641" spans="1:20" x14ac:dyDescent="0.2">
      <c r="A1641" t="s">
        <v>5417</v>
      </c>
      <c r="B1641" t="s">
        <v>5442</v>
      </c>
      <c r="C1641" t="s">
        <v>5443</v>
      </c>
      <c r="D1641" t="s">
        <v>5444</v>
      </c>
      <c r="E1641" t="s">
        <v>5162</v>
      </c>
      <c r="F1641" t="s">
        <v>23</v>
      </c>
      <c r="G1641" s="2">
        <v>13.9</v>
      </c>
      <c r="H1641" s="1">
        <v>12</v>
      </c>
      <c r="I1641" t="s">
        <v>183</v>
      </c>
      <c r="K1641" t="s">
        <v>2828</v>
      </c>
      <c r="L1641" s="1">
        <v>1</v>
      </c>
      <c r="M1641" s="3">
        <v>22.91</v>
      </c>
      <c r="N1641" s="3">
        <v>1.1499999999999999</v>
      </c>
      <c r="O1641" s="3">
        <v>0</v>
      </c>
      <c r="P1641" s="3">
        <v>0.2</v>
      </c>
      <c r="Q1641" s="3">
        <v>24.26</v>
      </c>
      <c r="R1641" s="3">
        <v>7.95</v>
      </c>
      <c r="S1641" s="3">
        <f>VLOOKUP(C1641,[1]page!$C$2:$M$3071,11,0)</f>
        <v>22.89</v>
      </c>
      <c r="T1641" s="6">
        <f t="shared" si="26"/>
        <v>1.9999999999999574E-2</v>
      </c>
    </row>
    <row r="1642" spans="1:20" x14ac:dyDescent="0.2">
      <c r="A1642" t="s">
        <v>5417</v>
      </c>
      <c r="B1642" t="s">
        <v>5445</v>
      </c>
      <c r="C1642" t="s">
        <v>5446</v>
      </c>
      <c r="D1642" t="s">
        <v>5447</v>
      </c>
      <c r="E1642" t="s">
        <v>5245</v>
      </c>
      <c r="F1642" t="s">
        <v>23</v>
      </c>
      <c r="G1642" s="2">
        <v>13.5</v>
      </c>
      <c r="H1642" s="1">
        <v>12</v>
      </c>
      <c r="I1642" t="s">
        <v>449</v>
      </c>
      <c r="K1642" t="s">
        <v>2828</v>
      </c>
      <c r="L1642" s="1">
        <v>1</v>
      </c>
      <c r="M1642" s="3">
        <v>17.57</v>
      </c>
      <c r="N1642" s="3">
        <v>0.88</v>
      </c>
      <c r="O1642" s="3">
        <v>0</v>
      </c>
      <c r="P1642" s="3">
        <v>0.2</v>
      </c>
      <c r="Q1642" s="3">
        <v>18.649999999999999</v>
      </c>
      <c r="R1642" s="3">
        <v>7.95</v>
      </c>
      <c r="S1642" s="3">
        <f>VLOOKUP(C1642,[1]page!$C$2:$M$3071,11,0)</f>
        <v>17.55</v>
      </c>
      <c r="T1642" s="6">
        <f t="shared" si="26"/>
        <v>1.9999999999999574E-2</v>
      </c>
    </row>
    <row r="1643" spans="1:20" x14ac:dyDescent="0.2">
      <c r="A1643" t="s">
        <v>5417</v>
      </c>
      <c r="B1643" t="s">
        <v>5448</v>
      </c>
      <c r="C1643" t="s">
        <v>5449</v>
      </c>
      <c r="D1643" t="s">
        <v>5450</v>
      </c>
      <c r="E1643" t="s">
        <v>5245</v>
      </c>
      <c r="F1643" t="s">
        <v>23</v>
      </c>
      <c r="G1643" s="2">
        <v>12.5</v>
      </c>
      <c r="H1643" s="1">
        <v>12</v>
      </c>
      <c r="I1643" t="s">
        <v>449</v>
      </c>
      <c r="K1643" t="s">
        <v>2828</v>
      </c>
      <c r="L1643" s="1">
        <v>1</v>
      </c>
      <c r="M1643" s="3">
        <v>17.57</v>
      </c>
      <c r="N1643" s="3">
        <v>0.88</v>
      </c>
      <c r="O1643" s="3">
        <v>0</v>
      </c>
      <c r="P1643" s="3">
        <v>0.2</v>
      </c>
      <c r="Q1643" s="3">
        <v>18.649999999999999</v>
      </c>
      <c r="R1643" s="3">
        <v>7.95</v>
      </c>
      <c r="S1643" s="3">
        <f>VLOOKUP(C1643,[1]page!$C$2:$M$3071,11,0)</f>
        <v>17.55</v>
      </c>
      <c r="T1643" s="6">
        <f t="shared" si="26"/>
        <v>1.9999999999999574E-2</v>
      </c>
    </row>
    <row r="1644" spans="1:20" x14ac:dyDescent="0.2">
      <c r="A1644" t="s">
        <v>5417</v>
      </c>
      <c r="B1644" t="s">
        <v>5451</v>
      </c>
      <c r="C1644" t="s">
        <v>5452</v>
      </c>
      <c r="D1644" t="s">
        <v>5453</v>
      </c>
      <c r="E1644" t="s">
        <v>2077</v>
      </c>
      <c r="F1644" t="s">
        <v>23</v>
      </c>
      <c r="G1644" s="1">
        <v>13</v>
      </c>
      <c r="H1644" s="1">
        <v>12</v>
      </c>
      <c r="I1644" t="s">
        <v>1604</v>
      </c>
      <c r="K1644" t="s">
        <v>2706</v>
      </c>
      <c r="L1644" s="1">
        <v>1</v>
      </c>
      <c r="M1644" s="3">
        <v>14.1</v>
      </c>
      <c r="N1644" s="3">
        <v>0.71</v>
      </c>
      <c r="O1644" s="3">
        <v>0</v>
      </c>
      <c r="P1644" s="3">
        <v>0.2</v>
      </c>
      <c r="Q1644" s="3">
        <v>15.01</v>
      </c>
      <c r="R1644" s="3">
        <v>7.95</v>
      </c>
      <c r="S1644" s="3">
        <f>VLOOKUP(C1644,[1]page!$C$2:$M$3071,11,0)</f>
        <v>14.08</v>
      </c>
      <c r="T1644" s="6">
        <f t="shared" si="26"/>
        <v>1.9999999999999574E-2</v>
      </c>
    </row>
    <row r="1645" spans="1:20" x14ac:dyDescent="0.2">
      <c r="A1645" t="s">
        <v>5417</v>
      </c>
      <c r="B1645" t="s">
        <v>5454</v>
      </c>
      <c r="C1645" t="s">
        <v>5455</v>
      </c>
      <c r="D1645" t="s">
        <v>5456</v>
      </c>
      <c r="E1645" t="s">
        <v>5056</v>
      </c>
      <c r="F1645" t="s">
        <v>23</v>
      </c>
      <c r="G1645" s="2">
        <v>13.6</v>
      </c>
      <c r="H1645" s="1">
        <v>12</v>
      </c>
      <c r="I1645" t="s">
        <v>57</v>
      </c>
      <c r="K1645" t="s">
        <v>2687</v>
      </c>
      <c r="L1645" s="1">
        <v>1</v>
      </c>
      <c r="M1645" s="3">
        <v>22.62</v>
      </c>
      <c r="N1645" s="3">
        <v>1.1299999999999999</v>
      </c>
      <c r="O1645" s="3">
        <v>0</v>
      </c>
      <c r="P1645" s="3">
        <v>0.2</v>
      </c>
      <c r="Q1645" s="3">
        <v>23.95</v>
      </c>
      <c r="R1645" s="3">
        <v>7.95</v>
      </c>
      <c r="S1645" s="3">
        <f>VLOOKUP(C1645,[1]page!$C$2:$M$3071,11,0)</f>
        <v>22.6</v>
      </c>
      <c r="T1645" s="6">
        <f t="shared" si="26"/>
        <v>1.9999999999999574E-2</v>
      </c>
    </row>
    <row r="1646" spans="1:20" x14ac:dyDescent="0.2">
      <c r="A1646" t="s">
        <v>5417</v>
      </c>
      <c r="B1646" t="s">
        <v>5457</v>
      </c>
      <c r="C1646" t="s">
        <v>5458</v>
      </c>
      <c r="D1646" t="s">
        <v>5459</v>
      </c>
      <c r="E1646" t="s">
        <v>5375</v>
      </c>
      <c r="F1646" t="s">
        <v>23</v>
      </c>
      <c r="G1646" s="1">
        <v>13</v>
      </c>
      <c r="H1646" s="1">
        <v>12</v>
      </c>
      <c r="I1646" t="s">
        <v>257</v>
      </c>
      <c r="K1646" t="s">
        <v>2828</v>
      </c>
      <c r="L1646" s="1">
        <v>1</v>
      </c>
      <c r="M1646" s="3">
        <v>12.56</v>
      </c>
      <c r="N1646" s="3">
        <v>0.63</v>
      </c>
      <c r="O1646" s="3">
        <v>0</v>
      </c>
      <c r="P1646" s="3">
        <v>0.2</v>
      </c>
      <c r="Q1646" s="3">
        <v>13.39</v>
      </c>
      <c r="R1646" s="3">
        <v>7.95</v>
      </c>
      <c r="S1646" s="3">
        <f>VLOOKUP(C1646,[1]page!$C$2:$M$3071,11,0)</f>
        <v>12.54</v>
      </c>
      <c r="T1646" s="6">
        <f t="shared" si="26"/>
        <v>2.000000000000135E-2</v>
      </c>
    </row>
    <row r="1647" spans="1:20" x14ac:dyDescent="0.2">
      <c r="A1647" t="s">
        <v>5417</v>
      </c>
      <c r="B1647" t="s">
        <v>5460</v>
      </c>
      <c r="C1647" t="s">
        <v>5461</v>
      </c>
      <c r="D1647" t="s">
        <v>5462</v>
      </c>
      <c r="E1647" t="s">
        <v>5162</v>
      </c>
      <c r="F1647" t="s">
        <v>23</v>
      </c>
      <c r="G1647" s="2">
        <v>13.3</v>
      </c>
      <c r="H1647" s="1">
        <v>12</v>
      </c>
      <c r="I1647" t="s">
        <v>183</v>
      </c>
      <c r="K1647" t="s">
        <v>2687</v>
      </c>
      <c r="L1647" s="1">
        <v>1</v>
      </c>
      <c r="M1647" s="3">
        <v>15.88</v>
      </c>
      <c r="N1647" s="3">
        <v>0.79</v>
      </c>
      <c r="O1647" s="3">
        <v>0</v>
      </c>
      <c r="P1647" s="3">
        <v>0.2</v>
      </c>
      <c r="Q1647" s="3">
        <v>16.87</v>
      </c>
      <c r="R1647" s="3">
        <v>7.95</v>
      </c>
      <c r="S1647" s="3">
        <f>VLOOKUP(C1647,[1]page!$C$2:$M$3071,11,0)</f>
        <v>15.86</v>
      </c>
      <c r="T1647" s="6">
        <f t="shared" si="26"/>
        <v>2.000000000000135E-2</v>
      </c>
    </row>
    <row r="1648" spans="1:20" x14ac:dyDescent="0.2">
      <c r="A1648" t="s">
        <v>5417</v>
      </c>
      <c r="B1648" t="s">
        <v>5463</v>
      </c>
      <c r="C1648" t="s">
        <v>5464</v>
      </c>
      <c r="D1648" t="s">
        <v>5465</v>
      </c>
      <c r="E1648" t="s">
        <v>5116</v>
      </c>
      <c r="F1648" t="s">
        <v>23</v>
      </c>
      <c r="G1648" s="2">
        <v>13.6</v>
      </c>
      <c r="H1648" s="1">
        <v>12</v>
      </c>
      <c r="I1648" t="s">
        <v>2700</v>
      </c>
      <c r="K1648" t="s">
        <v>2828</v>
      </c>
      <c r="L1648" s="1">
        <v>1</v>
      </c>
      <c r="M1648" s="3">
        <v>18.29</v>
      </c>
      <c r="N1648" s="3">
        <v>0.91</v>
      </c>
      <c r="O1648" s="3">
        <v>0</v>
      </c>
      <c r="P1648" s="3">
        <v>0.2</v>
      </c>
      <c r="Q1648" s="3">
        <v>19.399999999999999</v>
      </c>
      <c r="R1648" s="3">
        <v>7.95</v>
      </c>
      <c r="S1648" s="3">
        <f>VLOOKUP(C1648,[1]page!$C$2:$M$3071,11,0)</f>
        <v>18.260000000000002</v>
      </c>
      <c r="T1648" s="6">
        <f t="shared" si="26"/>
        <v>2.9999999999997584E-2</v>
      </c>
    </row>
    <row r="1649" spans="1:20" x14ac:dyDescent="0.2">
      <c r="A1649" t="s">
        <v>5466</v>
      </c>
      <c r="B1649" t="s">
        <v>5467</v>
      </c>
      <c r="C1649" t="s">
        <v>5468</v>
      </c>
      <c r="D1649" t="s">
        <v>5469</v>
      </c>
      <c r="E1649" t="s">
        <v>5064</v>
      </c>
      <c r="F1649" t="s">
        <v>23</v>
      </c>
      <c r="G1649" s="2">
        <v>13.5</v>
      </c>
      <c r="H1649" s="1">
        <v>12</v>
      </c>
      <c r="I1649" t="s">
        <v>188</v>
      </c>
      <c r="K1649" t="s">
        <v>2828</v>
      </c>
      <c r="L1649" s="1">
        <v>1</v>
      </c>
      <c r="M1649" s="3">
        <v>24.79</v>
      </c>
      <c r="N1649" s="3">
        <v>1.24</v>
      </c>
      <c r="O1649" s="3">
        <v>0</v>
      </c>
      <c r="P1649" s="3">
        <v>0.2</v>
      </c>
      <c r="Q1649" s="3">
        <v>26.23</v>
      </c>
      <c r="R1649" s="3">
        <v>7.95</v>
      </c>
      <c r="S1649" s="3">
        <f>VLOOKUP(C1649,[1]page!$C$2:$M$3071,11,0)</f>
        <v>25.13</v>
      </c>
      <c r="T1649" s="6">
        <f t="shared" si="26"/>
        <v>-0.33999999999999986</v>
      </c>
    </row>
    <row r="1650" spans="1:20" x14ac:dyDescent="0.2">
      <c r="A1650" t="s">
        <v>5470</v>
      </c>
      <c r="B1650" t="s">
        <v>5471</v>
      </c>
      <c r="C1650" t="s">
        <v>5472</v>
      </c>
      <c r="D1650" t="s">
        <v>5473</v>
      </c>
      <c r="E1650" t="s">
        <v>5162</v>
      </c>
      <c r="F1650" t="s">
        <v>23</v>
      </c>
      <c r="G1650" s="2">
        <v>14.3</v>
      </c>
      <c r="H1650" s="1">
        <v>12</v>
      </c>
      <c r="I1650" t="s">
        <v>183</v>
      </c>
      <c r="K1650" t="s">
        <v>2828</v>
      </c>
      <c r="L1650" s="1">
        <v>1</v>
      </c>
      <c r="M1650" s="3">
        <v>22.96</v>
      </c>
      <c r="N1650" s="3">
        <v>1.1499999999999999</v>
      </c>
      <c r="O1650" s="3">
        <v>0</v>
      </c>
      <c r="P1650" s="3">
        <v>0.2</v>
      </c>
      <c r="Q1650" s="3">
        <v>24.31</v>
      </c>
      <c r="R1650" s="3">
        <v>7.95</v>
      </c>
      <c r="S1650" s="3">
        <f>VLOOKUP(C1650,[1]page!$C$2:$M$3071,11,0)</f>
        <v>22.94</v>
      </c>
      <c r="T1650" s="6">
        <f t="shared" si="26"/>
        <v>1.9999999999999574E-2</v>
      </c>
    </row>
    <row r="1651" spans="1:20" x14ac:dyDescent="0.2">
      <c r="A1651" t="s">
        <v>5470</v>
      </c>
      <c r="B1651" t="s">
        <v>5474</v>
      </c>
      <c r="C1651" t="s">
        <v>5475</v>
      </c>
      <c r="D1651" t="s">
        <v>5476</v>
      </c>
      <c r="E1651" t="s">
        <v>5477</v>
      </c>
      <c r="F1651" t="s">
        <v>23</v>
      </c>
      <c r="G1651" s="1">
        <v>14</v>
      </c>
      <c r="H1651" s="1">
        <v>12</v>
      </c>
      <c r="I1651" t="s">
        <v>1604</v>
      </c>
      <c r="K1651" t="s">
        <v>2687</v>
      </c>
      <c r="L1651" s="1">
        <v>1</v>
      </c>
      <c r="M1651" s="3">
        <v>24.37</v>
      </c>
      <c r="N1651" s="3">
        <v>1.22</v>
      </c>
      <c r="O1651" s="3">
        <v>0</v>
      </c>
      <c r="P1651" s="3">
        <v>0.2</v>
      </c>
      <c r="Q1651" s="3">
        <v>25.79</v>
      </c>
      <c r="R1651" s="3">
        <v>7.95</v>
      </c>
      <c r="S1651" s="3">
        <f>VLOOKUP(C1651,[1]page!$C$2:$M$3071,11,0)</f>
        <v>24.36</v>
      </c>
      <c r="T1651" s="6">
        <f t="shared" si="26"/>
        <v>1.0000000000001563E-2</v>
      </c>
    </row>
    <row r="1652" spans="1:20" x14ac:dyDescent="0.2">
      <c r="A1652" t="s">
        <v>5470</v>
      </c>
      <c r="B1652" t="s">
        <v>5478</v>
      </c>
      <c r="C1652" t="s">
        <v>5479</v>
      </c>
      <c r="D1652" t="s">
        <v>5480</v>
      </c>
      <c r="E1652" t="s">
        <v>5056</v>
      </c>
      <c r="F1652" t="s">
        <v>23</v>
      </c>
      <c r="G1652" s="2">
        <v>13.8</v>
      </c>
      <c r="H1652" s="1">
        <v>12</v>
      </c>
      <c r="I1652" t="s">
        <v>57</v>
      </c>
      <c r="J1652" s="1">
        <v>2013</v>
      </c>
      <c r="K1652" t="s">
        <v>2828</v>
      </c>
      <c r="L1652" s="1">
        <v>1</v>
      </c>
      <c r="M1652" s="3">
        <v>22.62</v>
      </c>
      <c r="N1652" s="3">
        <v>1.1299999999999999</v>
      </c>
      <c r="O1652" s="3">
        <v>0</v>
      </c>
      <c r="P1652" s="3">
        <v>0.2</v>
      </c>
      <c r="Q1652" s="3">
        <v>23.95</v>
      </c>
      <c r="R1652" s="3">
        <v>7.95</v>
      </c>
      <c r="S1652" s="3">
        <f>VLOOKUP(C1652,[1]page!$C$2:$M$3071,11,0)</f>
        <v>22.6</v>
      </c>
      <c r="T1652" s="6">
        <f t="shared" si="26"/>
        <v>1.9999999999999574E-2</v>
      </c>
    </row>
    <row r="1653" spans="1:20" x14ac:dyDescent="0.2">
      <c r="A1653" t="s">
        <v>5470</v>
      </c>
      <c r="B1653" t="s">
        <v>5481</v>
      </c>
      <c r="C1653" t="s">
        <v>5482</v>
      </c>
      <c r="D1653" t="s">
        <v>5483</v>
      </c>
      <c r="E1653" t="s">
        <v>5362</v>
      </c>
      <c r="F1653" t="s">
        <v>23</v>
      </c>
      <c r="G1653" s="2">
        <v>13.5</v>
      </c>
      <c r="H1653" s="1">
        <v>12</v>
      </c>
      <c r="I1653" t="s">
        <v>1604</v>
      </c>
      <c r="K1653" t="s">
        <v>2828</v>
      </c>
      <c r="L1653" s="1">
        <v>1</v>
      </c>
      <c r="M1653" s="3">
        <v>21.06</v>
      </c>
      <c r="N1653" s="3">
        <v>1.05</v>
      </c>
      <c r="O1653" s="3">
        <v>0</v>
      </c>
      <c r="P1653" s="3">
        <v>0.2</v>
      </c>
      <c r="Q1653" s="3">
        <v>22.31</v>
      </c>
      <c r="R1653" s="3">
        <v>7.95</v>
      </c>
      <c r="S1653" s="3">
        <f>VLOOKUP(C1653,[1]page!$C$2:$M$3071,11,0)</f>
        <v>21.05</v>
      </c>
      <c r="T1653" s="6">
        <f t="shared" si="26"/>
        <v>9.9999999999980105E-3</v>
      </c>
    </row>
    <row r="1654" spans="1:20" x14ac:dyDescent="0.2">
      <c r="A1654" t="s">
        <v>5470</v>
      </c>
      <c r="B1654" t="s">
        <v>5484</v>
      </c>
      <c r="C1654" t="s">
        <v>5485</v>
      </c>
      <c r="D1654" t="s">
        <v>5486</v>
      </c>
      <c r="E1654" t="s">
        <v>5487</v>
      </c>
      <c r="F1654" t="s">
        <v>23</v>
      </c>
      <c r="G1654" s="2">
        <v>14.5</v>
      </c>
      <c r="H1654" s="1">
        <v>12</v>
      </c>
      <c r="I1654" t="s">
        <v>57</v>
      </c>
      <c r="K1654" t="s">
        <v>2828</v>
      </c>
      <c r="L1654" s="1">
        <v>1</v>
      </c>
      <c r="M1654" s="3">
        <v>29.04</v>
      </c>
      <c r="N1654" s="3">
        <v>1.45</v>
      </c>
      <c r="O1654" s="3">
        <v>0</v>
      </c>
      <c r="P1654" s="3">
        <v>0.2</v>
      </c>
      <c r="Q1654" s="3">
        <v>30.69</v>
      </c>
      <c r="R1654" s="3">
        <v>7.95</v>
      </c>
      <c r="S1654" s="3">
        <f>VLOOKUP(C1654,[1]page!$C$2:$M$3071,11,0)</f>
        <v>29.02</v>
      </c>
      <c r="T1654" s="6">
        <f t="shared" si="26"/>
        <v>1.9999999999999574E-2</v>
      </c>
    </row>
    <row r="1655" spans="1:20" x14ac:dyDescent="0.2">
      <c r="A1655" t="s">
        <v>5470</v>
      </c>
      <c r="B1655" t="s">
        <v>5488</v>
      </c>
      <c r="C1655" t="s">
        <v>5489</v>
      </c>
      <c r="D1655" t="s">
        <v>5490</v>
      </c>
      <c r="E1655" t="s">
        <v>5487</v>
      </c>
      <c r="F1655" t="s">
        <v>23</v>
      </c>
      <c r="G1655" s="2">
        <v>14.4</v>
      </c>
      <c r="H1655" s="1">
        <v>12</v>
      </c>
      <c r="I1655" t="s">
        <v>57</v>
      </c>
      <c r="K1655" t="s">
        <v>2828</v>
      </c>
      <c r="L1655" s="1">
        <v>1</v>
      </c>
      <c r="M1655" s="3">
        <v>24.54</v>
      </c>
      <c r="N1655" s="3">
        <v>1.23</v>
      </c>
      <c r="O1655" s="3">
        <v>0</v>
      </c>
      <c r="P1655" s="3">
        <v>0.2</v>
      </c>
      <c r="Q1655" s="3">
        <v>25.97</v>
      </c>
      <c r="R1655" s="3">
        <v>7.95</v>
      </c>
      <c r="S1655" s="3">
        <f>VLOOKUP(C1655,[1]page!$C$2:$M$3071,11,0)</f>
        <v>24.52</v>
      </c>
      <c r="T1655" s="6">
        <f t="shared" si="26"/>
        <v>1.9999999999999574E-2</v>
      </c>
    </row>
    <row r="1656" spans="1:20" x14ac:dyDescent="0.2">
      <c r="A1656" t="s">
        <v>5470</v>
      </c>
      <c r="B1656" t="s">
        <v>5491</v>
      </c>
      <c r="C1656" t="s">
        <v>5492</v>
      </c>
      <c r="D1656" t="s">
        <v>5493</v>
      </c>
      <c r="E1656" t="s">
        <v>5487</v>
      </c>
      <c r="F1656" t="s">
        <v>23</v>
      </c>
      <c r="G1656" s="2">
        <v>13.8</v>
      </c>
      <c r="H1656" s="1">
        <v>12</v>
      </c>
      <c r="I1656" t="s">
        <v>57</v>
      </c>
      <c r="K1656" t="s">
        <v>2828</v>
      </c>
      <c r="L1656" s="1">
        <v>1</v>
      </c>
      <c r="M1656" s="3">
        <v>25.54</v>
      </c>
      <c r="N1656" s="3">
        <v>1.28</v>
      </c>
      <c r="O1656" s="3">
        <v>0</v>
      </c>
      <c r="P1656" s="3">
        <v>0.2</v>
      </c>
      <c r="Q1656" s="3">
        <v>27.02</v>
      </c>
      <c r="R1656" s="3">
        <v>7.95</v>
      </c>
      <c r="S1656" s="3">
        <f>VLOOKUP(C1656,[1]page!$C$2:$M$3071,11,0)</f>
        <v>25.52</v>
      </c>
      <c r="T1656" s="6">
        <f t="shared" si="26"/>
        <v>1.9999999999999574E-2</v>
      </c>
    </row>
    <row r="1657" spans="1:20" x14ac:dyDescent="0.2">
      <c r="A1657" t="s">
        <v>5470</v>
      </c>
      <c r="B1657" t="s">
        <v>5494</v>
      </c>
      <c r="C1657" t="s">
        <v>5495</v>
      </c>
      <c r="D1657" t="s">
        <v>5496</v>
      </c>
      <c r="E1657" t="s">
        <v>5497</v>
      </c>
      <c r="F1657" t="s">
        <v>23</v>
      </c>
      <c r="G1657" s="2">
        <v>14.8</v>
      </c>
      <c r="H1657" s="1">
        <v>12</v>
      </c>
      <c r="I1657" t="s">
        <v>70</v>
      </c>
      <c r="K1657" t="s">
        <v>2828</v>
      </c>
      <c r="L1657" s="1">
        <v>1</v>
      </c>
      <c r="M1657" s="3">
        <v>31.3</v>
      </c>
      <c r="N1657" s="3">
        <v>1.57</v>
      </c>
      <c r="O1657" s="3">
        <v>0</v>
      </c>
      <c r="P1657" s="3">
        <v>0.2</v>
      </c>
      <c r="Q1657" s="3">
        <v>33.07</v>
      </c>
      <c r="R1657" s="3">
        <v>7.95</v>
      </c>
      <c r="S1657" s="3">
        <f>VLOOKUP(C1657,[1]page!$C$2:$M$3071,11,0)</f>
        <v>31.29</v>
      </c>
      <c r="T1657" s="6">
        <f t="shared" si="26"/>
        <v>1.0000000000001563E-2</v>
      </c>
    </row>
    <row r="1658" spans="1:20" x14ac:dyDescent="0.2">
      <c r="A1658" t="s">
        <v>5498</v>
      </c>
      <c r="B1658" t="s">
        <v>5499</v>
      </c>
      <c r="C1658" t="s">
        <v>5500</v>
      </c>
      <c r="D1658" t="s">
        <v>5501</v>
      </c>
      <c r="E1658" t="s">
        <v>5502</v>
      </c>
      <c r="F1658" t="s">
        <v>23</v>
      </c>
      <c r="G1658" s="1">
        <v>14</v>
      </c>
      <c r="H1658" s="1">
        <v>12</v>
      </c>
      <c r="I1658" t="s">
        <v>4034</v>
      </c>
      <c r="K1658" t="s">
        <v>2828</v>
      </c>
      <c r="L1658" s="1">
        <v>1</v>
      </c>
      <c r="M1658" s="3">
        <v>25.84</v>
      </c>
      <c r="N1658" s="3">
        <v>1.29</v>
      </c>
      <c r="O1658" s="3">
        <v>0</v>
      </c>
      <c r="P1658" s="3">
        <v>0.2</v>
      </c>
      <c r="Q1658" s="3">
        <v>27.33</v>
      </c>
      <c r="R1658" s="3">
        <v>7.95</v>
      </c>
      <c r="S1658" s="3">
        <f>VLOOKUP(C1658,[1]page!$C$2:$M$3071,11,0)</f>
        <v>25.84</v>
      </c>
      <c r="T1658" s="6">
        <f t="shared" si="26"/>
        <v>0</v>
      </c>
    </row>
    <row r="1659" spans="1:20" x14ac:dyDescent="0.2">
      <c r="A1659" t="s">
        <v>5503</v>
      </c>
      <c r="B1659" t="s">
        <v>5504</v>
      </c>
      <c r="C1659" t="s">
        <v>5505</v>
      </c>
      <c r="D1659" t="s">
        <v>5506</v>
      </c>
      <c r="E1659" t="s">
        <v>5147</v>
      </c>
      <c r="F1659" t="s">
        <v>23</v>
      </c>
      <c r="G1659" s="2">
        <v>13.8</v>
      </c>
      <c r="H1659" s="1">
        <v>12</v>
      </c>
      <c r="I1659" t="s">
        <v>5148</v>
      </c>
      <c r="K1659" t="s">
        <v>2706</v>
      </c>
      <c r="L1659" s="1">
        <v>1</v>
      </c>
      <c r="M1659" s="3">
        <v>25.34</v>
      </c>
      <c r="N1659" s="3">
        <v>1.27</v>
      </c>
      <c r="O1659" s="3">
        <v>0</v>
      </c>
      <c r="P1659" s="3">
        <v>0.2</v>
      </c>
      <c r="Q1659" s="3">
        <v>26.81</v>
      </c>
      <c r="R1659" s="3">
        <v>7.95</v>
      </c>
      <c r="S1659" s="3">
        <f>VLOOKUP(C1659,[1]page!$C$2:$M$3071,11,0)</f>
        <v>25.32</v>
      </c>
      <c r="T1659" s="6">
        <f t="shared" si="26"/>
        <v>1.9999999999999574E-2</v>
      </c>
    </row>
    <row r="1660" spans="1:20" x14ac:dyDescent="0.2">
      <c r="A1660" t="s">
        <v>5503</v>
      </c>
      <c r="B1660" t="s">
        <v>5507</v>
      </c>
      <c r="C1660" t="s">
        <v>5508</v>
      </c>
      <c r="D1660" t="s">
        <v>5509</v>
      </c>
      <c r="E1660" t="s">
        <v>5245</v>
      </c>
      <c r="F1660" t="s">
        <v>23</v>
      </c>
      <c r="G1660" s="2">
        <v>14.5</v>
      </c>
      <c r="H1660" s="1">
        <v>12</v>
      </c>
      <c r="I1660" t="s">
        <v>449</v>
      </c>
      <c r="K1660" t="s">
        <v>2828</v>
      </c>
      <c r="L1660" s="1">
        <v>1</v>
      </c>
      <c r="M1660" s="3">
        <v>22.38</v>
      </c>
      <c r="N1660" s="3">
        <v>1.1200000000000001</v>
      </c>
      <c r="O1660" s="3">
        <v>0</v>
      </c>
      <c r="P1660" s="3">
        <v>0.2</v>
      </c>
      <c r="Q1660" s="3">
        <v>23.7</v>
      </c>
      <c r="R1660" s="3">
        <v>7.95</v>
      </c>
      <c r="S1660" s="3">
        <f>VLOOKUP(C1660,[1]page!$C$2:$M$3071,11,0)</f>
        <v>22.37</v>
      </c>
      <c r="T1660" s="6">
        <f t="shared" si="26"/>
        <v>9.9999999999980105E-3</v>
      </c>
    </row>
    <row r="1661" spans="1:20" x14ac:dyDescent="0.2">
      <c r="A1661" t="s">
        <v>5503</v>
      </c>
      <c r="B1661" t="s">
        <v>5510</v>
      </c>
      <c r="C1661" t="s">
        <v>5511</v>
      </c>
      <c r="D1661" t="s">
        <v>5512</v>
      </c>
      <c r="E1661" t="s">
        <v>1660</v>
      </c>
      <c r="F1661" t="s">
        <v>23</v>
      </c>
      <c r="G1661" s="2">
        <v>14.5</v>
      </c>
      <c r="H1661" s="1">
        <v>12</v>
      </c>
      <c r="I1661" t="s">
        <v>2700</v>
      </c>
      <c r="K1661" t="s">
        <v>2828</v>
      </c>
      <c r="L1661" s="1">
        <v>1</v>
      </c>
      <c r="M1661" s="3">
        <v>23.6</v>
      </c>
      <c r="N1661" s="3">
        <v>1.18</v>
      </c>
      <c r="O1661" s="3">
        <v>0</v>
      </c>
      <c r="P1661" s="3">
        <v>0.2</v>
      </c>
      <c r="Q1661" s="3">
        <v>24.98</v>
      </c>
      <c r="R1661" s="3">
        <v>7.95</v>
      </c>
      <c r="S1661" s="3">
        <f>VLOOKUP(C1661,[1]page!$C$2:$M$3071,11,0)</f>
        <v>23.58</v>
      </c>
      <c r="T1661" s="6">
        <f t="shared" si="26"/>
        <v>2.0000000000003126E-2</v>
      </c>
    </row>
    <row r="1662" spans="1:20" x14ac:dyDescent="0.2">
      <c r="A1662" t="s">
        <v>5513</v>
      </c>
      <c r="B1662" t="s">
        <v>5514</v>
      </c>
      <c r="C1662" t="s">
        <v>5515</v>
      </c>
      <c r="D1662" t="s">
        <v>5516</v>
      </c>
      <c r="E1662" t="s">
        <v>5517</v>
      </c>
      <c r="F1662" t="s">
        <v>23</v>
      </c>
      <c r="G1662" s="2">
        <v>13.5</v>
      </c>
      <c r="H1662" s="1">
        <v>12</v>
      </c>
      <c r="I1662" t="s">
        <v>57</v>
      </c>
      <c r="K1662" t="s">
        <v>2828</v>
      </c>
      <c r="L1662" s="1">
        <v>1</v>
      </c>
      <c r="M1662" s="3">
        <v>15.21</v>
      </c>
      <c r="N1662" s="3">
        <v>0.76</v>
      </c>
      <c r="O1662" s="3">
        <v>0</v>
      </c>
      <c r="P1662" s="3">
        <v>0.2</v>
      </c>
      <c r="Q1662" s="3">
        <v>16.170000000000002</v>
      </c>
      <c r="R1662" s="3">
        <v>7.95</v>
      </c>
      <c r="S1662" s="3">
        <f>VLOOKUP(C1662,[1]page!$C$2:$M$3071,11,0)</f>
        <v>15.29</v>
      </c>
      <c r="T1662" s="6">
        <f t="shared" si="26"/>
        <v>-7.9999999999998295E-2</v>
      </c>
    </row>
    <row r="1663" spans="1:20" x14ac:dyDescent="0.2">
      <c r="A1663" t="s">
        <v>5513</v>
      </c>
      <c r="B1663" t="s">
        <v>5518</v>
      </c>
      <c r="C1663" t="s">
        <v>5519</v>
      </c>
      <c r="D1663" t="s">
        <v>5520</v>
      </c>
      <c r="E1663" t="s">
        <v>5521</v>
      </c>
      <c r="F1663" t="s">
        <v>23</v>
      </c>
      <c r="G1663" s="2">
        <v>13.5</v>
      </c>
      <c r="H1663" s="1">
        <v>12</v>
      </c>
      <c r="I1663" t="s">
        <v>183</v>
      </c>
      <c r="K1663" t="s">
        <v>2687</v>
      </c>
      <c r="L1663" s="1">
        <v>1</v>
      </c>
      <c r="M1663" s="3">
        <v>19.329999999999998</v>
      </c>
      <c r="N1663" s="3">
        <v>0.97</v>
      </c>
      <c r="O1663" s="3">
        <v>0</v>
      </c>
      <c r="P1663" s="3">
        <v>0.2</v>
      </c>
      <c r="Q1663" s="3">
        <v>20.5</v>
      </c>
      <c r="R1663" s="3">
        <v>7.95</v>
      </c>
      <c r="S1663" s="3">
        <f>VLOOKUP(C1663,[1]page!$C$2:$M$3071,11,0)</f>
        <v>19.32</v>
      </c>
      <c r="T1663" s="6">
        <f t="shared" si="26"/>
        <v>9.9999999999980105E-3</v>
      </c>
    </row>
    <row r="1664" spans="1:20" x14ac:dyDescent="0.2">
      <c r="A1664" t="s">
        <v>5513</v>
      </c>
      <c r="B1664" t="s">
        <v>5522</v>
      </c>
      <c r="C1664" t="s">
        <v>5523</v>
      </c>
      <c r="D1664" t="s">
        <v>5524</v>
      </c>
      <c r="E1664" t="s">
        <v>5525</v>
      </c>
      <c r="F1664" t="s">
        <v>23</v>
      </c>
      <c r="G1664" s="2">
        <v>14.5</v>
      </c>
      <c r="H1664" s="1">
        <v>12</v>
      </c>
      <c r="I1664" t="s">
        <v>183</v>
      </c>
      <c r="K1664" t="s">
        <v>2687</v>
      </c>
      <c r="L1664" s="1">
        <v>1</v>
      </c>
      <c r="M1664" s="3">
        <v>19.600000000000001</v>
      </c>
      <c r="N1664" s="3">
        <v>0.98</v>
      </c>
      <c r="O1664" s="3">
        <v>0</v>
      </c>
      <c r="P1664" s="3">
        <v>0.2</v>
      </c>
      <c r="Q1664" s="3">
        <v>20.78</v>
      </c>
      <c r="R1664" s="3">
        <v>7.95</v>
      </c>
      <c r="S1664" s="3">
        <f>VLOOKUP(C1664,[1]page!$C$2:$M$3071,11,0)</f>
        <v>19.59</v>
      </c>
      <c r="T1664" s="6">
        <f t="shared" si="26"/>
        <v>1.0000000000001563E-2</v>
      </c>
    </row>
    <row r="1665" spans="1:20" x14ac:dyDescent="0.2">
      <c r="A1665" t="s">
        <v>5513</v>
      </c>
      <c r="B1665" t="s">
        <v>5526</v>
      </c>
      <c r="C1665" t="s">
        <v>5527</v>
      </c>
      <c r="D1665" t="s">
        <v>5528</v>
      </c>
      <c r="E1665" t="s">
        <v>5529</v>
      </c>
      <c r="F1665" t="s">
        <v>23</v>
      </c>
      <c r="G1665" s="2">
        <v>13.9</v>
      </c>
      <c r="H1665" s="1">
        <v>12</v>
      </c>
      <c r="I1665" t="s">
        <v>3653</v>
      </c>
      <c r="K1665" t="s">
        <v>2687</v>
      </c>
      <c r="L1665" s="1">
        <v>1</v>
      </c>
      <c r="M1665" s="3">
        <v>27.62</v>
      </c>
      <c r="N1665" s="3">
        <v>1.38</v>
      </c>
      <c r="O1665" s="3">
        <v>0</v>
      </c>
      <c r="P1665" s="3">
        <v>0.2</v>
      </c>
      <c r="Q1665" s="3">
        <v>29.2</v>
      </c>
      <c r="R1665" s="3">
        <v>7.95</v>
      </c>
      <c r="S1665" s="3">
        <f>VLOOKUP(C1665,[1]page!$C$2:$M$3071,11,0)</f>
        <v>27.61</v>
      </c>
      <c r="T1665" s="6">
        <f t="shared" si="26"/>
        <v>1.0000000000001563E-2</v>
      </c>
    </row>
    <row r="1666" spans="1:20" x14ac:dyDescent="0.2">
      <c r="A1666" t="s">
        <v>5513</v>
      </c>
      <c r="B1666" t="s">
        <v>5530</v>
      </c>
      <c r="C1666" t="s">
        <v>5531</v>
      </c>
      <c r="D1666" t="s">
        <v>5532</v>
      </c>
      <c r="E1666" t="s">
        <v>2980</v>
      </c>
      <c r="F1666" t="s">
        <v>23</v>
      </c>
      <c r="G1666" s="1">
        <v>14</v>
      </c>
      <c r="H1666" s="1">
        <v>12</v>
      </c>
      <c r="I1666" t="s">
        <v>57</v>
      </c>
      <c r="K1666" t="s">
        <v>2828</v>
      </c>
      <c r="L1666" s="1">
        <v>1</v>
      </c>
      <c r="M1666" s="3">
        <v>16.350000000000001</v>
      </c>
      <c r="N1666" s="3">
        <v>0.82</v>
      </c>
      <c r="O1666" s="3">
        <v>0</v>
      </c>
      <c r="P1666" s="3">
        <v>0.2</v>
      </c>
      <c r="Q1666" s="3">
        <v>17.37</v>
      </c>
      <c r="R1666" s="3">
        <v>7.95</v>
      </c>
      <c r="S1666" s="3">
        <f>VLOOKUP(C1666,[1]page!$C$2:$M$3071,11,0)</f>
        <v>16.350000000000001</v>
      </c>
      <c r="T1666" s="6">
        <f t="shared" si="26"/>
        <v>0</v>
      </c>
    </row>
    <row r="1667" spans="1:20" x14ac:dyDescent="0.2">
      <c r="A1667" t="s">
        <v>5513</v>
      </c>
      <c r="B1667" t="s">
        <v>5533</v>
      </c>
      <c r="C1667" t="s">
        <v>5534</v>
      </c>
      <c r="D1667" t="s">
        <v>5535</v>
      </c>
      <c r="E1667" t="s">
        <v>5521</v>
      </c>
      <c r="F1667" t="s">
        <v>23</v>
      </c>
      <c r="G1667" s="2">
        <v>14.5</v>
      </c>
      <c r="H1667" s="1">
        <v>12</v>
      </c>
      <c r="I1667" t="s">
        <v>183</v>
      </c>
      <c r="K1667" t="s">
        <v>2828</v>
      </c>
      <c r="L1667" s="1">
        <v>1</v>
      </c>
      <c r="M1667" s="3">
        <v>24.32</v>
      </c>
      <c r="N1667" s="3">
        <v>1.22</v>
      </c>
      <c r="O1667" s="3">
        <v>0</v>
      </c>
      <c r="P1667" s="3">
        <v>0.2</v>
      </c>
      <c r="Q1667" s="3">
        <v>25.74</v>
      </c>
      <c r="R1667" s="3">
        <v>7.95</v>
      </c>
      <c r="S1667" s="3">
        <f>VLOOKUP(C1667,[1]page!$C$2:$M$3071,11,0)</f>
        <v>24.3</v>
      </c>
      <c r="T1667" s="6">
        <f t="shared" si="26"/>
        <v>1.9999999999999574E-2</v>
      </c>
    </row>
    <row r="1668" spans="1:20" x14ac:dyDescent="0.2">
      <c r="A1668" t="s">
        <v>5513</v>
      </c>
      <c r="B1668" t="s">
        <v>5536</v>
      </c>
      <c r="C1668" t="s">
        <v>5537</v>
      </c>
      <c r="D1668" t="s">
        <v>5538</v>
      </c>
      <c r="E1668" t="s">
        <v>5539</v>
      </c>
      <c r="F1668" t="s">
        <v>23</v>
      </c>
      <c r="G1668" s="1">
        <v>14</v>
      </c>
      <c r="H1668" s="1">
        <v>12</v>
      </c>
      <c r="I1668" t="s">
        <v>600</v>
      </c>
      <c r="K1668" t="s">
        <v>2828</v>
      </c>
      <c r="L1668" s="1">
        <v>1</v>
      </c>
      <c r="M1668" s="3">
        <v>26.31</v>
      </c>
      <c r="N1668" s="3">
        <v>1.32</v>
      </c>
      <c r="O1668" s="3">
        <v>0</v>
      </c>
      <c r="P1668" s="3">
        <v>0.2</v>
      </c>
      <c r="Q1668" s="3">
        <v>27.83</v>
      </c>
      <c r="R1668" s="3">
        <v>7.95</v>
      </c>
      <c r="S1668" s="3">
        <f>VLOOKUP(C1668,[1]page!$C$2:$M$3071,11,0)</f>
        <v>26.29</v>
      </c>
      <c r="T1668" s="6">
        <f t="shared" si="26"/>
        <v>1.9999999999999574E-2</v>
      </c>
    </row>
    <row r="1669" spans="1:20" x14ac:dyDescent="0.2">
      <c r="A1669" t="s">
        <v>5540</v>
      </c>
      <c r="B1669" t="s">
        <v>5541</v>
      </c>
      <c r="C1669" t="s">
        <v>5542</v>
      </c>
      <c r="D1669" t="s">
        <v>5543</v>
      </c>
      <c r="E1669" t="s">
        <v>5521</v>
      </c>
      <c r="F1669" t="s">
        <v>23</v>
      </c>
      <c r="G1669" s="1">
        <v>14</v>
      </c>
      <c r="H1669" s="1">
        <v>12</v>
      </c>
      <c r="I1669" t="s">
        <v>183</v>
      </c>
      <c r="K1669" t="s">
        <v>2828</v>
      </c>
      <c r="L1669" s="1">
        <v>1</v>
      </c>
      <c r="M1669" s="3">
        <v>19.559999999999999</v>
      </c>
      <c r="N1669" s="3">
        <v>0.98</v>
      </c>
      <c r="O1669" s="3">
        <v>0</v>
      </c>
      <c r="P1669" s="3">
        <v>0.2</v>
      </c>
      <c r="Q1669" s="3">
        <v>20.74</v>
      </c>
      <c r="R1669" s="3">
        <v>7.95</v>
      </c>
      <c r="S1669" s="3">
        <f>VLOOKUP(C1669,[1]page!$C$2:$M$3071,11,0)</f>
        <v>19.54</v>
      </c>
      <c r="T1669" s="6">
        <f t="shared" si="26"/>
        <v>1.9999999999999574E-2</v>
      </c>
    </row>
    <row r="1670" spans="1:20" x14ac:dyDescent="0.2">
      <c r="A1670" t="s">
        <v>5540</v>
      </c>
      <c r="B1670" t="s">
        <v>5544</v>
      </c>
      <c r="C1670" t="s">
        <v>5545</v>
      </c>
      <c r="D1670" t="s">
        <v>5546</v>
      </c>
      <c r="E1670" t="s">
        <v>5521</v>
      </c>
      <c r="F1670" t="s">
        <v>23</v>
      </c>
      <c r="G1670" s="1">
        <v>12</v>
      </c>
      <c r="H1670" s="1">
        <v>12</v>
      </c>
      <c r="I1670" t="s">
        <v>183</v>
      </c>
      <c r="J1670" s="1">
        <v>2011</v>
      </c>
      <c r="K1670" t="s">
        <v>2677</v>
      </c>
      <c r="L1670" s="1">
        <v>1</v>
      </c>
      <c r="M1670" s="3">
        <v>15.32</v>
      </c>
      <c r="N1670" s="3">
        <v>0.77</v>
      </c>
      <c r="O1670" s="3">
        <v>0</v>
      </c>
      <c r="P1670" s="3">
        <v>0.2</v>
      </c>
      <c r="Q1670" s="3">
        <v>16.29</v>
      </c>
      <c r="R1670" s="3">
        <v>7.95</v>
      </c>
      <c r="S1670" s="3">
        <f>VLOOKUP(C1670,[1]page!$C$2:$M$3071,11,0)</f>
        <v>15.3</v>
      </c>
      <c r="T1670" s="6">
        <f t="shared" si="26"/>
        <v>1.9999999999999574E-2</v>
      </c>
    </row>
    <row r="1671" spans="1:20" x14ac:dyDescent="0.2">
      <c r="A1671" t="s">
        <v>5547</v>
      </c>
      <c r="B1671" t="s">
        <v>5548</v>
      </c>
      <c r="C1671" t="s">
        <v>5549</v>
      </c>
      <c r="D1671" t="s">
        <v>5550</v>
      </c>
      <c r="E1671" t="s">
        <v>2699</v>
      </c>
      <c r="F1671" t="s">
        <v>2737</v>
      </c>
      <c r="G1671" s="1">
        <v>7</v>
      </c>
      <c r="H1671" s="1">
        <v>6</v>
      </c>
      <c r="I1671" t="s">
        <v>2700</v>
      </c>
      <c r="K1671" t="s">
        <v>2712</v>
      </c>
      <c r="L1671" s="1">
        <v>1</v>
      </c>
      <c r="M1671" s="3">
        <v>11.63</v>
      </c>
      <c r="N1671" s="3">
        <v>0.57999999999999996</v>
      </c>
      <c r="O1671" s="3">
        <v>0</v>
      </c>
      <c r="P1671" s="3">
        <v>0.4</v>
      </c>
      <c r="Q1671" s="3">
        <v>12.61</v>
      </c>
      <c r="R1671" s="3">
        <v>14.45</v>
      </c>
      <c r="S1671" s="3">
        <f>VLOOKUP(C1671,[1]page!$C$2:$M$3071,11,0)</f>
        <v>11.63</v>
      </c>
      <c r="T1671" s="6">
        <f t="shared" si="26"/>
        <v>0</v>
      </c>
    </row>
    <row r="1672" spans="1:20" x14ac:dyDescent="0.2">
      <c r="A1672" t="s">
        <v>5551</v>
      </c>
      <c r="B1672" t="s">
        <v>5552</v>
      </c>
      <c r="C1672" t="s">
        <v>5553</v>
      </c>
      <c r="D1672" t="s">
        <v>5554</v>
      </c>
      <c r="E1672" t="s">
        <v>200</v>
      </c>
      <c r="F1672" t="s">
        <v>23</v>
      </c>
      <c r="G1672" s="1">
        <v>7</v>
      </c>
      <c r="H1672" s="1">
        <v>12</v>
      </c>
      <c r="I1672" t="s">
        <v>201</v>
      </c>
      <c r="K1672" t="s">
        <v>2712</v>
      </c>
      <c r="L1672" s="1">
        <v>1</v>
      </c>
      <c r="M1672" s="3">
        <v>7.59</v>
      </c>
      <c r="N1672" s="3">
        <v>0.38</v>
      </c>
      <c r="O1672" s="3">
        <v>0</v>
      </c>
      <c r="P1672" s="3">
        <v>0.2</v>
      </c>
      <c r="Q1672" s="3">
        <v>8.17</v>
      </c>
      <c r="R1672" s="3">
        <v>7.95</v>
      </c>
      <c r="S1672" s="3">
        <f>VLOOKUP(C1672,[1]page!$C$2:$M$3071,11,0)</f>
        <v>7.51</v>
      </c>
      <c r="T1672" s="6">
        <f t="shared" si="26"/>
        <v>8.0000000000000071E-2</v>
      </c>
    </row>
    <row r="1673" spans="1:20" x14ac:dyDescent="0.2">
      <c r="A1673" t="s">
        <v>5551</v>
      </c>
      <c r="B1673" t="s">
        <v>5555</v>
      </c>
      <c r="C1673" t="s">
        <v>5556</v>
      </c>
      <c r="D1673" t="s">
        <v>5554</v>
      </c>
      <c r="E1673" t="s">
        <v>200</v>
      </c>
      <c r="F1673" t="s">
        <v>2737</v>
      </c>
      <c r="G1673" s="1">
        <v>7</v>
      </c>
      <c r="H1673" s="1">
        <v>6</v>
      </c>
      <c r="I1673" t="s">
        <v>201</v>
      </c>
      <c r="K1673" t="s">
        <v>2712</v>
      </c>
      <c r="L1673" s="1">
        <v>1</v>
      </c>
      <c r="M1673" s="3">
        <v>14.99</v>
      </c>
      <c r="N1673" s="3">
        <v>0.75</v>
      </c>
      <c r="O1673" s="3">
        <v>0</v>
      </c>
      <c r="P1673" s="3">
        <v>0.4</v>
      </c>
      <c r="Q1673" s="3">
        <v>16.14</v>
      </c>
      <c r="R1673" s="3">
        <v>14.45</v>
      </c>
      <c r="S1673" s="3">
        <f>VLOOKUP(C1673,[1]page!$C$2:$M$3071,11,0)</f>
        <v>14.62</v>
      </c>
      <c r="T1673" s="6">
        <f t="shared" si="26"/>
        <v>0.37000000000000099</v>
      </c>
    </row>
    <row r="1674" spans="1:20" x14ac:dyDescent="0.2">
      <c r="A1674" t="s">
        <v>5557</v>
      </c>
      <c r="B1674" t="s">
        <v>5558</v>
      </c>
      <c r="C1674" t="s">
        <v>5559</v>
      </c>
      <c r="D1674" t="s">
        <v>5560</v>
      </c>
      <c r="E1674" t="s">
        <v>200</v>
      </c>
      <c r="F1674" t="s">
        <v>23</v>
      </c>
      <c r="G1674" s="1">
        <v>7</v>
      </c>
      <c r="H1674" s="1">
        <v>12</v>
      </c>
      <c r="I1674" t="s">
        <v>201</v>
      </c>
      <c r="K1674" t="s">
        <v>2706</v>
      </c>
      <c r="L1674" s="1">
        <v>1</v>
      </c>
      <c r="M1674" s="3">
        <v>7.59</v>
      </c>
      <c r="N1674" s="3">
        <v>0.38</v>
      </c>
      <c r="O1674" s="3">
        <v>0</v>
      </c>
      <c r="P1674" s="3">
        <v>0.2</v>
      </c>
      <c r="Q1674" s="3">
        <v>8.17</v>
      </c>
      <c r="R1674" s="3">
        <v>7.95</v>
      </c>
      <c r="S1674" s="3">
        <f>VLOOKUP(C1674,[1]page!$C$2:$M$3071,11,0)</f>
        <v>7.51</v>
      </c>
      <c r="T1674" s="6">
        <f t="shared" si="26"/>
        <v>8.0000000000000071E-2</v>
      </c>
    </row>
    <row r="1675" spans="1:20" x14ac:dyDescent="0.2">
      <c r="A1675" t="s">
        <v>5557</v>
      </c>
      <c r="B1675" t="s">
        <v>5561</v>
      </c>
      <c r="C1675" t="s">
        <v>5562</v>
      </c>
      <c r="D1675" t="s">
        <v>5560</v>
      </c>
      <c r="E1675" t="s">
        <v>200</v>
      </c>
      <c r="F1675" t="s">
        <v>2737</v>
      </c>
      <c r="G1675" s="1">
        <v>7</v>
      </c>
      <c r="H1675" s="1">
        <v>6</v>
      </c>
      <c r="I1675" t="s">
        <v>201</v>
      </c>
      <c r="K1675" t="s">
        <v>2706</v>
      </c>
      <c r="L1675" s="1">
        <v>1</v>
      </c>
      <c r="M1675" s="3">
        <v>14.99</v>
      </c>
      <c r="N1675" s="3">
        <v>0.75</v>
      </c>
      <c r="O1675" s="3">
        <v>0</v>
      </c>
      <c r="P1675" s="3">
        <v>0.4</v>
      </c>
      <c r="Q1675" s="3">
        <v>16.14</v>
      </c>
      <c r="R1675" s="3">
        <v>14.45</v>
      </c>
      <c r="S1675" s="3">
        <f>VLOOKUP(C1675,[1]page!$C$2:$M$3071,11,0)</f>
        <v>14.82</v>
      </c>
      <c r="T1675" s="6">
        <f t="shared" si="26"/>
        <v>0.16999999999999993</v>
      </c>
    </row>
    <row r="1676" spans="1:20" x14ac:dyDescent="0.2">
      <c r="A1676" t="s">
        <v>5557</v>
      </c>
      <c r="B1676" t="s">
        <v>5563</v>
      </c>
      <c r="C1676" t="s">
        <v>5564</v>
      </c>
      <c r="D1676" t="s">
        <v>5565</v>
      </c>
      <c r="E1676" t="s">
        <v>200</v>
      </c>
      <c r="F1676" t="s">
        <v>23</v>
      </c>
      <c r="G1676" s="1">
        <v>7</v>
      </c>
      <c r="H1676" s="1">
        <v>12</v>
      </c>
      <c r="I1676" t="s">
        <v>201</v>
      </c>
      <c r="K1676" t="s">
        <v>2712</v>
      </c>
      <c r="L1676" s="1">
        <v>1</v>
      </c>
      <c r="M1676" s="3">
        <v>7.59</v>
      </c>
      <c r="N1676" s="3">
        <v>0.38</v>
      </c>
      <c r="O1676" s="3">
        <v>0</v>
      </c>
      <c r="P1676" s="3">
        <v>0.2</v>
      </c>
      <c r="Q1676" s="3">
        <v>8.17</v>
      </c>
      <c r="R1676" s="3">
        <v>7.95</v>
      </c>
      <c r="S1676" s="3">
        <f>VLOOKUP(C1676,[1]page!$C$2:$M$3071,11,0)</f>
        <v>7.51</v>
      </c>
      <c r="T1676" s="6">
        <f t="shared" si="26"/>
        <v>8.0000000000000071E-2</v>
      </c>
    </row>
    <row r="1677" spans="1:20" x14ac:dyDescent="0.2">
      <c r="A1677" t="s">
        <v>5557</v>
      </c>
      <c r="B1677" t="s">
        <v>5566</v>
      </c>
      <c r="C1677" t="s">
        <v>5567</v>
      </c>
      <c r="D1677" t="s">
        <v>5565</v>
      </c>
      <c r="E1677" t="s">
        <v>200</v>
      </c>
      <c r="F1677" t="s">
        <v>2737</v>
      </c>
      <c r="G1677" s="1">
        <v>7</v>
      </c>
      <c r="H1677" s="1">
        <v>6</v>
      </c>
      <c r="I1677" t="s">
        <v>201</v>
      </c>
      <c r="K1677" t="s">
        <v>2706</v>
      </c>
      <c r="L1677" s="1">
        <v>1</v>
      </c>
      <c r="M1677" s="3">
        <v>14.99</v>
      </c>
      <c r="N1677" s="3">
        <v>0.75</v>
      </c>
      <c r="O1677" s="3">
        <v>0</v>
      </c>
      <c r="P1677" s="3">
        <v>0.4</v>
      </c>
      <c r="Q1677" s="3">
        <v>16.14</v>
      </c>
      <c r="R1677" s="3">
        <v>14.45</v>
      </c>
      <c r="S1677" s="3">
        <f>VLOOKUP(C1677,[1]page!$C$2:$M$3071,11,0)</f>
        <v>14.62</v>
      </c>
      <c r="T1677" s="6">
        <f t="shared" si="26"/>
        <v>0.37000000000000099</v>
      </c>
    </row>
    <row r="1678" spans="1:20" x14ac:dyDescent="0.2">
      <c r="A1678" t="s">
        <v>5557</v>
      </c>
      <c r="B1678" t="s">
        <v>5568</v>
      </c>
      <c r="C1678" t="s">
        <v>5569</v>
      </c>
      <c r="D1678" t="s">
        <v>5570</v>
      </c>
      <c r="E1678" t="s">
        <v>200</v>
      </c>
      <c r="F1678" t="s">
        <v>23</v>
      </c>
      <c r="G1678" s="1">
        <v>12</v>
      </c>
      <c r="H1678" s="1">
        <v>12</v>
      </c>
      <c r="I1678" t="s">
        <v>201</v>
      </c>
      <c r="K1678" t="s">
        <v>2712</v>
      </c>
      <c r="L1678" s="1">
        <v>1</v>
      </c>
      <c r="M1678" s="3">
        <v>8.6</v>
      </c>
      <c r="N1678" s="3">
        <v>0.43</v>
      </c>
      <c r="O1678" s="3">
        <v>0</v>
      </c>
      <c r="P1678" s="3">
        <v>0.2</v>
      </c>
      <c r="Q1678" s="3">
        <v>9.23</v>
      </c>
      <c r="R1678" s="3">
        <v>7.95</v>
      </c>
      <c r="S1678" s="3">
        <f>VLOOKUP(C1678,[1]page!$C$2:$M$3071,11,0)</f>
        <v>8.6</v>
      </c>
      <c r="T1678" s="6">
        <f t="shared" si="26"/>
        <v>0</v>
      </c>
    </row>
    <row r="1679" spans="1:20" x14ac:dyDescent="0.2">
      <c r="A1679" t="s">
        <v>5571</v>
      </c>
      <c r="B1679" t="s">
        <v>5572</v>
      </c>
      <c r="C1679" t="s">
        <v>5573</v>
      </c>
      <c r="D1679" t="s">
        <v>5574</v>
      </c>
      <c r="E1679" t="s">
        <v>3352</v>
      </c>
      <c r="F1679" t="s">
        <v>23</v>
      </c>
      <c r="G1679" s="1">
        <v>9</v>
      </c>
      <c r="H1679" s="1">
        <v>12</v>
      </c>
      <c r="I1679" t="s">
        <v>169</v>
      </c>
      <c r="K1679" t="s">
        <v>2706</v>
      </c>
      <c r="L1679" s="1">
        <v>1</v>
      </c>
      <c r="M1679" s="3">
        <v>16.5</v>
      </c>
      <c r="N1679" s="3">
        <v>0.83</v>
      </c>
      <c r="O1679" s="3">
        <v>0</v>
      </c>
      <c r="P1679" s="3">
        <v>0.2</v>
      </c>
      <c r="Q1679" s="3">
        <v>17.53</v>
      </c>
      <c r="R1679" s="3">
        <v>7.95</v>
      </c>
      <c r="S1679" s="3">
        <f>VLOOKUP(C1679,[1]page!$C$2:$M$3071,11,0)</f>
        <v>16.5</v>
      </c>
      <c r="T1679" s="6">
        <f t="shared" si="26"/>
        <v>0</v>
      </c>
    </row>
    <row r="1680" spans="1:20" x14ac:dyDescent="0.2">
      <c r="A1680" t="s">
        <v>5571</v>
      </c>
      <c r="B1680" t="s">
        <v>5575</v>
      </c>
      <c r="C1680" t="s">
        <v>5576</v>
      </c>
      <c r="D1680" t="s">
        <v>5577</v>
      </c>
      <c r="E1680" t="s">
        <v>3352</v>
      </c>
      <c r="F1680" t="s">
        <v>5578</v>
      </c>
      <c r="G1680" s="2">
        <v>11.5</v>
      </c>
      <c r="H1680" s="1">
        <v>24</v>
      </c>
      <c r="I1680" t="s">
        <v>169</v>
      </c>
      <c r="K1680" t="s">
        <v>2712</v>
      </c>
      <c r="L1680" s="1">
        <v>1</v>
      </c>
      <c r="M1680" s="3">
        <v>5.77</v>
      </c>
      <c r="N1680" s="3">
        <v>0.28999999999999998</v>
      </c>
      <c r="O1680" s="3">
        <v>0</v>
      </c>
      <c r="P1680" s="3">
        <v>0.1</v>
      </c>
      <c r="Q1680" s="3">
        <v>6.16</v>
      </c>
      <c r="R1680" s="3">
        <v>3.15</v>
      </c>
      <c r="S1680" s="3">
        <f>VLOOKUP(C1680,[1]page!$C$2:$M$3071,11,0)</f>
        <v>5.77</v>
      </c>
      <c r="T1680" s="6">
        <f t="shared" si="26"/>
        <v>0</v>
      </c>
    </row>
    <row r="1681" spans="1:20" x14ac:dyDescent="0.2">
      <c r="A1681" t="s">
        <v>5571</v>
      </c>
      <c r="B1681" t="s">
        <v>5579</v>
      </c>
      <c r="C1681" t="s">
        <v>5580</v>
      </c>
      <c r="D1681" t="s">
        <v>5577</v>
      </c>
      <c r="E1681" t="s">
        <v>3352</v>
      </c>
      <c r="F1681" t="s">
        <v>23</v>
      </c>
      <c r="G1681" s="1">
        <v>12</v>
      </c>
      <c r="H1681" s="1">
        <v>12</v>
      </c>
      <c r="I1681" t="s">
        <v>3353</v>
      </c>
      <c r="K1681" t="s">
        <v>2828</v>
      </c>
      <c r="L1681" s="1">
        <v>1</v>
      </c>
      <c r="M1681" s="3">
        <v>16.5</v>
      </c>
      <c r="N1681" s="3">
        <v>0.83</v>
      </c>
      <c r="O1681" s="3">
        <v>0</v>
      </c>
      <c r="P1681" s="3">
        <v>0.2</v>
      </c>
      <c r="Q1681" s="3">
        <v>17.53</v>
      </c>
      <c r="R1681" s="3">
        <v>7.95</v>
      </c>
      <c r="S1681" s="3">
        <f>VLOOKUP(C1681,[1]page!$C$2:$M$3071,11,0)</f>
        <v>16.5</v>
      </c>
      <c r="T1681" s="6">
        <f t="shared" si="26"/>
        <v>0</v>
      </c>
    </row>
    <row r="1682" spans="1:20" x14ac:dyDescent="0.2">
      <c r="A1682" t="s">
        <v>5581</v>
      </c>
      <c r="B1682" t="s">
        <v>5582</v>
      </c>
      <c r="C1682" t="s">
        <v>5583</v>
      </c>
      <c r="D1682" t="s">
        <v>5584</v>
      </c>
      <c r="E1682" t="s">
        <v>5585</v>
      </c>
      <c r="F1682" t="s">
        <v>23</v>
      </c>
      <c r="G1682" s="2">
        <v>12.5</v>
      </c>
      <c r="H1682" s="1">
        <v>6</v>
      </c>
      <c r="I1682" t="s">
        <v>449</v>
      </c>
      <c r="K1682" t="s">
        <v>2712</v>
      </c>
      <c r="L1682" s="1">
        <v>1</v>
      </c>
      <c r="M1682" s="3">
        <v>23</v>
      </c>
      <c r="N1682" s="3">
        <v>1.1499999999999999</v>
      </c>
      <c r="O1682" s="3">
        <v>0</v>
      </c>
      <c r="P1682" s="3">
        <v>0.2</v>
      </c>
      <c r="Q1682" s="3">
        <v>24.35</v>
      </c>
      <c r="R1682" s="3">
        <v>7.95</v>
      </c>
      <c r="S1682" s="3">
        <f>VLOOKUP(C1682,[1]page!$C$2:$M$3071,11,0)</f>
        <v>23</v>
      </c>
      <c r="T1682" s="6">
        <f t="shared" si="26"/>
        <v>0</v>
      </c>
    </row>
    <row r="1683" spans="1:20" x14ac:dyDescent="0.2">
      <c r="A1683" t="s">
        <v>5581</v>
      </c>
      <c r="B1683" t="s">
        <v>5586</v>
      </c>
      <c r="C1683" t="s">
        <v>5587</v>
      </c>
      <c r="D1683" t="s">
        <v>5588</v>
      </c>
      <c r="E1683" t="s">
        <v>3357</v>
      </c>
      <c r="F1683" t="s">
        <v>23</v>
      </c>
      <c r="G1683" s="1">
        <v>12</v>
      </c>
      <c r="H1683" s="1">
        <v>6</v>
      </c>
      <c r="I1683" t="s">
        <v>3306</v>
      </c>
      <c r="K1683" t="s">
        <v>2828</v>
      </c>
      <c r="L1683" s="1">
        <v>1</v>
      </c>
      <c r="M1683" s="3">
        <v>22.3</v>
      </c>
      <c r="N1683" s="3">
        <v>1.1200000000000001</v>
      </c>
      <c r="O1683" s="3">
        <v>0</v>
      </c>
      <c r="P1683" s="3">
        <v>0.2</v>
      </c>
      <c r="Q1683" s="3">
        <v>23.62</v>
      </c>
      <c r="R1683" s="3">
        <v>7.95</v>
      </c>
      <c r="S1683" s="3">
        <f>VLOOKUP(C1683,[1]page!$C$2:$M$3071,11,0)</f>
        <v>22.3</v>
      </c>
      <c r="T1683" s="6">
        <f t="shared" si="26"/>
        <v>0</v>
      </c>
    </row>
    <row r="1684" spans="1:20" x14ac:dyDescent="0.2">
      <c r="A1684" t="s">
        <v>5589</v>
      </c>
      <c r="B1684" t="s">
        <v>5590</v>
      </c>
      <c r="C1684" t="s">
        <v>5591</v>
      </c>
      <c r="D1684" t="s">
        <v>5592</v>
      </c>
      <c r="E1684" t="s">
        <v>3632</v>
      </c>
      <c r="F1684" t="s">
        <v>23</v>
      </c>
      <c r="G1684" s="1">
        <v>12</v>
      </c>
      <c r="H1684" s="1">
        <v>6</v>
      </c>
      <c r="I1684" t="s">
        <v>39</v>
      </c>
      <c r="K1684" t="s">
        <v>2773</v>
      </c>
      <c r="L1684" s="1">
        <v>1</v>
      </c>
      <c r="M1684" s="3">
        <v>12.13</v>
      </c>
      <c r="N1684" s="3">
        <v>0.61</v>
      </c>
      <c r="O1684" s="3">
        <v>0</v>
      </c>
      <c r="P1684" s="3">
        <v>0.2</v>
      </c>
      <c r="Q1684" s="3">
        <v>12.94</v>
      </c>
      <c r="R1684" s="3">
        <v>7.95</v>
      </c>
      <c r="S1684" s="3">
        <f>VLOOKUP(C1684,[1]page!$C$2:$M$3071,11,0)</f>
        <v>12.1</v>
      </c>
      <c r="T1684" s="6">
        <f t="shared" si="26"/>
        <v>3.0000000000001137E-2</v>
      </c>
    </row>
    <row r="1685" spans="1:20" x14ac:dyDescent="0.2">
      <c r="A1685" t="s">
        <v>5589</v>
      </c>
      <c r="B1685" t="s">
        <v>5593</v>
      </c>
      <c r="C1685" t="s">
        <v>5594</v>
      </c>
      <c r="D1685" t="s">
        <v>5595</v>
      </c>
      <c r="E1685" t="s">
        <v>3915</v>
      </c>
      <c r="F1685" t="s">
        <v>23</v>
      </c>
      <c r="G1685" s="2">
        <v>9.5</v>
      </c>
      <c r="H1685" s="1">
        <v>12</v>
      </c>
      <c r="I1685" t="s">
        <v>70</v>
      </c>
      <c r="K1685" t="s">
        <v>2677</v>
      </c>
      <c r="L1685" s="1">
        <v>1</v>
      </c>
      <c r="M1685" s="3">
        <v>9.82</v>
      </c>
      <c r="N1685" s="3">
        <v>0.49</v>
      </c>
      <c r="O1685" s="3">
        <v>0</v>
      </c>
      <c r="P1685" s="3">
        <v>0.2</v>
      </c>
      <c r="Q1685" s="3">
        <v>10.51</v>
      </c>
      <c r="R1685" s="3">
        <v>7.95</v>
      </c>
      <c r="S1685" s="3">
        <f>VLOOKUP(C1685,[1]page!$C$2:$M$3071,11,0)</f>
        <v>9.8000000000000007</v>
      </c>
      <c r="T1685" s="6">
        <f t="shared" si="26"/>
        <v>1.9999999999999574E-2</v>
      </c>
    </row>
    <row r="1686" spans="1:20" x14ac:dyDescent="0.2">
      <c r="A1686" t="s">
        <v>5596</v>
      </c>
      <c r="B1686" t="s">
        <v>5597</v>
      </c>
      <c r="C1686" t="s">
        <v>5598</v>
      </c>
      <c r="D1686" t="s">
        <v>5599</v>
      </c>
      <c r="E1686" t="s">
        <v>3632</v>
      </c>
      <c r="F1686" t="s">
        <v>23</v>
      </c>
      <c r="G1686" s="2">
        <v>11.5</v>
      </c>
      <c r="H1686" s="1">
        <v>6</v>
      </c>
      <c r="I1686" t="s">
        <v>39</v>
      </c>
      <c r="K1686" t="s">
        <v>2687</v>
      </c>
      <c r="L1686" s="1">
        <v>1</v>
      </c>
      <c r="M1686" s="3">
        <v>14.92</v>
      </c>
      <c r="N1686" s="3">
        <v>0.75</v>
      </c>
      <c r="O1686" s="3">
        <v>0</v>
      </c>
      <c r="P1686" s="3">
        <v>0.2</v>
      </c>
      <c r="Q1686" s="3">
        <v>15.87</v>
      </c>
      <c r="R1686" s="3">
        <v>7.95</v>
      </c>
      <c r="S1686" s="3">
        <f>VLOOKUP(C1686,[1]page!$C$2:$M$3071,11,0)</f>
        <v>14.9</v>
      </c>
      <c r="T1686" s="6">
        <f t="shared" si="26"/>
        <v>1.9999999999999574E-2</v>
      </c>
    </row>
    <row r="1687" spans="1:20" x14ac:dyDescent="0.2">
      <c r="A1687" t="s">
        <v>5596</v>
      </c>
      <c r="B1687" t="s">
        <v>5600</v>
      </c>
      <c r="C1687" t="s">
        <v>5601</v>
      </c>
      <c r="D1687" t="s">
        <v>5602</v>
      </c>
      <c r="E1687" t="s">
        <v>3722</v>
      </c>
      <c r="F1687" t="s">
        <v>23</v>
      </c>
      <c r="G1687" s="2">
        <v>11.5</v>
      </c>
      <c r="H1687" s="1">
        <v>12</v>
      </c>
      <c r="I1687" t="s">
        <v>183</v>
      </c>
      <c r="K1687" t="s">
        <v>2687</v>
      </c>
      <c r="L1687" s="1">
        <v>1</v>
      </c>
      <c r="M1687" s="3">
        <v>12.34</v>
      </c>
      <c r="N1687" s="3">
        <v>0.62</v>
      </c>
      <c r="O1687" s="3">
        <v>0</v>
      </c>
      <c r="P1687" s="3">
        <v>0.2</v>
      </c>
      <c r="Q1687" s="3">
        <v>13.16</v>
      </c>
      <c r="R1687" s="3">
        <v>7.95</v>
      </c>
      <c r="S1687" s="3">
        <f>VLOOKUP(C1687,[1]page!$C$2:$M$3071,11,0)</f>
        <v>12.32</v>
      </c>
      <c r="T1687" s="6">
        <f t="shared" si="26"/>
        <v>1.9999999999999574E-2</v>
      </c>
    </row>
    <row r="1688" spans="1:20" x14ac:dyDescent="0.2">
      <c r="A1688" t="s">
        <v>5603</v>
      </c>
      <c r="B1688" t="s">
        <v>5604</v>
      </c>
      <c r="C1688" t="s">
        <v>5605</v>
      </c>
      <c r="D1688" t="s">
        <v>5606</v>
      </c>
      <c r="E1688" t="s">
        <v>5607</v>
      </c>
      <c r="F1688" t="s">
        <v>23</v>
      </c>
      <c r="G1688" s="2">
        <v>12.5</v>
      </c>
      <c r="H1688" s="1">
        <v>6</v>
      </c>
      <c r="I1688" t="s">
        <v>70</v>
      </c>
      <c r="K1688" t="s">
        <v>2828</v>
      </c>
      <c r="L1688" s="1">
        <v>1</v>
      </c>
      <c r="M1688" s="3">
        <v>84.05</v>
      </c>
      <c r="N1688" s="3">
        <v>4.2</v>
      </c>
      <c r="O1688" s="3">
        <v>0</v>
      </c>
      <c r="P1688" s="3">
        <v>0.2</v>
      </c>
      <c r="Q1688" s="3">
        <v>88.45</v>
      </c>
      <c r="R1688" s="3">
        <v>7.95</v>
      </c>
      <c r="S1688" s="3">
        <f>VLOOKUP(C1688,[1]page!$C$2:$M$3071,11,0)</f>
        <v>84.03</v>
      </c>
      <c r="T1688" s="6">
        <f t="shared" si="26"/>
        <v>1.9999999999996021E-2</v>
      </c>
    </row>
    <row r="1689" spans="1:20" x14ac:dyDescent="0.2">
      <c r="A1689" t="s">
        <v>5608</v>
      </c>
      <c r="B1689" t="s">
        <v>5609</v>
      </c>
      <c r="C1689" t="s">
        <v>5610</v>
      </c>
      <c r="D1689" t="s">
        <v>5611</v>
      </c>
      <c r="E1689" t="s">
        <v>5612</v>
      </c>
      <c r="F1689" t="s">
        <v>23</v>
      </c>
      <c r="G1689" s="2">
        <v>12.5</v>
      </c>
      <c r="H1689" s="1">
        <v>6</v>
      </c>
      <c r="I1689" t="s">
        <v>39</v>
      </c>
      <c r="K1689" t="s">
        <v>2828</v>
      </c>
      <c r="L1689" s="1">
        <v>1</v>
      </c>
      <c r="M1689" s="3">
        <v>60.42</v>
      </c>
      <c r="N1689" s="3">
        <v>3.02</v>
      </c>
      <c r="O1689" s="3">
        <v>0</v>
      </c>
      <c r="P1689" s="3">
        <v>0.2</v>
      </c>
      <c r="Q1689" s="3">
        <v>63.64</v>
      </c>
      <c r="R1689" s="3">
        <v>7.95</v>
      </c>
      <c r="S1689" s="3">
        <f>VLOOKUP(C1689,[1]page!$C$2:$M$3071,11,0)</f>
        <v>60.4</v>
      </c>
      <c r="T1689" s="6">
        <f t="shared" si="26"/>
        <v>2.0000000000003126E-2</v>
      </c>
    </row>
    <row r="1690" spans="1:20" x14ac:dyDescent="0.2">
      <c r="A1690" t="s">
        <v>5608</v>
      </c>
      <c r="B1690" t="s">
        <v>5613</v>
      </c>
      <c r="C1690" t="s">
        <v>5614</v>
      </c>
      <c r="D1690" t="s">
        <v>5615</v>
      </c>
      <c r="E1690" t="s">
        <v>5607</v>
      </c>
      <c r="F1690" t="s">
        <v>23</v>
      </c>
      <c r="G1690" s="1">
        <v>12</v>
      </c>
      <c r="H1690" s="1">
        <v>6</v>
      </c>
      <c r="I1690" t="s">
        <v>70</v>
      </c>
      <c r="K1690" t="s">
        <v>2828</v>
      </c>
      <c r="L1690" s="1">
        <v>1</v>
      </c>
      <c r="M1690" s="3">
        <v>66</v>
      </c>
      <c r="N1690" s="3">
        <v>3.3</v>
      </c>
      <c r="O1690" s="3">
        <v>0</v>
      </c>
      <c r="P1690" s="3">
        <v>0.2</v>
      </c>
      <c r="Q1690" s="3">
        <v>69.5</v>
      </c>
      <c r="R1690" s="3">
        <v>7.95</v>
      </c>
      <c r="S1690" s="3">
        <f>VLOOKUP(C1690,[1]page!$C$2:$M$3071,11,0)</f>
        <v>65.989999999999995</v>
      </c>
      <c r="T1690" s="6">
        <f t="shared" si="26"/>
        <v>1.0000000000005116E-2</v>
      </c>
    </row>
    <row r="1691" spans="1:20" x14ac:dyDescent="0.2">
      <c r="A1691" t="s">
        <v>5608</v>
      </c>
      <c r="B1691" t="s">
        <v>5616</v>
      </c>
      <c r="C1691" t="s">
        <v>5617</v>
      </c>
      <c r="D1691" t="s">
        <v>5618</v>
      </c>
      <c r="E1691" t="s">
        <v>5607</v>
      </c>
      <c r="F1691" t="s">
        <v>23</v>
      </c>
      <c r="G1691" s="2">
        <v>12.5</v>
      </c>
      <c r="H1691" s="1">
        <v>6</v>
      </c>
      <c r="I1691" t="s">
        <v>70</v>
      </c>
      <c r="K1691" t="s">
        <v>2828</v>
      </c>
      <c r="L1691" s="1">
        <v>1</v>
      </c>
      <c r="M1691" s="3">
        <v>270.05</v>
      </c>
      <c r="N1691" s="3">
        <v>13.5</v>
      </c>
      <c r="O1691" s="3">
        <v>0</v>
      </c>
      <c r="P1691" s="3">
        <v>0.2</v>
      </c>
      <c r="Q1691" s="3">
        <v>283.75</v>
      </c>
      <c r="R1691" s="3">
        <v>7.95</v>
      </c>
      <c r="S1691" s="3">
        <f>VLOOKUP(C1691,[1]page!$C$2:$M$3071,11,0)</f>
        <v>270.04000000000002</v>
      </c>
      <c r="T1691" s="6">
        <f t="shared" si="26"/>
        <v>9.9999999999909051E-3</v>
      </c>
    </row>
    <row r="1692" spans="1:20" x14ac:dyDescent="0.2">
      <c r="A1692" t="s">
        <v>5608</v>
      </c>
      <c r="B1692" t="s">
        <v>5619</v>
      </c>
      <c r="C1692" t="s">
        <v>5620</v>
      </c>
      <c r="D1692" t="s">
        <v>5621</v>
      </c>
      <c r="E1692" t="s">
        <v>5607</v>
      </c>
      <c r="F1692" t="s">
        <v>23</v>
      </c>
      <c r="G1692" s="1">
        <v>12</v>
      </c>
      <c r="H1692" s="1">
        <v>6</v>
      </c>
      <c r="I1692" t="s">
        <v>70</v>
      </c>
      <c r="K1692" t="s">
        <v>2677</v>
      </c>
      <c r="L1692" s="1">
        <v>1</v>
      </c>
      <c r="M1692" s="3">
        <v>72.05</v>
      </c>
      <c r="N1692" s="3">
        <v>3.6</v>
      </c>
      <c r="O1692" s="3">
        <v>0</v>
      </c>
      <c r="P1692" s="3">
        <v>0.2</v>
      </c>
      <c r="Q1692" s="3">
        <v>75.849999999999994</v>
      </c>
      <c r="R1692" s="3">
        <v>7.95</v>
      </c>
      <c r="S1692" s="3">
        <f>VLOOKUP(C1692,[1]page!$C$2:$M$3071,11,0)</f>
        <v>72.040000000000006</v>
      </c>
      <c r="T1692" s="6">
        <f t="shared" si="26"/>
        <v>9.9999999999909051E-3</v>
      </c>
    </row>
    <row r="1693" spans="1:20" x14ac:dyDescent="0.2">
      <c r="A1693" t="s">
        <v>5608</v>
      </c>
      <c r="B1693" t="s">
        <v>5622</v>
      </c>
      <c r="C1693" t="s">
        <v>5623</v>
      </c>
      <c r="D1693" t="s">
        <v>5624</v>
      </c>
      <c r="E1693" t="s">
        <v>5625</v>
      </c>
      <c r="F1693" t="s">
        <v>23</v>
      </c>
      <c r="G1693" s="1">
        <v>12</v>
      </c>
      <c r="H1693" s="1">
        <v>6</v>
      </c>
      <c r="I1693" t="s">
        <v>183</v>
      </c>
      <c r="K1693" t="s">
        <v>2828</v>
      </c>
      <c r="L1693" s="1">
        <v>1</v>
      </c>
      <c r="M1693" s="3">
        <v>55.07</v>
      </c>
      <c r="N1693" s="3">
        <v>2.75</v>
      </c>
      <c r="O1693" s="3">
        <v>0</v>
      </c>
      <c r="P1693" s="3">
        <v>0.2</v>
      </c>
      <c r="Q1693" s="3">
        <v>58.02</v>
      </c>
      <c r="R1693" s="3">
        <v>7.95</v>
      </c>
      <c r="S1693" s="3">
        <f>VLOOKUP(C1693,[1]page!$C$2:$M$3071,11,0)</f>
        <v>55.06</v>
      </c>
      <c r="T1693" s="6">
        <f t="shared" si="26"/>
        <v>9.9999999999980105E-3</v>
      </c>
    </row>
    <row r="1694" spans="1:20" x14ac:dyDescent="0.2">
      <c r="A1694" t="s">
        <v>5608</v>
      </c>
      <c r="B1694" t="s">
        <v>5626</v>
      </c>
      <c r="C1694" t="s">
        <v>5627</v>
      </c>
      <c r="D1694" t="s">
        <v>5628</v>
      </c>
      <c r="E1694" t="s">
        <v>5607</v>
      </c>
      <c r="F1694" t="s">
        <v>23</v>
      </c>
      <c r="G1694" s="1">
        <v>12</v>
      </c>
      <c r="H1694" s="1">
        <v>6</v>
      </c>
      <c r="I1694" t="s">
        <v>70</v>
      </c>
      <c r="K1694" t="s">
        <v>2828</v>
      </c>
      <c r="L1694" s="1">
        <v>1</v>
      </c>
      <c r="M1694" s="3">
        <v>70.010000000000005</v>
      </c>
      <c r="N1694" s="3">
        <v>3.5</v>
      </c>
      <c r="O1694" s="3">
        <v>0</v>
      </c>
      <c r="P1694" s="3">
        <v>0.2</v>
      </c>
      <c r="Q1694" s="3">
        <v>73.709999999999994</v>
      </c>
      <c r="R1694" s="3">
        <v>7.95</v>
      </c>
      <c r="S1694" s="3">
        <f>VLOOKUP(C1694,[1]page!$C$2:$M$3071,11,0)</f>
        <v>69.989999999999995</v>
      </c>
      <c r="T1694" s="6">
        <f t="shared" si="26"/>
        <v>2.0000000000010232E-2</v>
      </c>
    </row>
    <row r="1695" spans="1:20" x14ac:dyDescent="0.2">
      <c r="A1695" t="s">
        <v>5629</v>
      </c>
      <c r="B1695" t="s">
        <v>5630</v>
      </c>
      <c r="C1695" t="s">
        <v>5631</v>
      </c>
      <c r="D1695" t="s">
        <v>5632</v>
      </c>
      <c r="E1695" t="s">
        <v>5633</v>
      </c>
      <c r="F1695" t="s">
        <v>23</v>
      </c>
      <c r="G1695" s="1">
        <v>11</v>
      </c>
      <c r="H1695" s="1">
        <v>6</v>
      </c>
      <c r="I1695" t="s">
        <v>2759</v>
      </c>
      <c r="K1695" t="s">
        <v>2687</v>
      </c>
      <c r="L1695" s="1">
        <v>1</v>
      </c>
      <c r="M1695" s="3">
        <v>65</v>
      </c>
      <c r="N1695" s="3">
        <v>3.25</v>
      </c>
      <c r="O1695" s="3">
        <v>0</v>
      </c>
      <c r="P1695" s="3">
        <v>0.2</v>
      </c>
      <c r="Q1695" s="3">
        <v>68.45</v>
      </c>
      <c r="R1695" s="3">
        <v>7.95</v>
      </c>
      <c r="S1695" s="3">
        <f>VLOOKUP(C1695,[1]page!$C$2:$M$3071,11,0)</f>
        <v>64.989999999999995</v>
      </c>
      <c r="T1695" s="6">
        <f t="shared" si="26"/>
        <v>1.0000000000005116E-2</v>
      </c>
    </row>
    <row r="1696" spans="1:20" x14ac:dyDescent="0.2">
      <c r="A1696" t="s">
        <v>5634</v>
      </c>
      <c r="B1696" t="s">
        <v>5635</v>
      </c>
      <c r="C1696" t="s">
        <v>5636</v>
      </c>
      <c r="D1696" t="s">
        <v>5637</v>
      </c>
      <c r="E1696" t="s">
        <v>5638</v>
      </c>
      <c r="F1696" t="s">
        <v>23</v>
      </c>
      <c r="G1696" s="1">
        <v>12</v>
      </c>
      <c r="H1696" s="1">
        <v>12</v>
      </c>
      <c r="I1696" t="s">
        <v>57</v>
      </c>
      <c r="K1696" t="s">
        <v>2687</v>
      </c>
      <c r="L1696" s="1">
        <v>1</v>
      </c>
      <c r="M1696" s="3">
        <v>14.03</v>
      </c>
      <c r="N1696" s="3">
        <v>0.7</v>
      </c>
      <c r="O1696" s="3">
        <v>0</v>
      </c>
      <c r="P1696" s="3">
        <v>0.2</v>
      </c>
      <c r="Q1696" s="3">
        <v>14.93</v>
      </c>
      <c r="R1696" s="3">
        <v>7.95</v>
      </c>
      <c r="S1696" s="3">
        <f>VLOOKUP(C1696,[1]page!$C$2:$M$3071,11,0)</f>
        <v>14</v>
      </c>
      <c r="T1696" s="6">
        <f t="shared" si="26"/>
        <v>2.9999999999999361E-2</v>
      </c>
    </row>
    <row r="1697" spans="1:20" x14ac:dyDescent="0.2">
      <c r="A1697" t="s">
        <v>5634</v>
      </c>
      <c r="B1697" t="s">
        <v>5639</v>
      </c>
      <c r="C1697" t="s">
        <v>5640</v>
      </c>
      <c r="D1697" t="s">
        <v>5641</v>
      </c>
      <c r="E1697" t="s">
        <v>5638</v>
      </c>
      <c r="F1697" t="s">
        <v>5642</v>
      </c>
      <c r="G1697" s="1">
        <v>12</v>
      </c>
      <c r="H1697" s="1">
        <v>8</v>
      </c>
      <c r="I1697" t="s">
        <v>57</v>
      </c>
      <c r="K1697" t="s">
        <v>2712</v>
      </c>
      <c r="L1697" s="1">
        <v>3</v>
      </c>
      <c r="M1697" s="3">
        <v>13.02</v>
      </c>
      <c r="N1697" s="3">
        <v>0.65</v>
      </c>
      <c r="O1697" s="3">
        <v>0</v>
      </c>
      <c r="P1697" s="3">
        <v>0.3</v>
      </c>
      <c r="Q1697" s="3">
        <v>13.97</v>
      </c>
      <c r="R1697" s="3">
        <v>7.65</v>
      </c>
      <c r="S1697" s="3">
        <f>VLOOKUP(C1697,[1]page!$C$2:$M$3071,11,0)</f>
        <v>13</v>
      </c>
      <c r="T1697" s="6">
        <f t="shared" si="26"/>
        <v>1.9999999999999574E-2</v>
      </c>
    </row>
    <row r="1698" spans="1:20" x14ac:dyDescent="0.2">
      <c r="A1698" t="s">
        <v>5643</v>
      </c>
      <c r="B1698" t="s">
        <v>5644</v>
      </c>
      <c r="C1698" t="s">
        <v>5645</v>
      </c>
      <c r="D1698" t="s">
        <v>5646</v>
      </c>
      <c r="E1698" t="s">
        <v>4337</v>
      </c>
      <c r="F1698" t="s">
        <v>23</v>
      </c>
      <c r="G1698" s="1">
        <v>11</v>
      </c>
      <c r="H1698" s="1">
        <v>12</v>
      </c>
      <c r="I1698" t="s">
        <v>3653</v>
      </c>
      <c r="K1698" t="s">
        <v>2677</v>
      </c>
      <c r="L1698" s="1">
        <v>1</v>
      </c>
      <c r="M1698" s="3">
        <v>15.24</v>
      </c>
      <c r="N1698" s="3">
        <v>0.76</v>
      </c>
      <c r="O1698" s="3">
        <v>0</v>
      </c>
      <c r="P1698" s="3">
        <v>0.2</v>
      </c>
      <c r="Q1698" s="3">
        <v>16.2</v>
      </c>
      <c r="R1698" s="3">
        <v>7.95</v>
      </c>
      <c r="S1698" s="3">
        <f>VLOOKUP(C1698,[1]page!$C$2:$M$3071,11,0)</f>
        <v>15.22</v>
      </c>
      <c r="T1698" s="6">
        <f t="shared" si="26"/>
        <v>1.9999999999999574E-2</v>
      </c>
    </row>
    <row r="1699" spans="1:20" x14ac:dyDescent="0.2">
      <c r="A1699" t="s">
        <v>5643</v>
      </c>
      <c r="B1699" t="s">
        <v>5647</v>
      </c>
      <c r="C1699" t="s">
        <v>5648</v>
      </c>
      <c r="D1699" t="s">
        <v>5649</v>
      </c>
      <c r="E1699" t="s">
        <v>5638</v>
      </c>
      <c r="F1699" t="s">
        <v>23</v>
      </c>
      <c r="G1699" s="2">
        <v>11.5</v>
      </c>
      <c r="H1699" s="1">
        <v>12</v>
      </c>
      <c r="I1699" t="s">
        <v>57</v>
      </c>
      <c r="K1699" t="s">
        <v>2687</v>
      </c>
      <c r="L1699" s="1">
        <v>1</v>
      </c>
      <c r="M1699" s="3">
        <v>14.03</v>
      </c>
      <c r="N1699" s="3">
        <v>0.7</v>
      </c>
      <c r="O1699" s="3">
        <v>0</v>
      </c>
      <c r="P1699" s="3">
        <v>0.2</v>
      </c>
      <c r="Q1699" s="3">
        <v>14.93</v>
      </c>
      <c r="R1699" s="3">
        <v>7.95</v>
      </c>
      <c r="S1699" s="3">
        <f>VLOOKUP(C1699,[1]page!$C$2:$M$3071,11,0)</f>
        <v>14</v>
      </c>
      <c r="T1699" s="6">
        <f t="shared" si="26"/>
        <v>2.9999999999999361E-2</v>
      </c>
    </row>
    <row r="1700" spans="1:20" x14ac:dyDescent="0.2">
      <c r="A1700" t="s">
        <v>5643</v>
      </c>
      <c r="B1700" t="s">
        <v>5650</v>
      </c>
      <c r="C1700" t="s">
        <v>5651</v>
      </c>
      <c r="D1700" t="s">
        <v>5649</v>
      </c>
      <c r="E1700" t="s">
        <v>5638</v>
      </c>
      <c r="F1700" t="s">
        <v>2737</v>
      </c>
      <c r="G1700" s="2">
        <v>11.5</v>
      </c>
      <c r="H1700" s="1">
        <v>3</v>
      </c>
      <c r="I1700" t="s">
        <v>57</v>
      </c>
      <c r="K1700" t="s">
        <v>2687</v>
      </c>
      <c r="L1700" s="1">
        <v>1</v>
      </c>
      <c r="M1700" s="3">
        <v>35.06</v>
      </c>
      <c r="N1700" s="3">
        <v>1.75</v>
      </c>
      <c r="O1700" s="3">
        <v>0</v>
      </c>
      <c r="P1700" s="3">
        <v>0.4</v>
      </c>
      <c r="Q1700" s="3">
        <v>37.21</v>
      </c>
      <c r="R1700" s="3">
        <v>14.45</v>
      </c>
      <c r="S1700" s="3">
        <f>VLOOKUP(C1700,[1]page!$C$2:$M$3071,11,0)</f>
        <v>35.020000000000003</v>
      </c>
      <c r="T1700" s="6">
        <f t="shared" ref="T1700:T1758" si="27">SUM(M1700-S1700)</f>
        <v>3.9999999999999147E-2</v>
      </c>
    </row>
    <row r="1701" spans="1:20" x14ac:dyDescent="0.2">
      <c r="A1701" t="s">
        <v>5643</v>
      </c>
      <c r="B1701" t="s">
        <v>5652</v>
      </c>
      <c r="C1701" t="s">
        <v>5653</v>
      </c>
      <c r="D1701" t="s">
        <v>5654</v>
      </c>
      <c r="E1701" t="s">
        <v>5638</v>
      </c>
      <c r="F1701" t="s">
        <v>5642</v>
      </c>
      <c r="G1701" s="2">
        <v>11.5</v>
      </c>
      <c r="H1701" s="1">
        <v>8</v>
      </c>
      <c r="I1701" t="s">
        <v>57</v>
      </c>
      <c r="K1701" t="s">
        <v>2687</v>
      </c>
      <c r="L1701" s="1">
        <v>3</v>
      </c>
      <c r="M1701" s="3">
        <v>13.02</v>
      </c>
      <c r="N1701" s="3">
        <v>0.65</v>
      </c>
      <c r="O1701" s="3">
        <v>0</v>
      </c>
      <c r="P1701" s="3">
        <v>0.3</v>
      </c>
      <c r="Q1701" s="3">
        <v>13.97</v>
      </c>
      <c r="R1701" s="3">
        <v>7.65</v>
      </c>
      <c r="S1701" s="3">
        <f>VLOOKUP(C1701,[1]page!$C$2:$M$3071,11,0)</f>
        <v>13</v>
      </c>
      <c r="T1701" s="6">
        <f t="shared" si="27"/>
        <v>1.9999999999999574E-2</v>
      </c>
    </row>
    <row r="1702" spans="1:20" x14ac:dyDescent="0.2">
      <c r="A1702" t="s">
        <v>5655</v>
      </c>
      <c r="B1702" t="s">
        <v>5656</v>
      </c>
      <c r="C1702" t="s">
        <v>5657</v>
      </c>
      <c r="D1702" t="s">
        <v>5658</v>
      </c>
      <c r="E1702" t="s">
        <v>4448</v>
      </c>
      <c r="F1702" t="s">
        <v>209</v>
      </c>
      <c r="G1702" s="1">
        <v>11</v>
      </c>
      <c r="H1702" s="1">
        <v>24</v>
      </c>
      <c r="I1702" t="s">
        <v>449</v>
      </c>
      <c r="K1702" t="s">
        <v>2712</v>
      </c>
      <c r="L1702" s="1">
        <v>1</v>
      </c>
      <c r="M1702" s="3">
        <v>6.8</v>
      </c>
      <c r="N1702" s="3">
        <v>0.34</v>
      </c>
      <c r="O1702" s="3">
        <v>0</v>
      </c>
      <c r="P1702" s="3">
        <v>0.1</v>
      </c>
      <c r="Q1702" s="3">
        <v>7.24</v>
      </c>
      <c r="R1702" s="3">
        <v>2.5</v>
      </c>
      <c r="S1702" s="3">
        <f>VLOOKUP(C1702,[1]page!$C$2:$M$3071,11,0)</f>
        <v>6.8</v>
      </c>
      <c r="T1702" s="6">
        <f t="shared" si="27"/>
        <v>0</v>
      </c>
    </row>
    <row r="1703" spans="1:20" x14ac:dyDescent="0.2">
      <c r="A1703" t="s">
        <v>5655</v>
      </c>
      <c r="B1703" t="s">
        <v>5659</v>
      </c>
      <c r="C1703" t="s">
        <v>5660</v>
      </c>
      <c r="D1703" t="s">
        <v>5658</v>
      </c>
      <c r="E1703" t="s">
        <v>4448</v>
      </c>
      <c r="F1703" t="s">
        <v>23</v>
      </c>
      <c r="G1703" s="1">
        <v>11</v>
      </c>
      <c r="H1703" s="1">
        <v>6</v>
      </c>
      <c r="I1703" t="s">
        <v>449</v>
      </c>
      <c r="K1703" t="s">
        <v>2712</v>
      </c>
      <c r="L1703" s="1">
        <v>1</v>
      </c>
      <c r="M1703" s="3">
        <v>21.02</v>
      </c>
      <c r="N1703" s="3">
        <v>1.05</v>
      </c>
      <c r="O1703" s="3">
        <v>0</v>
      </c>
      <c r="P1703" s="3">
        <v>0.2</v>
      </c>
      <c r="Q1703" s="3">
        <v>22.27</v>
      </c>
      <c r="R1703" s="3">
        <v>7.95</v>
      </c>
      <c r="S1703" s="3">
        <f>VLOOKUP(C1703,[1]page!$C$2:$M$3071,11,0)</f>
        <v>21.01</v>
      </c>
      <c r="T1703" s="6">
        <f t="shared" si="27"/>
        <v>9.9999999999980105E-3</v>
      </c>
    </row>
    <row r="1704" spans="1:20" x14ac:dyDescent="0.2">
      <c r="A1704" t="s">
        <v>5655</v>
      </c>
      <c r="B1704" t="s">
        <v>5661</v>
      </c>
      <c r="C1704" t="s">
        <v>5662</v>
      </c>
      <c r="D1704" t="s">
        <v>5663</v>
      </c>
      <c r="E1704" t="s">
        <v>2686</v>
      </c>
      <c r="F1704" t="s">
        <v>23</v>
      </c>
      <c r="G1704" s="2">
        <v>11.5</v>
      </c>
      <c r="H1704" s="1">
        <v>6</v>
      </c>
      <c r="I1704" t="s">
        <v>444</v>
      </c>
      <c r="K1704" t="s">
        <v>2828</v>
      </c>
      <c r="L1704" s="1">
        <v>1</v>
      </c>
      <c r="M1704" s="3">
        <v>14.5</v>
      </c>
      <c r="N1704" s="3">
        <v>0.73</v>
      </c>
      <c r="O1704" s="3">
        <v>0</v>
      </c>
      <c r="P1704" s="3">
        <v>0.2</v>
      </c>
      <c r="Q1704" s="3">
        <v>15.43</v>
      </c>
      <c r="R1704" s="3">
        <v>7.95</v>
      </c>
      <c r="S1704" s="3">
        <f>VLOOKUP(C1704,[1]page!$C$2:$M$3071,11,0)</f>
        <v>14.5</v>
      </c>
      <c r="T1704" s="6">
        <f t="shared" si="27"/>
        <v>0</v>
      </c>
    </row>
    <row r="1705" spans="1:20" x14ac:dyDescent="0.2">
      <c r="A1705" t="s">
        <v>5655</v>
      </c>
      <c r="B1705" t="s">
        <v>5664</v>
      </c>
      <c r="C1705" t="s">
        <v>5665</v>
      </c>
      <c r="D1705" t="s">
        <v>5666</v>
      </c>
      <c r="E1705" t="s">
        <v>5667</v>
      </c>
      <c r="F1705" t="s">
        <v>23</v>
      </c>
      <c r="G1705" s="2">
        <v>12.5</v>
      </c>
      <c r="H1705" s="1">
        <v>12</v>
      </c>
      <c r="I1705" t="s">
        <v>57</v>
      </c>
      <c r="K1705" t="s">
        <v>2687</v>
      </c>
      <c r="L1705" s="1">
        <v>1</v>
      </c>
      <c r="M1705" s="3">
        <v>17.350000000000001</v>
      </c>
      <c r="N1705" s="3">
        <v>0.87</v>
      </c>
      <c r="O1705" s="3">
        <v>0</v>
      </c>
      <c r="P1705" s="3">
        <v>0.2</v>
      </c>
      <c r="Q1705" s="3">
        <v>18.420000000000002</v>
      </c>
      <c r="R1705" s="3">
        <v>7.95</v>
      </c>
      <c r="S1705" s="3">
        <f>VLOOKUP(C1705,[1]page!$C$2:$M$3071,11,0)</f>
        <v>17.329999999999998</v>
      </c>
      <c r="T1705" s="6">
        <f t="shared" si="27"/>
        <v>2.0000000000003126E-2</v>
      </c>
    </row>
    <row r="1706" spans="1:20" x14ac:dyDescent="0.2">
      <c r="A1706" t="s">
        <v>5668</v>
      </c>
      <c r="B1706" t="s">
        <v>5669</v>
      </c>
      <c r="C1706" t="s">
        <v>5670</v>
      </c>
      <c r="D1706" t="s">
        <v>5671</v>
      </c>
      <c r="E1706" t="s">
        <v>5672</v>
      </c>
      <c r="F1706" t="s">
        <v>23</v>
      </c>
      <c r="G1706" s="1">
        <v>11</v>
      </c>
      <c r="H1706" s="1">
        <v>12</v>
      </c>
      <c r="I1706" t="s">
        <v>70</v>
      </c>
      <c r="K1706" t="s">
        <v>2712</v>
      </c>
      <c r="L1706" s="1">
        <v>1</v>
      </c>
      <c r="M1706" s="3">
        <v>18.989999999999998</v>
      </c>
      <c r="N1706" s="3">
        <v>0.95</v>
      </c>
      <c r="O1706" s="3">
        <v>0</v>
      </c>
      <c r="P1706" s="3">
        <v>0.2</v>
      </c>
      <c r="Q1706" s="3">
        <v>20.14</v>
      </c>
      <c r="R1706" s="3">
        <v>7.95</v>
      </c>
      <c r="S1706" s="3">
        <f>VLOOKUP(C1706,[1]page!$C$2:$M$3071,11,0)</f>
        <v>18.989999999999998</v>
      </c>
      <c r="T1706" s="6">
        <f t="shared" si="27"/>
        <v>0</v>
      </c>
    </row>
    <row r="1707" spans="1:20" x14ac:dyDescent="0.2">
      <c r="A1707" t="s">
        <v>5668</v>
      </c>
      <c r="B1707" t="s">
        <v>5673</v>
      </c>
      <c r="C1707" t="s">
        <v>5674</v>
      </c>
      <c r="D1707" t="s">
        <v>5675</v>
      </c>
      <c r="E1707" t="s">
        <v>2077</v>
      </c>
      <c r="F1707" t="s">
        <v>5676</v>
      </c>
      <c r="G1707" s="1">
        <v>11</v>
      </c>
      <c r="H1707" s="1">
        <v>24</v>
      </c>
      <c r="I1707" t="s">
        <v>1604</v>
      </c>
      <c r="K1707" t="s">
        <v>2687</v>
      </c>
      <c r="L1707" s="1">
        <v>1</v>
      </c>
      <c r="M1707" s="3">
        <v>6.73</v>
      </c>
      <c r="N1707" s="3">
        <v>0.34</v>
      </c>
      <c r="O1707" s="3">
        <v>0</v>
      </c>
      <c r="P1707" s="3">
        <v>0.1</v>
      </c>
      <c r="Q1707" s="3">
        <v>7.17</v>
      </c>
      <c r="R1707" s="3">
        <v>2.5</v>
      </c>
      <c r="S1707" s="3">
        <f>VLOOKUP(C1707,[1]page!$C$2:$M$3071,11,0)</f>
        <v>6.73</v>
      </c>
      <c r="T1707" s="6">
        <f t="shared" si="27"/>
        <v>0</v>
      </c>
    </row>
    <row r="1708" spans="1:20" x14ac:dyDescent="0.2">
      <c r="A1708" t="s">
        <v>5668</v>
      </c>
      <c r="B1708" t="s">
        <v>5677</v>
      </c>
      <c r="C1708" t="s">
        <v>5678</v>
      </c>
      <c r="D1708" t="s">
        <v>5675</v>
      </c>
      <c r="E1708" t="s">
        <v>5679</v>
      </c>
      <c r="F1708" t="s">
        <v>23</v>
      </c>
      <c r="G1708" s="1">
        <v>11</v>
      </c>
      <c r="H1708" s="1">
        <v>6</v>
      </c>
      <c r="I1708" t="s">
        <v>3486</v>
      </c>
      <c r="K1708" t="s">
        <v>2828</v>
      </c>
      <c r="L1708" s="1">
        <v>1</v>
      </c>
      <c r="M1708" s="3">
        <v>18.11</v>
      </c>
      <c r="N1708" s="3">
        <v>0.91</v>
      </c>
      <c r="O1708" s="3">
        <v>0</v>
      </c>
      <c r="P1708" s="3">
        <v>0.2</v>
      </c>
      <c r="Q1708" s="3">
        <v>19.22</v>
      </c>
      <c r="R1708" s="3">
        <v>7.95</v>
      </c>
      <c r="S1708" s="3">
        <f>VLOOKUP(C1708,[1]page!$C$2:$M$3071,11,0)</f>
        <v>18.079999999999998</v>
      </c>
      <c r="T1708" s="6">
        <f t="shared" si="27"/>
        <v>3.0000000000001137E-2</v>
      </c>
    </row>
    <row r="1709" spans="1:20" x14ac:dyDescent="0.2">
      <c r="A1709" t="s">
        <v>5668</v>
      </c>
      <c r="B1709" t="s">
        <v>5680</v>
      </c>
      <c r="C1709" t="s">
        <v>5681</v>
      </c>
      <c r="D1709" t="s">
        <v>5682</v>
      </c>
      <c r="E1709" t="s">
        <v>2686</v>
      </c>
      <c r="F1709" t="s">
        <v>23</v>
      </c>
      <c r="G1709" s="1">
        <v>7</v>
      </c>
      <c r="H1709" s="1">
        <v>6</v>
      </c>
      <c r="I1709" t="s">
        <v>444</v>
      </c>
      <c r="K1709" t="s">
        <v>2677</v>
      </c>
      <c r="L1709" s="1">
        <v>1</v>
      </c>
      <c r="M1709" s="3">
        <v>13.5</v>
      </c>
      <c r="N1709" s="3">
        <v>0.68</v>
      </c>
      <c r="O1709" s="3">
        <v>0</v>
      </c>
      <c r="P1709" s="3">
        <v>0.2</v>
      </c>
      <c r="Q1709" s="3">
        <v>14.38</v>
      </c>
      <c r="R1709" s="3">
        <v>7.95</v>
      </c>
      <c r="S1709" s="3">
        <f>VLOOKUP(C1709,[1]page!$C$2:$M$3071,11,0)</f>
        <v>13.5</v>
      </c>
      <c r="T1709" s="6">
        <f t="shared" si="27"/>
        <v>0</v>
      </c>
    </row>
    <row r="1710" spans="1:20" x14ac:dyDescent="0.2">
      <c r="A1710" t="s">
        <v>5668</v>
      </c>
      <c r="B1710" t="s">
        <v>5683</v>
      </c>
      <c r="C1710" t="s">
        <v>5684</v>
      </c>
      <c r="D1710" t="s">
        <v>5682</v>
      </c>
      <c r="E1710" t="s">
        <v>2686</v>
      </c>
      <c r="F1710" t="s">
        <v>2737</v>
      </c>
      <c r="G1710" s="1">
        <v>7</v>
      </c>
      <c r="H1710" s="1">
        <v>6</v>
      </c>
      <c r="I1710" t="s">
        <v>444</v>
      </c>
      <c r="K1710" t="s">
        <v>2677</v>
      </c>
      <c r="L1710" s="1">
        <v>1</v>
      </c>
      <c r="M1710" s="3">
        <v>30.5</v>
      </c>
      <c r="N1710" s="3">
        <v>1.53</v>
      </c>
      <c r="O1710" s="3">
        <v>0</v>
      </c>
      <c r="P1710" s="3">
        <v>0.4</v>
      </c>
      <c r="Q1710" s="3">
        <v>32.43</v>
      </c>
      <c r="R1710" s="3">
        <v>14.45</v>
      </c>
      <c r="S1710" s="3">
        <f>VLOOKUP(C1710,[1]page!$C$2:$M$3071,11,0)</f>
        <v>30.5</v>
      </c>
      <c r="T1710" s="6">
        <f t="shared" si="27"/>
        <v>0</v>
      </c>
    </row>
    <row r="1711" spans="1:20" x14ac:dyDescent="0.2">
      <c r="A1711" t="s">
        <v>5668</v>
      </c>
      <c r="B1711" t="s">
        <v>5685</v>
      </c>
      <c r="C1711" t="s">
        <v>5686</v>
      </c>
      <c r="D1711" t="s">
        <v>5687</v>
      </c>
      <c r="E1711" t="s">
        <v>2686</v>
      </c>
      <c r="F1711" t="s">
        <v>23</v>
      </c>
      <c r="G1711" s="1">
        <v>11</v>
      </c>
      <c r="H1711" s="1">
        <v>6</v>
      </c>
      <c r="I1711" t="s">
        <v>444</v>
      </c>
      <c r="K1711" t="s">
        <v>2687</v>
      </c>
      <c r="L1711" s="1">
        <v>1</v>
      </c>
      <c r="M1711" s="3">
        <v>14.5</v>
      </c>
      <c r="N1711" s="3">
        <v>0.73</v>
      </c>
      <c r="O1711" s="3">
        <v>0</v>
      </c>
      <c r="P1711" s="3">
        <v>0.2</v>
      </c>
      <c r="Q1711" s="3">
        <v>15.43</v>
      </c>
      <c r="R1711" s="3">
        <v>7.95</v>
      </c>
      <c r="S1711" s="3">
        <f>VLOOKUP(C1711,[1]page!$C$2:$M$3071,11,0)</f>
        <v>14.5</v>
      </c>
      <c r="T1711" s="6">
        <f t="shared" si="27"/>
        <v>0</v>
      </c>
    </row>
    <row r="1712" spans="1:20" x14ac:dyDescent="0.2">
      <c r="A1712" t="s">
        <v>5688</v>
      </c>
      <c r="B1712" t="s">
        <v>5689</v>
      </c>
      <c r="C1712" t="s">
        <v>5690</v>
      </c>
      <c r="D1712" t="s">
        <v>5691</v>
      </c>
      <c r="E1712" t="s">
        <v>2682</v>
      </c>
      <c r="F1712" t="s">
        <v>23</v>
      </c>
      <c r="G1712" s="1">
        <v>11</v>
      </c>
      <c r="H1712" s="1">
        <v>6</v>
      </c>
      <c r="I1712" t="s">
        <v>397</v>
      </c>
      <c r="K1712" t="s">
        <v>2712</v>
      </c>
      <c r="L1712" s="1">
        <v>1</v>
      </c>
      <c r="M1712" s="3">
        <v>17.27</v>
      </c>
      <c r="N1712" s="3">
        <v>0.86</v>
      </c>
      <c r="O1712" s="3">
        <v>0</v>
      </c>
      <c r="P1712" s="3">
        <v>0.2</v>
      </c>
      <c r="Q1712" s="3">
        <v>18.329999999999998</v>
      </c>
      <c r="R1712" s="3">
        <v>7.95</v>
      </c>
      <c r="S1712" s="3">
        <f>VLOOKUP(C1712,[1]page!$C$2:$M$3071,11,0)</f>
        <v>17.52</v>
      </c>
      <c r="T1712" s="6">
        <f t="shared" si="27"/>
        <v>-0.25</v>
      </c>
    </row>
    <row r="1713" spans="1:20" x14ac:dyDescent="0.2">
      <c r="A1713" t="s">
        <v>5688</v>
      </c>
      <c r="B1713" t="s">
        <v>5692</v>
      </c>
      <c r="C1713" t="s">
        <v>5693</v>
      </c>
      <c r="D1713" t="s">
        <v>5694</v>
      </c>
      <c r="E1713" t="s">
        <v>4448</v>
      </c>
      <c r="F1713" t="s">
        <v>209</v>
      </c>
      <c r="G1713" s="1">
        <v>11</v>
      </c>
      <c r="H1713" s="1">
        <v>24</v>
      </c>
      <c r="I1713" t="s">
        <v>449</v>
      </c>
      <c r="K1713" t="s">
        <v>2712</v>
      </c>
      <c r="L1713" s="1">
        <v>1</v>
      </c>
      <c r="M1713" s="3">
        <v>6.8</v>
      </c>
      <c r="N1713" s="3">
        <v>0.34</v>
      </c>
      <c r="O1713" s="3">
        <v>0</v>
      </c>
      <c r="P1713" s="3">
        <v>0.1</v>
      </c>
      <c r="Q1713" s="3">
        <v>7.24</v>
      </c>
      <c r="R1713" s="3">
        <v>2.5</v>
      </c>
      <c r="S1713" s="3">
        <f>VLOOKUP(C1713,[1]page!$C$2:$M$3071,11,0)</f>
        <v>6.8</v>
      </c>
      <c r="T1713" s="6">
        <f t="shared" si="27"/>
        <v>0</v>
      </c>
    </row>
    <row r="1714" spans="1:20" x14ac:dyDescent="0.2">
      <c r="A1714" t="s">
        <v>5688</v>
      </c>
      <c r="B1714" t="s">
        <v>5695</v>
      </c>
      <c r="C1714" t="s">
        <v>5696</v>
      </c>
      <c r="D1714" t="s">
        <v>5697</v>
      </c>
      <c r="E1714" t="s">
        <v>5698</v>
      </c>
      <c r="F1714" t="s">
        <v>23</v>
      </c>
      <c r="G1714" s="1">
        <v>12</v>
      </c>
      <c r="H1714" s="1">
        <v>12</v>
      </c>
      <c r="I1714" t="s">
        <v>3505</v>
      </c>
      <c r="K1714" t="s">
        <v>2687</v>
      </c>
      <c r="L1714" s="1">
        <v>1</v>
      </c>
      <c r="M1714" s="3">
        <v>19.100000000000001</v>
      </c>
      <c r="N1714" s="3">
        <v>0.96</v>
      </c>
      <c r="O1714" s="3">
        <v>0</v>
      </c>
      <c r="P1714" s="3">
        <v>0.2</v>
      </c>
      <c r="Q1714" s="3">
        <v>20.260000000000002</v>
      </c>
      <c r="R1714" s="3">
        <v>7.95</v>
      </c>
      <c r="S1714" s="3">
        <f>VLOOKUP(C1714,[1]page!$C$2:$M$3071,11,0)</f>
        <v>19.09</v>
      </c>
      <c r="T1714" s="6">
        <f t="shared" si="27"/>
        <v>1.0000000000001563E-2</v>
      </c>
    </row>
    <row r="1715" spans="1:20" x14ac:dyDescent="0.2">
      <c r="A1715" t="s">
        <v>5688</v>
      </c>
      <c r="B1715" t="s">
        <v>5699</v>
      </c>
      <c r="C1715" t="s">
        <v>5700</v>
      </c>
      <c r="D1715" t="s">
        <v>5701</v>
      </c>
      <c r="E1715" t="s">
        <v>5702</v>
      </c>
      <c r="F1715" t="s">
        <v>23</v>
      </c>
      <c r="G1715" s="1">
        <v>12</v>
      </c>
      <c r="H1715" s="1">
        <v>12</v>
      </c>
      <c r="I1715" t="s">
        <v>449</v>
      </c>
      <c r="K1715" t="s">
        <v>2828</v>
      </c>
      <c r="L1715" s="1">
        <v>1</v>
      </c>
      <c r="M1715" s="3">
        <v>19.07</v>
      </c>
      <c r="N1715" s="3">
        <v>0.95</v>
      </c>
      <c r="O1715" s="3">
        <v>0</v>
      </c>
      <c r="P1715" s="3">
        <v>0.2</v>
      </c>
      <c r="Q1715" s="3">
        <v>20.22</v>
      </c>
      <c r="R1715" s="3">
        <v>7.95</v>
      </c>
      <c r="S1715" s="3">
        <f>VLOOKUP(C1715,[1]page!$C$2:$M$3071,11,0)</f>
        <v>19.05</v>
      </c>
      <c r="T1715" s="6">
        <f t="shared" si="27"/>
        <v>1.9999999999999574E-2</v>
      </c>
    </row>
    <row r="1716" spans="1:20" x14ac:dyDescent="0.2">
      <c r="A1716" t="s">
        <v>5688</v>
      </c>
      <c r="B1716" t="s">
        <v>5703</v>
      </c>
      <c r="C1716" t="s">
        <v>5704</v>
      </c>
      <c r="D1716" t="s">
        <v>5705</v>
      </c>
      <c r="E1716" t="s">
        <v>4507</v>
      </c>
      <c r="F1716" t="s">
        <v>23</v>
      </c>
      <c r="G1716" s="1">
        <v>11</v>
      </c>
      <c r="H1716" s="1">
        <v>6</v>
      </c>
      <c r="I1716" t="s">
        <v>2700</v>
      </c>
      <c r="K1716" t="s">
        <v>2712</v>
      </c>
      <c r="L1716" s="1">
        <v>1</v>
      </c>
      <c r="M1716" s="3">
        <v>17.63</v>
      </c>
      <c r="N1716" s="3">
        <v>0.88</v>
      </c>
      <c r="O1716" s="3">
        <v>0</v>
      </c>
      <c r="P1716" s="3">
        <v>0.2</v>
      </c>
      <c r="Q1716" s="3">
        <v>18.71</v>
      </c>
      <c r="R1716" s="3">
        <v>7.95</v>
      </c>
      <c r="S1716" s="3">
        <f>VLOOKUP(C1716,[1]page!$C$2:$M$3071,11,0)</f>
        <v>17.61</v>
      </c>
      <c r="T1716" s="6">
        <f t="shared" si="27"/>
        <v>1.9999999999999574E-2</v>
      </c>
    </row>
    <row r="1717" spans="1:20" x14ac:dyDescent="0.2">
      <c r="A1717" t="s">
        <v>5688</v>
      </c>
      <c r="B1717" t="s">
        <v>5706</v>
      </c>
      <c r="C1717" t="s">
        <v>5707</v>
      </c>
      <c r="D1717" t="s">
        <v>5708</v>
      </c>
      <c r="E1717" t="s">
        <v>4507</v>
      </c>
      <c r="F1717" t="s">
        <v>23</v>
      </c>
      <c r="G1717" s="1">
        <v>11</v>
      </c>
      <c r="H1717" s="1">
        <v>6</v>
      </c>
      <c r="I1717" t="s">
        <v>2700</v>
      </c>
      <c r="K1717" t="s">
        <v>2712</v>
      </c>
      <c r="L1717" s="1">
        <v>1</v>
      </c>
      <c r="M1717" s="3">
        <v>17.3</v>
      </c>
      <c r="N1717" s="3">
        <v>0.87</v>
      </c>
      <c r="O1717" s="3">
        <v>0</v>
      </c>
      <c r="P1717" s="3">
        <v>0.2</v>
      </c>
      <c r="Q1717" s="3">
        <v>18.37</v>
      </c>
      <c r="R1717" s="3">
        <v>7.95</v>
      </c>
      <c r="S1717" s="3">
        <f>VLOOKUP(C1717,[1]page!$C$2:$M$3071,11,0)</f>
        <v>17.27</v>
      </c>
      <c r="T1717" s="6">
        <f t="shared" si="27"/>
        <v>3.0000000000001137E-2</v>
      </c>
    </row>
    <row r="1718" spans="1:20" x14ac:dyDescent="0.2">
      <c r="A1718" t="s">
        <v>5688</v>
      </c>
      <c r="B1718" t="s">
        <v>5709</v>
      </c>
      <c r="C1718" t="s">
        <v>5710</v>
      </c>
      <c r="D1718" t="s">
        <v>5711</v>
      </c>
      <c r="E1718" t="s">
        <v>5712</v>
      </c>
      <c r="F1718" t="s">
        <v>23</v>
      </c>
      <c r="G1718" s="1">
        <v>11</v>
      </c>
      <c r="H1718" s="1">
        <v>12</v>
      </c>
      <c r="I1718" t="s">
        <v>178</v>
      </c>
      <c r="K1718" t="s">
        <v>2712</v>
      </c>
      <c r="L1718" s="1">
        <v>1</v>
      </c>
      <c r="M1718" s="3">
        <v>15.9</v>
      </c>
      <c r="N1718" s="3">
        <v>0.8</v>
      </c>
      <c r="O1718" s="3">
        <v>0</v>
      </c>
      <c r="P1718" s="3">
        <v>0.2</v>
      </c>
      <c r="Q1718" s="3">
        <v>16.899999999999999</v>
      </c>
      <c r="R1718" s="3">
        <v>7.95</v>
      </c>
      <c r="S1718" s="3">
        <f>VLOOKUP(C1718,[1]page!$C$2:$M$3071,11,0)</f>
        <v>15.88</v>
      </c>
      <c r="T1718" s="6">
        <f t="shared" si="27"/>
        <v>1.9999999999999574E-2</v>
      </c>
    </row>
    <row r="1719" spans="1:20" x14ac:dyDescent="0.2">
      <c r="A1719" t="s">
        <v>5713</v>
      </c>
      <c r="B1719" t="s">
        <v>5714</v>
      </c>
      <c r="C1719" t="s">
        <v>5715</v>
      </c>
      <c r="D1719" t="s">
        <v>5716</v>
      </c>
      <c r="E1719" t="s">
        <v>4435</v>
      </c>
      <c r="F1719" t="s">
        <v>23</v>
      </c>
      <c r="G1719" s="1">
        <v>11</v>
      </c>
      <c r="H1719" s="1">
        <v>12</v>
      </c>
      <c r="I1719" t="s">
        <v>183</v>
      </c>
      <c r="K1719" t="s">
        <v>2687</v>
      </c>
      <c r="L1719" s="1">
        <v>1</v>
      </c>
      <c r="M1719" s="3">
        <v>17.8</v>
      </c>
      <c r="N1719" s="3">
        <v>0.89</v>
      </c>
      <c r="O1719" s="3">
        <v>0</v>
      </c>
      <c r="P1719" s="3">
        <v>0.2</v>
      </c>
      <c r="Q1719" s="3">
        <v>18.89</v>
      </c>
      <c r="R1719" s="3">
        <v>7.95</v>
      </c>
      <c r="S1719" s="3">
        <f>VLOOKUP(C1719,[1]page!$C$2:$M$3071,11,0)</f>
        <v>17.78</v>
      </c>
      <c r="T1719" s="6">
        <f t="shared" si="27"/>
        <v>1.9999999999999574E-2</v>
      </c>
    </row>
    <row r="1720" spans="1:20" x14ac:dyDescent="0.2">
      <c r="A1720" t="s">
        <v>5717</v>
      </c>
      <c r="B1720" t="s">
        <v>5718</v>
      </c>
      <c r="C1720" t="s">
        <v>5719</v>
      </c>
      <c r="D1720" t="s">
        <v>5720</v>
      </c>
      <c r="E1720" t="s">
        <v>4490</v>
      </c>
      <c r="F1720" t="s">
        <v>23</v>
      </c>
      <c r="G1720" s="1">
        <v>6</v>
      </c>
      <c r="H1720" s="1">
        <v>6</v>
      </c>
      <c r="I1720" t="s">
        <v>183</v>
      </c>
      <c r="K1720" t="s">
        <v>2773</v>
      </c>
      <c r="L1720" s="1">
        <v>1</v>
      </c>
      <c r="M1720" s="3">
        <v>15.73</v>
      </c>
      <c r="N1720" s="3">
        <v>0.79</v>
      </c>
      <c r="O1720" s="3">
        <v>0</v>
      </c>
      <c r="P1720" s="3">
        <v>0.2</v>
      </c>
      <c r="Q1720" s="3">
        <v>16.72</v>
      </c>
      <c r="R1720" s="3">
        <v>7.95</v>
      </c>
      <c r="S1720" s="3">
        <f>VLOOKUP(C1720,[1]page!$C$2:$M$3071,11,0)</f>
        <v>15.72</v>
      </c>
      <c r="T1720" s="6">
        <f t="shared" si="27"/>
        <v>9.9999999999997868E-3</v>
      </c>
    </row>
    <row r="1721" spans="1:20" x14ac:dyDescent="0.2">
      <c r="A1721" t="s">
        <v>5721</v>
      </c>
      <c r="B1721" t="s">
        <v>5722</v>
      </c>
      <c r="C1721" t="s">
        <v>5723</v>
      </c>
      <c r="D1721" t="s">
        <v>5724</v>
      </c>
      <c r="E1721" t="s">
        <v>5698</v>
      </c>
      <c r="F1721" t="s">
        <v>23</v>
      </c>
      <c r="G1721" s="1">
        <v>11</v>
      </c>
      <c r="H1721" s="1">
        <v>12</v>
      </c>
      <c r="I1721" t="s">
        <v>3505</v>
      </c>
      <c r="K1721" t="s">
        <v>2712</v>
      </c>
      <c r="L1721" s="1">
        <v>1</v>
      </c>
      <c r="M1721" s="3">
        <v>19.100000000000001</v>
      </c>
      <c r="N1721" s="3">
        <v>0.96</v>
      </c>
      <c r="O1721" s="3">
        <v>0</v>
      </c>
      <c r="P1721" s="3">
        <v>0.2</v>
      </c>
      <c r="Q1721" s="3">
        <v>20.260000000000002</v>
      </c>
      <c r="R1721" s="3">
        <v>7.95</v>
      </c>
      <c r="S1721" s="3">
        <f>VLOOKUP(C1721,[1]page!$C$2:$M$3071,11,0)</f>
        <v>19.09</v>
      </c>
      <c r="T1721" s="6">
        <f t="shared" si="27"/>
        <v>1.0000000000001563E-2</v>
      </c>
    </row>
    <row r="1722" spans="1:20" x14ac:dyDescent="0.2">
      <c r="A1722" t="s">
        <v>5721</v>
      </c>
      <c r="B1722" t="s">
        <v>5725</v>
      </c>
      <c r="C1722" t="s">
        <v>5726</v>
      </c>
      <c r="D1722" t="s">
        <v>5727</v>
      </c>
      <c r="E1722" t="s">
        <v>2077</v>
      </c>
      <c r="F1722" t="s">
        <v>23</v>
      </c>
      <c r="G1722" s="1">
        <v>11</v>
      </c>
      <c r="H1722" s="1">
        <v>6</v>
      </c>
      <c r="I1722" t="s">
        <v>1604</v>
      </c>
      <c r="K1722" t="s">
        <v>2706</v>
      </c>
      <c r="L1722" s="1">
        <v>1</v>
      </c>
      <c r="M1722" s="3">
        <v>18.11</v>
      </c>
      <c r="N1722" s="3">
        <v>0.91</v>
      </c>
      <c r="O1722" s="3">
        <v>0</v>
      </c>
      <c r="P1722" s="3">
        <v>0.2</v>
      </c>
      <c r="Q1722" s="3">
        <v>19.22</v>
      </c>
      <c r="R1722" s="3">
        <v>7.95</v>
      </c>
      <c r="S1722" s="3">
        <f>VLOOKUP(C1722,[1]page!$C$2:$M$3071,11,0)</f>
        <v>18.079999999999998</v>
      </c>
      <c r="T1722" s="6">
        <f t="shared" si="27"/>
        <v>3.0000000000001137E-2</v>
      </c>
    </row>
    <row r="1723" spans="1:20" x14ac:dyDescent="0.2">
      <c r="A1723" t="s">
        <v>5728</v>
      </c>
      <c r="B1723" t="s">
        <v>5729</v>
      </c>
      <c r="C1723" t="s">
        <v>5730</v>
      </c>
      <c r="D1723" t="s">
        <v>5731</v>
      </c>
      <c r="E1723" t="s">
        <v>5029</v>
      </c>
      <c r="F1723" t="s">
        <v>23</v>
      </c>
      <c r="G1723" s="1">
        <v>11</v>
      </c>
      <c r="H1723" s="1">
        <v>12</v>
      </c>
      <c r="I1723" t="s">
        <v>607</v>
      </c>
      <c r="K1723" t="s">
        <v>2687</v>
      </c>
      <c r="L1723" s="1">
        <v>1</v>
      </c>
      <c r="M1723" s="3">
        <v>21.65</v>
      </c>
      <c r="N1723" s="3">
        <v>1.08</v>
      </c>
      <c r="O1723" s="3">
        <v>0</v>
      </c>
      <c r="P1723" s="3">
        <v>0.2</v>
      </c>
      <c r="Q1723" s="3">
        <v>22.93</v>
      </c>
      <c r="R1723" s="3">
        <v>7.95</v>
      </c>
      <c r="S1723" s="3">
        <f>VLOOKUP(C1723,[1]page!$C$2:$M$3071,11,0)</f>
        <v>21.64</v>
      </c>
      <c r="T1723" s="6">
        <f t="shared" si="27"/>
        <v>9.9999999999980105E-3</v>
      </c>
    </row>
    <row r="1724" spans="1:20" x14ac:dyDescent="0.2">
      <c r="A1724" t="s">
        <v>5728</v>
      </c>
      <c r="B1724" t="s">
        <v>5732</v>
      </c>
      <c r="C1724" t="s">
        <v>5733</v>
      </c>
      <c r="D1724" t="s">
        <v>5734</v>
      </c>
      <c r="E1724" t="s">
        <v>2791</v>
      </c>
      <c r="F1724" t="s">
        <v>23</v>
      </c>
      <c r="G1724" s="1">
        <v>11</v>
      </c>
      <c r="H1724" s="1">
        <v>12</v>
      </c>
      <c r="I1724" t="s">
        <v>1604</v>
      </c>
      <c r="K1724" t="s">
        <v>2712</v>
      </c>
      <c r="L1724" s="1">
        <v>1</v>
      </c>
      <c r="M1724" s="3">
        <v>14.14</v>
      </c>
      <c r="N1724" s="3">
        <v>0.71</v>
      </c>
      <c r="O1724" s="3">
        <v>0</v>
      </c>
      <c r="P1724" s="3">
        <v>0.2</v>
      </c>
      <c r="Q1724" s="3">
        <v>15.05</v>
      </c>
      <c r="R1724" s="3">
        <v>7.95</v>
      </c>
      <c r="S1724" s="3">
        <f>VLOOKUP(C1724,[1]page!$C$2:$M$3071,11,0)</f>
        <v>14.12</v>
      </c>
      <c r="T1724" s="6">
        <f t="shared" si="27"/>
        <v>2.000000000000135E-2</v>
      </c>
    </row>
    <row r="1725" spans="1:20" x14ac:dyDescent="0.2">
      <c r="A1725" t="s">
        <v>5728</v>
      </c>
      <c r="B1725" t="s">
        <v>5735</v>
      </c>
      <c r="C1725" t="s">
        <v>5736</v>
      </c>
      <c r="D1725" t="s">
        <v>5675</v>
      </c>
      <c r="E1725" t="s">
        <v>2077</v>
      </c>
      <c r="F1725" t="s">
        <v>77</v>
      </c>
      <c r="G1725" s="1">
        <v>11</v>
      </c>
      <c r="H1725" s="1">
        <v>12</v>
      </c>
      <c r="I1725" t="s">
        <v>1604</v>
      </c>
      <c r="K1725" t="s">
        <v>2687</v>
      </c>
      <c r="L1725" s="1">
        <v>1</v>
      </c>
      <c r="M1725" s="3">
        <v>11.97</v>
      </c>
      <c r="N1725" s="3">
        <v>0.6</v>
      </c>
      <c r="O1725" s="3">
        <v>0</v>
      </c>
      <c r="P1725" s="3">
        <v>0.2</v>
      </c>
      <c r="Q1725" s="3">
        <v>12.77</v>
      </c>
      <c r="R1725" s="3">
        <v>4.5</v>
      </c>
      <c r="S1725" s="3">
        <f>VLOOKUP(C1725,[1]page!$C$2:$M$3071,11,0)</f>
        <v>11.97</v>
      </c>
      <c r="T1725" s="6">
        <f t="shared" si="27"/>
        <v>0</v>
      </c>
    </row>
    <row r="1726" spans="1:20" x14ac:dyDescent="0.2">
      <c r="A1726" t="s">
        <v>5728</v>
      </c>
      <c r="B1726" t="s">
        <v>5737</v>
      </c>
      <c r="C1726" t="s">
        <v>5738</v>
      </c>
      <c r="D1726" t="s">
        <v>5739</v>
      </c>
      <c r="E1726" t="s">
        <v>2077</v>
      </c>
      <c r="F1726" t="s">
        <v>2737</v>
      </c>
      <c r="G1726" s="1">
        <v>11</v>
      </c>
      <c r="H1726" s="1">
        <v>6</v>
      </c>
      <c r="I1726" t="s">
        <v>1604</v>
      </c>
      <c r="K1726" t="s">
        <v>2712</v>
      </c>
      <c r="L1726" s="1">
        <v>1</v>
      </c>
      <c r="M1726" s="3">
        <v>36.07</v>
      </c>
      <c r="N1726" s="3">
        <v>1.8</v>
      </c>
      <c r="O1726" s="3">
        <v>0</v>
      </c>
      <c r="P1726" s="3">
        <v>0.4</v>
      </c>
      <c r="Q1726" s="3">
        <v>38.270000000000003</v>
      </c>
      <c r="R1726" s="3">
        <v>14.45</v>
      </c>
      <c r="S1726" s="3">
        <f>VLOOKUP(C1726,[1]page!$C$2:$M$3071,11,0)</f>
        <v>36.020000000000003</v>
      </c>
      <c r="T1726" s="6">
        <f t="shared" si="27"/>
        <v>4.9999999999997158E-2</v>
      </c>
    </row>
    <row r="1727" spans="1:20" x14ac:dyDescent="0.2">
      <c r="A1727" t="s">
        <v>5728</v>
      </c>
      <c r="B1727" t="s">
        <v>5740</v>
      </c>
      <c r="C1727" t="s">
        <v>5741</v>
      </c>
      <c r="D1727" t="s">
        <v>5742</v>
      </c>
      <c r="E1727" t="s">
        <v>4606</v>
      </c>
      <c r="F1727" t="s">
        <v>23</v>
      </c>
      <c r="G1727" s="1">
        <v>11</v>
      </c>
      <c r="H1727" s="1">
        <v>12</v>
      </c>
      <c r="I1727" t="s">
        <v>2759</v>
      </c>
      <c r="K1727" t="s">
        <v>2712</v>
      </c>
      <c r="L1727" s="1">
        <v>1</v>
      </c>
      <c r="M1727" s="3">
        <v>17.809999999999999</v>
      </c>
      <c r="N1727" s="3">
        <v>0.89</v>
      </c>
      <c r="O1727" s="3">
        <v>0</v>
      </c>
      <c r="P1727" s="3">
        <v>0.2</v>
      </c>
      <c r="Q1727" s="3">
        <v>18.899999999999999</v>
      </c>
      <c r="R1727" s="3">
        <v>7.95</v>
      </c>
      <c r="S1727" s="3">
        <f>VLOOKUP(C1727,[1]page!$C$2:$M$3071,11,0)</f>
        <v>17.79</v>
      </c>
      <c r="T1727" s="6">
        <f t="shared" si="27"/>
        <v>1.9999999999999574E-2</v>
      </c>
    </row>
    <row r="1728" spans="1:20" x14ac:dyDescent="0.2">
      <c r="A1728" t="s">
        <v>5743</v>
      </c>
      <c r="B1728" t="s">
        <v>5744</v>
      </c>
      <c r="C1728" t="s">
        <v>5745</v>
      </c>
      <c r="D1728" t="s">
        <v>5746</v>
      </c>
      <c r="E1728" t="s">
        <v>4497</v>
      </c>
      <c r="F1728" t="s">
        <v>23</v>
      </c>
      <c r="G1728" s="1">
        <v>11</v>
      </c>
      <c r="H1728" s="1">
        <v>12</v>
      </c>
      <c r="I1728" t="s">
        <v>607</v>
      </c>
      <c r="K1728" t="s">
        <v>2712</v>
      </c>
      <c r="L1728" s="1">
        <v>1</v>
      </c>
      <c r="M1728" s="3">
        <v>19.05</v>
      </c>
      <c r="N1728" s="3">
        <v>0.95</v>
      </c>
      <c r="O1728" s="3">
        <v>0</v>
      </c>
      <c r="P1728" s="3">
        <v>0.2</v>
      </c>
      <c r="Q1728" s="3">
        <v>20.2</v>
      </c>
      <c r="R1728" s="3">
        <v>7.95</v>
      </c>
      <c r="S1728" s="3">
        <f>VLOOKUP(C1728,[1]page!$C$2:$M$3071,11,0)</f>
        <v>19.04</v>
      </c>
      <c r="T1728" s="6">
        <f t="shared" si="27"/>
        <v>1.0000000000001563E-2</v>
      </c>
    </row>
    <row r="1729" spans="1:20" x14ac:dyDescent="0.2">
      <c r="A1729" t="s">
        <v>5743</v>
      </c>
      <c r="B1729" t="s">
        <v>5747</v>
      </c>
      <c r="C1729" t="s">
        <v>5748</v>
      </c>
      <c r="D1729" t="s">
        <v>5749</v>
      </c>
      <c r="E1729" t="s">
        <v>4448</v>
      </c>
      <c r="F1729" t="s">
        <v>23</v>
      </c>
      <c r="G1729" s="1">
        <v>11</v>
      </c>
      <c r="H1729" s="1">
        <v>6</v>
      </c>
      <c r="I1729" t="s">
        <v>449</v>
      </c>
      <c r="K1729" t="s">
        <v>2712</v>
      </c>
      <c r="L1729" s="1">
        <v>1</v>
      </c>
      <c r="M1729" s="3">
        <v>21.02</v>
      </c>
      <c r="N1729" s="3">
        <v>1.05</v>
      </c>
      <c r="O1729" s="3">
        <v>0</v>
      </c>
      <c r="P1729" s="3">
        <v>0.2</v>
      </c>
      <c r="Q1729" s="3">
        <v>22.27</v>
      </c>
      <c r="R1729" s="3">
        <v>7.95</v>
      </c>
      <c r="S1729" s="3">
        <f>VLOOKUP(C1729,[1]page!$C$2:$M$3071,11,0)</f>
        <v>21.01</v>
      </c>
      <c r="T1729" s="6">
        <f t="shared" si="27"/>
        <v>9.9999999999980105E-3</v>
      </c>
    </row>
    <row r="1730" spans="1:20" x14ac:dyDescent="0.2">
      <c r="A1730" t="s">
        <v>5743</v>
      </c>
      <c r="B1730" t="s">
        <v>5750</v>
      </c>
      <c r="C1730" t="s">
        <v>5751</v>
      </c>
      <c r="D1730" t="s">
        <v>5752</v>
      </c>
      <c r="E1730" t="s">
        <v>5667</v>
      </c>
      <c r="F1730" t="s">
        <v>23</v>
      </c>
      <c r="G1730" s="1">
        <v>11</v>
      </c>
      <c r="H1730" s="1">
        <v>12</v>
      </c>
      <c r="I1730" t="s">
        <v>57</v>
      </c>
      <c r="K1730" t="s">
        <v>2706</v>
      </c>
      <c r="L1730" s="1">
        <v>1</v>
      </c>
      <c r="M1730" s="3">
        <v>18.02</v>
      </c>
      <c r="N1730" s="3">
        <v>0.9</v>
      </c>
      <c r="O1730" s="3">
        <v>0</v>
      </c>
      <c r="P1730" s="3">
        <v>0.2</v>
      </c>
      <c r="Q1730" s="3">
        <v>19.12</v>
      </c>
      <c r="R1730" s="3">
        <v>7.95</v>
      </c>
      <c r="S1730" s="3">
        <f>VLOOKUP(C1730,[1]page!$C$2:$M$3071,11,0)</f>
        <v>17.989999999999998</v>
      </c>
      <c r="T1730" s="6">
        <f t="shared" si="27"/>
        <v>3.0000000000001137E-2</v>
      </c>
    </row>
    <row r="1731" spans="1:20" x14ac:dyDescent="0.2">
      <c r="A1731" t="s">
        <v>5753</v>
      </c>
      <c r="B1731" t="s">
        <v>5754</v>
      </c>
      <c r="C1731" t="s">
        <v>5755</v>
      </c>
      <c r="D1731" t="s">
        <v>5756</v>
      </c>
      <c r="E1731" t="s">
        <v>4606</v>
      </c>
      <c r="F1731" t="s">
        <v>23</v>
      </c>
      <c r="G1731" s="1">
        <v>11</v>
      </c>
      <c r="H1731" s="1">
        <v>12</v>
      </c>
      <c r="I1731" t="s">
        <v>2759</v>
      </c>
      <c r="K1731" t="s">
        <v>2712</v>
      </c>
      <c r="L1731" s="1">
        <v>1</v>
      </c>
      <c r="M1731" s="3">
        <v>18.809999999999999</v>
      </c>
      <c r="N1731" s="3">
        <v>0.94</v>
      </c>
      <c r="O1731" s="3">
        <v>0</v>
      </c>
      <c r="P1731" s="3">
        <v>0.2</v>
      </c>
      <c r="Q1731" s="3">
        <v>19.95</v>
      </c>
      <c r="R1731" s="3">
        <v>7.95</v>
      </c>
      <c r="S1731" s="3">
        <f>VLOOKUP(C1731,[1]page!$C$2:$M$3071,11,0)</f>
        <v>18.79</v>
      </c>
      <c r="T1731" s="6">
        <f t="shared" si="27"/>
        <v>1.9999999999999574E-2</v>
      </c>
    </row>
    <row r="1732" spans="1:20" x14ac:dyDescent="0.2">
      <c r="A1732" t="s">
        <v>5757</v>
      </c>
      <c r="B1732" t="s">
        <v>5758</v>
      </c>
      <c r="C1732" t="s">
        <v>5759</v>
      </c>
      <c r="D1732" t="s">
        <v>5760</v>
      </c>
      <c r="E1732" t="s">
        <v>4688</v>
      </c>
      <c r="F1732" t="s">
        <v>23</v>
      </c>
      <c r="G1732" s="1">
        <v>12</v>
      </c>
      <c r="H1732" s="1">
        <v>6</v>
      </c>
      <c r="I1732" t="s">
        <v>3732</v>
      </c>
      <c r="K1732" t="s">
        <v>2706</v>
      </c>
      <c r="L1732" s="1">
        <v>1</v>
      </c>
      <c r="M1732" s="3">
        <v>19.79</v>
      </c>
      <c r="N1732" s="3">
        <v>0.99</v>
      </c>
      <c r="O1732" s="3">
        <v>0</v>
      </c>
      <c r="P1732" s="3">
        <v>0.2</v>
      </c>
      <c r="Q1732" s="3">
        <v>20.98</v>
      </c>
      <c r="R1732" s="3">
        <v>7.95</v>
      </c>
      <c r="S1732" s="3">
        <f>VLOOKUP(C1732,[1]page!$C$2:$M$3071,11,0)</f>
        <v>19.78</v>
      </c>
      <c r="T1732" s="6">
        <f t="shared" si="27"/>
        <v>9.9999999999980105E-3</v>
      </c>
    </row>
    <row r="1733" spans="1:20" x14ac:dyDescent="0.2">
      <c r="A1733" t="s">
        <v>5761</v>
      </c>
      <c r="B1733" t="s">
        <v>5762</v>
      </c>
      <c r="C1733" t="s">
        <v>5763</v>
      </c>
      <c r="D1733" t="s">
        <v>5764</v>
      </c>
      <c r="E1733" t="s">
        <v>4448</v>
      </c>
      <c r="F1733" t="s">
        <v>5642</v>
      </c>
      <c r="G1733" s="2">
        <v>11.5</v>
      </c>
      <c r="H1733" s="1">
        <v>8</v>
      </c>
      <c r="I1733" t="s">
        <v>449</v>
      </c>
      <c r="K1733" t="s">
        <v>2706</v>
      </c>
      <c r="L1733" s="1">
        <v>3</v>
      </c>
      <c r="M1733" s="3">
        <v>11.02</v>
      </c>
      <c r="N1733" s="3">
        <v>0.55000000000000004</v>
      </c>
      <c r="O1733" s="3">
        <v>0</v>
      </c>
      <c r="P1733" s="3">
        <v>0.3</v>
      </c>
      <c r="Q1733" s="3">
        <v>11.87</v>
      </c>
      <c r="R1733" s="3">
        <v>7.65</v>
      </c>
      <c r="S1733" s="3">
        <f>VLOOKUP(C1733,[1]page!$C$2:$M$3071,11,0)</f>
        <v>11.01</v>
      </c>
      <c r="T1733" s="6">
        <f t="shared" si="27"/>
        <v>9.9999999999997868E-3</v>
      </c>
    </row>
    <row r="1734" spans="1:20" x14ac:dyDescent="0.2">
      <c r="A1734" t="s">
        <v>5765</v>
      </c>
      <c r="B1734" t="s">
        <v>5766</v>
      </c>
      <c r="C1734" t="s">
        <v>5767</v>
      </c>
      <c r="D1734" t="s">
        <v>5768</v>
      </c>
      <c r="E1734" t="s">
        <v>5769</v>
      </c>
      <c r="F1734" t="s">
        <v>23</v>
      </c>
      <c r="G1734" s="2">
        <v>11.5</v>
      </c>
      <c r="H1734" s="1">
        <v>6</v>
      </c>
      <c r="I1734" t="s">
        <v>183</v>
      </c>
      <c r="K1734" t="s">
        <v>2712</v>
      </c>
      <c r="L1734" s="1">
        <v>1</v>
      </c>
      <c r="M1734" s="3">
        <v>17.16</v>
      </c>
      <c r="N1734" s="3">
        <v>0.86</v>
      </c>
      <c r="O1734" s="3">
        <v>0</v>
      </c>
      <c r="P1734" s="3">
        <v>0.2</v>
      </c>
      <c r="Q1734" s="3">
        <v>18.22</v>
      </c>
      <c r="R1734" s="3">
        <v>7.95</v>
      </c>
      <c r="S1734" s="3">
        <f>VLOOKUP(C1734,[1]page!$C$2:$M$3071,11,0)</f>
        <v>17.27</v>
      </c>
      <c r="T1734" s="6">
        <f t="shared" si="27"/>
        <v>-0.10999999999999943</v>
      </c>
    </row>
    <row r="1735" spans="1:20" x14ac:dyDescent="0.2">
      <c r="A1735" t="s">
        <v>5770</v>
      </c>
      <c r="B1735" t="s">
        <v>5771</v>
      </c>
      <c r="C1735" t="s">
        <v>5772</v>
      </c>
      <c r="D1735" t="s">
        <v>5773</v>
      </c>
      <c r="E1735" t="s">
        <v>4448</v>
      </c>
      <c r="F1735" t="s">
        <v>23</v>
      </c>
      <c r="G1735" s="1">
        <v>12</v>
      </c>
      <c r="H1735" s="1">
        <v>6</v>
      </c>
      <c r="I1735" t="s">
        <v>449</v>
      </c>
      <c r="K1735" t="s">
        <v>2687</v>
      </c>
      <c r="L1735" s="1">
        <v>1</v>
      </c>
      <c r="M1735" s="3">
        <v>13.53</v>
      </c>
      <c r="N1735" s="3">
        <v>0.68</v>
      </c>
      <c r="O1735" s="3">
        <v>0</v>
      </c>
      <c r="P1735" s="3">
        <v>0.2</v>
      </c>
      <c r="Q1735" s="3">
        <v>14.41</v>
      </c>
      <c r="R1735" s="3">
        <v>7.95</v>
      </c>
      <c r="S1735" s="3">
        <f>VLOOKUP(C1735,[1]page!$C$2:$M$3071,11,0)</f>
        <v>13.51</v>
      </c>
      <c r="T1735" s="6">
        <f t="shared" si="27"/>
        <v>1.9999999999999574E-2</v>
      </c>
    </row>
    <row r="1736" spans="1:20" x14ac:dyDescent="0.2">
      <c r="A1736" t="s">
        <v>5770</v>
      </c>
      <c r="B1736" t="s">
        <v>5774</v>
      </c>
      <c r="C1736" t="s">
        <v>5775</v>
      </c>
      <c r="D1736" t="s">
        <v>5776</v>
      </c>
      <c r="E1736" t="s">
        <v>4448</v>
      </c>
      <c r="F1736" t="s">
        <v>23</v>
      </c>
      <c r="G1736" s="1">
        <v>12</v>
      </c>
      <c r="H1736" s="1">
        <v>6</v>
      </c>
      <c r="I1736" t="s">
        <v>449</v>
      </c>
      <c r="K1736" t="s">
        <v>2828</v>
      </c>
      <c r="L1736" s="1">
        <v>1</v>
      </c>
      <c r="M1736" s="3">
        <v>14.03</v>
      </c>
      <c r="N1736" s="3">
        <v>0.7</v>
      </c>
      <c r="O1736" s="3">
        <v>0</v>
      </c>
      <c r="P1736" s="3">
        <v>0.2</v>
      </c>
      <c r="Q1736" s="3">
        <v>14.93</v>
      </c>
      <c r="R1736" s="3">
        <v>7.95</v>
      </c>
      <c r="S1736" s="3">
        <f>VLOOKUP(C1736,[1]page!$C$2:$M$3071,11,0)</f>
        <v>14.01</v>
      </c>
      <c r="T1736" s="6">
        <f t="shared" si="27"/>
        <v>1.9999999999999574E-2</v>
      </c>
    </row>
    <row r="1737" spans="1:20" x14ac:dyDescent="0.2">
      <c r="A1737" t="s">
        <v>5770</v>
      </c>
      <c r="B1737" t="s">
        <v>5777</v>
      </c>
      <c r="C1737" t="s">
        <v>5778</v>
      </c>
      <c r="D1737" t="s">
        <v>5776</v>
      </c>
      <c r="E1737" t="s">
        <v>4448</v>
      </c>
      <c r="F1737" t="s">
        <v>2737</v>
      </c>
      <c r="G1737" s="1">
        <v>12</v>
      </c>
      <c r="H1737" s="1">
        <v>6</v>
      </c>
      <c r="I1737" t="s">
        <v>449</v>
      </c>
      <c r="K1737" t="s">
        <v>2828</v>
      </c>
      <c r="L1737" s="1">
        <v>1</v>
      </c>
      <c r="M1737" s="3">
        <v>27.07</v>
      </c>
      <c r="N1737" s="3">
        <v>1.35</v>
      </c>
      <c r="O1737" s="3">
        <v>0</v>
      </c>
      <c r="P1737" s="3">
        <v>0.4</v>
      </c>
      <c r="Q1737" s="3">
        <v>28.82</v>
      </c>
      <c r="R1737" s="3">
        <v>14.45</v>
      </c>
      <c r="S1737" s="3">
        <f>VLOOKUP(C1737,[1]page!$C$2:$M$3071,11,0)</f>
        <v>27.02</v>
      </c>
      <c r="T1737" s="6">
        <f t="shared" si="27"/>
        <v>5.0000000000000711E-2</v>
      </c>
    </row>
    <row r="1738" spans="1:20" x14ac:dyDescent="0.2">
      <c r="A1738" t="s">
        <v>5779</v>
      </c>
      <c r="B1738" t="s">
        <v>5780</v>
      </c>
      <c r="C1738" t="s">
        <v>5781</v>
      </c>
      <c r="D1738" t="s">
        <v>5782</v>
      </c>
      <c r="E1738" t="s">
        <v>5783</v>
      </c>
      <c r="F1738" t="s">
        <v>23</v>
      </c>
      <c r="G1738" s="1">
        <v>13</v>
      </c>
      <c r="H1738" s="1">
        <v>12</v>
      </c>
      <c r="I1738" t="s">
        <v>257</v>
      </c>
      <c r="K1738" t="s">
        <v>2828</v>
      </c>
      <c r="L1738" s="1">
        <v>1</v>
      </c>
      <c r="M1738" s="3">
        <v>16.12</v>
      </c>
      <c r="N1738" s="3">
        <v>0.81</v>
      </c>
      <c r="O1738" s="3">
        <v>0</v>
      </c>
      <c r="P1738" s="3">
        <v>0.2</v>
      </c>
      <c r="Q1738" s="3">
        <v>17.13</v>
      </c>
      <c r="R1738" s="3">
        <v>7.95</v>
      </c>
      <c r="S1738" s="3">
        <f>VLOOKUP(C1738,[1]page!$C$2:$M$3071,11,0)</f>
        <v>16.36</v>
      </c>
      <c r="T1738" s="6">
        <f t="shared" si="27"/>
        <v>-0.23999999999999844</v>
      </c>
    </row>
    <row r="1739" spans="1:20" x14ac:dyDescent="0.2">
      <c r="A1739" t="s">
        <v>5784</v>
      </c>
      <c r="B1739" t="s">
        <v>5785</v>
      </c>
      <c r="C1739" t="s">
        <v>5786</v>
      </c>
      <c r="D1739" t="s">
        <v>5787</v>
      </c>
      <c r="E1739" t="s">
        <v>5788</v>
      </c>
      <c r="F1739" t="s">
        <v>23</v>
      </c>
      <c r="G1739" s="1">
        <v>13</v>
      </c>
      <c r="H1739" s="1">
        <v>6</v>
      </c>
      <c r="I1739" t="s">
        <v>39</v>
      </c>
      <c r="K1739" t="s">
        <v>2706</v>
      </c>
      <c r="L1739" s="1">
        <v>1</v>
      </c>
      <c r="M1739" s="3">
        <v>28.42</v>
      </c>
      <c r="N1739" s="3">
        <v>1.42</v>
      </c>
      <c r="O1739" s="3">
        <v>0</v>
      </c>
      <c r="P1739" s="3">
        <v>0.2</v>
      </c>
      <c r="Q1739" s="3">
        <v>30.04</v>
      </c>
      <c r="R1739" s="3">
        <v>7.95</v>
      </c>
      <c r="S1739" s="3">
        <f>VLOOKUP(C1739,[1]page!$C$2:$M$3071,11,0)</f>
        <v>28.4</v>
      </c>
      <c r="T1739" s="6">
        <f t="shared" si="27"/>
        <v>2.0000000000003126E-2</v>
      </c>
    </row>
    <row r="1740" spans="1:20" x14ac:dyDescent="0.2">
      <c r="A1740" t="s">
        <v>5789</v>
      </c>
      <c r="B1740" t="s">
        <v>5790</v>
      </c>
      <c r="C1740" t="s">
        <v>5791</v>
      </c>
      <c r="D1740" t="s">
        <v>5792</v>
      </c>
      <c r="E1740" t="s">
        <v>5205</v>
      </c>
      <c r="F1740" t="s">
        <v>23</v>
      </c>
      <c r="G1740" s="1">
        <v>11</v>
      </c>
      <c r="H1740" s="1">
        <v>12</v>
      </c>
      <c r="I1740" t="s">
        <v>57</v>
      </c>
      <c r="K1740" t="s">
        <v>2828</v>
      </c>
      <c r="L1740" s="1">
        <v>1</v>
      </c>
      <c r="M1740" s="3">
        <v>16.940000000000001</v>
      </c>
      <c r="N1740" s="3">
        <v>0.85</v>
      </c>
      <c r="O1740" s="3">
        <v>0</v>
      </c>
      <c r="P1740" s="3">
        <v>0.2</v>
      </c>
      <c r="Q1740" s="3">
        <v>17.989999999999998</v>
      </c>
      <c r="R1740" s="3">
        <v>7.95</v>
      </c>
      <c r="S1740" s="3">
        <f>VLOOKUP(C1740,[1]page!$C$2:$M$3071,11,0)</f>
        <v>16.920000000000002</v>
      </c>
      <c r="T1740" s="6">
        <f t="shared" si="27"/>
        <v>1.9999999999999574E-2</v>
      </c>
    </row>
    <row r="1741" spans="1:20" x14ac:dyDescent="0.2">
      <c r="A1741" t="s">
        <v>5793</v>
      </c>
      <c r="B1741" t="s">
        <v>5794</v>
      </c>
      <c r="C1741" t="s">
        <v>5795</v>
      </c>
      <c r="D1741" t="s">
        <v>5796</v>
      </c>
      <c r="E1741" t="s">
        <v>2777</v>
      </c>
      <c r="F1741" t="s">
        <v>87</v>
      </c>
      <c r="G1741" s="2">
        <v>6.5</v>
      </c>
      <c r="H1741" s="1">
        <v>4</v>
      </c>
      <c r="I1741" t="s">
        <v>449</v>
      </c>
      <c r="K1741" t="s">
        <v>2773</v>
      </c>
      <c r="L1741" s="1">
        <v>1</v>
      </c>
      <c r="M1741" s="3">
        <v>24.14</v>
      </c>
      <c r="N1741" s="3">
        <v>1.21</v>
      </c>
      <c r="O1741" s="3">
        <v>0</v>
      </c>
      <c r="P1741" s="3">
        <v>0</v>
      </c>
      <c r="Q1741" s="3">
        <v>25.35</v>
      </c>
      <c r="R1741" s="3">
        <v>26.4</v>
      </c>
      <c r="S1741" s="3">
        <f>VLOOKUP(C1741,[1]page!$C$2:$M$3071,11,0)</f>
        <v>24.14</v>
      </c>
      <c r="T1741" s="6">
        <f t="shared" si="27"/>
        <v>0</v>
      </c>
    </row>
    <row r="1742" spans="1:20" x14ac:dyDescent="0.2">
      <c r="A1742" t="s">
        <v>5797</v>
      </c>
      <c r="B1742" t="s">
        <v>5798</v>
      </c>
      <c r="C1742" t="s">
        <v>5799</v>
      </c>
      <c r="D1742" t="s">
        <v>5800</v>
      </c>
      <c r="E1742" t="s">
        <v>2777</v>
      </c>
      <c r="F1742" t="s">
        <v>23</v>
      </c>
      <c r="G1742" s="2">
        <v>6.5</v>
      </c>
      <c r="H1742" s="1">
        <v>12</v>
      </c>
      <c r="I1742" t="s">
        <v>449</v>
      </c>
      <c r="K1742" t="s">
        <v>2773</v>
      </c>
      <c r="L1742" s="1">
        <v>1</v>
      </c>
      <c r="M1742" s="3">
        <v>9.31</v>
      </c>
      <c r="N1742" s="3">
        <v>0.47</v>
      </c>
      <c r="O1742" s="3">
        <v>0</v>
      </c>
      <c r="P1742" s="3">
        <v>0.2</v>
      </c>
      <c r="Q1742" s="3">
        <v>9.98</v>
      </c>
      <c r="R1742" s="3">
        <v>7.95</v>
      </c>
      <c r="S1742" s="3">
        <f>VLOOKUP(C1742,[1]page!$C$2:$M$3071,11,0)</f>
        <v>9.31</v>
      </c>
      <c r="T1742" s="6">
        <f t="shared" si="27"/>
        <v>0</v>
      </c>
    </row>
    <row r="1743" spans="1:20" x14ac:dyDescent="0.2">
      <c r="A1743" t="s">
        <v>5801</v>
      </c>
      <c r="B1743" t="s">
        <v>5802</v>
      </c>
      <c r="C1743" t="s">
        <v>5803</v>
      </c>
      <c r="D1743" t="s">
        <v>5804</v>
      </c>
      <c r="E1743" t="s">
        <v>2777</v>
      </c>
      <c r="F1743" t="s">
        <v>23</v>
      </c>
      <c r="G1743" s="2">
        <v>6.5</v>
      </c>
      <c r="H1743" s="1">
        <v>12</v>
      </c>
      <c r="I1743" t="s">
        <v>449</v>
      </c>
      <c r="K1743" t="s">
        <v>2712</v>
      </c>
      <c r="L1743" s="1">
        <v>1</v>
      </c>
      <c r="M1743" s="3">
        <v>8.24</v>
      </c>
      <c r="N1743" s="3">
        <v>0.41</v>
      </c>
      <c r="O1743" s="3">
        <v>0</v>
      </c>
      <c r="P1743" s="3">
        <v>0.2</v>
      </c>
      <c r="Q1743" s="3">
        <v>8.85</v>
      </c>
      <c r="R1743" s="3">
        <v>7.95</v>
      </c>
      <c r="S1743" s="3">
        <f>VLOOKUP(C1743,[1]page!$C$2:$M$3071,11,0)</f>
        <v>8.24</v>
      </c>
      <c r="T1743" s="6">
        <f t="shared" si="27"/>
        <v>0</v>
      </c>
    </row>
    <row r="1744" spans="1:20" x14ac:dyDescent="0.2">
      <c r="A1744" t="s">
        <v>5805</v>
      </c>
      <c r="B1744" t="s">
        <v>5806</v>
      </c>
      <c r="C1744" t="s">
        <v>5807</v>
      </c>
      <c r="D1744" t="s">
        <v>5808</v>
      </c>
      <c r="E1744" t="s">
        <v>2777</v>
      </c>
      <c r="F1744" t="s">
        <v>23</v>
      </c>
      <c r="G1744" s="2">
        <v>6.5</v>
      </c>
      <c r="H1744" s="1">
        <v>12</v>
      </c>
      <c r="I1744" t="s">
        <v>449</v>
      </c>
      <c r="K1744" t="s">
        <v>2706</v>
      </c>
      <c r="L1744" s="1">
        <v>1</v>
      </c>
      <c r="M1744" s="3">
        <v>7.91</v>
      </c>
      <c r="N1744" s="3">
        <v>0.4</v>
      </c>
      <c r="O1744" s="3">
        <v>0</v>
      </c>
      <c r="P1744" s="3">
        <v>0.2</v>
      </c>
      <c r="Q1744" s="3">
        <v>8.51</v>
      </c>
      <c r="R1744" s="3">
        <v>7.95</v>
      </c>
      <c r="S1744" s="3">
        <f>VLOOKUP(C1744,[1]page!$C$2:$M$3071,11,0)</f>
        <v>7.91</v>
      </c>
      <c r="T1744" s="6">
        <f t="shared" si="27"/>
        <v>0</v>
      </c>
    </row>
    <row r="1745" spans="1:20" x14ac:dyDescent="0.2">
      <c r="A1745" t="s">
        <v>5805</v>
      </c>
      <c r="B1745" t="s">
        <v>5809</v>
      </c>
      <c r="C1745" t="s">
        <v>5810</v>
      </c>
      <c r="D1745" t="s">
        <v>5811</v>
      </c>
      <c r="E1745" t="s">
        <v>2777</v>
      </c>
      <c r="F1745" t="s">
        <v>23</v>
      </c>
      <c r="G1745" s="2">
        <v>6.5</v>
      </c>
      <c r="H1745" s="1">
        <v>12</v>
      </c>
      <c r="I1745" t="s">
        <v>449</v>
      </c>
      <c r="K1745" t="s">
        <v>2706</v>
      </c>
      <c r="L1745" s="1">
        <v>1</v>
      </c>
      <c r="M1745" s="3">
        <v>7.91</v>
      </c>
      <c r="N1745" s="3">
        <v>0.4</v>
      </c>
      <c r="O1745" s="3">
        <v>0</v>
      </c>
      <c r="P1745" s="3">
        <v>0.2</v>
      </c>
      <c r="Q1745" s="3">
        <v>8.51</v>
      </c>
      <c r="R1745" s="3">
        <v>7.95</v>
      </c>
      <c r="S1745" s="3">
        <f>VLOOKUP(C1745,[1]page!$C$2:$M$3071,11,0)</f>
        <v>7.91</v>
      </c>
      <c r="T1745" s="6">
        <f t="shared" si="27"/>
        <v>0</v>
      </c>
    </row>
    <row r="1746" spans="1:20" x14ac:dyDescent="0.2">
      <c r="A1746" t="s">
        <v>5812</v>
      </c>
      <c r="B1746" t="s">
        <v>5813</v>
      </c>
      <c r="C1746" t="s">
        <v>5814</v>
      </c>
      <c r="D1746" t="s">
        <v>5815</v>
      </c>
      <c r="E1746" t="s">
        <v>3722</v>
      </c>
      <c r="F1746" t="s">
        <v>23</v>
      </c>
      <c r="G1746" s="2">
        <v>11.5</v>
      </c>
      <c r="H1746" s="1">
        <v>12</v>
      </c>
      <c r="I1746" t="s">
        <v>183</v>
      </c>
      <c r="K1746" t="s">
        <v>2773</v>
      </c>
      <c r="L1746" s="1">
        <v>1</v>
      </c>
      <c r="M1746" s="3">
        <v>11.55</v>
      </c>
      <c r="N1746" s="3">
        <v>0.57999999999999996</v>
      </c>
      <c r="O1746" s="3">
        <v>0</v>
      </c>
      <c r="P1746" s="3">
        <v>0.2</v>
      </c>
      <c r="Q1746" s="3">
        <v>12.33</v>
      </c>
      <c r="R1746" s="3">
        <v>7.95</v>
      </c>
      <c r="S1746" s="3">
        <f>VLOOKUP(C1746,[1]page!$C$2:$M$3071,11,0)</f>
        <v>11.53</v>
      </c>
      <c r="T1746" s="6">
        <f t="shared" si="27"/>
        <v>2.000000000000135E-2</v>
      </c>
    </row>
    <row r="1747" spans="1:20" x14ac:dyDescent="0.2">
      <c r="A1747" t="s">
        <v>5816</v>
      </c>
      <c r="B1747" t="s">
        <v>5817</v>
      </c>
      <c r="C1747" t="s">
        <v>5818</v>
      </c>
      <c r="D1747" t="s">
        <v>5819</v>
      </c>
      <c r="E1747" t="s">
        <v>2077</v>
      </c>
      <c r="F1747" t="s">
        <v>23</v>
      </c>
      <c r="G1747" s="2">
        <v>7.5</v>
      </c>
      <c r="H1747" s="1">
        <v>12</v>
      </c>
      <c r="I1747" t="s">
        <v>3486</v>
      </c>
      <c r="K1747" t="s">
        <v>2773</v>
      </c>
      <c r="L1747" s="1">
        <v>1</v>
      </c>
      <c r="M1747" s="3">
        <v>9.65</v>
      </c>
      <c r="N1747" s="3">
        <v>0.48</v>
      </c>
      <c r="O1747" s="3">
        <v>0</v>
      </c>
      <c r="P1747" s="3">
        <v>0.2</v>
      </c>
      <c r="Q1747" s="3">
        <v>10.33</v>
      </c>
      <c r="R1747" s="3">
        <v>7.95</v>
      </c>
      <c r="S1747" s="3">
        <f>VLOOKUP(C1747,[1]page!$C$2:$M$3071,11,0)</f>
        <v>9.6300000000000008</v>
      </c>
      <c r="T1747" s="6">
        <f t="shared" si="27"/>
        <v>1.9999999999999574E-2</v>
      </c>
    </row>
    <row r="1748" spans="1:20" x14ac:dyDescent="0.2">
      <c r="A1748" t="s">
        <v>5816</v>
      </c>
      <c r="B1748" t="s">
        <v>5820</v>
      </c>
      <c r="C1748" t="s">
        <v>5821</v>
      </c>
      <c r="D1748" t="s">
        <v>5822</v>
      </c>
      <c r="E1748" t="s">
        <v>2077</v>
      </c>
      <c r="F1748" t="s">
        <v>23</v>
      </c>
      <c r="G1748" s="2">
        <v>7.5</v>
      </c>
      <c r="H1748" s="1">
        <v>12</v>
      </c>
      <c r="I1748" t="s">
        <v>3486</v>
      </c>
      <c r="K1748" t="s">
        <v>2773</v>
      </c>
      <c r="L1748" s="1">
        <v>1</v>
      </c>
      <c r="M1748" s="3">
        <v>9.65</v>
      </c>
      <c r="N1748" s="3">
        <v>0.48</v>
      </c>
      <c r="O1748" s="3">
        <v>0</v>
      </c>
      <c r="P1748" s="3">
        <v>0.2</v>
      </c>
      <c r="Q1748" s="3">
        <v>10.33</v>
      </c>
      <c r="R1748" s="3">
        <v>7.95</v>
      </c>
      <c r="S1748" s="3">
        <f>VLOOKUP(C1748,[1]page!$C$2:$M$3071,11,0)</f>
        <v>9.6300000000000008</v>
      </c>
      <c r="T1748" s="6">
        <f t="shared" si="27"/>
        <v>1.9999999999999574E-2</v>
      </c>
    </row>
    <row r="1749" spans="1:20" x14ac:dyDescent="0.2">
      <c r="A1749" t="s">
        <v>5816</v>
      </c>
      <c r="B1749" t="s">
        <v>5823</v>
      </c>
      <c r="C1749" t="s">
        <v>5824</v>
      </c>
      <c r="D1749" t="s">
        <v>5825</v>
      </c>
      <c r="E1749" t="s">
        <v>5826</v>
      </c>
      <c r="F1749" t="s">
        <v>23</v>
      </c>
      <c r="G1749" s="1">
        <v>5</v>
      </c>
      <c r="H1749" s="1">
        <v>12</v>
      </c>
      <c r="I1749" t="s">
        <v>1604</v>
      </c>
      <c r="K1749" t="s">
        <v>2706</v>
      </c>
      <c r="L1749" s="1">
        <v>1</v>
      </c>
      <c r="M1749" s="3">
        <v>7.34</v>
      </c>
      <c r="N1749" s="3">
        <v>0.37</v>
      </c>
      <c r="O1749" s="3">
        <v>0</v>
      </c>
      <c r="P1749" s="3">
        <v>0.2</v>
      </c>
      <c r="Q1749" s="3">
        <v>7.91</v>
      </c>
      <c r="R1749" s="3">
        <v>7.95</v>
      </c>
      <c r="S1749" s="3">
        <f>VLOOKUP(C1749,[1]page!$C$2:$M$3071,11,0)</f>
        <v>7.33</v>
      </c>
      <c r="T1749" s="6">
        <f t="shared" si="27"/>
        <v>9.9999999999997868E-3</v>
      </c>
    </row>
    <row r="1750" spans="1:20" x14ac:dyDescent="0.2">
      <c r="A1750" t="s">
        <v>5827</v>
      </c>
      <c r="B1750" t="s">
        <v>5828</v>
      </c>
      <c r="C1750" t="s">
        <v>5829</v>
      </c>
      <c r="D1750" t="s">
        <v>5830</v>
      </c>
      <c r="E1750" t="s">
        <v>5831</v>
      </c>
      <c r="F1750" t="s">
        <v>23</v>
      </c>
      <c r="G1750" s="1">
        <v>6</v>
      </c>
      <c r="H1750" s="1">
        <v>12</v>
      </c>
      <c r="I1750" t="s">
        <v>1604</v>
      </c>
      <c r="K1750" t="s">
        <v>2712</v>
      </c>
      <c r="L1750" s="1">
        <v>1</v>
      </c>
      <c r="M1750" s="3">
        <v>10.15</v>
      </c>
      <c r="N1750" s="3">
        <v>0.51</v>
      </c>
      <c r="O1750" s="3">
        <v>0</v>
      </c>
      <c r="P1750" s="3">
        <v>0.2</v>
      </c>
      <c r="Q1750" s="3">
        <v>10.86</v>
      </c>
      <c r="R1750" s="3">
        <v>7.95</v>
      </c>
      <c r="S1750" s="3">
        <f>VLOOKUP(C1750,[1]page!$C$2:$M$3071,11,0)</f>
        <v>10.14</v>
      </c>
      <c r="T1750" s="6">
        <f t="shared" si="27"/>
        <v>9.9999999999997868E-3</v>
      </c>
    </row>
    <row r="1751" spans="1:20" x14ac:dyDescent="0.2">
      <c r="A1751" t="s">
        <v>5827</v>
      </c>
      <c r="B1751" t="s">
        <v>5832</v>
      </c>
      <c r="C1751" t="s">
        <v>5833</v>
      </c>
      <c r="D1751" t="s">
        <v>5830</v>
      </c>
      <c r="E1751" t="s">
        <v>5831</v>
      </c>
      <c r="F1751" t="s">
        <v>2737</v>
      </c>
      <c r="G1751" s="1">
        <v>6</v>
      </c>
      <c r="H1751" s="1">
        <v>6</v>
      </c>
      <c r="I1751" t="s">
        <v>1604</v>
      </c>
      <c r="K1751" t="s">
        <v>2712</v>
      </c>
      <c r="L1751" s="1">
        <v>1</v>
      </c>
      <c r="M1751" s="3">
        <v>18.309999999999999</v>
      </c>
      <c r="N1751" s="3">
        <v>0.92</v>
      </c>
      <c r="O1751" s="3">
        <v>0</v>
      </c>
      <c r="P1751" s="3">
        <v>0.4</v>
      </c>
      <c r="Q1751" s="3">
        <v>19.63</v>
      </c>
      <c r="R1751" s="3">
        <v>14.45</v>
      </c>
      <c r="S1751" s="3">
        <f>VLOOKUP(C1751,[1]page!$C$2:$M$3071,11,0)</f>
        <v>18.29</v>
      </c>
      <c r="T1751" s="6">
        <f t="shared" si="27"/>
        <v>1.9999999999999574E-2</v>
      </c>
    </row>
    <row r="1752" spans="1:20" x14ac:dyDescent="0.2">
      <c r="A1752" t="s">
        <v>5834</v>
      </c>
      <c r="B1752" t="s">
        <v>5835</v>
      </c>
      <c r="C1752" t="s">
        <v>5836</v>
      </c>
      <c r="D1752" t="s">
        <v>5837</v>
      </c>
      <c r="E1752" t="s">
        <v>5831</v>
      </c>
      <c r="F1752" t="s">
        <v>23</v>
      </c>
      <c r="G1752" s="1">
        <v>6</v>
      </c>
      <c r="H1752" s="1">
        <v>12</v>
      </c>
      <c r="I1752" t="s">
        <v>1604</v>
      </c>
      <c r="K1752" t="s">
        <v>2712</v>
      </c>
      <c r="L1752" s="1">
        <v>1</v>
      </c>
      <c r="M1752" s="3">
        <v>10.15</v>
      </c>
      <c r="N1752" s="3">
        <v>0.51</v>
      </c>
      <c r="O1752" s="3">
        <v>0</v>
      </c>
      <c r="P1752" s="3">
        <v>0.2</v>
      </c>
      <c r="Q1752" s="3">
        <v>10.86</v>
      </c>
      <c r="R1752" s="3">
        <v>7.95</v>
      </c>
      <c r="S1752" s="3">
        <f>VLOOKUP(C1752,[1]page!$C$2:$M$3071,11,0)</f>
        <v>10.14</v>
      </c>
      <c r="T1752" s="6">
        <f t="shared" si="27"/>
        <v>9.9999999999997868E-3</v>
      </c>
    </row>
    <row r="1753" spans="1:20" x14ac:dyDescent="0.2">
      <c r="A1753" t="s">
        <v>5834</v>
      </c>
      <c r="B1753" t="s">
        <v>5838</v>
      </c>
      <c r="C1753" t="s">
        <v>5839</v>
      </c>
      <c r="D1753" t="s">
        <v>5837</v>
      </c>
      <c r="E1753" t="s">
        <v>5831</v>
      </c>
      <c r="F1753" t="s">
        <v>2737</v>
      </c>
      <c r="G1753" s="1">
        <v>6</v>
      </c>
      <c r="H1753" s="1">
        <v>6</v>
      </c>
      <c r="I1753" t="s">
        <v>1604</v>
      </c>
      <c r="K1753" t="s">
        <v>2712</v>
      </c>
      <c r="L1753" s="1">
        <v>1</v>
      </c>
      <c r="M1753" s="3">
        <v>18.309999999999999</v>
      </c>
      <c r="N1753" s="3">
        <v>0.92</v>
      </c>
      <c r="O1753" s="3">
        <v>0</v>
      </c>
      <c r="P1753" s="3">
        <v>0.4</v>
      </c>
      <c r="Q1753" s="3">
        <v>19.63</v>
      </c>
      <c r="R1753" s="3">
        <v>14.45</v>
      </c>
      <c r="S1753" s="3">
        <f>VLOOKUP(C1753,[1]page!$C$2:$M$3071,11,0)</f>
        <v>18.29</v>
      </c>
      <c r="T1753" s="6">
        <f t="shared" si="27"/>
        <v>1.9999999999999574E-2</v>
      </c>
    </row>
    <row r="1754" spans="1:20" x14ac:dyDescent="0.2">
      <c r="A1754" t="s">
        <v>5834</v>
      </c>
      <c r="B1754" t="s">
        <v>5840</v>
      </c>
      <c r="C1754" t="s">
        <v>5841</v>
      </c>
      <c r="D1754" t="s">
        <v>5842</v>
      </c>
      <c r="E1754" t="s">
        <v>5831</v>
      </c>
      <c r="F1754" t="s">
        <v>23</v>
      </c>
      <c r="G1754" s="1">
        <v>6</v>
      </c>
      <c r="H1754" s="1">
        <v>12</v>
      </c>
      <c r="I1754" t="s">
        <v>1604</v>
      </c>
      <c r="K1754" t="s">
        <v>2712</v>
      </c>
      <c r="L1754" s="1">
        <v>1</v>
      </c>
      <c r="M1754" s="3">
        <v>10.15</v>
      </c>
      <c r="N1754" s="3">
        <v>0.51</v>
      </c>
      <c r="O1754" s="3">
        <v>0</v>
      </c>
      <c r="P1754" s="3">
        <v>0.2</v>
      </c>
      <c r="Q1754" s="3">
        <v>10.86</v>
      </c>
      <c r="R1754" s="3">
        <v>7.95</v>
      </c>
      <c r="S1754" s="3">
        <f>VLOOKUP(C1754,[1]page!$C$2:$M$3071,11,0)</f>
        <v>10.14</v>
      </c>
      <c r="T1754" s="6">
        <f t="shared" si="27"/>
        <v>9.9999999999997868E-3</v>
      </c>
    </row>
    <row r="1755" spans="1:20" x14ac:dyDescent="0.2">
      <c r="A1755" t="s">
        <v>5834</v>
      </c>
      <c r="B1755" t="s">
        <v>5843</v>
      </c>
      <c r="C1755" t="s">
        <v>5844</v>
      </c>
      <c r="D1755" t="s">
        <v>5845</v>
      </c>
      <c r="E1755" t="s">
        <v>5831</v>
      </c>
      <c r="F1755" t="s">
        <v>2737</v>
      </c>
      <c r="G1755" s="1">
        <v>6</v>
      </c>
      <c r="H1755" s="1">
        <v>6</v>
      </c>
      <c r="I1755" t="s">
        <v>1604</v>
      </c>
      <c r="K1755" t="s">
        <v>2712</v>
      </c>
      <c r="L1755" s="1">
        <v>1</v>
      </c>
      <c r="M1755" s="3">
        <v>18.309999999999999</v>
      </c>
      <c r="N1755" s="3">
        <v>0.92</v>
      </c>
      <c r="O1755" s="3">
        <v>0</v>
      </c>
      <c r="P1755" s="3">
        <v>0.4</v>
      </c>
      <c r="Q1755" s="3">
        <v>19.63</v>
      </c>
      <c r="R1755" s="3">
        <v>14.45</v>
      </c>
      <c r="S1755" s="3">
        <f>VLOOKUP(C1755,[1]page!$C$2:$M$3071,11,0)</f>
        <v>18.29</v>
      </c>
      <c r="T1755" s="6">
        <f t="shared" si="27"/>
        <v>1.9999999999999574E-2</v>
      </c>
    </row>
    <row r="1756" spans="1:20" x14ac:dyDescent="0.2">
      <c r="A1756" t="s">
        <v>5846</v>
      </c>
      <c r="B1756" t="s">
        <v>5847</v>
      </c>
      <c r="C1756" t="s">
        <v>5848</v>
      </c>
      <c r="D1756" t="s">
        <v>5849</v>
      </c>
      <c r="E1756" t="s">
        <v>5232</v>
      </c>
      <c r="F1756" t="s">
        <v>23</v>
      </c>
      <c r="G1756" s="1">
        <v>11</v>
      </c>
      <c r="H1756" s="1">
        <v>12</v>
      </c>
      <c r="I1756" t="s">
        <v>1604</v>
      </c>
      <c r="K1756" t="s">
        <v>2706</v>
      </c>
      <c r="L1756" s="1">
        <v>1</v>
      </c>
      <c r="M1756" s="3">
        <v>10.63</v>
      </c>
      <c r="N1756" s="3">
        <v>0.53</v>
      </c>
      <c r="O1756" s="3">
        <v>0</v>
      </c>
      <c r="P1756" s="3">
        <v>0.2</v>
      </c>
      <c r="Q1756" s="3">
        <v>11.36</v>
      </c>
      <c r="R1756" s="3">
        <v>7.95</v>
      </c>
      <c r="S1756" s="3">
        <f>VLOOKUP(C1756,[1]page!$C$2:$M$3071,11,0)</f>
        <v>10.61</v>
      </c>
      <c r="T1756" s="6">
        <f t="shared" si="27"/>
        <v>2.000000000000135E-2</v>
      </c>
    </row>
    <row r="1757" spans="1:20" x14ac:dyDescent="0.2">
      <c r="A1757" t="s">
        <v>5850</v>
      </c>
      <c r="B1757" t="s">
        <v>5851</v>
      </c>
      <c r="C1757" t="s">
        <v>5852</v>
      </c>
      <c r="D1757" t="s">
        <v>5853</v>
      </c>
      <c r="E1757" t="s">
        <v>5854</v>
      </c>
      <c r="F1757" t="s">
        <v>5855</v>
      </c>
      <c r="G1757" s="2">
        <v>3.3</v>
      </c>
      <c r="H1757" s="1">
        <v>24</v>
      </c>
      <c r="I1757" t="s">
        <v>5856</v>
      </c>
      <c r="L1757" s="1">
        <v>1</v>
      </c>
      <c r="M1757" s="3">
        <v>4.2</v>
      </c>
      <c r="N1757" s="3">
        <v>0.21</v>
      </c>
      <c r="O1757" s="3">
        <v>0</v>
      </c>
      <c r="P1757" s="3">
        <v>0.1</v>
      </c>
      <c r="Q1757" s="3">
        <v>4.51</v>
      </c>
      <c r="R1757" s="3">
        <v>2.2999999999999998</v>
      </c>
      <c r="S1757" s="3" t="e">
        <f>VLOOKUP(C1757,[1]page!$C$2:$M$3071,11,0)</f>
        <v>#N/A</v>
      </c>
      <c r="T1757" s="6" t="e">
        <f t="shared" si="27"/>
        <v>#N/A</v>
      </c>
    </row>
    <row r="1758" spans="1:20" x14ac:dyDescent="0.2">
      <c r="A1758" t="s">
        <v>5850</v>
      </c>
      <c r="B1758" t="s">
        <v>5857</v>
      </c>
      <c r="C1758" t="s">
        <v>5858</v>
      </c>
      <c r="D1758" t="s">
        <v>5859</v>
      </c>
      <c r="E1758" t="s">
        <v>5860</v>
      </c>
      <c r="F1758" t="s">
        <v>5861</v>
      </c>
      <c r="G1758" s="2">
        <v>4.3</v>
      </c>
      <c r="H1758" s="1">
        <v>2</v>
      </c>
      <c r="I1758" t="s">
        <v>5856</v>
      </c>
      <c r="L1758" s="1">
        <v>12</v>
      </c>
      <c r="M1758" s="3">
        <v>27.19</v>
      </c>
      <c r="N1758" s="3">
        <v>1.36</v>
      </c>
      <c r="O1758" s="3">
        <v>0</v>
      </c>
      <c r="P1758" s="3">
        <v>1.2</v>
      </c>
      <c r="Q1758" s="3">
        <v>29.75</v>
      </c>
      <c r="R1758" s="3">
        <v>18.95</v>
      </c>
      <c r="S1758" s="3">
        <f>VLOOKUP(C1758,[1]page!$C$2:$M$3071,11,0)</f>
        <v>27.19</v>
      </c>
      <c r="T1758" s="6">
        <f t="shared" si="27"/>
        <v>0</v>
      </c>
    </row>
    <row r="1759" spans="1:20" x14ac:dyDescent="0.2">
      <c r="A1759" t="s">
        <v>5850</v>
      </c>
      <c r="B1759" t="s">
        <v>5862</v>
      </c>
      <c r="C1759" t="s">
        <v>5863</v>
      </c>
      <c r="D1759" t="s">
        <v>5864</v>
      </c>
      <c r="E1759" t="s">
        <v>5865</v>
      </c>
      <c r="F1759" t="s">
        <v>5866</v>
      </c>
      <c r="G1759" s="2">
        <v>5.2</v>
      </c>
      <c r="H1759" s="1">
        <v>4</v>
      </c>
      <c r="I1759" t="s">
        <v>5867</v>
      </c>
      <c r="L1759" s="1">
        <v>6</v>
      </c>
      <c r="M1759" s="3">
        <v>16.440000000000001</v>
      </c>
      <c r="N1759" s="3">
        <v>0.82</v>
      </c>
      <c r="O1759" s="3">
        <v>0</v>
      </c>
      <c r="P1759" s="3">
        <v>1.2</v>
      </c>
      <c r="Q1759" s="3">
        <v>18.46</v>
      </c>
      <c r="R1759" s="3">
        <v>9.35</v>
      </c>
      <c r="S1759" s="3">
        <f>VLOOKUP(C1759,[1]page!$C$2:$M$3071,11,0)</f>
        <v>16.440000000000001</v>
      </c>
      <c r="T1759" s="6">
        <f t="shared" ref="T1759:T1822" si="28">SUM(M1759-S1759)</f>
        <v>0</v>
      </c>
    </row>
    <row r="1760" spans="1:20" x14ac:dyDescent="0.2">
      <c r="A1760" t="s">
        <v>5850</v>
      </c>
      <c r="B1760" t="s">
        <v>5868</v>
      </c>
      <c r="C1760" t="s">
        <v>5869</v>
      </c>
      <c r="D1760" t="s">
        <v>5870</v>
      </c>
      <c r="E1760" t="s">
        <v>5871</v>
      </c>
      <c r="F1760" t="s">
        <v>5872</v>
      </c>
      <c r="G1760" s="1">
        <v>5</v>
      </c>
      <c r="H1760" s="1">
        <v>6</v>
      </c>
      <c r="I1760" t="s">
        <v>5873</v>
      </c>
      <c r="L1760" s="1">
        <v>4</v>
      </c>
      <c r="M1760" s="3">
        <v>12.92</v>
      </c>
      <c r="N1760" s="3">
        <v>0.65</v>
      </c>
      <c r="O1760" s="3">
        <v>0</v>
      </c>
      <c r="P1760" s="3">
        <v>0.4</v>
      </c>
      <c r="Q1760" s="3">
        <v>13.97</v>
      </c>
      <c r="R1760" s="3">
        <v>9.35</v>
      </c>
      <c r="S1760" s="3">
        <f>VLOOKUP(C1760,[1]page!$C$2:$M$3071,11,0)</f>
        <v>12.92</v>
      </c>
      <c r="T1760" s="6">
        <f t="shared" si="28"/>
        <v>0</v>
      </c>
    </row>
    <row r="1761" spans="1:20" x14ac:dyDescent="0.2">
      <c r="A1761" t="s">
        <v>5850</v>
      </c>
      <c r="B1761" t="s">
        <v>5874</v>
      </c>
      <c r="C1761" t="s">
        <v>5875</v>
      </c>
      <c r="D1761" t="s">
        <v>5876</v>
      </c>
      <c r="E1761" t="s">
        <v>5871</v>
      </c>
      <c r="F1761" t="s">
        <v>5872</v>
      </c>
      <c r="G1761" s="1">
        <v>8</v>
      </c>
      <c r="H1761" s="1">
        <v>6</v>
      </c>
      <c r="I1761" t="s">
        <v>5873</v>
      </c>
      <c r="L1761" s="1">
        <v>4</v>
      </c>
      <c r="M1761" s="3">
        <v>12.92</v>
      </c>
      <c r="N1761" s="3">
        <v>0.65</v>
      </c>
      <c r="O1761" s="3">
        <v>0</v>
      </c>
      <c r="P1761" s="3">
        <v>0.4</v>
      </c>
      <c r="Q1761" s="3">
        <v>13.97</v>
      </c>
      <c r="R1761" s="3">
        <v>13.55</v>
      </c>
      <c r="S1761" s="3">
        <f>VLOOKUP(C1761,[1]page!$C$2:$M$3071,11,0)</f>
        <v>12.92</v>
      </c>
      <c r="T1761" s="6">
        <f t="shared" si="28"/>
        <v>0</v>
      </c>
    </row>
    <row r="1762" spans="1:20" x14ac:dyDescent="0.2">
      <c r="A1762" t="s">
        <v>5850</v>
      </c>
      <c r="B1762" t="s">
        <v>5877</v>
      </c>
      <c r="C1762" t="s">
        <v>5878</v>
      </c>
      <c r="D1762" t="s">
        <v>5879</v>
      </c>
      <c r="E1762" t="s">
        <v>5871</v>
      </c>
      <c r="F1762" t="s">
        <v>5872</v>
      </c>
      <c r="G1762" s="1">
        <v>5</v>
      </c>
      <c r="H1762" s="1">
        <v>6</v>
      </c>
      <c r="I1762" t="s">
        <v>5873</v>
      </c>
      <c r="L1762" s="1">
        <v>4</v>
      </c>
      <c r="M1762" s="3">
        <v>11.39</v>
      </c>
      <c r="N1762" s="3">
        <v>0.56999999999999995</v>
      </c>
      <c r="O1762" s="3">
        <v>0</v>
      </c>
      <c r="P1762" s="3">
        <v>0.4</v>
      </c>
      <c r="Q1762" s="3">
        <v>12.36</v>
      </c>
      <c r="R1762" s="3">
        <v>9.35</v>
      </c>
      <c r="S1762" s="3">
        <f>VLOOKUP(C1762,[1]page!$C$2:$M$3071,11,0)</f>
        <v>11.39</v>
      </c>
      <c r="T1762" s="6">
        <f t="shared" si="28"/>
        <v>0</v>
      </c>
    </row>
    <row r="1763" spans="1:20" x14ac:dyDescent="0.2">
      <c r="A1763" t="s">
        <v>5850</v>
      </c>
      <c r="B1763" t="s">
        <v>5880</v>
      </c>
      <c r="C1763" t="s">
        <v>5881</v>
      </c>
      <c r="D1763" t="s">
        <v>5882</v>
      </c>
      <c r="E1763" t="s">
        <v>5871</v>
      </c>
      <c r="F1763" t="s">
        <v>5872</v>
      </c>
      <c r="G1763" s="2">
        <v>8.5</v>
      </c>
      <c r="H1763" s="1">
        <v>6</v>
      </c>
      <c r="I1763" t="s">
        <v>5873</v>
      </c>
      <c r="L1763" s="1">
        <v>4</v>
      </c>
      <c r="M1763" s="3">
        <v>15.29</v>
      </c>
      <c r="N1763" s="3">
        <v>0.76</v>
      </c>
      <c r="O1763" s="3">
        <v>0</v>
      </c>
      <c r="P1763" s="3">
        <v>0.4</v>
      </c>
      <c r="Q1763" s="3">
        <v>16.45</v>
      </c>
      <c r="R1763" s="3">
        <v>13.55</v>
      </c>
      <c r="S1763" s="3">
        <f>VLOOKUP(C1763,[1]page!$C$2:$M$3071,11,0)</f>
        <v>15.29</v>
      </c>
      <c r="T1763" s="6">
        <f t="shared" si="28"/>
        <v>0</v>
      </c>
    </row>
    <row r="1764" spans="1:20" x14ac:dyDescent="0.2">
      <c r="A1764" t="s">
        <v>5850</v>
      </c>
      <c r="B1764" t="s">
        <v>5883</v>
      </c>
      <c r="C1764" t="s">
        <v>5884</v>
      </c>
      <c r="D1764" t="s">
        <v>5885</v>
      </c>
      <c r="E1764" t="s">
        <v>5871</v>
      </c>
      <c r="F1764" t="s">
        <v>5872</v>
      </c>
      <c r="G1764" s="2">
        <v>6.5</v>
      </c>
      <c r="H1764" s="1">
        <v>6</v>
      </c>
      <c r="I1764" t="s">
        <v>5873</v>
      </c>
      <c r="L1764" s="1">
        <v>4</v>
      </c>
      <c r="M1764" s="3">
        <v>12.16</v>
      </c>
      <c r="N1764" s="3">
        <v>0.61</v>
      </c>
      <c r="O1764" s="3">
        <v>0</v>
      </c>
      <c r="P1764" s="3">
        <v>0.4</v>
      </c>
      <c r="Q1764" s="3">
        <v>13.17</v>
      </c>
      <c r="R1764" s="3">
        <v>9.35</v>
      </c>
      <c r="S1764" s="3">
        <f>VLOOKUP(C1764,[1]page!$C$2:$M$3071,11,0)</f>
        <v>12.16</v>
      </c>
      <c r="T1764" s="6">
        <f t="shared" si="28"/>
        <v>0</v>
      </c>
    </row>
    <row r="1765" spans="1:20" x14ac:dyDescent="0.2">
      <c r="A1765" t="s">
        <v>5850</v>
      </c>
      <c r="B1765" t="s">
        <v>5886</v>
      </c>
      <c r="C1765" t="s">
        <v>5887</v>
      </c>
      <c r="D1765" t="s">
        <v>5888</v>
      </c>
      <c r="E1765" t="s">
        <v>5871</v>
      </c>
      <c r="F1765" t="s">
        <v>5889</v>
      </c>
      <c r="G1765" s="2">
        <v>6.5</v>
      </c>
      <c r="H1765" s="1">
        <v>1</v>
      </c>
      <c r="I1765" t="s">
        <v>5873</v>
      </c>
      <c r="L1765" s="1">
        <v>12</v>
      </c>
      <c r="M1765" s="3">
        <v>34.380000000000003</v>
      </c>
      <c r="N1765" s="3">
        <v>1.72</v>
      </c>
      <c r="O1765" s="3">
        <v>0</v>
      </c>
      <c r="P1765" s="3">
        <v>1.2</v>
      </c>
      <c r="Q1765" s="3">
        <v>37.299999999999997</v>
      </c>
      <c r="R1765" s="3">
        <v>27.3</v>
      </c>
      <c r="S1765" s="3">
        <f>VLOOKUP(C1765,[1]page!$C$2:$M$3071,11,0)</f>
        <v>34.380000000000003</v>
      </c>
      <c r="T1765" s="6">
        <f t="shared" si="28"/>
        <v>0</v>
      </c>
    </row>
    <row r="1766" spans="1:20" x14ac:dyDescent="0.2">
      <c r="A1766" t="s">
        <v>5850</v>
      </c>
      <c r="B1766" t="s">
        <v>5890</v>
      </c>
      <c r="C1766" t="s">
        <v>5891</v>
      </c>
      <c r="D1766" t="s">
        <v>5892</v>
      </c>
      <c r="E1766" t="s">
        <v>5871</v>
      </c>
      <c r="F1766" t="s">
        <v>5872</v>
      </c>
      <c r="G1766" s="2">
        <v>5.3</v>
      </c>
      <c r="H1766" s="1">
        <v>6</v>
      </c>
      <c r="I1766" t="s">
        <v>5873</v>
      </c>
      <c r="L1766" s="1">
        <v>4</v>
      </c>
      <c r="M1766" s="3">
        <v>11.03</v>
      </c>
      <c r="N1766" s="3">
        <v>0.55000000000000004</v>
      </c>
      <c r="O1766" s="3">
        <v>0</v>
      </c>
      <c r="P1766" s="3">
        <v>0.4</v>
      </c>
      <c r="Q1766" s="3">
        <v>11.98</v>
      </c>
      <c r="R1766" s="3">
        <v>9.35</v>
      </c>
      <c r="S1766" s="3">
        <f>VLOOKUP(C1766,[1]page!$C$2:$M$3071,11,0)</f>
        <v>11.03</v>
      </c>
      <c r="T1766" s="6">
        <f t="shared" si="28"/>
        <v>0</v>
      </c>
    </row>
    <row r="1767" spans="1:20" x14ac:dyDescent="0.2">
      <c r="A1767" t="s">
        <v>5850</v>
      </c>
      <c r="B1767" t="s">
        <v>5893</v>
      </c>
      <c r="C1767" t="s">
        <v>5894</v>
      </c>
      <c r="D1767" t="s">
        <v>5895</v>
      </c>
      <c r="E1767" t="s">
        <v>5871</v>
      </c>
      <c r="F1767" t="s">
        <v>5872</v>
      </c>
      <c r="G1767" s="2">
        <v>6.2</v>
      </c>
      <c r="H1767" s="1">
        <v>6</v>
      </c>
      <c r="I1767" t="s">
        <v>5873</v>
      </c>
      <c r="L1767" s="1">
        <v>4</v>
      </c>
      <c r="M1767" s="3">
        <v>12.29</v>
      </c>
      <c r="N1767" s="3">
        <v>0.61</v>
      </c>
      <c r="O1767" s="3">
        <v>0</v>
      </c>
      <c r="P1767" s="3">
        <v>0.4</v>
      </c>
      <c r="Q1767" s="3">
        <v>13.3</v>
      </c>
      <c r="R1767" s="3">
        <v>9.35</v>
      </c>
      <c r="S1767" s="3">
        <f>VLOOKUP(C1767,[1]page!$C$2:$M$3071,11,0)</f>
        <v>12.29</v>
      </c>
      <c r="T1767" s="6">
        <f t="shared" si="28"/>
        <v>0</v>
      </c>
    </row>
    <row r="1768" spans="1:20" x14ac:dyDescent="0.2">
      <c r="A1768" t="s">
        <v>5850</v>
      </c>
      <c r="B1768" t="s">
        <v>5896</v>
      </c>
      <c r="C1768" t="s">
        <v>5897</v>
      </c>
      <c r="D1768" t="s">
        <v>5898</v>
      </c>
      <c r="E1768" t="s">
        <v>5871</v>
      </c>
      <c r="F1768" t="s">
        <v>5872</v>
      </c>
      <c r="G1768" s="2">
        <v>5.2</v>
      </c>
      <c r="H1768" s="1">
        <v>6</v>
      </c>
      <c r="I1768" t="s">
        <v>5873</v>
      </c>
      <c r="L1768" s="1">
        <v>4</v>
      </c>
      <c r="M1768" s="3">
        <v>11.77</v>
      </c>
      <c r="N1768" s="3">
        <v>0.59</v>
      </c>
      <c r="O1768" s="3">
        <v>0</v>
      </c>
      <c r="P1768" s="3">
        <v>0.4</v>
      </c>
      <c r="Q1768" s="3">
        <v>12.76</v>
      </c>
      <c r="R1768" s="3">
        <v>9.35</v>
      </c>
      <c r="S1768" s="3">
        <f>VLOOKUP(C1768,[1]page!$C$2:$M$3071,11,0)</f>
        <v>11.77</v>
      </c>
      <c r="T1768" s="6">
        <f t="shared" si="28"/>
        <v>0</v>
      </c>
    </row>
    <row r="1769" spans="1:20" x14ac:dyDescent="0.2">
      <c r="A1769" t="s">
        <v>5850</v>
      </c>
      <c r="B1769" t="s">
        <v>5899</v>
      </c>
      <c r="C1769" t="s">
        <v>5900</v>
      </c>
      <c r="D1769" t="s">
        <v>5901</v>
      </c>
      <c r="E1769" t="s">
        <v>5871</v>
      </c>
      <c r="F1769" t="s">
        <v>5902</v>
      </c>
      <c r="G1769" s="2">
        <v>5.75</v>
      </c>
      <c r="H1769" s="1">
        <v>1</v>
      </c>
      <c r="I1769" t="s">
        <v>5873</v>
      </c>
      <c r="L1769" s="1">
        <v>8</v>
      </c>
      <c r="M1769" s="3">
        <v>19.18</v>
      </c>
      <c r="N1769" s="3">
        <v>0.96</v>
      </c>
      <c r="O1769" s="3">
        <v>0</v>
      </c>
      <c r="P1769" s="3">
        <v>0.8</v>
      </c>
      <c r="Q1769" s="3">
        <v>20.94</v>
      </c>
      <c r="R1769" s="3">
        <v>18.2</v>
      </c>
      <c r="S1769" s="3">
        <f>VLOOKUP(C1769,[1]page!$C$2:$M$3071,11,0)</f>
        <v>19.18</v>
      </c>
      <c r="T1769" s="6">
        <f t="shared" si="28"/>
        <v>0</v>
      </c>
    </row>
    <row r="1770" spans="1:20" x14ac:dyDescent="0.2">
      <c r="A1770" t="s">
        <v>5850</v>
      </c>
      <c r="B1770" t="s">
        <v>5903</v>
      </c>
      <c r="C1770" t="s">
        <v>5904</v>
      </c>
      <c r="D1770" t="s">
        <v>5905</v>
      </c>
      <c r="E1770" t="s">
        <v>5871</v>
      </c>
      <c r="F1770" t="s">
        <v>5872</v>
      </c>
      <c r="G1770" s="1">
        <v>5</v>
      </c>
      <c r="H1770" s="1">
        <v>6</v>
      </c>
      <c r="I1770" t="s">
        <v>5873</v>
      </c>
      <c r="L1770" s="1">
        <v>4</v>
      </c>
      <c r="M1770" s="3">
        <v>11.03</v>
      </c>
      <c r="N1770" s="3">
        <v>0.55000000000000004</v>
      </c>
      <c r="O1770" s="3">
        <v>0</v>
      </c>
      <c r="P1770" s="3">
        <v>0.4</v>
      </c>
      <c r="Q1770" s="3">
        <v>11.98</v>
      </c>
      <c r="R1770" s="3">
        <v>9.35</v>
      </c>
      <c r="S1770" s="3">
        <f>VLOOKUP(C1770,[1]page!$C$2:$M$3071,11,0)</f>
        <v>11.03</v>
      </c>
      <c r="T1770" s="6">
        <f t="shared" si="28"/>
        <v>0</v>
      </c>
    </row>
    <row r="1771" spans="1:20" x14ac:dyDescent="0.2">
      <c r="A1771" t="s">
        <v>5850</v>
      </c>
      <c r="B1771" t="s">
        <v>5906</v>
      </c>
      <c r="C1771" t="s">
        <v>5907</v>
      </c>
      <c r="D1771" t="s">
        <v>5908</v>
      </c>
      <c r="E1771" t="s">
        <v>5909</v>
      </c>
      <c r="F1771" t="s">
        <v>5855</v>
      </c>
      <c r="G1771" s="1">
        <v>4</v>
      </c>
      <c r="H1771" s="1">
        <v>24</v>
      </c>
      <c r="I1771" t="s">
        <v>5910</v>
      </c>
      <c r="L1771" s="1">
        <v>1</v>
      </c>
      <c r="M1771" s="3">
        <v>4.3099999999999996</v>
      </c>
      <c r="N1771" s="3">
        <v>0.22</v>
      </c>
      <c r="O1771" s="3">
        <v>0</v>
      </c>
      <c r="P1771" s="3">
        <v>0.1</v>
      </c>
      <c r="Q1771" s="3">
        <v>4.63</v>
      </c>
      <c r="R1771" s="3">
        <v>2.2999999999999998</v>
      </c>
      <c r="S1771" s="3">
        <f>VLOOKUP(C1771,[1]page!$C$2:$M$3071,11,0)</f>
        <v>4.3099999999999996</v>
      </c>
      <c r="T1771" s="6">
        <f t="shared" si="28"/>
        <v>0</v>
      </c>
    </row>
    <row r="1772" spans="1:20" x14ac:dyDescent="0.2">
      <c r="A1772" t="s">
        <v>5850</v>
      </c>
      <c r="B1772" t="s">
        <v>5911</v>
      </c>
      <c r="C1772" t="s">
        <v>5912</v>
      </c>
      <c r="D1772" t="s">
        <v>5913</v>
      </c>
      <c r="E1772" t="s">
        <v>5914</v>
      </c>
      <c r="F1772" t="s">
        <v>5915</v>
      </c>
      <c r="G1772" s="1">
        <v>5</v>
      </c>
      <c r="H1772" s="1">
        <v>1</v>
      </c>
      <c r="I1772" t="s">
        <v>2179</v>
      </c>
      <c r="L1772" s="1">
        <v>15</v>
      </c>
      <c r="M1772" s="3">
        <v>19.82</v>
      </c>
      <c r="N1772" s="3">
        <v>0.99</v>
      </c>
      <c r="O1772" s="3">
        <v>0</v>
      </c>
      <c r="P1772" s="3">
        <v>1.5</v>
      </c>
      <c r="Q1772" s="3">
        <v>22.31</v>
      </c>
      <c r="R1772" s="3">
        <v>23.7</v>
      </c>
      <c r="S1772" s="3">
        <f>VLOOKUP(C1772,[1]page!$C$2:$M$3071,11,0)</f>
        <v>19.82</v>
      </c>
      <c r="T1772" s="6">
        <f t="shared" si="28"/>
        <v>0</v>
      </c>
    </row>
    <row r="1773" spans="1:20" x14ac:dyDescent="0.2">
      <c r="A1773" t="s">
        <v>5850</v>
      </c>
      <c r="B1773" t="s">
        <v>5916</v>
      </c>
      <c r="C1773" t="s">
        <v>5917</v>
      </c>
      <c r="D1773" t="s">
        <v>5918</v>
      </c>
      <c r="E1773" t="s">
        <v>5919</v>
      </c>
      <c r="F1773" t="s">
        <v>5866</v>
      </c>
      <c r="G1773" s="1">
        <v>5</v>
      </c>
      <c r="H1773" s="1">
        <v>4</v>
      </c>
      <c r="I1773" t="s">
        <v>5920</v>
      </c>
      <c r="L1773" s="1">
        <v>6</v>
      </c>
      <c r="M1773" s="3">
        <v>14.1</v>
      </c>
      <c r="N1773" s="3">
        <v>0.71</v>
      </c>
      <c r="O1773" s="3">
        <v>0</v>
      </c>
      <c r="P1773" s="3">
        <v>1.2</v>
      </c>
      <c r="Q1773" s="3">
        <v>16.010000000000002</v>
      </c>
      <c r="R1773" s="3">
        <v>9.35</v>
      </c>
      <c r="S1773" s="3">
        <f>VLOOKUP(C1773,[1]page!$C$2:$M$3071,11,0)</f>
        <v>14.1</v>
      </c>
      <c r="T1773" s="6">
        <f t="shared" si="28"/>
        <v>0</v>
      </c>
    </row>
    <row r="1774" spans="1:20" x14ac:dyDescent="0.2">
      <c r="A1774" t="s">
        <v>5850</v>
      </c>
      <c r="B1774" t="s">
        <v>5921</v>
      </c>
      <c r="C1774" t="s">
        <v>5922</v>
      </c>
      <c r="D1774" t="s">
        <v>5918</v>
      </c>
      <c r="E1774" t="s">
        <v>5919</v>
      </c>
      <c r="F1774" t="s">
        <v>5861</v>
      </c>
      <c r="G1774" s="1">
        <v>5</v>
      </c>
      <c r="H1774" s="1">
        <v>1</v>
      </c>
      <c r="I1774" t="s">
        <v>5920</v>
      </c>
      <c r="L1774" s="1">
        <v>12</v>
      </c>
      <c r="M1774" s="3">
        <v>27.07</v>
      </c>
      <c r="N1774" s="3">
        <v>1.35</v>
      </c>
      <c r="O1774" s="3">
        <v>0</v>
      </c>
      <c r="P1774" s="3">
        <v>1.2</v>
      </c>
      <c r="Q1774" s="3">
        <v>29.62</v>
      </c>
      <c r="R1774" s="3">
        <v>18.95</v>
      </c>
      <c r="S1774" s="3">
        <f>VLOOKUP(C1774,[1]page!$C$2:$M$3071,11,0)</f>
        <v>27.07</v>
      </c>
      <c r="T1774" s="6">
        <f t="shared" si="28"/>
        <v>0</v>
      </c>
    </row>
    <row r="1775" spans="1:20" x14ac:dyDescent="0.2">
      <c r="A1775" t="s">
        <v>5850</v>
      </c>
      <c r="B1775" t="s">
        <v>5923</v>
      </c>
      <c r="C1775" t="s">
        <v>5924</v>
      </c>
      <c r="D1775" t="s">
        <v>5925</v>
      </c>
      <c r="E1775" t="s">
        <v>5926</v>
      </c>
      <c r="F1775" t="s">
        <v>5872</v>
      </c>
      <c r="G1775" s="2">
        <v>4.8</v>
      </c>
      <c r="H1775" s="1">
        <v>6</v>
      </c>
      <c r="I1775" t="s">
        <v>5910</v>
      </c>
      <c r="L1775" s="1">
        <v>4</v>
      </c>
      <c r="M1775" s="3">
        <v>17.579999999999998</v>
      </c>
      <c r="N1775" s="3">
        <v>0.88</v>
      </c>
      <c r="O1775" s="3">
        <v>0</v>
      </c>
      <c r="P1775" s="3">
        <v>0.4</v>
      </c>
      <c r="Q1775" s="3">
        <v>18.86</v>
      </c>
      <c r="R1775" s="3">
        <v>9.35</v>
      </c>
      <c r="S1775" s="3" t="e">
        <f>VLOOKUP(C1775,[1]page!$C$2:$M$3071,11,0)</f>
        <v>#N/A</v>
      </c>
      <c r="T1775" s="6" t="e">
        <f t="shared" si="28"/>
        <v>#N/A</v>
      </c>
    </row>
    <row r="1776" spans="1:20" x14ac:dyDescent="0.2">
      <c r="A1776" t="s">
        <v>5850</v>
      </c>
      <c r="B1776" t="s">
        <v>5927</v>
      </c>
      <c r="C1776" t="s">
        <v>5928</v>
      </c>
      <c r="D1776" t="s">
        <v>5929</v>
      </c>
      <c r="E1776" t="s">
        <v>5930</v>
      </c>
      <c r="F1776" t="s">
        <v>5915</v>
      </c>
      <c r="G1776" s="2">
        <v>3.5</v>
      </c>
      <c r="H1776" s="1">
        <v>1</v>
      </c>
      <c r="I1776" t="s">
        <v>169</v>
      </c>
      <c r="L1776" s="1">
        <v>15</v>
      </c>
      <c r="M1776" s="3">
        <v>31.71</v>
      </c>
      <c r="N1776" s="3">
        <v>1.59</v>
      </c>
      <c r="O1776" s="3">
        <v>0</v>
      </c>
      <c r="P1776" s="3">
        <v>1.5</v>
      </c>
      <c r="Q1776" s="3">
        <v>34.799999999999997</v>
      </c>
      <c r="R1776" s="3">
        <v>23.7</v>
      </c>
      <c r="S1776" s="3">
        <f>VLOOKUP(C1776,[1]page!$C$2:$M$3071,11,0)</f>
        <v>31.71</v>
      </c>
      <c r="T1776" s="6">
        <f t="shared" si="28"/>
        <v>0</v>
      </c>
    </row>
    <row r="1777" spans="1:20" x14ac:dyDescent="0.2">
      <c r="A1777" t="s">
        <v>5850</v>
      </c>
      <c r="B1777" t="s">
        <v>5931</v>
      </c>
      <c r="C1777" t="s">
        <v>5932</v>
      </c>
      <c r="D1777" t="s">
        <v>5933</v>
      </c>
      <c r="E1777" t="s">
        <v>5934</v>
      </c>
      <c r="F1777" t="s">
        <v>2078</v>
      </c>
      <c r="G1777" s="1">
        <v>5</v>
      </c>
      <c r="H1777" s="1">
        <v>20</v>
      </c>
      <c r="I1777" t="s">
        <v>2802</v>
      </c>
      <c r="L1777" s="1">
        <v>1</v>
      </c>
      <c r="M1777" s="3">
        <v>3.5</v>
      </c>
      <c r="N1777" s="3">
        <v>0.18</v>
      </c>
      <c r="O1777" s="3">
        <v>0</v>
      </c>
      <c r="P1777" s="3">
        <v>0.2</v>
      </c>
      <c r="Q1777" s="3">
        <v>3.88</v>
      </c>
      <c r="R1777" s="3">
        <v>2.4500000000000002</v>
      </c>
      <c r="S1777" s="3">
        <f>VLOOKUP(C1777,[1]page!$C$2:$M$3071,11,0)</f>
        <v>3.5</v>
      </c>
      <c r="T1777" s="6">
        <f t="shared" si="28"/>
        <v>0</v>
      </c>
    </row>
    <row r="1778" spans="1:20" x14ac:dyDescent="0.2">
      <c r="A1778" t="s">
        <v>5850</v>
      </c>
      <c r="B1778" t="s">
        <v>5935</v>
      </c>
      <c r="C1778" t="s">
        <v>5936</v>
      </c>
      <c r="D1778" t="s">
        <v>5933</v>
      </c>
      <c r="E1778" t="s">
        <v>5934</v>
      </c>
      <c r="F1778" t="s">
        <v>3080</v>
      </c>
      <c r="G1778" s="1">
        <v>5</v>
      </c>
      <c r="H1778" s="1">
        <v>6</v>
      </c>
      <c r="I1778" t="s">
        <v>2802</v>
      </c>
      <c r="L1778" s="1">
        <v>4</v>
      </c>
      <c r="M1778" s="3">
        <v>12.39</v>
      </c>
      <c r="N1778" s="3">
        <v>0.62</v>
      </c>
      <c r="O1778" s="3">
        <v>0</v>
      </c>
      <c r="P1778" s="3">
        <v>0.4</v>
      </c>
      <c r="Q1778" s="3">
        <v>13.41</v>
      </c>
      <c r="R1778" s="3">
        <v>9.4499999999999993</v>
      </c>
      <c r="S1778" s="3">
        <f>VLOOKUP(C1778,[1]page!$C$2:$M$3071,11,0)</f>
        <v>12.39</v>
      </c>
      <c r="T1778" s="6">
        <f t="shared" si="28"/>
        <v>0</v>
      </c>
    </row>
    <row r="1779" spans="1:20" x14ac:dyDescent="0.2">
      <c r="A1779" t="s">
        <v>5850</v>
      </c>
      <c r="B1779" t="s">
        <v>5937</v>
      </c>
      <c r="C1779" t="s">
        <v>5938</v>
      </c>
      <c r="D1779" t="s">
        <v>5939</v>
      </c>
      <c r="E1779" t="s">
        <v>5940</v>
      </c>
      <c r="F1779" t="s">
        <v>2078</v>
      </c>
      <c r="G1779" s="1">
        <v>5</v>
      </c>
      <c r="H1779" s="1">
        <v>24</v>
      </c>
      <c r="I1779" t="s">
        <v>5941</v>
      </c>
      <c r="L1779" s="1">
        <v>1</v>
      </c>
      <c r="M1779" s="3">
        <v>3.11</v>
      </c>
      <c r="N1779" s="3">
        <v>0.16</v>
      </c>
      <c r="O1779" s="3">
        <v>0</v>
      </c>
      <c r="P1779" s="3">
        <v>0.1</v>
      </c>
      <c r="Q1779" s="3">
        <v>3.37</v>
      </c>
      <c r="R1779" s="3">
        <v>2.4500000000000002</v>
      </c>
      <c r="S1779" s="3">
        <f>VLOOKUP(C1779,[1]page!$C$2:$M$3071,11,0)</f>
        <v>3.11</v>
      </c>
      <c r="T1779" s="6">
        <f t="shared" si="28"/>
        <v>0</v>
      </c>
    </row>
    <row r="1780" spans="1:20" x14ac:dyDescent="0.2">
      <c r="A1780" t="s">
        <v>5850</v>
      </c>
      <c r="B1780" t="s">
        <v>5942</v>
      </c>
      <c r="C1780" t="s">
        <v>5943</v>
      </c>
      <c r="D1780" t="s">
        <v>5944</v>
      </c>
      <c r="E1780" t="s">
        <v>5945</v>
      </c>
      <c r="F1780" t="s">
        <v>5872</v>
      </c>
      <c r="G1780" s="2">
        <v>5.2</v>
      </c>
      <c r="H1780" s="1">
        <v>6</v>
      </c>
      <c r="I1780" t="s">
        <v>5946</v>
      </c>
      <c r="L1780" s="1">
        <v>4</v>
      </c>
      <c r="M1780" s="3">
        <v>12.39</v>
      </c>
      <c r="N1780" s="3">
        <v>0.62</v>
      </c>
      <c r="O1780" s="3">
        <v>0</v>
      </c>
      <c r="P1780" s="3">
        <v>0.4</v>
      </c>
      <c r="Q1780" s="3">
        <v>13.41</v>
      </c>
      <c r="R1780" s="3">
        <v>9.35</v>
      </c>
      <c r="S1780" s="3">
        <f>VLOOKUP(C1780,[1]page!$C$2:$M$3071,11,0)</f>
        <v>12.39</v>
      </c>
      <c r="T1780" s="6">
        <f t="shared" si="28"/>
        <v>0</v>
      </c>
    </row>
    <row r="1781" spans="1:20" x14ac:dyDescent="0.2">
      <c r="A1781" t="s">
        <v>5850</v>
      </c>
      <c r="B1781" t="s">
        <v>5947</v>
      </c>
      <c r="C1781" t="s">
        <v>5948</v>
      </c>
      <c r="D1781" t="s">
        <v>5949</v>
      </c>
      <c r="E1781" t="s">
        <v>5950</v>
      </c>
      <c r="F1781" t="s">
        <v>5866</v>
      </c>
      <c r="G1781" s="2">
        <v>5.4</v>
      </c>
      <c r="H1781" s="1">
        <v>4</v>
      </c>
      <c r="I1781" t="s">
        <v>2802</v>
      </c>
      <c r="L1781" s="1">
        <v>6</v>
      </c>
      <c r="M1781" s="3">
        <v>19.489999999999998</v>
      </c>
      <c r="N1781" s="3">
        <v>0.97</v>
      </c>
      <c r="O1781" s="3">
        <v>0</v>
      </c>
      <c r="P1781" s="3">
        <v>1.2</v>
      </c>
      <c r="Q1781" s="3">
        <v>21.66</v>
      </c>
      <c r="R1781" s="3">
        <v>9.35</v>
      </c>
      <c r="S1781" s="3">
        <f>VLOOKUP(C1781,[1]page!$C$2:$M$3071,11,0)</f>
        <v>19.489999999999998</v>
      </c>
      <c r="T1781" s="6">
        <f t="shared" si="28"/>
        <v>0</v>
      </c>
    </row>
    <row r="1782" spans="1:20" x14ac:dyDescent="0.2">
      <c r="A1782" t="s">
        <v>5850</v>
      </c>
      <c r="B1782" t="s">
        <v>5951</v>
      </c>
      <c r="C1782" t="s">
        <v>5952</v>
      </c>
      <c r="D1782" t="s">
        <v>5953</v>
      </c>
      <c r="E1782" t="s">
        <v>5954</v>
      </c>
      <c r="F1782" t="s">
        <v>5872</v>
      </c>
      <c r="G1782" s="1">
        <v>7</v>
      </c>
      <c r="H1782" s="1">
        <v>6</v>
      </c>
      <c r="I1782" t="s">
        <v>5955</v>
      </c>
      <c r="L1782" s="1">
        <v>4</v>
      </c>
      <c r="M1782" s="3">
        <v>11.83</v>
      </c>
      <c r="N1782" s="3">
        <v>0.59</v>
      </c>
      <c r="O1782" s="3">
        <v>0</v>
      </c>
      <c r="P1782" s="3">
        <v>0.4</v>
      </c>
      <c r="Q1782" s="3">
        <v>12.82</v>
      </c>
      <c r="R1782" s="3">
        <v>11.9</v>
      </c>
      <c r="S1782" s="3">
        <f>VLOOKUP(C1782,[1]page!$C$2:$M$3071,11,0)</f>
        <v>11.83</v>
      </c>
      <c r="T1782" s="6">
        <f t="shared" si="28"/>
        <v>0</v>
      </c>
    </row>
    <row r="1783" spans="1:20" x14ac:dyDescent="0.2">
      <c r="A1783" t="s">
        <v>5850</v>
      </c>
      <c r="B1783" t="s">
        <v>5956</v>
      </c>
      <c r="C1783" t="s">
        <v>5957</v>
      </c>
      <c r="D1783" t="s">
        <v>5958</v>
      </c>
      <c r="E1783" t="s">
        <v>5959</v>
      </c>
      <c r="F1783" t="s">
        <v>5960</v>
      </c>
      <c r="G1783" s="2">
        <v>8.5</v>
      </c>
      <c r="H1783" s="1">
        <v>24</v>
      </c>
      <c r="I1783" t="s">
        <v>5961</v>
      </c>
      <c r="L1783" s="1">
        <v>1</v>
      </c>
      <c r="M1783" s="3">
        <v>5.89</v>
      </c>
      <c r="N1783" s="3">
        <v>0.28999999999999998</v>
      </c>
      <c r="O1783" s="3">
        <v>0</v>
      </c>
      <c r="P1783" s="3">
        <v>0.2</v>
      </c>
      <c r="Q1783" s="3">
        <v>6.38</v>
      </c>
      <c r="R1783" s="3">
        <v>2.35</v>
      </c>
      <c r="S1783" s="3">
        <f>VLOOKUP(C1783,[1]page!$C$2:$M$3071,11,0)</f>
        <v>5.89</v>
      </c>
      <c r="T1783" s="6">
        <f t="shared" si="28"/>
        <v>0</v>
      </c>
    </row>
    <row r="1784" spans="1:20" x14ac:dyDescent="0.2">
      <c r="A1784" t="s">
        <v>5850</v>
      </c>
      <c r="B1784" t="s">
        <v>5962</v>
      </c>
      <c r="C1784" t="s">
        <v>5963</v>
      </c>
      <c r="D1784" t="s">
        <v>5964</v>
      </c>
      <c r="E1784" t="s">
        <v>5965</v>
      </c>
      <c r="F1784" t="s">
        <v>3080</v>
      </c>
      <c r="G1784" s="2">
        <v>5.3</v>
      </c>
      <c r="H1784" s="1">
        <v>6</v>
      </c>
      <c r="I1784" t="s">
        <v>5966</v>
      </c>
      <c r="L1784" s="1">
        <v>4</v>
      </c>
      <c r="M1784" s="3">
        <v>17.03</v>
      </c>
      <c r="N1784" s="3">
        <v>0.85</v>
      </c>
      <c r="O1784" s="3">
        <v>0</v>
      </c>
      <c r="P1784" s="3">
        <v>0.4</v>
      </c>
      <c r="Q1784" s="3">
        <v>18.28</v>
      </c>
      <c r="R1784" s="3">
        <v>9.4499999999999993</v>
      </c>
      <c r="S1784" s="3">
        <f>VLOOKUP(C1784,[1]page!$C$2:$M$3071,11,0)</f>
        <v>17.03</v>
      </c>
      <c r="T1784" s="6">
        <f t="shared" si="28"/>
        <v>0</v>
      </c>
    </row>
    <row r="1785" spans="1:20" x14ac:dyDescent="0.2">
      <c r="A1785" t="s">
        <v>5850</v>
      </c>
      <c r="B1785" t="s">
        <v>5967</v>
      </c>
      <c r="C1785" t="s">
        <v>5968</v>
      </c>
      <c r="D1785" t="s">
        <v>5969</v>
      </c>
      <c r="E1785" t="s">
        <v>5965</v>
      </c>
      <c r="F1785" t="s">
        <v>2078</v>
      </c>
      <c r="G1785" s="2">
        <v>5.3</v>
      </c>
      <c r="H1785" s="1">
        <v>12</v>
      </c>
      <c r="I1785" t="s">
        <v>5966</v>
      </c>
      <c r="L1785" s="1">
        <v>1</v>
      </c>
      <c r="M1785" s="3">
        <v>4.5999999999999996</v>
      </c>
      <c r="N1785" s="3">
        <v>0.23</v>
      </c>
      <c r="O1785" s="3">
        <v>0</v>
      </c>
      <c r="P1785" s="3">
        <v>0.2</v>
      </c>
      <c r="Q1785" s="3">
        <v>5.03</v>
      </c>
      <c r="R1785" s="3">
        <v>2.4500000000000002</v>
      </c>
      <c r="S1785" s="3">
        <f>VLOOKUP(C1785,[1]page!$C$2:$M$3071,11,0)</f>
        <v>4.5999999999999996</v>
      </c>
      <c r="T1785" s="6">
        <f t="shared" si="28"/>
        <v>0</v>
      </c>
    </row>
    <row r="1786" spans="1:20" x14ac:dyDescent="0.2">
      <c r="A1786" t="s">
        <v>5850</v>
      </c>
      <c r="B1786" t="s">
        <v>5970</v>
      </c>
      <c r="C1786" t="s">
        <v>5971</v>
      </c>
      <c r="D1786" t="s">
        <v>5972</v>
      </c>
      <c r="E1786" t="s">
        <v>5965</v>
      </c>
      <c r="F1786" t="s">
        <v>2078</v>
      </c>
      <c r="G1786" s="2">
        <v>5.6</v>
      </c>
      <c r="H1786" s="1">
        <v>12</v>
      </c>
      <c r="I1786" t="s">
        <v>5966</v>
      </c>
      <c r="L1786" s="1">
        <v>1</v>
      </c>
      <c r="M1786" s="3">
        <v>4.7</v>
      </c>
      <c r="N1786" s="3">
        <v>0.24</v>
      </c>
      <c r="O1786" s="3">
        <v>0</v>
      </c>
      <c r="P1786" s="3">
        <v>0.2</v>
      </c>
      <c r="Q1786" s="3">
        <v>5.14</v>
      </c>
      <c r="R1786" s="3">
        <v>2.4500000000000002</v>
      </c>
      <c r="S1786" s="3">
        <f>VLOOKUP(C1786,[1]page!$C$2:$M$3071,11,0)</f>
        <v>4.7</v>
      </c>
      <c r="T1786" s="6">
        <f t="shared" si="28"/>
        <v>0</v>
      </c>
    </row>
    <row r="1787" spans="1:20" x14ac:dyDescent="0.2">
      <c r="A1787" t="s">
        <v>5850</v>
      </c>
      <c r="B1787" t="s">
        <v>5973</v>
      </c>
      <c r="C1787" t="s">
        <v>5974</v>
      </c>
      <c r="D1787" t="s">
        <v>5975</v>
      </c>
      <c r="E1787" t="s">
        <v>5950</v>
      </c>
      <c r="F1787" t="s">
        <v>2078</v>
      </c>
      <c r="G1787" s="2">
        <v>5.4</v>
      </c>
      <c r="H1787" s="1">
        <v>24</v>
      </c>
      <c r="I1787" t="s">
        <v>2802</v>
      </c>
      <c r="L1787" s="1">
        <v>1</v>
      </c>
      <c r="M1787" s="3">
        <v>3.03</v>
      </c>
      <c r="N1787" s="3">
        <v>0.15</v>
      </c>
      <c r="O1787" s="3">
        <v>0</v>
      </c>
      <c r="P1787" s="3">
        <v>0.1</v>
      </c>
      <c r="Q1787" s="3">
        <v>3.28</v>
      </c>
      <c r="R1787" s="3">
        <v>2.4500000000000002</v>
      </c>
      <c r="S1787" s="3">
        <f>VLOOKUP(C1787,[1]page!$C$2:$M$3071,11,0)</f>
        <v>3.03</v>
      </c>
      <c r="T1787" s="6">
        <f t="shared" si="28"/>
        <v>0</v>
      </c>
    </row>
    <row r="1788" spans="1:20" x14ac:dyDescent="0.2">
      <c r="A1788" t="s">
        <v>5850</v>
      </c>
      <c r="B1788" t="s">
        <v>5976</v>
      </c>
      <c r="C1788" t="s">
        <v>5977</v>
      </c>
      <c r="D1788" t="s">
        <v>5978</v>
      </c>
      <c r="E1788" t="s">
        <v>5979</v>
      </c>
      <c r="F1788" t="s">
        <v>5872</v>
      </c>
      <c r="G1788" s="2">
        <v>6.5</v>
      </c>
      <c r="H1788" s="1">
        <v>6</v>
      </c>
      <c r="I1788" t="s">
        <v>5910</v>
      </c>
      <c r="L1788" s="1">
        <v>4</v>
      </c>
      <c r="M1788" s="3">
        <v>21.45</v>
      </c>
      <c r="N1788" s="3">
        <v>1.07</v>
      </c>
      <c r="O1788" s="3">
        <v>0</v>
      </c>
      <c r="P1788" s="3">
        <v>0.4</v>
      </c>
      <c r="Q1788" s="3">
        <v>22.92</v>
      </c>
      <c r="R1788" s="3">
        <v>9.35</v>
      </c>
      <c r="S1788" s="3">
        <f>VLOOKUP(C1788,[1]page!$C$2:$M$3071,11,0)</f>
        <v>21.45</v>
      </c>
      <c r="T1788" s="6">
        <f t="shared" si="28"/>
        <v>0</v>
      </c>
    </row>
    <row r="1789" spans="1:20" x14ac:dyDescent="0.2">
      <c r="A1789" t="s">
        <v>5850</v>
      </c>
      <c r="B1789" t="s">
        <v>5980</v>
      </c>
      <c r="C1789" t="s">
        <v>5981</v>
      </c>
      <c r="D1789" t="s">
        <v>5982</v>
      </c>
      <c r="E1789" t="s">
        <v>5983</v>
      </c>
      <c r="F1789" t="s">
        <v>5984</v>
      </c>
      <c r="G1789" s="2">
        <v>5.5</v>
      </c>
      <c r="H1789" s="1">
        <v>4</v>
      </c>
      <c r="I1789" t="s">
        <v>5985</v>
      </c>
      <c r="L1789" s="1">
        <v>6</v>
      </c>
      <c r="M1789" s="3">
        <v>14.03</v>
      </c>
      <c r="N1789" s="3">
        <v>0.7</v>
      </c>
      <c r="O1789" s="3">
        <v>0</v>
      </c>
      <c r="P1789" s="3">
        <v>0.6</v>
      </c>
      <c r="Q1789" s="3">
        <v>15.33</v>
      </c>
      <c r="R1789" s="3">
        <v>10.050000000000001</v>
      </c>
      <c r="S1789" s="3">
        <f>VLOOKUP(C1789,[1]page!$C$2:$M$3071,11,0)</f>
        <v>14.03</v>
      </c>
      <c r="T1789" s="6">
        <f t="shared" si="28"/>
        <v>0</v>
      </c>
    </row>
    <row r="1790" spans="1:20" x14ac:dyDescent="0.2">
      <c r="A1790" t="s">
        <v>5850</v>
      </c>
      <c r="B1790" t="s">
        <v>5986</v>
      </c>
      <c r="C1790" t="s">
        <v>5987</v>
      </c>
      <c r="D1790" t="s">
        <v>5988</v>
      </c>
      <c r="E1790" t="s">
        <v>5983</v>
      </c>
      <c r="F1790" t="s">
        <v>5861</v>
      </c>
      <c r="G1790" s="2">
        <v>4.9800000000000004</v>
      </c>
      <c r="H1790" s="1">
        <v>2</v>
      </c>
      <c r="I1790" t="s">
        <v>5985</v>
      </c>
      <c r="L1790" s="1">
        <v>12</v>
      </c>
      <c r="M1790" s="3">
        <v>23.46</v>
      </c>
      <c r="N1790" s="3">
        <v>1.17</v>
      </c>
      <c r="O1790" s="3">
        <v>0</v>
      </c>
      <c r="P1790" s="3">
        <v>1.2</v>
      </c>
      <c r="Q1790" s="3">
        <v>25.83</v>
      </c>
      <c r="R1790" s="3">
        <v>18.95</v>
      </c>
      <c r="S1790" s="3">
        <f>VLOOKUP(C1790,[1]page!$C$2:$M$3071,11,0)</f>
        <v>23.46</v>
      </c>
      <c r="T1790" s="6">
        <f t="shared" si="28"/>
        <v>0</v>
      </c>
    </row>
    <row r="1791" spans="1:20" x14ac:dyDescent="0.2">
      <c r="A1791" t="s">
        <v>5850</v>
      </c>
      <c r="B1791" t="s">
        <v>5989</v>
      </c>
      <c r="C1791" t="s">
        <v>5990</v>
      </c>
      <c r="D1791" t="s">
        <v>5991</v>
      </c>
      <c r="E1791" t="s">
        <v>5983</v>
      </c>
      <c r="F1791" t="s">
        <v>5984</v>
      </c>
      <c r="G1791" s="2">
        <v>6.4</v>
      </c>
      <c r="H1791" s="1">
        <v>4</v>
      </c>
      <c r="I1791" t="s">
        <v>5985</v>
      </c>
      <c r="L1791" s="1">
        <v>6</v>
      </c>
      <c r="M1791" s="3">
        <v>14.03</v>
      </c>
      <c r="N1791" s="3">
        <v>0.7</v>
      </c>
      <c r="O1791" s="3">
        <v>0</v>
      </c>
      <c r="P1791" s="3">
        <v>0.6</v>
      </c>
      <c r="Q1791" s="3">
        <v>15.33</v>
      </c>
      <c r="R1791" s="3">
        <v>10.050000000000001</v>
      </c>
      <c r="S1791" s="3">
        <f>VLOOKUP(C1791,[1]page!$C$2:$M$3071,11,0)</f>
        <v>14.03</v>
      </c>
      <c r="T1791" s="6">
        <f t="shared" si="28"/>
        <v>0</v>
      </c>
    </row>
    <row r="1792" spans="1:20" x14ac:dyDescent="0.2">
      <c r="A1792" t="s">
        <v>5850</v>
      </c>
      <c r="B1792" t="s">
        <v>5992</v>
      </c>
      <c r="C1792" t="s">
        <v>5993</v>
      </c>
      <c r="D1792" t="s">
        <v>5994</v>
      </c>
      <c r="E1792" t="s">
        <v>5995</v>
      </c>
      <c r="F1792" t="s">
        <v>5996</v>
      </c>
      <c r="G1792" s="2">
        <v>4.0999999999999996</v>
      </c>
      <c r="H1792" s="1">
        <v>6</v>
      </c>
      <c r="I1792" t="s">
        <v>5966</v>
      </c>
      <c r="L1792" s="1">
        <v>4</v>
      </c>
      <c r="M1792" s="3">
        <v>15.48</v>
      </c>
      <c r="N1792" s="3">
        <v>0.77</v>
      </c>
      <c r="O1792" s="3">
        <v>0</v>
      </c>
      <c r="P1792" s="3">
        <v>0.8</v>
      </c>
      <c r="Q1792" s="3">
        <v>17.05</v>
      </c>
      <c r="R1792" s="3">
        <v>6.2</v>
      </c>
      <c r="S1792" s="3">
        <f>VLOOKUP(C1792,[1]page!$C$2:$M$3071,11,0)</f>
        <v>15.48</v>
      </c>
      <c r="T1792" s="6">
        <f t="shared" si="28"/>
        <v>0</v>
      </c>
    </row>
    <row r="1793" spans="1:20" x14ac:dyDescent="0.2">
      <c r="A1793" t="s">
        <v>5850</v>
      </c>
      <c r="B1793" t="s">
        <v>5997</v>
      </c>
      <c r="C1793" t="s">
        <v>5998</v>
      </c>
      <c r="D1793" t="s">
        <v>5999</v>
      </c>
      <c r="E1793" t="s">
        <v>6000</v>
      </c>
      <c r="F1793" t="s">
        <v>1041</v>
      </c>
      <c r="G1793" s="1">
        <v>5</v>
      </c>
      <c r="H1793" s="1">
        <v>6</v>
      </c>
      <c r="I1793" t="s">
        <v>6001</v>
      </c>
      <c r="L1793" s="1">
        <v>4</v>
      </c>
      <c r="M1793" s="3">
        <v>17.739999999999998</v>
      </c>
      <c r="N1793" s="3">
        <v>0.89</v>
      </c>
      <c r="O1793" s="3">
        <v>0</v>
      </c>
      <c r="P1793" s="3">
        <v>0.4</v>
      </c>
      <c r="Q1793" s="3">
        <v>19.03</v>
      </c>
      <c r="R1793" s="3">
        <v>6.7</v>
      </c>
      <c r="S1793" s="3" t="e">
        <f>VLOOKUP(C1793,[1]page!$C$2:$M$3071,11,0)</f>
        <v>#N/A</v>
      </c>
      <c r="T1793" s="6" t="e">
        <f t="shared" si="28"/>
        <v>#N/A</v>
      </c>
    </row>
    <row r="1794" spans="1:20" x14ac:dyDescent="0.2">
      <c r="A1794" t="s">
        <v>5850</v>
      </c>
      <c r="B1794" t="s">
        <v>6002</v>
      </c>
      <c r="C1794" t="s">
        <v>6003</v>
      </c>
      <c r="D1794" t="s">
        <v>6004</v>
      </c>
      <c r="E1794" t="s">
        <v>6005</v>
      </c>
      <c r="F1794" t="s">
        <v>5866</v>
      </c>
      <c r="G1794" s="1">
        <v>5</v>
      </c>
      <c r="H1794" s="1">
        <v>4</v>
      </c>
      <c r="I1794" t="s">
        <v>5867</v>
      </c>
      <c r="L1794" s="1">
        <v>6</v>
      </c>
      <c r="M1794" s="3">
        <v>13.89</v>
      </c>
      <c r="N1794" s="3">
        <v>0.69</v>
      </c>
      <c r="O1794" s="3">
        <v>0</v>
      </c>
      <c r="P1794" s="3">
        <v>1.2</v>
      </c>
      <c r="Q1794" s="3">
        <v>15.78</v>
      </c>
      <c r="R1794" s="3">
        <v>9.35</v>
      </c>
      <c r="S1794" s="3">
        <f>VLOOKUP(C1794,[1]page!$C$2:$M$3071,11,0)</f>
        <v>13.89</v>
      </c>
      <c r="T1794" s="6">
        <f t="shared" si="28"/>
        <v>0</v>
      </c>
    </row>
    <row r="1795" spans="1:20" x14ac:dyDescent="0.2">
      <c r="A1795" t="s">
        <v>5850</v>
      </c>
      <c r="B1795" t="s">
        <v>6006</v>
      </c>
      <c r="C1795" t="s">
        <v>6007</v>
      </c>
      <c r="D1795" t="s">
        <v>6008</v>
      </c>
      <c r="E1795" t="s">
        <v>6005</v>
      </c>
      <c r="F1795" t="s">
        <v>5855</v>
      </c>
      <c r="G1795" s="1">
        <v>5</v>
      </c>
      <c r="H1795" s="1">
        <v>24</v>
      </c>
      <c r="I1795" t="s">
        <v>5867</v>
      </c>
      <c r="L1795" s="1">
        <v>1</v>
      </c>
      <c r="M1795" s="3">
        <v>3.08</v>
      </c>
      <c r="N1795" s="3">
        <v>0.15</v>
      </c>
      <c r="O1795" s="3">
        <v>0</v>
      </c>
      <c r="P1795" s="3">
        <v>0.1</v>
      </c>
      <c r="Q1795" s="3">
        <v>3.33</v>
      </c>
      <c r="R1795" s="3">
        <v>2.2999999999999998</v>
      </c>
      <c r="S1795" s="3">
        <f>VLOOKUP(C1795,[1]page!$C$2:$M$3071,11,0)</f>
        <v>3.08</v>
      </c>
      <c r="T1795" s="6">
        <f t="shared" si="28"/>
        <v>0</v>
      </c>
    </row>
    <row r="1796" spans="1:20" x14ac:dyDescent="0.2">
      <c r="A1796" t="s">
        <v>5850</v>
      </c>
      <c r="B1796" t="s">
        <v>6009</v>
      </c>
      <c r="C1796" t="s">
        <v>6010</v>
      </c>
      <c r="D1796" t="s">
        <v>6008</v>
      </c>
      <c r="E1796" t="s">
        <v>6011</v>
      </c>
      <c r="F1796" t="s">
        <v>6012</v>
      </c>
      <c r="G1796" s="1">
        <v>5</v>
      </c>
      <c r="H1796" s="1">
        <v>4</v>
      </c>
      <c r="I1796" t="s">
        <v>5867</v>
      </c>
      <c r="L1796" s="1">
        <v>6</v>
      </c>
      <c r="M1796" s="3">
        <v>13.43</v>
      </c>
      <c r="N1796" s="3">
        <v>0.67</v>
      </c>
      <c r="O1796" s="3">
        <v>0</v>
      </c>
      <c r="P1796" s="3">
        <v>0.6</v>
      </c>
      <c r="Q1796" s="3">
        <v>14.7</v>
      </c>
      <c r="R1796" s="3">
        <v>13.4</v>
      </c>
      <c r="S1796" s="3">
        <f>VLOOKUP(C1796,[1]page!$C$2:$M$3071,11,0)</f>
        <v>13.43</v>
      </c>
      <c r="T1796" s="6">
        <f t="shared" si="28"/>
        <v>0</v>
      </c>
    </row>
    <row r="1797" spans="1:20" x14ac:dyDescent="0.2">
      <c r="A1797" t="s">
        <v>5850</v>
      </c>
      <c r="B1797" t="s">
        <v>6013</v>
      </c>
      <c r="C1797" t="s">
        <v>6014</v>
      </c>
      <c r="D1797" t="s">
        <v>6015</v>
      </c>
      <c r="E1797" t="s">
        <v>6016</v>
      </c>
      <c r="F1797" t="s">
        <v>5872</v>
      </c>
      <c r="G1797" s="2">
        <v>6.5</v>
      </c>
      <c r="H1797" s="1">
        <v>6</v>
      </c>
      <c r="I1797" t="s">
        <v>6017</v>
      </c>
      <c r="L1797" s="1">
        <v>4</v>
      </c>
      <c r="M1797" s="3">
        <v>13.6</v>
      </c>
      <c r="N1797" s="3">
        <v>0.68</v>
      </c>
      <c r="O1797" s="3">
        <v>0</v>
      </c>
      <c r="P1797" s="3">
        <v>0.4</v>
      </c>
      <c r="Q1797" s="3">
        <v>14.68</v>
      </c>
      <c r="R1797" s="3">
        <v>9.35</v>
      </c>
      <c r="S1797" s="3" t="e">
        <f>VLOOKUP(C1797,[1]page!$C$2:$M$3071,11,0)</f>
        <v>#N/A</v>
      </c>
      <c r="T1797" s="6" t="e">
        <f t="shared" si="28"/>
        <v>#N/A</v>
      </c>
    </row>
    <row r="1798" spans="1:20" x14ac:dyDescent="0.2">
      <c r="A1798" t="s">
        <v>5850</v>
      </c>
      <c r="B1798" t="s">
        <v>6018</v>
      </c>
      <c r="C1798" t="s">
        <v>6019</v>
      </c>
      <c r="D1798" t="s">
        <v>6020</v>
      </c>
      <c r="E1798" t="s">
        <v>6021</v>
      </c>
      <c r="F1798" t="s">
        <v>5866</v>
      </c>
      <c r="G1798" s="2">
        <v>6.8</v>
      </c>
      <c r="H1798" s="1">
        <v>4</v>
      </c>
      <c r="I1798" t="s">
        <v>34</v>
      </c>
      <c r="L1798" s="1">
        <v>6</v>
      </c>
      <c r="M1798" s="3">
        <v>15.22</v>
      </c>
      <c r="N1798" s="3">
        <v>0.76</v>
      </c>
      <c r="O1798" s="3">
        <v>0</v>
      </c>
      <c r="P1798" s="3">
        <v>1.2</v>
      </c>
      <c r="Q1798" s="3">
        <v>17.18</v>
      </c>
      <c r="R1798" s="3">
        <v>11.9</v>
      </c>
      <c r="S1798" s="3">
        <f>VLOOKUP(C1798,[1]page!$C$2:$M$3071,11,0)</f>
        <v>15.2</v>
      </c>
      <c r="T1798" s="6">
        <f t="shared" si="28"/>
        <v>2.000000000000135E-2</v>
      </c>
    </row>
    <row r="1799" spans="1:20" x14ac:dyDescent="0.2">
      <c r="A1799" t="s">
        <v>5850</v>
      </c>
      <c r="B1799" t="s">
        <v>6022</v>
      </c>
      <c r="C1799" t="s">
        <v>6023</v>
      </c>
      <c r="D1799" t="s">
        <v>6024</v>
      </c>
      <c r="E1799" t="s">
        <v>6021</v>
      </c>
      <c r="F1799" t="s">
        <v>2078</v>
      </c>
      <c r="G1799" s="2">
        <v>7.1</v>
      </c>
      <c r="H1799" s="1">
        <v>12</v>
      </c>
      <c r="I1799" t="s">
        <v>34</v>
      </c>
      <c r="L1799" s="1">
        <v>1</v>
      </c>
      <c r="M1799" s="3">
        <v>9.17</v>
      </c>
      <c r="N1799" s="3">
        <v>0.46</v>
      </c>
      <c r="O1799" s="3">
        <v>0</v>
      </c>
      <c r="P1799" s="3">
        <v>0.2</v>
      </c>
      <c r="Q1799" s="3">
        <v>9.83</v>
      </c>
      <c r="R1799" s="3">
        <v>3.1</v>
      </c>
      <c r="S1799" s="3">
        <f>VLOOKUP(C1799,[1]page!$C$2:$M$3071,11,0)</f>
        <v>9.17</v>
      </c>
      <c r="T1799" s="6">
        <f t="shared" si="28"/>
        <v>0</v>
      </c>
    </row>
    <row r="1800" spans="1:20" x14ac:dyDescent="0.2">
      <c r="A1800" t="s">
        <v>5850</v>
      </c>
      <c r="B1800" t="s">
        <v>6025</v>
      </c>
      <c r="C1800" t="s">
        <v>6026</v>
      </c>
      <c r="D1800" t="s">
        <v>6027</v>
      </c>
      <c r="E1800" t="s">
        <v>6021</v>
      </c>
      <c r="F1800" t="s">
        <v>2078</v>
      </c>
      <c r="G1800" s="2">
        <v>6.6</v>
      </c>
      <c r="H1800" s="1">
        <v>24</v>
      </c>
      <c r="I1800" t="s">
        <v>34</v>
      </c>
      <c r="L1800" s="1">
        <v>1</v>
      </c>
      <c r="M1800" s="3">
        <v>3.45</v>
      </c>
      <c r="N1800" s="3">
        <v>0.17</v>
      </c>
      <c r="O1800" s="3">
        <v>0</v>
      </c>
      <c r="P1800" s="3">
        <v>0.1</v>
      </c>
      <c r="Q1800" s="3">
        <v>3.72</v>
      </c>
      <c r="R1800" s="3">
        <v>3.1</v>
      </c>
      <c r="S1800" s="3">
        <f>VLOOKUP(C1800,[1]page!$C$2:$M$3071,11,0)</f>
        <v>3.44</v>
      </c>
      <c r="T1800" s="6">
        <f t="shared" si="28"/>
        <v>1.0000000000000231E-2</v>
      </c>
    </row>
    <row r="1801" spans="1:20" x14ac:dyDescent="0.2">
      <c r="A1801" t="s">
        <v>5850</v>
      </c>
      <c r="B1801" t="s">
        <v>6028</v>
      </c>
      <c r="C1801" t="s">
        <v>6029</v>
      </c>
      <c r="D1801" t="s">
        <v>6030</v>
      </c>
      <c r="E1801" t="s">
        <v>6021</v>
      </c>
      <c r="F1801" t="s">
        <v>5866</v>
      </c>
      <c r="G1801" s="2">
        <v>6.6</v>
      </c>
      <c r="H1801" s="1">
        <v>4</v>
      </c>
      <c r="I1801" t="s">
        <v>34</v>
      </c>
      <c r="L1801" s="1">
        <v>6</v>
      </c>
      <c r="M1801" s="3">
        <v>15.22</v>
      </c>
      <c r="N1801" s="3">
        <v>0.76</v>
      </c>
      <c r="O1801" s="3">
        <v>0</v>
      </c>
      <c r="P1801" s="3">
        <v>1.2</v>
      </c>
      <c r="Q1801" s="3">
        <v>17.18</v>
      </c>
      <c r="R1801" s="3">
        <v>11.9</v>
      </c>
      <c r="S1801" s="3">
        <f>VLOOKUP(C1801,[1]page!$C$2:$M$3071,11,0)</f>
        <v>15.2</v>
      </c>
      <c r="T1801" s="6">
        <f t="shared" si="28"/>
        <v>2.000000000000135E-2</v>
      </c>
    </row>
    <row r="1802" spans="1:20" x14ac:dyDescent="0.2">
      <c r="A1802" t="s">
        <v>5850</v>
      </c>
      <c r="B1802" t="s">
        <v>6031</v>
      </c>
      <c r="C1802" t="s">
        <v>6032</v>
      </c>
      <c r="D1802" t="s">
        <v>6033</v>
      </c>
      <c r="E1802" t="s">
        <v>6034</v>
      </c>
      <c r="F1802" t="s">
        <v>2078</v>
      </c>
      <c r="G1802" s="2">
        <v>4.5999999999999996</v>
      </c>
      <c r="H1802" s="1">
        <v>24</v>
      </c>
      <c r="I1802" t="s">
        <v>5867</v>
      </c>
      <c r="L1802" s="1">
        <v>1</v>
      </c>
      <c r="M1802" s="3">
        <v>3.08</v>
      </c>
      <c r="N1802" s="3">
        <v>0.15</v>
      </c>
      <c r="O1802" s="3">
        <v>0</v>
      </c>
      <c r="P1802" s="3">
        <v>0.1</v>
      </c>
      <c r="Q1802" s="3">
        <v>3.33</v>
      </c>
      <c r="R1802" s="3">
        <v>2.4500000000000002</v>
      </c>
      <c r="S1802" s="3">
        <f>VLOOKUP(C1802,[1]page!$C$2:$M$3071,11,0)</f>
        <v>3.08</v>
      </c>
      <c r="T1802" s="6">
        <f t="shared" si="28"/>
        <v>0</v>
      </c>
    </row>
    <row r="1803" spans="1:20" x14ac:dyDescent="0.2">
      <c r="A1803" t="s">
        <v>5850</v>
      </c>
      <c r="B1803" t="s">
        <v>6035</v>
      </c>
      <c r="C1803" t="s">
        <v>6036</v>
      </c>
      <c r="D1803" t="s">
        <v>6037</v>
      </c>
      <c r="E1803" t="s">
        <v>5919</v>
      </c>
      <c r="F1803" t="s">
        <v>5866</v>
      </c>
      <c r="G1803" s="1">
        <v>5</v>
      </c>
      <c r="H1803" s="1">
        <v>4</v>
      </c>
      <c r="I1803" t="s">
        <v>6038</v>
      </c>
      <c r="L1803" s="1">
        <v>6</v>
      </c>
      <c r="M1803" s="3">
        <v>16.3</v>
      </c>
      <c r="N1803" s="3">
        <v>0.82</v>
      </c>
      <c r="O1803" s="3">
        <v>0</v>
      </c>
      <c r="P1803" s="3">
        <v>1.2</v>
      </c>
      <c r="Q1803" s="3">
        <v>18.32</v>
      </c>
      <c r="R1803" s="3">
        <v>9.35</v>
      </c>
      <c r="S1803" s="3">
        <f>VLOOKUP(C1803,[1]page!$C$2:$M$3071,11,0)</f>
        <v>16.3</v>
      </c>
      <c r="T1803" s="6">
        <f t="shared" si="28"/>
        <v>0</v>
      </c>
    </row>
    <row r="1804" spans="1:20" x14ac:dyDescent="0.2">
      <c r="A1804" t="s">
        <v>5850</v>
      </c>
      <c r="B1804" t="s">
        <v>6039</v>
      </c>
      <c r="C1804" t="s">
        <v>6040</v>
      </c>
      <c r="D1804" t="s">
        <v>6037</v>
      </c>
      <c r="E1804" t="s">
        <v>5919</v>
      </c>
      <c r="F1804" t="s">
        <v>6041</v>
      </c>
      <c r="G1804" s="1">
        <v>5</v>
      </c>
      <c r="H1804" s="1">
        <v>1</v>
      </c>
      <c r="I1804" t="s">
        <v>5920</v>
      </c>
      <c r="L1804" s="1">
        <v>12</v>
      </c>
      <c r="M1804" s="3">
        <v>31.57</v>
      </c>
      <c r="N1804" s="3">
        <v>1.58</v>
      </c>
      <c r="O1804" s="3">
        <v>0</v>
      </c>
      <c r="P1804" s="3">
        <v>2.4</v>
      </c>
      <c r="Q1804" s="3">
        <v>35.549999999999997</v>
      </c>
      <c r="R1804" s="3">
        <v>18.2</v>
      </c>
      <c r="S1804" s="3">
        <f>VLOOKUP(C1804,[1]page!$C$2:$M$3071,11,0)</f>
        <v>31.57</v>
      </c>
      <c r="T1804" s="6">
        <f t="shared" si="28"/>
        <v>0</v>
      </c>
    </row>
    <row r="1805" spans="1:20" x14ac:dyDescent="0.2">
      <c r="A1805" t="s">
        <v>5850</v>
      </c>
      <c r="B1805" t="s">
        <v>6042</v>
      </c>
      <c r="C1805" t="s">
        <v>6043</v>
      </c>
      <c r="D1805" t="s">
        <v>6037</v>
      </c>
      <c r="E1805" t="s">
        <v>6044</v>
      </c>
      <c r="F1805" t="s">
        <v>6045</v>
      </c>
      <c r="G1805" s="1">
        <v>5</v>
      </c>
      <c r="H1805" s="1">
        <v>1</v>
      </c>
      <c r="I1805" t="s">
        <v>6038</v>
      </c>
      <c r="L1805" s="1">
        <v>1</v>
      </c>
      <c r="M1805" s="3">
        <v>186.6</v>
      </c>
      <c r="N1805" s="3">
        <v>9.33</v>
      </c>
      <c r="O1805" s="3">
        <v>0</v>
      </c>
      <c r="P1805" s="3">
        <v>0</v>
      </c>
      <c r="Q1805" s="3">
        <v>195.93</v>
      </c>
      <c r="S1805" s="3">
        <f>VLOOKUP(C1805,[1]page!$C$2:$M$3071,11,0)</f>
        <v>186.6</v>
      </c>
      <c r="T1805" s="6">
        <f t="shared" si="28"/>
        <v>0</v>
      </c>
    </row>
    <row r="1806" spans="1:20" x14ac:dyDescent="0.2">
      <c r="A1806" t="s">
        <v>5850</v>
      </c>
      <c r="B1806" t="s">
        <v>6046</v>
      </c>
      <c r="C1806" t="s">
        <v>6047</v>
      </c>
      <c r="D1806" t="s">
        <v>6048</v>
      </c>
      <c r="E1806" t="s">
        <v>5919</v>
      </c>
      <c r="F1806" t="s">
        <v>5984</v>
      </c>
      <c r="G1806" s="1">
        <v>5</v>
      </c>
      <c r="H1806" s="1">
        <v>4</v>
      </c>
      <c r="I1806" t="s">
        <v>5920</v>
      </c>
      <c r="L1806" s="1">
        <v>6</v>
      </c>
      <c r="M1806" s="3">
        <v>16.100000000000001</v>
      </c>
      <c r="N1806" s="3">
        <v>0.81</v>
      </c>
      <c r="O1806" s="3">
        <v>0</v>
      </c>
      <c r="P1806" s="3">
        <v>0.6</v>
      </c>
      <c r="Q1806" s="3">
        <v>17.510000000000002</v>
      </c>
      <c r="R1806" s="3">
        <v>10.050000000000001</v>
      </c>
      <c r="S1806" s="3">
        <f>VLOOKUP(C1806,[1]page!$C$2:$M$3071,11,0)</f>
        <v>16.100000000000001</v>
      </c>
      <c r="T1806" s="6">
        <f t="shared" si="28"/>
        <v>0</v>
      </c>
    </row>
    <row r="1807" spans="1:20" x14ac:dyDescent="0.2">
      <c r="A1807" t="s">
        <v>5850</v>
      </c>
      <c r="B1807" t="s">
        <v>6049</v>
      </c>
      <c r="C1807" t="s">
        <v>6050</v>
      </c>
      <c r="D1807" t="s">
        <v>6051</v>
      </c>
      <c r="E1807" t="s">
        <v>5959</v>
      </c>
      <c r="F1807" t="s">
        <v>5960</v>
      </c>
      <c r="G1807" s="1">
        <v>8</v>
      </c>
      <c r="H1807" s="1">
        <v>24</v>
      </c>
      <c r="I1807" t="s">
        <v>5961</v>
      </c>
      <c r="L1807" s="1">
        <v>1</v>
      </c>
      <c r="M1807" s="3">
        <v>5.89</v>
      </c>
      <c r="N1807" s="3">
        <v>0.28999999999999998</v>
      </c>
      <c r="O1807" s="3">
        <v>0</v>
      </c>
      <c r="P1807" s="3">
        <v>0.2</v>
      </c>
      <c r="Q1807" s="3">
        <v>6.38</v>
      </c>
      <c r="R1807" s="3">
        <v>2.35</v>
      </c>
      <c r="S1807" s="3">
        <f>VLOOKUP(C1807,[1]page!$C$2:$M$3071,11,0)</f>
        <v>5.89</v>
      </c>
      <c r="T1807" s="6">
        <f t="shared" si="28"/>
        <v>0</v>
      </c>
    </row>
    <row r="1808" spans="1:20" x14ac:dyDescent="0.2">
      <c r="A1808" t="s">
        <v>5850</v>
      </c>
      <c r="B1808" t="s">
        <v>6052</v>
      </c>
      <c r="C1808" t="s">
        <v>6053</v>
      </c>
      <c r="D1808" t="s">
        <v>6054</v>
      </c>
      <c r="E1808" t="s">
        <v>5919</v>
      </c>
      <c r="F1808" t="s">
        <v>6012</v>
      </c>
      <c r="G1808" s="2">
        <v>4.5999999999999996</v>
      </c>
      <c r="H1808" s="1">
        <v>4</v>
      </c>
      <c r="I1808" t="s">
        <v>5920</v>
      </c>
      <c r="L1808" s="1">
        <v>6</v>
      </c>
      <c r="M1808" s="3">
        <v>18.45</v>
      </c>
      <c r="N1808" s="3">
        <v>0.92</v>
      </c>
      <c r="O1808" s="3">
        <v>0</v>
      </c>
      <c r="P1808" s="3">
        <v>0.6</v>
      </c>
      <c r="Q1808" s="3">
        <v>19.97</v>
      </c>
      <c r="R1808" s="3">
        <v>13.4</v>
      </c>
      <c r="S1808" s="3">
        <f>VLOOKUP(C1808,[1]page!$C$2:$M$3071,11,0)</f>
        <v>18.45</v>
      </c>
      <c r="T1808" s="6">
        <f t="shared" si="28"/>
        <v>0</v>
      </c>
    </row>
    <row r="1809" spans="1:20" x14ac:dyDescent="0.2">
      <c r="A1809" t="s">
        <v>5850</v>
      </c>
      <c r="B1809" t="s">
        <v>6055</v>
      </c>
      <c r="C1809" t="s">
        <v>6056</v>
      </c>
      <c r="D1809" t="s">
        <v>6054</v>
      </c>
      <c r="E1809" t="s">
        <v>5919</v>
      </c>
      <c r="F1809" t="s">
        <v>5915</v>
      </c>
      <c r="G1809" s="2">
        <v>4.5999999999999996</v>
      </c>
      <c r="H1809" s="1">
        <v>1</v>
      </c>
      <c r="I1809" t="s">
        <v>5920</v>
      </c>
      <c r="L1809" s="1">
        <v>15</v>
      </c>
      <c r="M1809" s="3">
        <v>27.55</v>
      </c>
      <c r="N1809" s="3">
        <v>1.38</v>
      </c>
      <c r="O1809" s="3">
        <v>0</v>
      </c>
      <c r="P1809" s="3">
        <v>1.5</v>
      </c>
      <c r="Q1809" s="3">
        <v>30.43</v>
      </c>
      <c r="R1809" s="3">
        <v>23.7</v>
      </c>
      <c r="S1809" s="3">
        <f>VLOOKUP(C1809,[1]page!$C$2:$M$3071,11,0)</f>
        <v>27.55</v>
      </c>
      <c r="T1809" s="6">
        <f t="shared" si="28"/>
        <v>0</v>
      </c>
    </row>
    <row r="1810" spans="1:20" x14ac:dyDescent="0.2">
      <c r="A1810" t="s">
        <v>5850</v>
      </c>
      <c r="B1810" t="s">
        <v>6057</v>
      </c>
      <c r="C1810" t="s">
        <v>6058</v>
      </c>
      <c r="D1810" t="s">
        <v>6059</v>
      </c>
      <c r="E1810" t="s">
        <v>5959</v>
      </c>
      <c r="F1810" t="s">
        <v>6060</v>
      </c>
      <c r="G1810" s="2">
        <v>3.8</v>
      </c>
      <c r="H1810" s="1">
        <v>1</v>
      </c>
      <c r="I1810" t="s">
        <v>5941</v>
      </c>
      <c r="L1810" s="1">
        <v>1</v>
      </c>
      <c r="M1810" s="3">
        <v>166.39</v>
      </c>
      <c r="N1810" s="3">
        <v>8.32</v>
      </c>
      <c r="O1810" s="3">
        <v>0</v>
      </c>
      <c r="P1810" s="3">
        <v>0</v>
      </c>
      <c r="Q1810" s="3">
        <v>174.71</v>
      </c>
      <c r="S1810" s="3">
        <f>VLOOKUP(C1810,[1]page!$C$2:$M$3071,11,0)</f>
        <v>166.39</v>
      </c>
      <c r="T1810" s="6">
        <f t="shared" si="28"/>
        <v>0</v>
      </c>
    </row>
    <row r="1811" spans="1:20" x14ac:dyDescent="0.2">
      <c r="A1811" t="s">
        <v>5850</v>
      </c>
      <c r="B1811" t="s">
        <v>6061</v>
      </c>
      <c r="C1811" t="s">
        <v>6062</v>
      </c>
      <c r="D1811" t="s">
        <v>6063</v>
      </c>
      <c r="E1811" t="s">
        <v>6064</v>
      </c>
      <c r="F1811" t="s">
        <v>5578</v>
      </c>
      <c r="G1811" s="2">
        <v>3.8</v>
      </c>
      <c r="H1811" s="1">
        <v>24</v>
      </c>
      <c r="I1811" t="s">
        <v>5941</v>
      </c>
      <c r="L1811" s="1">
        <v>1</v>
      </c>
      <c r="M1811" s="3">
        <v>3.36</v>
      </c>
      <c r="N1811" s="3">
        <v>0.17</v>
      </c>
      <c r="O1811" s="3">
        <v>0</v>
      </c>
      <c r="P1811" s="3">
        <v>0.1</v>
      </c>
      <c r="Q1811" s="3">
        <v>3.63</v>
      </c>
      <c r="R1811" s="3">
        <v>1.6</v>
      </c>
      <c r="S1811" s="3">
        <f>VLOOKUP(C1811,[1]page!$C$2:$M$3071,11,0)</f>
        <v>3.36</v>
      </c>
      <c r="T1811" s="6">
        <f t="shared" si="28"/>
        <v>0</v>
      </c>
    </row>
    <row r="1812" spans="1:20" x14ac:dyDescent="0.2">
      <c r="A1812" t="s">
        <v>5850</v>
      </c>
      <c r="B1812" t="s">
        <v>6065</v>
      </c>
      <c r="C1812" t="s">
        <v>6066</v>
      </c>
      <c r="D1812" t="s">
        <v>6067</v>
      </c>
      <c r="E1812" t="s">
        <v>6068</v>
      </c>
      <c r="F1812" t="s">
        <v>5915</v>
      </c>
      <c r="G1812" s="1">
        <v>5</v>
      </c>
      <c r="H1812" s="1">
        <v>1</v>
      </c>
      <c r="I1812" t="s">
        <v>6069</v>
      </c>
      <c r="L1812" s="1">
        <v>15</v>
      </c>
      <c r="M1812" s="3">
        <v>24.93</v>
      </c>
      <c r="N1812" s="3">
        <v>1.25</v>
      </c>
      <c r="O1812" s="3">
        <v>0</v>
      </c>
      <c r="P1812" s="3">
        <v>1.5</v>
      </c>
      <c r="Q1812" s="3">
        <v>27.68</v>
      </c>
      <c r="R1812" s="3">
        <v>23.7</v>
      </c>
      <c r="S1812" s="3">
        <f>VLOOKUP(C1812,[1]page!$C$2:$M$3071,11,0)</f>
        <v>24.93</v>
      </c>
      <c r="T1812" s="6">
        <f t="shared" si="28"/>
        <v>0</v>
      </c>
    </row>
    <row r="1813" spans="1:20" x14ac:dyDescent="0.2">
      <c r="A1813" t="s">
        <v>5850</v>
      </c>
      <c r="B1813" t="s">
        <v>6070</v>
      </c>
      <c r="C1813" t="s">
        <v>6071</v>
      </c>
      <c r="D1813" t="s">
        <v>6072</v>
      </c>
      <c r="E1813" t="s">
        <v>5930</v>
      </c>
      <c r="F1813" t="s">
        <v>5861</v>
      </c>
      <c r="G1813" s="1">
        <v>4</v>
      </c>
      <c r="H1813" s="1">
        <v>1</v>
      </c>
      <c r="I1813" t="s">
        <v>169</v>
      </c>
      <c r="L1813" s="1">
        <v>12</v>
      </c>
      <c r="M1813" s="3">
        <v>27.05</v>
      </c>
      <c r="N1813" s="3">
        <v>1.35</v>
      </c>
      <c r="O1813" s="3">
        <v>0</v>
      </c>
      <c r="P1813" s="3">
        <v>1.2</v>
      </c>
      <c r="Q1813" s="3">
        <v>29.6</v>
      </c>
      <c r="R1813" s="3">
        <v>18.95</v>
      </c>
      <c r="S1813" s="3">
        <f>VLOOKUP(C1813,[1]page!$C$2:$M$3071,11,0)</f>
        <v>27.05</v>
      </c>
      <c r="T1813" s="6">
        <f t="shared" si="28"/>
        <v>0</v>
      </c>
    </row>
    <row r="1814" spans="1:20" x14ac:dyDescent="0.2">
      <c r="A1814" t="s">
        <v>5850</v>
      </c>
      <c r="B1814" t="s">
        <v>6073</v>
      </c>
      <c r="C1814" t="s">
        <v>6074</v>
      </c>
      <c r="D1814" t="s">
        <v>6075</v>
      </c>
      <c r="E1814" t="s">
        <v>5930</v>
      </c>
      <c r="F1814" t="s">
        <v>6076</v>
      </c>
      <c r="G1814" s="1">
        <v>5</v>
      </c>
      <c r="H1814" s="1">
        <v>1</v>
      </c>
      <c r="I1814" t="s">
        <v>169</v>
      </c>
      <c r="L1814" s="1">
        <v>12</v>
      </c>
      <c r="M1814" s="3">
        <v>25.56</v>
      </c>
      <c r="N1814" s="3">
        <v>1.28</v>
      </c>
      <c r="O1814" s="3">
        <v>0</v>
      </c>
      <c r="P1814" s="3">
        <v>2.4</v>
      </c>
      <c r="Q1814" s="3">
        <v>29.24</v>
      </c>
      <c r="R1814" s="3">
        <v>18.2</v>
      </c>
      <c r="S1814" s="3">
        <f>VLOOKUP(C1814,[1]page!$C$2:$M$3071,11,0)</f>
        <v>25.56</v>
      </c>
      <c r="T1814" s="6">
        <f t="shared" si="28"/>
        <v>0</v>
      </c>
    </row>
    <row r="1815" spans="1:20" x14ac:dyDescent="0.2">
      <c r="A1815" t="s">
        <v>5850</v>
      </c>
      <c r="B1815" t="s">
        <v>6077</v>
      </c>
      <c r="C1815" t="s">
        <v>6078</v>
      </c>
      <c r="D1815" t="s">
        <v>6075</v>
      </c>
      <c r="E1815" t="s">
        <v>5930</v>
      </c>
      <c r="F1815" t="s">
        <v>5915</v>
      </c>
      <c r="G1815" s="1">
        <v>5</v>
      </c>
      <c r="H1815" s="1">
        <v>1</v>
      </c>
      <c r="I1815" t="s">
        <v>169</v>
      </c>
      <c r="L1815" s="1">
        <v>15</v>
      </c>
      <c r="M1815" s="3">
        <v>31.71</v>
      </c>
      <c r="N1815" s="3">
        <v>1.59</v>
      </c>
      <c r="O1815" s="3">
        <v>0</v>
      </c>
      <c r="P1815" s="3">
        <v>1.5</v>
      </c>
      <c r="Q1815" s="3">
        <v>34.799999999999997</v>
      </c>
      <c r="R1815" s="3">
        <v>23.7</v>
      </c>
      <c r="S1815" s="3">
        <f>VLOOKUP(C1815,[1]page!$C$2:$M$3071,11,0)</f>
        <v>31.71</v>
      </c>
      <c r="T1815" s="6">
        <f t="shared" si="28"/>
        <v>0</v>
      </c>
    </row>
    <row r="1816" spans="1:20" x14ac:dyDescent="0.2">
      <c r="A1816" t="s">
        <v>5850</v>
      </c>
      <c r="B1816" t="s">
        <v>6079</v>
      </c>
      <c r="C1816" t="s">
        <v>6080</v>
      </c>
      <c r="D1816" t="s">
        <v>6075</v>
      </c>
      <c r="E1816" t="s">
        <v>5930</v>
      </c>
      <c r="F1816" t="s">
        <v>26</v>
      </c>
      <c r="G1816" s="1">
        <v>5</v>
      </c>
      <c r="H1816" s="1">
        <v>1</v>
      </c>
      <c r="I1816" t="s">
        <v>169</v>
      </c>
      <c r="L1816" s="1">
        <v>24</v>
      </c>
      <c r="M1816" s="3">
        <v>47.03</v>
      </c>
      <c r="N1816" s="3">
        <v>2.35</v>
      </c>
      <c r="O1816" s="3">
        <v>0</v>
      </c>
      <c r="P1816" s="3">
        <v>2.4</v>
      </c>
      <c r="Q1816" s="3">
        <v>51.78</v>
      </c>
      <c r="R1816" s="3">
        <v>36</v>
      </c>
      <c r="S1816" s="3">
        <f>VLOOKUP(C1816,[1]page!$C$2:$M$3071,11,0)</f>
        <v>47.03</v>
      </c>
      <c r="T1816" s="6">
        <f t="shared" si="28"/>
        <v>0</v>
      </c>
    </row>
    <row r="1817" spans="1:20" x14ac:dyDescent="0.2">
      <c r="A1817" t="s">
        <v>5850</v>
      </c>
      <c r="B1817" t="s">
        <v>6081</v>
      </c>
      <c r="C1817" t="s">
        <v>6082</v>
      </c>
      <c r="D1817" t="s">
        <v>6075</v>
      </c>
      <c r="E1817" t="s">
        <v>5930</v>
      </c>
      <c r="F1817" t="s">
        <v>6083</v>
      </c>
      <c r="G1817" s="1">
        <v>5</v>
      </c>
      <c r="H1817" s="1">
        <v>1</v>
      </c>
      <c r="I1817" t="s">
        <v>169</v>
      </c>
      <c r="L1817" s="1">
        <v>1</v>
      </c>
      <c r="M1817" s="3">
        <v>231.99</v>
      </c>
      <c r="N1817" s="3">
        <v>11.6</v>
      </c>
      <c r="O1817" s="3">
        <v>0</v>
      </c>
      <c r="P1817" s="3">
        <v>0</v>
      </c>
      <c r="Q1817" s="3">
        <v>243.59</v>
      </c>
      <c r="S1817" s="3">
        <f>VLOOKUP(C1817,[1]page!$C$2:$M$3071,11,0)</f>
        <v>231.99</v>
      </c>
      <c r="T1817" s="6">
        <f t="shared" si="28"/>
        <v>0</v>
      </c>
    </row>
    <row r="1818" spans="1:20" x14ac:dyDescent="0.2">
      <c r="A1818" t="s">
        <v>5850</v>
      </c>
      <c r="B1818" t="s">
        <v>6084</v>
      </c>
      <c r="C1818" t="s">
        <v>6085</v>
      </c>
      <c r="D1818" t="s">
        <v>6086</v>
      </c>
      <c r="E1818" t="s">
        <v>5930</v>
      </c>
      <c r="F1818" t="s">
        <v>5855</v>
      </c>
      <c r="G1818" s="1">
        <v>4</v>
      </c>
      <c r="H1818" s="1">
        <v>24</v>
      </c>
      <c r="I1818" t="s">
        <v>169</v>
      </c>
      <c r="L1818" s="1">
        <v>1</v>
      </c>
      <c r="M1818" s="3">
        <v>3.4</v>
      </c>
      <c r="N1818" s="3">
        <v>0.17</v>
      </c>
      <c r="O1818" s="3">
        <v>0</v>
      </c>
      <c r="P1818" s="3">
        <v>0.1</v>
      </c>
      <c r="Q1818" s="3">
        <v>3.67</v>
      </c>
      <c r="R1818" s="3">
        <v>2.2999999999999998</v>
      </c>
      <c r="S1818" s="3">
        <f>VLOOKUP(C1818,[1]page!$C$2:$M$3071,11,0)</f>
        <v>3.4</v>
      </c>
      <c r="T1818" s="6">
        <f t="shared" si="28"/>
        <v>0</v>
      </c>
    </row>
    <row r="1819" spans="1:20" x14ac:dyDescent="0.2">
      <c r="A1819" t="s">
        <v>5850</v>
      </c>
      <c r="B1819" t="s">
        <v>6087</v>
      </c>
      <c r="C1819" t="s">
        <v>6088</v>
      </c>
      <c r="D1819" t="s">
        <v>6086</v>
      </c>
      <c r="E1819" t="s">
        <v>5930</v>
      </c>
      <c r="F1819" t="s">
        <v>5861</v>
      </c>
      <c r="G1819" s="1">
        <v>4</v>
      </c>
      <c r="H1819" s="1">
        <v>1</v>
      </c>
      <c r="I1819" t="s">
        <v>169</v>
      </c>
      <c r="L1819" s="1">
        <v>12</v>
      </c>
      <c r="M1819" s="3">
        <v>27.07</v>
      </c>
      <c r="N1819" s="3">
        <v>1.35</v>
      </c>
      <c r="O1819" s="3">
        <v>0</v>
      </c>
      <c r="P1819" s="3">
        <v>1.2</v>
      </c>
      <c r="Q1819" s="3">
        <v>29.62</v>
      </c>
      <c r="R1819" s="3">
        <v>18.95</v>
      </c>
      <c r="S1819" s="3">
        <f>VLOOKUP(C1819,[1]page!$C$2:$M$3071,11,0)</f>
        <v>27.07</v>
      </c>
      <c r="T1819" s="6">
        <f t="shared" si="28"/>
        <v>0</v>
      </c>
    </row>
    <row r="1820" spans="1:20" x14ac:dyDescent="0.2">
      <c r="A1820" t="s">
        <v>5850</v>
      </c>
      <c r="B1820" t="s">
        <v>6089</v>
      </c>
      <c r="C1820" t="s">
        <v>6090</v>
      </c>
      <c r="D1820" t="s">
        <v>6091</v>
      </c>
      <c r="E1820" t="s">
        <v>6092</v>
      </c>
      <c r="F1820" t="s">
        <v>5855</v>
      </c>
      <c r="G1820" s="1">
        <v>5</v>
      </c>
      <c r="H1820" s="1">
        <v>24</v>
      </c>
      <c r="I1820" t="s">
        <v>5856</v>
      </c>
      <c r="L1820" s="1">
        <v>1</v>
      </c>
      <c r="M1820" s="3">
        <v>4.2699999999999996</v>
      </c>
      <c r="N1820" s="3">
        <v>0.21</v>
      </c>
      <c r="O1820" s="3">
        <v>0</v>
      </c>
      <c r="P1820" s="3">
        <v>0.1</v>
      </c>
      <c r="Q1820" s="3">
        <v>4.58</v>
      </c>
      <c r="R1820" s="3">
        <v>2.2999999999999998</v>
      </c>
      <c r="S1820" s="3">
        <f>VLOOKUP(C1820,[1]page!$C$2:$M$3071,11,0)</f>
        <v>4.2699999999999996</v>
      </c>
      <c r="T1820" s="6">
        <f t="shared" si="28"/>
        <v>0</v>
      </c>
    </row>
    <row r="1821" spans="1:20" x14ac:dyDescent="0.2">
      <c r="A1821" t="s">
        <v>5850</v>
      </c>
      <c r="B1821" t="s">
        <v>6093</v>
      </c>
      <c r="C1821" t="s">
        <v>6094</v>
      </c>
      <c r="D1821" t="s">
        <v>6095</v>
      </c>
      <c r="E1821" t="s">
        <v>6096</v>
      </c>
      <c r="F1821" t="s">
        <v>5866</v>
      </c>
      <c r="G1821" s="2">
        <v>5.0999999999999996</v>
      </c>
      <c r="H1821" s="1">
        <v>4</v>
      </c>
      <c r="I1821" t="s">
        <v>5867</v>
      </c>
      <c r="L1821" s="1">
        <v>6</v>
      </c>
      <c r="M1821" s="3">
        <v>16.440000000000001</v>
      </c>
      <c r="N1821" s="3">
        <v>0.82</v>
      </c>
      <c r="O1821" s="3">
        <v>0</v>
      </c>
      <c r="P1821" s="3">
        <v>1.2</v>
      </c>
      <c r="Q1821" s="3">
        <v>18.46</v>
      </c>
      <c r="R1821" s="3">
        <v>9.35</v>
      </c>
      <c r="S1821" s="3">
        <f>VLOOKUP(C1821,[1]page!$C$2:$M$3071,11,0)</f>
        <v>16.440000000000001</v>
      </c>
      <c r="T1821" s="6">
        <f t="shared" si="28"/>
        <v>0</v>
      </c>
    </row>
    <row r="1822" spans="1:20" x14ac:dyDescent="0.2">
      <c r="A1822" t="s">
        <v>5850</v>
      </c>
      <c r="B1822" t="s">
        <v>6097</v>
      </c>
      <c r="C1822" t="s">
        <v>6098</v>
      </c>
      <c r="D1822" t="s">
        <v>6099</v>
      </c>
      <c r="E1822" t="s">
        <v>6100</v>
      </c>
      <c r="F1822" t="s">
        <v>5902</v>
      </c>
      <c r="G1822" s="2">
        <v>5.2</v>
      </c>
      <c r="H1822" s="1">
        <v>3</v>
      </c>
      <c r="I1822" t="s">
        <v>6101</v>
      </c>
      <c r="L1822" s="1">
        <v>8</v>
      </c>
      <c r="M1822" s="3">
        <v>25.18</v>
      </c>
      <c r="N1822" s="3">
        <v>1.26</v>
      </c>
      <c r="O1822" s="3">
        <v>0</v>
      </c>
      <c r="P1822" s="3">
        <v>0.8</v>
      </c>
      <c r="Q1822" s="3">
        <v>27.24</v>
      </c>
      <c r="R1822" s="3">
        <v>18.2</v>
      </c>
      <c r="S1822" s="3">
        <f>VLOOKUP(C1822,[1]page!$C$2:$M$3071,11,0)</f>
        <v>24.57</v>
      </c>
      <c r="T1822" s="6">
        <f t="shared" si="28"/>
        <v>0.60999999999999943</v>
      </c>
    </row>
    <row r="1823" spans="1:20" x14ac:dyDescent="0.2">
      <c r="A1823" t="s">
        <v>5850</v>
      </c>
      <c r="B1823" t="s">
        <v>6102</v>
      </c>
      <c r="C1823" t="s">
        <v>6103</v>
      </c>
      <c r="D1823" t="s">
        <v>6104</v>
      </c>
      <c r="E1823" t="s">
        <v>6034</v>
      </c>
      <c r="F1823" t="s">
        <v>5866</v>
      </c>
      <c r="G1823" s="2">
        <v>4.4000000000000004</v>
      </c>
      <c r="H1823" s="1">
        <v>4</v>
      </c>
      <c r="I1823" t="s">
        <v>5867</v>
      </c>
      <c r="L1823" s="1">
        <v>6</v>
      </c>
      <c r="M1823" s="3">
        <v>16.440000000000001</v>
      </c>
      <c r="N1823" s="3">
        <v>0.82</v>
      </c>
      <c r="O1823" s="3">
        <v>0</v>
      </c>
      <c r="P1823" s="3">
        <v>1.2</v>
      </c>
      <c r="Q1823" s="3">
        <v>18.46</v>
      </c>
      <c r="R1823" s="3">
        <v>9.35</v>
      </c>
      <c r="S1823" s="3">
        <f>VLOOKUP(C1823,[1]page!$C$2:$M$3071,11,0)</f>
        <v>16.440000000000001</v>
      </c>
      <c r="T1823" s="6">
        <f t="shared" ref="T1823:T1886" si="29">SUM(M1823-S1823)</f>
        <v>0</v>
      </c>
    </row>
    <row r="1824" spans="1:20" x14ac:dyDescent="0.2">
      <c r="A1824" t="s">
        <v>5850</v>
      </c>
      <c r="B1824" t="s">
        <v>6105</v>
      </c>
      <c r="C1824" t="s">
        <v>6106</v>
      </c>
      <c r="D1824" t="s">
        <v>6107</v>
      </c>
      <c r="E1824" t="s">
        <v>6108</v>
      </c>
      <c r="F1824" t="s">
        <v>5861</v>
      </c>
      <c r="G1824" s="2">
        <v>5.5</v>
      </c>
      <c r="H1824" s="1">
        <v>2</v>
      </c>
      <c r="I1824" t="s">
        <v>595</v>
      </c>
      <c r="L1824" s="1">
        <v>12</v>
      </c>
      <c r="M1824" s="3">
        <v>11.79</v>
      </c>
      <c r="N1824" s="3">
        <v>0.59</v>
      </c>
      <c r="O1824" s="3">
        <v>0</v>
      </c>
      <c r="P1824" s="3">
        <v>1.2</v>
      </c>
      <c r="Q1824" s="3">
        <v>13.58</v>
      </c>
      <c r="R1824" s="3">
        <v>18.95</v>
      </c>
      <c r="S1824" s="3" t="e">
        <f>VLOOKUP(C1824,[1]page!$C$2:$M$3071,11,0)</f>
        <v>#N/A</v>
      </c>
      <c r="T1824" s="6" t="e">
        <f t="shared" si="29"/>
        <v>#N/A</v>
      </c>
    </row>
    <row r="1825" spans="1:20" x14ac:dyDescent="0.2">
      <c r="A1825" t="s">
        <v>5850</v>
      </c>
      <c r="B1825" t="s">
        <v>6109</v>
      </c>
      <c r="C1825" t="s">
        <v>6110</v>
      </c>
      <c r="D1825" t="s">
        <v>6111</v>
      </c>
      <c r="E1825" t="s">
        <v>6112</v>
      </c>
      <c r="F1825" t="s">
        <v>2078</v>
      </c>
      <c r="G1825" s="2">
        <v>4.8</v>
      </c>
      <c r="H1825" s="1">
        <v>24</v>
      </c>
      <c r="I1825" t="s">
        <v>5941</v>
      </c>
      <c r="L1825" s="1">
        <v>1</v>
      </c>
      <c r="M1825" s="3">
        <v>3.11</v>
      </c>
      <c r="N1825" s="3">
        <v>0.16</v>
      </c>
      <c r="O1825" s="3">
        <v>0</v>
      </c>
      <c r="P1825" s="3">
        <v>0.1</v>
      </c>
      <c r="Q1825" s="3">
        <v>3.37</v>
      </c>
      <c r="R1825" s="3">
        <v>2.4500000000000002</v>
      </c>
      <c r="S1825" s="3">
        <f>VLOOKUP(C1825,[1]page!$C$2:$M$3071,11,0)</f>
        <v>3.11</v>
      </c>
      <c r="T1825" s="6">
        <f t="shared" si="29"/>
        <v>0</v>
      </c>
    </row>
    <row r="1826" spans="1:20" x14ac:dyDescent="0.2">
      <c r="A1826" t="s">
        <v>5850</v>
      </c>
      <c r="B1826" t="s">
        <v>6113</v>
      </c>
      <c r="C1826" t="s">
        <v>6114</v>
      </c>
      <c r="D1826" t="s">
        <v>6115</v>
      </c>
      <c r="E1826" t="s">
        <v>6116</v>
      </c>
      <c r="F1826" t="s">
        <v>5866</v>
      </c>
      <c r="G1826" s="2">
        <v>4.7</v>
      </c>
      <c r="H1826" s="1">
        <v>4</v>
      </c>
      <c r="I1826" t="s">
        <v>178</v>
      </c>
      <c r="L1826" s="1">
        <v>6</v>
      </c>
      <c r="M1826" s="3">
        <v>15.54</v>
      </c>
      <c r="N1826" s="3">
        <v>0.78</v>
      </c>
      <c r="O1826" s="3">
        <v>0</v>
      </c>
      <c r="P1826" s="3">
        <v>1.2</v>
      </c>
      <c r="Q1826" s="3">
        <v>17.52</v>
      </c>
      <c r="R1826" s="3">
        <v>9.35</v>
      </c>
      <c r="S1826" s="3">
        <f>VLOOKUP(C1826,[1]page!$C$2:$M$3071,11,0)</f>
        <v>15.54</v>
      </c>
      <c r="T1826" s="6">
        <f t="shared" si="29"/>
        <v>0</v>
      </c>
    </row>
    <row r="1827" spans="1:20" x14ac:dyDescent="0.2">
      <c r="A1827" t="s">
        <v>5850</v>
      </c>
      <c r="B1827" t="s">
        <v>6117</v>
      </c>
      <c r="C1827" t="s">
        <v>6118</v>
      </c>
      <c r="D1827" t="s">
        <v>6119</v>
      </c>
      <c r="E1827" t="s">
        <v>6120</v>
      </c>
      <c r="F1827" t="s">
        <v>5855</v>
      </c>
      <c r="G1827" s="2">
        <v>7.5</v>
      </c>
      <c r="H1827" s="1">
        <v>24</v>
      </c>
      <c r="I1827" t="s">
        <v>5910</v>
      </c>
      <c r="L1827" s="1">
        <v>1</v>
      </c>
      <c r="M1827" s="3">
        <v>4.1500000000000004</v>
      </c>
      <c r="N1827" s="3">
        <v>0.21</v>
      </c>
      <c r="O1827" s="3">
        <v>0</v>
      </c>
      <c r="P1827" s="3">
        <v>0.1</v>
      </c>
      <c r="Q1827" s="3">
        <v>4.46</v>
      </c>
      <c r="R1827" s="3">
        <v>2.95</v>
      </c>
      <c r="S1827" s="3" t="e">
        <f>VLOOKUP(C1827,[1]page!$C$2:$M$3071,11,0)</f>
        <v>#N/A</v>
      </c>
      <c r="T1827" s="6" t="e">
        <f t="shared" si="29"/>
        <v>#N/A</v>
      </c>
    </row>
    <row r="1828" spans="1:20" x14ac:dyDescent="0.2">
      <c r="A1828" t="s">
        <v>5850</v>
      </c>
      <c r="B1828" t="s">
        <v>6121</v>
      </c>
      <c r="C1828" t="s">
        <v>6122</v>
      </c>
      <c r="D1828" t="s">
        <v>6123</v>
      </c>
      <c r="E1828" t="s">
        <v>6124</v>
      </c>
      <c r="F1828" t="s">
        <v>5984</v>
      </c>
      <c r="G1828" s="2">
        <v>4.4000000000000004</v>
      </c>
      <c r="H1828" s="1">
        <v>4</v>
      </c>
      <c r="I1828" t="s">
        <v>6125</v>
      </c>
      <c r="L1828" s="1">
        <v>6</v>
      </c>
      <c r="M1828" s="3">
        <v>18.2</v>
      </c>
      <c r="N1828" s="3">
        <v>0.91</v>
      </c>
      <c r="O1828" s="3">
        <v>0</v>
      </c>
      <c r="P1828" s="3">
        <v>1.2</v>
      </c>
      <c r="Q1828" s="3">
        <v>20.309999999999999</v>
      </c>
      <c r="R1828" s="3">
        <v>10.050000000000001</v>
      </c>
      <c r="S1828" s="3">
        <f>VLOOKUP(C1828,[1]page!$C$2:$M$3071,11,0)</f>
        <v>18.2</v>
      </c>
      <c r="T1828" s="6">
        <f t="shared" si="29"/>
        <v>0</v>
      </c>
    </row>
    <row r="1829" spans="1:20" x14ac:dyDescent="0.2">
      <c r="A1829" t="s">
        <v>5850</v>
      </c>
      <c r="B1829" t="s">
        <v>6126</v>
      </c>
      <c r="C1829" t="s">
        <v>6127</v>
      </c>
      <c r="D1829" t="s">
        <v>6128</v>
      </c>
      <c r="E1829" t="s">
        <v>5945</v>
      </c>
      <c r="F1829" t="s">
        <v>5872</v>
      </c>
      <c r="G1829" s="2">
        <v>6.1</v>
      </c>
      <c r="H1829" s="1">
        <v>6</v>
      </c>
      <c r="I1829" t="s">
        <v>5946</v>
      </c>
      <c r="L1829" s="1">
        <v>4</v>
      </c>
      <c r="M1829" s="3">
        <v>12.39</v>
      </c>
      <c r="N1829" s="3">
        <v>0.62</v>
      </c>
      <c r="O1829" s="3">
        <v>0</v>
      </c>
      <c r="P1829" s="3">
        <v>0.4</v>
      </c>
      <c r="Q1829" s="3">
        <v>13.41</v>
      </c>
      <c r="R1829" s="3">
        <v>9.35</v>
      </c>
      <c r="S1829" s="3">
        <f>VLOOKUP(C1829,[1]page!$C$2:$M$3071,11,0)</f>
        <v>12.39</v>
      </c>
      <c r="T1829" s="6">
        <f t="shared" si="29"/>
        <v>0</v>
      </c>
    </row>
    <row r="1830" spans="1:20" x14ac:dyDescent="0.2">
      <c r="A1830" t="s">
        <v>5850</v>
      </c>
      <c r="B1830" t="s">
        <v>6129</v>
      </c>
      <c r="C1830" t="s">
        <v>6130</v>
      </c>
      <c r="D1830" t="s">
        <v>6131</v>
      </c>
      <c r="E1830" t="s">
        <v>6132</v>
      </c>
      <c r="F1830" t="s">
        <v>5915</v>
      </c>
      <c r="G1830" s="2">
        <v>5.6</v>
      </c>
      <c r="H1830" s="1">
        <v>1</v>
      </c>
      <c r="I1830" t="s">
        <v>6133</v>
      </c>
      <c r="L1830" s="1">
        <v>15</v>
      </c>
      <c r="M1830" s="3">
        <v>25.06</v>
      </c>
      <c r="N1830" s="3">
        <v>1.25</v>
      </c>
      <c r="O1830" s="3">
        <v>0</v>
      </c>
      <c r="P1830" s="3">
        <v>1.5</v>
      </c>
      <c r="Q1830" s="3">
        <v>27.81</v>
      </c>
      <c r="R1830" s="3">
        <v>23.7</v>
      </c>
      <c r="S1830" s="3">
        <f>VLOOKUP(C1830,[1]page!$C$2:$M$3071,11,0)</f>
        <v>18.18</v>
      </c>
      <c r="T1830" s="6">
        <f t="shared" si="29"/>
        <v>6.879999999999999</v>
      </c>
    </row>
    <row r="1831" spans="1:20" x14ac:dyDescent="0.2">
      <c r="A1831" t="s">
        <v>5850</v>
      </c>
      <c r="B1831" t="s">
        <v>6134</v>
      </c>
      <c r="C1831" t="s">
        <v>6135</v>
      </c>
      <c r="D1831" t="s">
        <v>6131</v>
      </c>
      <c r="E1831" t="s">
        <v>6132</v>
      </c>
      <c r="F1831" t="s">
        <v>26</v>
      </c>
      <c r="G1831" s="2">
        <v>5.6</v>
      </c>
      <c r="H1831" s="1">
        <v>1</v>
      </c>
      <c r="I1831" t="s">
        <v>6133</v>
      </c>
      <c r="L1831" s="1">
        <v>24</v>
      </c>
      <c r="M1831" s="3">
        <v>41.75</v>
      </c>
      <c r="N1831" s="3">
        <v>2.09</v>
      </c>
      <c r="O1831" s="3">
        <v>0</v>
      </c>
      <c r="P1831" s="3">
        <v>2.4</v>
      </c>
      <c r="Q1831" s="3">
        <v>46.24</v>
      </c>
      <c r="R1831" s="3">
        <v>36</v>
      </c>
      <c r="S1831" s="3">
        <f>VLOOKUP(C1831,[1]page!$C$2:$M$3071,11,0)</f>
        <v>30.24</v>
      </c>
      <c r="T1831" s="6">
        <f t="shared" si="29"/>
        <v>11.510000000000002</v>
      </c>
    </row>
    <row r="1832" spans="1:20" x14ac:dyDescent="0.2">
      <c r="A1832" t="s">
        <v>5850</v>
      </c>
      <c r="B1832" t="s">
        <v>6136</v>
      </c>
      <c r="C1832" t="s">
        <v>6137</v>
      </c>
      <c r="D1832" t="s">
        <v>6138</v>
      </c>
      <c r="E1832" t="s">
        <v>6132</v>
      </c>
      <c r="F1832" t="s">
        <v>6139</v>
      </c>
      <c r="G1832" s="2">
        <v>5.6</v>
      </c>
      <c r="H1832" s="1">
        <v>12</v>
      </c>
      <c r="I1832" t="s">
        <v>6133</v>
      </c>
      <c r="L1832" s="1">
        <v>1</v>
      </c>
      <c r="M1832" s="3">
        <v>4.18</v>
      </c>
      <c r="N1832" s="3">
        <v>0.21</v>
      </c>
      <c r="O1832" s="3">
        <v>0</v>
      </c>
      <c r="P1832" s="3">
        <v>0.1</v>
      </c>
      <c r="Q1832" s="3">
        <v>4.49</v>
      </c>
      <c r="R1832" s="3">
        <v>3.45</v>
      </c>
      <c r="S1832" s="3">
        <f>VLOOKUP(C1832,[1]page!$C$2:$M$3071,11,0)</f>
        <v>2.99</v>
      </c>
      <c r="T1832" s="6">
        <f t="shared" si="29"/>
        <v>1.1899999999999995</v>
      </c>
    </row>
    <row r="1833" spans="1:20" x14ac:dyDescent="0.2">
      <c r="A1833" t="s">
        <v>5850</v>
      </c>
      <c r="B1833" t="s">
        <v>6140</v>
      </c>
      <c r="C1833" t="s">
        <v>6141</v>
      </c>
      <c r="D1833" t="s">
        <v>6142</v>
      </c>
      <c r="E1833" t="s">
        <v>6143</v>
      </c>
      <c r="F1833" t="s">
        <v>3080</v>
      </c>
      <c r="G1833" s="2">
        <v>2.5</v>
      </c>
      <c r="H1833" s="1">
        <v>6</v>
      </c>
      <c r="I1833" t="s">
        <v>5966</v>
      </c>
      <c r="L1833" s="1">
        <v>4</v>
      </c>
      <c r="M1833" s="3">
        <v>15.49</v>
      </c>
      <c r="N1833" s="3">
        <v>0.77</v>
      </c>
      <c r="O1833" s="3">
        <v>0</v>
      </c>
      <c r="P1833" s="3">
        <v>0.4</v>
      </c>
      <c r="Q1833" s="3">
        <v>16.66</v>
      </c>
      <c r="R1833" s="3">
        <v>9.4499999999999993</v>
      </c>
      <c r="S1833" s="3">
        <f>VLOOKUP(C1833,[1]page!$C$2:$M$3071,11,0)</f>
        <v>15.49</v>
      </c>
      <c r="T1833" s="6">
        <f t="shared" si="29"/>
        <v>0</v>
      </c>
    </row>
    <row r="1834" spans="1:20" x14ac:dyDescent="0.2">
      <c r="A1834" t="s">
        <v>5850</v>
      </c>
      <c r="B1834" t="s">
        <v>6144</v>
      </c>
      <c r="C1834" t="s">
        <v>6145</v>
      </c>
      <c r="D1834" t="s">
        <v>6146</v>
      </c>
      <c r="E1834" t="s">
        <v>6143</v>
      </c>
      <c r="F1834" t="s">
        <v>2078</v>
      </c>
      <c r="G1834" s="2">
        <v>5.0999999999999996</v>
      </c>
      <c r="H1834" s="1">
        <v>24</v>
      </c>
      <c r="I1834" t="s">
        <v>5966</v>
      </c>
      <c r="L1834" s="1">
        <v>1</v>
      </c>
      <c r="M1834" s="3">
        <v>3.86</v>
      </c>
      <c r="N1834" s="3">
        <v>0.19</v>
      </c>
      <c r="O1834" s="3">
        <v>0</v>
      </c>
      <c r="P1834" s="3">
        <v>0.1</v>
      </c>
      <c r="Q1834" s="3">
        <v>4.1500000000000004</v>
      </c>
      <c r="R1834" s="3">
        <v>2.4500000000000002</v>
      </c>
      <c r="S1834" s="3">
        <f>VLOOKUP(C1834,[1]page!$C$2:$M$3071,11,0)</f>
        <v>3.86</v>
      </c>
      <c r="T1834" s="6">
        <f t="shared" si="29"/>
        <v>0</v>
      </c>
    </row>
    <row r="1835" spans="1:20" x14ac:dyDescent="0.2">
      <c r="A1835" t="s">
        <v>5850</v>
      </c>
      <c r="B1835" t="s">
        <v>6147</v>
      </c>
      <c r="C1835" t="s">
        <v>6148</v>
      </c>
      <c r="D1835" t="s">
        <v>6149</v>
      </c>
      <c r="E1835" t="s">
        <v>6143</v>
      </c>
      <c r="F1835" t="s">
        <v>2078</v>
      </c>
      <c r="G1835" s="2">
        <v>2.5</v>
      </c>
      <c r="H1835" s="1">
        <v>24</v>
      </c>
      <c r="I1835" t="s">
        <v>5966</v>
      </c>
      <c r="L1835" s="1">
        <v>1</v>
      </c>
      <c r="M1835" s="3">
        <v>3.96</v>
      </c>
      <c r="N1835" s="3">
        <v>0.2</v>
      </c>
      <c r="O1835" s="3">
        <v>0</v>
      </c>
      <c r="P1835" s="3">
        <v>0.1</v>
      </c>
      <c r="Q1835" s="3">
        <v>4.26</v>
      </c>
      <c r="R1835" s="3">
        <v>2.4500000000000002</v>
      </c>
      <c r="S1835" s="3">
        <f>VLOOKUP(C1835,[1]page!$C$2:$M$3071,11,0)</f>
        <v>3.96</v>
      </c>
      <c r="T1835" s="6">
        <f t="shared" si="29"/>
        <v>0</v>
      </c>
    </row>
    <row r="1836" spans="1:20" x14ac:dyDescent="0.2">
      <c r="A1836" t="s">
        <v>5850</v>
      </c>
      <c r="B1836" t="s">
        <v>6150</v>
      </c>
      <c r="C1836" t="s">
        <v>6151</v>
      </c>
      <c r="D1836" t="s">
        <v>6152</v>
      </c>
      <c r="E1836" t="s">
        <v>6143</v>
      </c>
      <c r="F1836" t="s">
        <v>2078</v>
      </c>
      <c r="G1836" s="2">
        <v>2.5</v>
      </c>
      <c r="H1836" s="1">
        <v>24</v>
      </c>
      <c r="I1836" t="s">
        <v>5966</v>
      </c>
      <c r="L1836" s="1">
        <v>1</v>
      </c>
      <c r="M1836" s="3">
        <v>3.96</v>
      </c>
      <c r="N1836" s="3">
        <v>0.2</v>
      </c>
      <c r="O1836" s="3">
        <v>0</v>
      </c>
      <c r="P1836" s="3">
        <v>0.1</v>
      </c>
      <c r="Q1836" s="3">
        <v>4.26</v>
      </c>
      <c r="R1836" s="3">
        <v>2.4500000000000002</v>
      </c>
      <c r="S1836" s="3">
        <f>VLOOKUP(C1836,[1]page!$C$2:$M$3071,11,0)</f>
        <v>3.96</v>
      </c>
      <c r="T1836" s="6">
        <f t="shared" si="29"/>
        <v>0</v>
      </c>
    </row>
    <row r="1837" spans="1:20" x14ac:dyDescent="0.2">
      <c r="A1837" t="s">
        <v>5850</v>
      </c>
      <c r="B1837" t="s">
        <v>6153</v>
      </c>
      <c r="C1837" t="s">
        <v>6154</v>
      </c>
      <c r="D1837" t="s">
        <v>6155</v>
      </c>
      <c r="E1837" t="s">
        <v>6156</v>
      </c>
      <c r="F1837" t="s">
        <v>5872</v>
      </c>
      <c r="G1837" s="1">
        <v>5</v>
      </c>
      <c r="H1837" s="1">
        <v>6</v>
      </c>
      <c r="I1837" t="s">
        <v>6157</v>
      </c>
      <c r="L1837" s="1">
        <v>4</v>
      </c>
      <c r="M1837" s="3">
        <v>17.5</v>
      </c>
      <c r="N1837" s="3">
        <v>0.88</v>
      </c>
      <c r="O1837" s="3">
        <v>0</v>
      </c>
      <c r="P1837" s="3">
        <v>0.4</v>
      </c>
      <c r="Q1837" s="3">
        <v>18.78</v>
      </c>
      <c r="R1837" s="3">
        <v>9.35</v>
      </c>
      <c r="S1837" s="3">
        <f>VLOOKUP(C1837,[1]page!$C$2:$M$3071,11,0)</f>
        <v>11.83</v>
      </c>
      <c r="T1837" s="6">
        <f t="shared" si="29"/>
        <v>5.67</v>
      </c>
    </row>
    <row r="1838" spans="1:20" x14ac:dyDescent="0.2">
      <c r="A1838" t="s">
        <v>5850</v>
      </c>
      <c r="B1838" t="s">
        <v>6158</v>
      </c>
      <c r="C1838" t="s">
        <v>6159</v>
      </c>
      <c r="D1838" t="s">
        <v>6160</v>
      </c>
      <c r="E1838" t="s">
        <v>6161</v>
      </c>
      <c r="F1838" t="s">
        <v>5866</v>
      </c>
      <c r="G1838" s="2">
        <v>4.5</v>
      </c>
      <c r="H1838" s="1">
        <v>4</v>
      </c>
      <c r="I1838" t="s">
        <v>6162</v>
      </c>
      <c r="L1838" s="1">
        <v>6</v>
      </c>
      <c r="M1838" s="3">
        <v>10.24</v>
      </c>
      <c r="N1838" s="3">
        <v>0.51</v>
      </c>
      <c r="O1838" s="3">
        <v>0</v>
      </c>
      <c r="P1838" s="3">
        <v>1.2</v>
      </c>
      <c r="Q1838" s="3">
        <v>11.95</v>
      </c>
      <c r="R1838" s="3">
        <v>9.35</v>
      </c>
      <c r="S1838" s="3">
        <f>VLOOKUP(C1838,[1]page!$C$2:$M$3071,11,0)</f>
        <v>10.24</v>
      </c>
      <c r="T1838" s="6">
        <f t="shared" si="29"/>
        <v>0</v>
      </c>
    </row>
    <row r="1839" spans="1:20" x14ac:dyDescent="0.2">
      <c r="A1839" t="s">
        <v>5850</v>
      </c>
      <c r="B1839" t="s">
        <v>6163</v>
      </c>
      <c r="C1839" t="s">
        <v>6164</v>
      </c>
      <c r="D1839" t="s">
        <v>6165</v>
      </c>
      <c r="E1839" t="s">
        <v>6166</v>
      </c>
      <c r="F1839" t="s">
        <v>5861</v>
      </c>
      <c r="G1839" s="1">
        <v>5</v>
      </c>
      <c r="H1839" s="1">
        <v>2</v>
      </c>
      <c r="I1839" t="s">
        <v>6167</v>
      </c>
      <c r="L1839" s="1">
        <v>12</v>
      </c>
      <c r="M1839" s="3">
        <v>23.59</v>
      </c>
      <c r="N1839" s="3">
        <v>1.18</v>
      </c>
      <c r="O1839" s="3">
        <v>0</v>
      </c>
      <c r="P1839" s="3">
        <v>1.2</v>
      </c>
      <c r="Q1839" s="3">
        <v>25.97</v>
      </c>
      <c r="R1839" s="3">
        <v>18.95</v>
      </c>
      <c r="S1839" s="3">
        <f>VLOOKUP(C1839,[1]page!$C$2:$M$3071,11,0)</f>
        <v>23.59</v>
      </c>
      <c r="T1839" s="6">
        <f t="shared" si="29"/>
        <v>0</v>
      </c>
    </row>
    <row r="1840" spans="1:20" x14ac:dyDescent="0.2">
      <c r="A1840" t="s">
        <v>5850</v>
      </c>
      <c r="B1840" t="s">
        <v>6168</v>
      </c>
      <c r="C1840" t="s">
        <v>6169</v>
      </c>
      <c r="D1840" t="s">
        <v>6170</v>
      </c>
      <c r="E1840" t="s">
        <v>6132</v>
      </c>
      <c r="F1840" t="s">
        <v>5984</v>
      </c>
      <c r="G1840" s="1">
        <v>5</v>
      </c>
      <c r="H1840" s="1">
        <v>4</v>
      </c>
      <c r="I1840" t="s">
        <v>6133</v>
      </c>
      <c r="L1840" s="1">
        <v>6</v>
      </c>
      <c r="M1840" s="3">
        <v>18.28</v>
      </c>
      <c r="N1840" s="3">
        <v>0.91</v>
      </c>
      <c r="O1840" s="3">
        <v>0</v>
      </c>
      <c r="P1840" s="3">
        <v>0.6</v>
      </c>
      <c r="Q1840" s="3">
        <v>19.79</v>
      </c>
      <c r="R1840" s="3">
        <v>10.050000000000001</v>
      </c>
      <c r="S1840" s="3">
        <f>VLOOKUP(C1840,[1]page!$C$2:$M$3071,11,0)</f>
        <v>13.05</v>
      </c>
      <c r="T1840" s="6">
        <f t="shared" si="29"/>
        <v>5.23</v>
      </c>
    </row>
    <row r="1841" spans="1:20" x14ac:dyDescent="0.2">
      <c r="A1841" t="s">
        <v>5850</v>
      </c>
      <c r="B1841" t="s">
        <v>6171</v>
      </c>
      <c r="C1841" t="s">
        <v>6172</v>
      </c>
      <c r="D1841" t="s">
        <v>6173</v>
      </c>
      <c r="E1841" t="s">
        <v>6132</v>
      </c>
      <c r="F1841" t="s">
        <v>5984</v>
      </c>
      <c r="G1841" s="1">
        <v>8</v>
      </c>
      <c r="H1841" s="1">
        <v>4</v>
      </c>
      <c r="I1841" t="s">
        <v>6133</v>
      </c>
      <c r="L1841" s="1">
        <v>6</v>
      </c>
      <c r="M1841" s="3">
        <v>14.57</v>
      </c>
      <c r="N1841" s="3">
        <v>0.73</v>
      </c>
      <c r="O1841" s="3">
        <v>0</v>
      </c>
      <c r="P1841" s="3">
        <v>0.6</v>
      </c>
      <c r="Q1841" s="3">
        <v>15.9</v>
      </c>
      <c r="R1841" s="3">
        <v>14.6</v>
      </c>
      <c r="S1841" s="3">
        <f>VLOOKUP(C1841,[1]page!$C$2:$M$3071,11,0)</f>
        <v>8.76</v>
      </c>
      <c r="T1841" s="6">
        <f t="shared" si="29"/>
        <v>5.8100000000000005</v>
      </c>
    </row>
    <row r="1842" spans="1:20" x14ac:dyDescent="0.2">
      <c r="A1842" t="s">
        <v>5850</v>
      </c>
      <c r="B1842" t="s">
        <v>6174</v>
      </c>
      <c r="C1842" t="s">
        <v>6175</v>
      </c>
      <c r="D1842" t="s">
        <v>6176</v>
      </c>
      <c r="E1842" t="s">
        <v>6176</v>
      </c>
      <c r="F1842" t="s">
        <v>2078</v>
      </c>
      <c r="G1842" s="2">
        <v>5.5</v>
      </c>
      <c r="H1842" s="1">
        <v>24</v>
      </c>
      <c r="I1842" t="s">
        <v>6125</v>
      </c>
      <c r="L1842" s="1">
        <v>1</v>
      </c>
      <c r="M1842" s="3">
        <v>2.4500000000000002</v>
      </c>
      <c r="N1842" s="3">
        <v>0.12</v>
      </c>
      <c r="O1842" s="3">
        <v>0</v>
      </c>
      <c r="P1842" s="3">
        <v>0.1</v>
      </c>
      <c r="Q1842" s="3">
        <v>2.67</v>
      </c>
      <c r="R1842" s="3">
        <v>2.4500000000000002</v>
      </c>
      <c r="S1842" s="3">
        <f>VLOOKUP(C1842,[1]page!$C$2:$M$3071,11,0)</f>
        <v>2.4500000000000002</v>
      </c>
      <c r="T1842" s="6">
        <f t="shared" si="29"/>
        <v>0</v>
      </c>
    </row>
    <row r="1843" spans="1:20" x14ac:dyDescent="0.2">
      <c r="A1843" t="s">
        <v>6177</v>
      </c>
      <c r="B1843" t="s">
        <v>6178</v>
      </c>
      <c r="C1843" t="s">
        <v>6179</v>
      </c>
      <c r="D1843" t="s">
        <v>6180</v>
      </c>
      <c r="E1843" t="s">
        <v>6181</v>
      </c>
      <c r="F1843" t="s">
        <v>6182</v>
      </c>
      <c r="G1843" s="1">
        <v>0</v>
      </c>
      <c r="H1843" s="1">
        <v>1</v>
      </c>
      <c r="I1843" t="s">
        <v>6162</v>
      </c>
      <c r="L1843" s="1">
        <v>1</v>
      </c>
      <c r="M1843" s="3">
        <v>59.14</v>
      </c>
      <c r="N1843" s="3">
        <v>2.96</v>
      </c>
      <c r="O1843" s="3">
        <v>3.55</v>
      </c>
      <c r="P1843" s="3">
        <v>0</v>
      </c>
      <c r="Q1843" s="3">
        <v>65.650000000000006</v>
      </c>
      <c r="S1843" s="3">
        <f>VLOOKUP(C1843,[1]page!$C$2:$M$3071,11,0)</f>
        <v>59.14</v>
      </c>
      <c r="T1843" s="6">
        <f t="shared" si="29"/>
        <v>0</v>
      </c>
    </row>
    <row r="1844" spans="1:20" x14ac:dyDescent="0.2">
      <c r="A1844" t="s">
        <v>6177</v>
      </c>
      <c r="B1844" t="s">
        <v>6183</v>
      </c>
      <c r="C1844" t="s">
        <v>6184</v>
      </c>
      <c r="D1844" t="s">
        <v>6185</v>
      </c>
      <c r="E1844" t="s">
        <v>6181</v>
      </c>
      <c r="F1844" t="s">
        <v>6182</v>
      </c>
      <c r="G1844" s="1">
        <v>0</v>
      </c>
      <c r="H1844" s="1">
        <v>1</v>
      </c>
      <c r="I1844" t="s">
        <v>6162</v>
      </c>
      <c r="L1844" s="1">
        <v>1</v>
      </c>
      <c r="M1844" s="3">
        <v>48.78</v>
      </c>
      <c r="N1844" s="3">
        <v>2.44</v>
      </c>
      <c r="O1844" s="3">
        <v>2.93</v>
      </c>
      <c r="P1844" s="3">
        <v>0</v>
      </c>
      <c r="Q1844" s="3">
        <v>54.15</v>
      </c>
      <c r="S1844" s="3">
        <f>VLOOKUP(C1844,[1]page!$C$2:$M$3071,11,0)</f>
        <v>48.78</v>
      </c>
      <c r="T1844" s="6">
        <f t="shared" si="29"/>
        <v>0</v>
      </c>
    </row>
    <row r="1845" spans="1:20" x14ac:dyDescent="0.2">
      <c r="A1845" t="s">
        <v>6186</v>
      </c>
      <c r="B1845" t="s">
        <v>6187</v>
      </c>
      <c r="C1845" t="s">
        <v>6188</v>
      </c>
      <c r="D1845" t="s">
        <v>6189</v>
      </c>
      <c r="E1845" t="s">
        <v>6190</v>
      </c>
      <c r="F1845" t="s">
        <v>6076</v>
      </c>
      <c r="G1845" s="1">
        <v>5</v>
      </c>
      <c r="H1845" s="1">
        <v>1</v>
      </c>
      <c r="I1845" t="s">
        <v>6191</v>
      </c>
      <c r="L1845" s="1">
        <v>12</v>
      </c>
      <c r="M1845" s="3">
        <v>27.99</v>
      </c>
      <c r="N1845" s="3">
        <v>1.4</v>
      </c>
      <c r="O1845" s="3">
        <v>0</v>
      </c>
      <c r="P1845" s="3">
        <v>1.2</v>
      </c>
      <c r="Q1845" s="3">
        <v>30.59</v>
      </c>
      <c r="R1845" s="3">
        <v>18.2</v>
      </c>
      <c r="S1845" s="3">
        <f>VLOOKUP(C1845,[1]page!$C$2:$M$3071,11,0)</f>
        <v>27.99</v>
      </c>
      <c r="T1845" s="6">
        <f t="shared" si="29"/>
        <v>0</v>
      </c>
    </row>
    <row r="1846" spans="1:20" x14ac:dyDescent="0.2">
      <c r="A1846" t="s">
        <v>6186</v>
      </c>
      <c r="B1846" t="s">
        <v>6192</v>
      </c>
      <c r="C1846" t="s">
        <v>6193</v>
      </c>
      <c r="D1846" t="s">
        <v>6194</v>
      </c>
      <c r="E1846" t="s">
        <v>6195</v>
      </c>
      <c r="F1846" t="s">
        <v>6076</v>
      </c>
      <c r="G1846" s="2">
        <v>5.4</v>
      </c>
      <c r="H1846" s="1">
        <v>1</v>
      </c>
      <c r="I1846" t="s">
        <v>5961</v>
      </c>
      <c r="L1846" s="1">
        <v>12</v>
      </c>
      <c r="M1846" s="3">
        <v>28.3</v>
      </c>
      <c r="N1846" s="3">
        <v>1.42</v>
      </c>
      <c r="O1846" s="3">
        <v>0</v>
      </c>
      <c r="P1846" s="3">
        <v>1.2</v>
      </c>
      <c r="Q1846" s="3">
        <v>30.92</v>
      </c>
      <c r="R1846" s="3">
        <v>18.2</v>
      </c>
      <c r="S1846" s="3">
        <f>VLOOKUP(C1846,[1]page!$C$2:$M$3071,11,0)</f>
        <v>28.3</v>
      </c>
      <c r="T1846" s="6">
        <f t="shared" si="29"/>
        <v>0</v>
      </c>
    </row>
    <row r="1847" spans="1:20" x14ac:dyDescent="0.2">
      <c r="A1847" t="s">
        <v>6186</v>
      </c>
      <c r="B1847" t="s">
        <v>6196</v>
      </c>
      <c r="C1847" t="s">
        <v>6197</v>
      </c>
      <c r="D1847" t="s">
        <v>6198</v>
      </c>
      <c r="E1847" t="s">
        <v>6195</v>
      </c>
      <c r="F1847" t="s">
        <v>6076</v>
      </c>
      <c r="G1847" s="1">
        <v>5</v>
      </c>
      <c r="H1847" s="1">
        <v>1</v>
      </c>
      <c r="I1847" t="s">
        <v>5961</v>
      </c>
      <c r="L1847" s="1">
        <v>12</v>
      </c>
      <c r="M1847" s="3">
        <v>23.9</v>
      </c>
      <c r="N1847" s="3">
        <v>1.2</v>
      </c>
      <c r="O1847" s="3">
        <v>0</v>
      </c>
      <c r="P1847" s="3">
        <v>1.2</v>
      </c>
      <c r="Q1847" s="3">
        <v>26.3</v>
      </c>
      <c r="R1847" s="3">
        <v>18.2</v>
      </c>
      <c r="S1847" s="3">
        <f>VLOOKUP(C1847,[1]page!$C$2:$M$3071,11,0)</f>
        <v>23.9</v>
      </c>
      <c r="T1847" s="6">
        <f t="shared" si="29"/>
        <v>0</v>
      </c>
    </row>
    <row r="1848" spans="1:20" x14ac:dyDescent="0.2">
      <c r="A1848" t="s">
        <v>6186</v>
      </c>
      <c r="B1848" t="s">
        <v>6199</v>
      </c>
      <c r="C1848" t="s">
        <v>6200</v>
      </c>
      <c r="D1848" t="s">
        <v>6201</v>
      </c>
      <c r="E1848" t="s">
        <v>6190</v>
      </c>
      <c r="F1848" t="s">
        <v>6076</v>
      </c>
      <c r="G1848" s="1">
        <v>4</v>
      </c>
      <c r="H1848" s="1">
        <v>1</v>
      </c>
      <c r="I1848" t="s">
        <v>6191</v>
      </c>
      <c r="L1848" s="1">
        <v>12</v>
      </c>
      <c r="M1848" s="3">
        <v>27.49</v>
      </c>
      <c r="N1848" s="3">
        <v>1.37</v>
      </c>
      <c r="O1848" s="3">
        <v>0</v>
      </c>
      <c r="P1848" s="3">
        <v>1.2</v>
      </c>
      <c r="Q1848" s="3">
        <v>30.06</v>
      </c>
      <c r="R1848" s="3">
        <v>18.2</v>
      </c>
      <c r="S1848" s="3">
        <f>VLOOKUP(C1848,[1]page!$C$2:$M$3071,11,0)</f>
        <v>27.49</v>
      </c>
      <c r="T1848" s="6">
        <f t="shared" si="29"/>
        <v>0</v>
      </c>
    </row>
    <row r="1849" spans="1:20" x14ac:dyDescent="0.2">
      <c r="A1849" t="s">
        <v>6186</v>
      </c>
      <c r="B1849" t="s">
        <v>6202</v>
      </c>
      <c r="C1849" t="s">
        <v>6203</v>
      </c>
      <c r="D1849" t="s">
        <v>6204</v>
      </c>
      <c r="E1849" t="s">
        <v>6195</v>
      </c>
      <c r="F1849" t="s">
        <v>6076</v>
      </c>
      <c r="G1849" s="1">
        <v>5</v>
      </c>
      <c r="H1849" s="1">
        <v>1</v>
      </c>
      <c r="I1849" t="s">
        <v>5961</v>
      </c>
      <c r="L1849" s="1">
        <v>12</v>
      </c>
      <c r="M1849" s="3">
        <v>27.7</v>
      </c>
      <c r="N1849" s="3">
        <v>1.39</v>
      </c>
      <c r="O1849" s="3">
        <v>0</v>
      </c>
      <c r="P1849" s="3">
        <v>1.2</v>
      </c>
      <c r="Q1849" s="3">
        <v>30.29</v>
      </c>
      <c r="R1849" s="3">
        <v>18.2</v>
      </c>
      <c r="S1849" s="3">
        <f>VLOOKUP(C1849,[1]page!$C$2:$M$3071,11,0)</f>
        <v>27.7</v>
      </c>
      <c r="T1849" s="6">
        <f t="shared" si="29"/>
        <v>0</v>
      </c>
    </row>
    <row r="1850" spans="1:20" x14ac:dyDescent="0.2">
      <c r="A1850" t="s">
        <v>6186</v>
      </c>
      <c r="B1850" t="s">
        <v>6205</v>
      </c>
      <c r="C1850" t="s">
        <v>6206</v>
      </c>
      <c r="D1850" t="s">
        <v>6207</v>
      </c>
      <c r="E1850" t="s">
        <v>6190</v>
      </c>
      <c r="F1850" t="s">
        <v>6041</v>
      </c>
      <c r="G1850" s="1">
        <v>0</v>
      </c>
      <c r="H1850" s="1">
        <v>1</v>
      </c>
      <c r="I1850" t="s">
        <v>6191</v>
      </c>
      <c r="L1850" s="1">
        <v>12</v>
      </c>
      <c r="M1850" s="3">
        <v>16.989999999999998</v>
      </c>
      <c r="N1850" s="3">
        <v>0.85</v>
      </c>
      <c r="O1850" s="3">
        <v>1.02</v>
      </c>
      <c r="P1850" s="3">
        <v>2.4</v>
      </c>
      <c r="Q1850" s="3">
        <v>21.26</v>
      </c>
      <c r="R1850" s="3">
        <v>18.2</v>
      </c>
      <c r="S1850" s="3">
        <f>VLOOKUP(C1850,[1]page!$C$2:$M$3071,11,0)</f>
        <v>16.989999999999998</v>
      </c>
      <c r="T1850" s="6">
        <f t="shared" si="29"/>
        <v>0</v>
      </c>
    </row>
    <row r="1851" spans="1:20" x14ac:dyDescent="0.2">
      <c r="A1851" t="s">
        <v>6186</v>
      </c>
      <c r="B1851" t="s">
        <v>6208</v>
      </c>
      <c r="C1851" t="s">
        <v>6209</v>
      </c>
      <c r="D1851" t="s">
        <v>6210</v>
      </c>
      <c r="E1851" t="s">
        <v>6190</v>
      </c>
      <c r="F1851" t="s">
        <v>6041</v>
      </c>
      <c r="G1851" s="2">
        <v>4.5999999999999996</v>
      </c>
      <c r="H1851" s="1">
        <v>1</v>
      </c>
      <c r="I1851" t="s">
        <v>6191</v>
      </c>
      <c r="L1851" s="1">
        <v>12</v>
      </c>
      <c r="M1851" s="3">
        <v>30.49</v>
      </c>
      <c r="N1851" s="3">
        <v>1.52</v>
      </c>
      <c r="O1851" s="3">
        <v>0</v>
      </c>
      <c r="P1851" s="3">
        <v>2.4</v>
      </c>
      <c r="Q1851" s="3">
        <v>34.409999999999997</v>
      </c>
      <c r="R1851" s="3">
        <v>18.2</v>
      </c>
      <c r="S1851" s="3">
        <f>VLOOKUP(C1851,[1]page!$C$2:$M$3071,11,0)</f>
        <v>30.49</v>
      </c>
      <c r="T1851" s="6">
        <f t="shared" si="29"/>
        <v>0</v>
      </c>
    </row>
    <row r="1852" spans="1:20" x14ac:dyDescent="0.2">
      <c r="A1852" t="s">
        <v>6186</v>
      </c>
      <c r="B1852" t="s">
        <v>6211</v>
      </c>
      <c r="C1852" t="s">
        <v>6212</v>
      </c>
      <c r="D1852" t="s">
        <v>6213</v>
      </c>
      <c r="E1852" t="s">
        <v>6190</v>
      </c>
      <c r="F1852" t="s">
        <v>6041</v>
      </c>
      <c r="G1852" s="2">
        <v>3.4</v>
      </c>
      <c r="H1852" s="1">
        <v>1</v>
      </c>
      <c r="I1852" t="s">
        <v>6191</v>
      </c>
      <c r="L1852" s="1">
        <v>12</v>
      </c>
      <c r="M1852" s="3">
        <v>30.49</v>
      </c>
      <c r="N1852" s="3">
        <v>1.52</v>
      </c>
      <c r="O1852" s="3">
        <v>0</v>
      </c>
      <c r="P1852" s="3">
        <v>2.4</v>
      </c>
      <c r="Q1852" s="3">
        <v>34.409999999999997</v>
      </c>
      <c r="R1852" s="3">
        <v>18.2</v>
      </c>
      <c r="S1852" s="3">
        <f>VLOOKUP(C1852,[1]page!$C$2:$M$3071,11,0)</f>
        <v>30.49</v>
      </c>
      <c r="T1852" s="6">
        <f t="shared" si="29"/>
        <v>0</v>
      </c>
    </row>
    <row r="1853" spans="1:20" x14ac:dyDescent="0.2">
      <c r="A1853" t="s">
        <v>6186</v>
      </c>
      <c r="B1853" t="s">
        <v>6214</v>
      </c>
      <c r="C1853" t="s">
        <v>6215</v>
      </c>
      <c r="D1853" t="s">
        <v>6216</v>
      </c>
      <c r="E1853" t="s">
        <v>6116</v>
      </c>
      <c r="F1853" t="s">
        <v>6041</v>
      </c>
      <c r="G1853" s="1">
        <v>5</v>
      </c>
      <c r="H1853" s="1">
        <v>1</v>
      </c>
      <c r="I1853" t="s">
        <v>5961</v>
      </c>
      <c r="L1853" s="1">
        <v>12</v>
      </c>
      <c r="M1853" s="3">
        <v>30.49</v>
      </c>
      <c r="N1853" s="3">
        <v>1.52</v>
      </c>
      <c r="O1853" s="3">
        <v>0</v>
      </c>
      <c r="P1853" s="3">
        <v>2.4</v>
      </c>
      <c r="Q1853" s="3">
        <v>34.409999999999997</v>
      </c>
      <c r="R1853" s="3">
        <v>18.2</v>
      </c>
      <c r="S1853" s="3">
        <f>VLOOKUP(C1853,[1]page!$C$2:$M$3071,11,0)</f>
        <v>30.49</v>
      </c>
      <c r="T1853" s="6">
        <f t="shared" si="29"/>
        <v>0</v>
      </c>
    </row>
    <row r="1854" spans="1:20" x14ac:dyDescent="0.2">
      <c r="A1854" t="s">
        <v>6186</v>
      </c>
      <c r="B1854" t="s">
        <v>6217</v>
      </c>
      <c r="C1854" t="s">
        <v>6218</v>
      </c>
      <c r="D1854" t="s">
        <v>6219</v>
      </c>
      <c r="E1854" t="s">
        <v>6116</v>
      </c>
      <c r="F1854" t="s">
        <v>6041</v>
      </c>
      <c r="G1854" s="1">
        <v>4</v>
      </c>
      <c r="H1854" s="1">
        <v>1</v>
      </c>
      <c r="I1854" t="s">
        <v>5961</v>
      </c>
      <c r="L1854" s="1">
        <v>12</v>
      </c>
      <c r="M1854" s="3">
        <v>30.49</v>
      </c>
      <c r="N1854" s="3">
        <v>1.52</v>
      </c>
      <c r="O1854" s="3">
        <v>0</v>
      </c>
      <c r="P1854" s="3">
        <v>2.4</v>
      </c>
      <c r="Q1854" s="3">
        <v>34.409999999999997</v>
      </c>
      <c r="R1854" s="3">
        <v>18.2</v>
      </c>
      <c r="S1854" s="3">
        <f>VLOOKUP(C1854,[1]page!$C$2:$M$3071,11,0)</f>
        <v>30.49</v>
      </c>
      <c r="T1854" s="6">
        <f t="shared" si="29"/>
        <v>0</v>
      </c>
    </row>
    <row r="1855" spans="1:20" x14ac:dyDescent="0.2">
      <c r="A1855" t="s">
        <v>6186</v>
      </c>
      <c r="B1855" t="s">
        <v>6220</v>
      </c>
      <c r="C1855" t="s">
        <v>6221</v>
      </c>
      <c r="D1855" t="s">
        <v>6222</v>
      </c>
      <c r="E1855" t="s">
        <v>6190</v>
      </c>
      <c r="F1855" t="s">
        <v>6076</v>
      </c>
      <c r="G1855" s="1">
        <v>5</v>
      </c>
      <c r="H1855" s="1">
        <v>1</v>
      </c>
      <c r="I1855" t="s">
        <v>6191</v>
      </c>
      <c r="L1855" s="1">
        <v>12</v>
      </c>
      <c r="M1855" s="3">
        <v>25.99</v>
      </c>
      <c r="N1855" s="3">
        <v>1.3</v>
      </c>
      <c r="O1855" s="3">
        <v>0</v>
      </c>
      <c r="P1855" s="3">
        <v>1.2</v>
      </c>
      <c r="Q1855" s="3">
        <v>28.49</v>
      </c>
      <c r="R1855" s="3">
        <v>18.2</v>
      </c>
      <c r="S1855" s="3">
        <f>VLOOKUP(C1855,[1]page!$C$2:$M$3071,11,0)</f>
        <v>25.99</v>
      </c>
      <c r="T1855" s="6">
        <f t="shared" si="29"/>
        <v>0</v>
      </c>
    </row>
    <row r="1856" spans="1:20" x14ac:dyDescent="0.2">
      <c r="A1856" t="s">
        <v>6186</v>
      </c>
      <c r="B1856" t="s">
        <v>6223</v>
      </c>
      <c r="C1856" t="s">
        <v>6224</v>
      </c>
      <c r="D1856" t="s">
        <v>6225</v>
      </c>
      <c r="E1856" t="s">
        <v>6190</v>
      </c>
      <c r="F1856" t="s">
        <v>6076</v>
      </c>
      <c r="G1856" s="1">
        <v>5</v>
      </c>
      <c r="H1856" s="1">
        <v>1</v>
      </c>
      <c r="I1856" t="s">
        <v>6191</v>
      </c>
      <c r="L1856" s="1">
        <v>12</v>
      </c>
      <c r="M1856" s="3">
        <v>25.99</v>
      </c>
      <c r="N1856" s="3">
        <v>1.3</v>
      </c>
      <c r="O1856" s="3">
        <v>0</v>
      </c>
      <c r="P1856" s="3">
        <v>1.2</v>
      </c>
      <c r="Q1856" s="3">
        <v>28.49</v>
      </c>
      <c r="R1856" s="3">
        <v>18.2</v>
      </c>
      <c r="S1856" s="3">
        <f>VLOOKUP(C1856,[1]page!$C$2:$M$3071,11,0)</f>
        <v>25.99</v>
      </c>
      <c r="T1856" s="6">
        <f t="shared" si="29"/>
        <v>0</v>
      </c>
    </row>
    <row r="1857" spans="1:20" x14ac:dyDescent="0.2">
      <c r="A1857" t="s">
        <v>6186</v>
      </c>
      <c r="B1857" t="s">
        <v>6226</v>
      </c>
      <c r="C1857" t="s">
        <v>6227</v>
      </c>
      <c r="D1857" t="s">
        <v>6228</v>
      </c>
      <c r="E1857" t="s">
        <v>6190</v>
      </c>
      <c r="F1857" t="s">
        <v>6076</v>
      </c>
      <c r="G1857" s="1">
        <v>4</v>
      </c>
      <c r="H1857" s="1">
        <v>1</v>
      </c>
      <c r="I1857" t="s">
        <v>6191</v>
      </c>
      <c r="L1857" s="1">
        <v>12</v>
      </c>
      <c r="M1857" s="3">
        <v>25.99</v>
      </c>
      <c r="N1857" s="3">
        <v>1.3</v>
      </c>
      <c r="O1857" s="3">
        <v>0</v>
      </c>
      <c r="P1857" s="3">
        <v>1.2</v>
      </c>
      <c r="Q1857" s="3">
        <v>28.49</v>
      </c>
      <c r="R1857" s="3">
        <v>18.2</v>
      </c>
      <c r="S1857" s="3">
        <f>VLOOKUP(C1857,[1]page!$C$2:$M$3071,11,0)</f>
        <v>25.99</v>
      </c>
      <c r="T1857" s="6">
        <f t="shared" si="29"/>
        <v>0</v>
      </c>
    </row>
    <row r="1858" spans="1:20" x14ac:dyDescent="0.2">
      <c r="A1858" t="s">
        <v>6186</v>
      </c>
      <c r="B1858" t="s">
        <v>6229</v>
      </c>
      <c r="C1858" t="s">
        <v>6230</v>
      </c>
      <c r="D1858" t="s">
        <v>6231</v>
      </c>
      <c r="E1858" t="s">
        <v>6195</v>
      </c>
      <c r="F1858" t="s">
        <v>5861</v>
      </c>
      <c r="G1858" s="2">
        <v>4.7</v>
      </c>
      <c r="H1858" s="1">
        <v>1</v>
      </c>
      <c r="I1858" t="s">
        <v>5961</v>
      </c>
      <c r="L1858" s="1">
        <v>12</v>
      </c>
      <c r="M1858" s="3">
        <v>28.5</v>
      </c>
      <c r="N1858" s="3">
        <v>1.43</v>
      </c>
      <c r="O1858" s="3">
        <v>0</v>
      </c>
      <c r="P1858" s="3">
        <v>1.2</v>
      </c>
      <c r="Q1858" s="3">
        <v>31.13</v>
      </c>
      <c r="R1858" s="3">
        <v>18.95</v>
      </c>
      <c r="S1858" s="3">
        <f>VLOOKUP(C1858,[1]page!$C$2:$M$3071,11,0)</f>
        <v>28.5</v>
      </c>
      <c r="T1858" s="6">
        <f t="shared" si="29"/>
        <v>0</v>
      </c>
    </row>
    <row r="1859" spans="1:20" x14ac:dyDescent="0.2">
      <c r="A1859" t="s">
        <v>6186</v>
      </c>
      <c r="B1859" t="s">
        <v>6232</v>
      </c>
      <c r="C1859" t="s">
        <v>6233</v>
      </c>
      <c r="D1859" t="s">
        <v>6234</v>
      </c>
      <c r="E1859" t="s">
        <v>6195</v>
      </c>
      <c r="F1859" t="s">
        <v>5861</v>
      </c>
      <c r="G1859" s="2">
        <v>4.5999999999999996</v>
      </c>
      <c r="H1859" s="1">
        <v>1</v>
      </c>
      <c r="I1859" t="s">
        <v>5961</v>
      </c>
      <c r="L1859" s="1">
        <v>12</v>
      </c>
      <c r="M1859" s="3">
        <v>23.5</v>
      </c>
      <c r="N1859" s="3">
        <v>1.18</v>
      </c>
      <c r="O1859" s="3">
        <v>0</v>
      </c>
      <c r="P1859" s="3">
        <v>2.4</v>
      </c>
      <c r="Q1859" s="3">
        <v>27.08</v>
      </c>
      <c r="R1859" s="3">
        <v>18.95</v>
      </c>
      <c r="S1859" s="3">
        <f>VLOOKUP(C1859,[1]page!$C$2:$M$3071,11,0)</f>
        <v>23.5</v>
      </c>
      <c r="T1859" s="6">
        <f t="shared" si="29"/>
        <v>0</v>
      </c>
    </row>
    <row r="1860" spans="1:20" x14ac:dyDescent="0.2">
      <c r="A1860" t="s">
        <v>6186</v>
      </c>
      <c r="B1860" t="s">
        <v>6235</v>
      </c>
      <c r="C1860" t="s">
        <v>6236</v>
      </c>
      <c r="D1860" t="s">
        <v>6237</v>
      </c>
      <c r="E1860" t="s">
        <v>6195</v>
      </c>
      <c r="F1860" t="s">
        <v>6076</v>
      </c>
      <c r="G1860" s="2">
        <v>4.2</v>
      </c>
      <c r="H1860" s="1">
        <v>1</v>
      </c>
      <c r="I1860" t="s">
        <v>5961</v>
      </c>
      <c r="L1860" s="1">
        <v>12</v>
      </c>
      <c r="M1860" s="3">
        <v>27.99</v>
      </c>
      <c r="N1860" s="3">
        <v>1.4</v>
      </c>
      <c r="O1860" s="3">
        <v>0</v>
      </c>
      <c r="P1860" s="3">
        <v>1.2</v>
      </c>
      <c r="Q1860" s="3">
        <v>30.59</v>
      </c>
      <c r="R1860" s="3">
        <v>18.2</v>
      </c>
      <c r="S1860" s="3">
        <f>VLOOKUP(C1860,[1]page!$C$2:$M$3071,11,0)</f>
        <v>27.99</v>
      </c>
      <c r="T1860" s="6">
        <f t="shared" si="29"/>
        <v>0</v>
      </c>
    </row>
    <row r="1861" spans="1:20" x14ac:dyDescent="0.2">
      <c r="A1861" t="s">
        <v>6186</v>
      </c>
      <c r="B1861" t="s">
        <v>6238</v>
      </c>
      <c r="C1861" t="s">
        <v>6239</v>
      </c>
      <c r="D1861" t="s">
        <v>6240</v>
      </c>
      <c r="E1861" t="s">
        <v>6241</v>
      </c>
      <c r="F1861" t="s">
        <v>5861</v>
      </c>
      <c r="G1861" s="2">
        <v>4.5</v>
      </c>
      <c r="H1861" s="1">
        <v>1</v>
      </c>
      <c r="I1861" t="s">
        <v>6242</v>
      </c>
      <c r="L1861" s="1">
        <v>12</v>
      </c>
      <c r="M1861" s="3">
        <v>32.479999999999997</v>
      </c>
      <c r="N1861" s="3">
        <v>1.62</v>
      </c>
      <c r="O1861" s="3">
        <v>0</v>
      </c>
      <c r="P1861" s="3">
        <v>2.4</v>
      </c>
      <c r="Q1861" s="3">
        <v>36.5</v>
      </c>
      <c r="R1861" s="3">
        <v>18.95</v>
      </c>
      <c r="S1861" s="3">
        <f>VLOOKUP(C1861,[1]page!$C$2:$M$3071,11,0)</f>
        <v>32.479999999999997</v>
      </c>
      <c r="T1861" s="6">
        <f t="shared" si="29"/>
        <v>0</v>
      </c>
    </row>
    <row r="1862" spans="1:20" x14ac:dyDescent="0.2">
      <c r="A1862" t="s">
        <v>6186</v>
      </c>
      <c r="B1862" t="s">
        <v>6243</v>
      </c>
      <c r="C1862" t="s">
        <v>6244</v>
      </c>
      <c r="D1862" t="s">
        <v>6245</v>
      </c>
      <c r="E1862" t="s">
        <v>6195</v>
      </c>
      <c r="F1862" t="s">
        <v>6076</v>
      </c>
      <c r="G1862" s="1">
        <v>3</v>
      </c>
      <c r="H1862" s="1">
        <v>1</v>
      </c>
      <c r="I1862" t="s">
        <v>5961</v>
      </c>
      <c r="L1862" s="1">
        <v>12</v>
      </c>
      <c r="M1862" s="3">
        <v>27.5</v>
      </c>
      <c r="N1862" s="3">
        <v>1.38</v>
      </c>
      <c r="O1862" s="3">
        <v>0</v>
      </c>
      <c r="P1862" s="3">
        <v>1.2</v>
      </c>
      <c r="Q1862" s="3">
        <v>30.08</v>
      </c>
      <c r="R1862" s="3">
        <v>18.2</v>
      </c>
      <c r="S1862" s="3">
        <f>VLOOKUP(C1862,[1]page!$C$2:$M$3071,11,0)</f>
        <v>27.5</v>
      </c>
      <c r="T1862" s="6">
        <f t="shared" si="29"/>
        <v>0</v>
      </c>
    </row>
    <row r="1863" spans="1:20" x14ac:dyDescent="0.2">
      <c r="A1863" t="s">
        <v>6186</v>
      </c>
      <c r="B1863" t="s">
        <v>6246</v>
      </c>
      <c r="C1863" t="s">
        <v>6247</v>
      </c>
      <c r="D1863" t="s">
        <v>6248</v>
      </c>
      <c r="E1863" t="s">
        <v>6195</v>
      </c>
      <c r="F1863" t="s">
        <v>6076</v>
      </c>
      <c r="G1863" s="1">
        <v>5</v>
      </c>
      <c r="H1863" s="1">
        <v>1</v>
      </c>
      <c r="I1863" t="s">
        <v>5961</v>
      </c>
      <c r="L1863" s="1">
        <v>12</v>
      </c>
      <c r="M1863" s="3">
        <v>25.99</v>
      </c>
      <c r="N1863" s="3">
        <v>1.3</v>
      </c>
      <c r="O1863" s="3">
        <v>0</v>
      </c>
      <c r="P1863" s="3">
        <v>1.2</v>
      </c>
      <c r="Q1863" s="3">
        <v>28.49</v>
      </c>
      <c r="R1863" s="3">
        <v>18.2</v>
      </c>
      <c r="S1863" s="3">
        <f>VLOOKUP(C1863,[1]page!$C$2:$M$3071,11,0)</f>
        <v>25.99</v>
      </c>
      <c r="T1863" s="6">
        <f t="shared" si="29"/>
        <v>0</v>
      </c>
    </row>
    <row r="1864" spans="1:20" x14ac:dyDescent="0.2">
      <c r="A1864" t="s">
        <v>6186</v>
      </c>
      <c r="B1864" t="s">
        <v>6249</v>
      </c>
      <c r="C1864" t="s">
        <v>6250</v>
      </c>
      <c r="D1864" t="s">
        <v>6251</v>
      </c>
      <c r="E1864" t="s">
        <v>6195</v>
      </c>
      <c r="F1864" t="s">
        <v>6076</v>
      </c>
      <c r="G1864" s="2">
        <v>5.2</v>
      </c>
      <c r="H1864" s="1">
        <v>1</v>
      </c>
      <c r="I1864" t="s">
        <v>5961</v>
      </c>
      <c r="L1864" s="1">
        <v>12</v>
      </c>
      <c r="M1864" s="3">
        <v>28.19</v>
      </c>
      <c r="N1864" s="3">
        <v>1.41</v>
      </c>
      <c r="O1864" s="3">
        <v>0</v>
      </c>
      <c r="P1864" s="3">
        <v>1.2</v>
      </c>
      <c r="Q1864" s="3">
        <v>30.8</v>
      </c>
      <c r="R1864" s="3">
        <v>18.2</v>
      </c>
      <c r="S1864" s="3">
        <f>VLOOKUP(C1864,[1]page!$C$2:$M$3071,11,0)</f>
        <v>28.19</v>
      </c>
      <c r="T1864" s="6">
        <f t="shared" si="29"/>
        <v>0</v>
      </c>
    </row>
    <row r="1865" spans="1:20" x14ac:dyDescent="0.2">
      <c r="A1865" t="s">
        <v>6186</v>
      </c>
      <c r="B1865" t="s">
        <v>6252</v>
      </c>
      <c r="C1865" t="s">
        <v>6253</v>
      </c>
      <c r="D1865" t="s">
        <v>6254</v>
      </c>
      <c r="E1865" t="s">
        <v>6195</v>
      </c>
      <c r="F1865" t="s">
        <v>6041</v>
      </c>
      <c r="G1865" s="2">
        <v>4.5</v>
      </c>
      <c r="H1865" s="1">
        <v>1</v>
      </c>
      <c r="I1865" t="s">
        <v>5961</v>
      </c>
      <c r="L1865" s="1">
        <v>12</v>
      </c>
      <c r="M1865" s="3">
        <v>28.99</v>
      </c>
      <c r="N1865" s="3">
        <v>1.45</v>
      </c>
      <c r="O1865" s="3">
        <v>0</v>
      </c>
      <c r="P1865" s="3">
        <v>2.4</v>
      </c>
      <c r="Q1865" s="3">
        <v>32.840000000000003</v>
      </c>
      <c r="R1865" s="3">
        <v>18.2</v>
      </c>
      <c r="S1865" s="3">
        <f>VLOOKUP(C1865,[1]page!$C$2:$M$3071,11,0)</f>
        <v>28.99</v>
      </c>
      <c r="T1865" s="6">
        <f t="shared" si="29"/>
        <v>0</v>
      </c>
    </row>
    <row r="1866" spans="1:20" x14ac:dyDescent="0.2">
      <c r="A1866" t="s">
        <v>6186</v>
      </c>
      <c r="B1866" t="s">
        <v>6255</v>
      </c>
      <c r="C1866" t="s">
        <v>6256</v>
      </c>
      <c r="D1866" t="s">
        <v>6257</v>
      </c>
      <c r="E1866" t="s">
        <v>6190</v>
      </c>
      <c r="F1866" t="s">
        <v>6041</v>
      </c>
      <c r="G1866" s="1">
        <v>5</v>
      </c>
      <c r="H1866" s="1">
        <v>1</v>
      </c>
      <c r="I1866" t="s">
        <v>6191</v>
      </c>
      <c r="L1866" s="1">
        <v>12</v>
      </c>
      <c r="M1866" s="3">
        <v>30.49</v>
      </c>
      <c r="N1866" s="3">
        <v>1.52</v>
      </c>
      <c r="O1866" s="3">
        <v>0</v>
      </c>
      <c r="P1866" s="3">
        <v>2.4</v>
      </c>
      <c r="Q1866" s="3">
        <v>34.409999999999997</v>
      </c>
      <c r="R1866" s="3">
        <v>18.2</v>
      </c>
      <c r="S1866" s="3">
        <f>VLOOKUP(C1866,[1]page!$C$2:$M$3071,11,0)</f>
        <v>30.49</v>
      </c>
      <c r="T1866" s="6">
        <f t="shared" si="29"/>
        <v>0</v>
      </c>
    </row>
    <row r="1867" spans="1:20" x14ac:dyDescent="0.2">
      <c r="A1867" t="s">
        <v>6186</v>
      </c>
      <c r="B1867" t="s">
        <v>6258</v>
      </c>
      <c r="C1867" t="s">
        <v>6259</v>
      </c>
      <c r="D1867" t="s">
        <v>6260</v>
      </c>
      <c r="E1867" t="s">
        <v>6195</v>
      </c>
      <c r="F1867" t="s">
        <v>5861</v>
      </c>
      <c r="G1867" s="2">
        <v>5.4</v>
      </c>
      <c r="H1867" s="1">
        <v>1</v>
      </c>
      <c r="I1867" t="s">
        <v>5961</v>
      </c>
      <c r="L1867" s="1">
        <v>12</v>
      </c>
      <c r="M1867" s="3">
        <v>28.59</v>
      </c>
      <c r="N1867" s="3">
        <v>1.43</v>
      </c>
      <c r="O1867" s="3">
        <v>0</v>
      </c>
      <c r="P1867" s="3">
        <v>1.2</v>
      </c>
      <c r="Q1867" s="3">
        <v>31.22</v>
      </c>
      <c r="R1867" s="3">
        <v>18.95</v>
      </c>
      <c r="S1867" s="3">
        <f>VLOOKUP(C1867,[1]page!$C$2:$M$3071,11,0)</f>
        <v>28.59</v>
      </c>
      <c r="T1867" s="6">
        <f t="shared" si="29"/>
        <v>0</v>
      </c>
    </row>
    <row r="1868" spans="1:20" x14ac:dyDescent="0.2">
      <c r="A1868" t="s">
        <v>6186</v>
      </c>
      <c r="B1868" t="s">
        <v>6261</v>
      </c>
      <c r="C1868" t="s">
        <v>6262</v>
      </c>
      <c r="D1868" t="s">
        <v>6263</v>
      </c>
      <c r="E1868" t="s">
        <v>6264</v>
      </c>
      <c r="F1868" t="s">
        <v>5861</v>
      </c>
      <c r="G1868" s="2">
        <v>5.7</v>
      </c>
      <c r="H1868" s="1">
        <v>1</v>
      </c>
      <c r="I1868" t="s">
        <v>6191</v>
      </c>
      <c r="L1868" s="1">
        <v>12</v>
      </c>
      <c r="M1868" s="3">
        <v>28.49</v>
      </c>
      <c r="N1868" s="3">
        <v>1.42</v>
      </c>
      <c r="O1868" s="3">
        <v>0</v>
      </c>
      <c r="P1868" s="3">
        <v>1.2</v>
      </c>
      <c r="Q1868" s="3">
        <v>31.11</v>
      </c>
      <c r="R1868" s="3">
        <v>18.95</v>
      </c>
      <c r="S1868" s="3">
        <f>VLOOKUP(C1868,[1]page!$C$2:$M$3071,11,0)</f>
        <v>28.49</v>
      </c>
      <c r="T1868" s="6">
        <f t="shared" si="29"/>
        <v>0</v>
      </c>
    </row>
    <row r="1869" spans="1:20" x14ac:dyDescent="0.2">
      <c r="A1869" t="s">
        <v>6186</v>
      </c>
      <c r="B1869" t="s">
        <v>6265</v>
      </c>
      <c r="C1869" t="s">
        <v>6266</v>
      </c>
      <c r="D1869" t="s">
        <v>6267</v>
      </c>
      <c r="E1869" t="s">
        <v>6195</v>
      </c>
      <c r="F1869" t="s">
        <v>5861</v>
      </c>
      <c r="G1869" s="1">
        <v>4</v>
      </c>
      <c r="H1869" s="1">
        <v>1</v>
      </c>
      <c r="I1869" t="s">
        <v>5961</v>
      </c>
      <c r="L1869" s="1">
        <v>12</v>
      </c>
      <c r="M1869" s="3">
        <v>28.59</v>
      </c>
      <c r="N1869" s="3">
        <v>1.43</v>
      </c>
      <c r="O1869" s="3">
        <v>0</v>
      </c>
      <c r="P1869" s="3">
        <v>1.2</v>
      </c>
      <c r="Q1869" s="3">
        <v>31.22</v>
      </c>
      <c r="R1869" s="3">
        <v>18.95</v>
      </c>
      <c r="S1869" s="3">
        <f>VLOOKUP(C1869,[1]page!$C$2:$M$3071,11,0)</f>
        <v>28.59</v>
      </c>
      <c r="T1869" s="6">
        <f t="shared" si="29"/>
        <v>0</v>
      </c>
    </row>
    <row r="1870" spans="1:20" x14ac:dyDescent="0.2">
      <c r="A1870" t="s">
        <v>6186</v>
      </c>
      <c r="B1870" t="s">
        <v>6268</v>
      </c>
      <c r="C1870" t="s">
        <v>6269</v>
      </c>
      <c r="D1870" t="s">
        <v>6270</v>
      </c>
      <c r="E1870" t="s">
        <v>6264</v>
      </c>
      <c r="F1870" t="s">
        <v>5861</v>
      </c>
      <c r="G1870" s="2">
        <v>4.4000000000000004</v>
      </c>
      <c r="H1870" s="1">
        <v>1</v>
      </c>
      <c r="I1870" t="s">
        <v>6191</v>
      </c>
      <c r="L1870" s="1">
        <v>12</v>
      </c>
      <c r="M1870" s="3">
        <v>27.79</v>
      </c>
      <c r="N1870" s="3">
        <v>1.39</v>
      </c>
      <c r="O1870" s="3">
        <v>0</v>
      </c>
      <c r="P1870" s="3">
        <v>1.2</v>
      </c>
      <c r="Q1870" s="3">
        <v>30.38</v>
      </c>
      <c r="R1870" s="3">
        <v>18.95</v>
      </c>
      <c r="S1870" s="3">
        <f>VLOOKUP(C1870,[1]page!$C$2:$M$3071,11,0)</f>
        <v>27.79</v>
      </c>
      <c r="T1870" s="6">
        <f t="shared" si="29"/>
        <v>0</v>
      </c>
    </row>
    <row r="1871" spans="1:20" x14ac:dyDescent="0.2">
      <c r="A1871" t="s">
        <v>6186</v>
      </c>
      <c r="B1871" t="s">
        <v>6271</v>
      </c>
      <c r="C1871" t="s">
        <v>6272</v>
      </c>
      <c r="D1871" t="s">
        <v>6273</v>
      </c>
      <c r="E1871" t="s">
        <v>6190</v>
      </c>
      <c r="F1871" t="s">
        <v>5861</v>
      </c>
      <c r="G1871" s="2">
        <v>6.1</v>
      </c>
      <c r="H1871" s="1">
        <v>1</v>
      </c>
      <c r="I1871" t="s">
        <v>6191</v>
      </c>
      <c r="L1871" s="1">
        <v>12</v>
      </c>
      <c r="M1871" s="3">
        <v>27.79</v>
      </c>
      <c r="N1871" s="3">
        <v>1.39</v>
      </c>
      <c r="O1871" s="3">
        <v>0</v>
      </c>
      <c r="P1871" s="3">
        <v>1.2</v>
      </c>
      <c r="Q1871" s="3">
        <v>30.38</v>
      </c>
      <c r="R1871" s="3">
        <v>18.95</v>
      </c>
      <c r="S1871" s="3">
        <f>VLOOKUP(C1871,[1]page!$C$2:$M$3071,11,0)</f>
        <v>27.79</v>
      </c>
      <c r="T1871" s="6">
        <f t="shared" si="29"/>
        <v>0</v>
      </c>
    </row>
    <row r="1872" spans="1:20" x14ac:dyDescent="0.2">
      <c r="A1872" t="s">
        <v>6186</v>
      </c>
      <c r="B1872" t="s">
        <v>6274</v>
      </c>
      <c r="C1872" t="s">
        <v>6275</v>
      </c>
      <c r="D1872" t="s">
        <v>6276</v>
      </c>
      <c r="E1872" t="s">
        <v>6277</v>
      </c>
      <c r="F1872" t="s">
        <v>5861</v>
      </c>
      <c r="G1872" s="2">
        <v>4.4000000000000004</v>
      </c>
      <c r="H1872" s="1">
        <v>1</v>
      </c>
      <c r="I1872" t="s">
        <v>5920</v>
      </c>
      <c r="L1872" s="1">
        <v>12</v>
      </c>
      <c r="M1872" s="3">
        <v>20.69</v>
      </c>
      <c r="N1872" s="3">
        <v>1.03</v>
      </c>
      <c r="O1872" s="3">
        <v>0</v>
      </c>
      <c r="P1872" s="3">
        <v>1.2</v>
      </c>
      <c r="Q1872" s="3">
        <v>22.92</v>
      </c>
      <c r="R1872" s="3">
        <v>18.95</v>
      </c>
      <c r="S1872" s="3">
        <f>VLOOKUP(C1872,[1]page!$C$2:$M$3071,11,0)</f>
        <v>20.69</v>
      </c>
      <c r="T1872" s="6">
        <f t="shared" si="29"/>
        <v>0</v>
      </c>
    </row>
    <row r="1873" spans="1:20" x14ac:dyDescent="0.2">
      <c r="A1873" t="s">
        <v>6186</v>
      </c>
      <c r="B1873" t="s">
        <v>6278</v>
      </c>
      <c r="C1873" t="s">
        <v>6279</v>
      </c>
      <c r="D1873" t="s">
        <v>6280</v>
      </c>
      <c r="E1873" t="s">
        <v>6277</v>
      </c>
      <c r="F1873" t="s">
        <v>5889</v>
      </c>
      <c r="G1873" s="1">
        <v>5</v>
      </c>
      <c r="H1873" s="1">
        <v>1</v>
      </c>
      <c r="I1873" t="s">
        <v>5920</v>
      </c>
      <c r="L1873" s="1">
        <v>12</v>
      </c>
      <c r="M1873" s="3">
        <v>24.48</v>
      </c>
      <c r="N1873" s="3">
        <v>1.22</v>
      </c>
      <c r="O1873" s="3">
        <v>0</v>
      </c>
      <c r="P1873" s="3">
        <v>1.2</v>
      </c>
      <c r="Q1873" s="3">
        <v>26.9</v>
      </c>
      <c r="R1873" s="3">
        <v>27.3</v>
      </c>
      <c r="S1873" s="3">
        <f>VLOOKUP(C1873,[1]page!$C$2:$M$3071,11,0)</f>
        <v>24.48</v>
      </c>
      <c r="T1873" s="6">
        <f t="shared" si="29"/>
        <v>0</v>
      </c>
    </row>
    <row r="1874" spans="1:20" x14ac:dyDescent="0.2">
      <c r="A1874" t="s">
        <v>6186</v>
      </c>
      <c r="B1874" t="s">
        <v>6281</v>
      </c>
      <c r="C1874" t="s">
        <v>6282</v>
      </c>
      <c r="D1874" t="s">
        <v>6283</v>
      </c>
      <c r="E1874" t="s">
        <v>6284</v>
      </c>
      <c r="F1874" t="s">
        <v>5861</v>
      </c>
      <c r="G1874" s="2">
        <v>4.8</v>
      </c>
      <c r="H1874" s="1">
        <v>1</v>
      </c>
      <c r="I1874" t="s">
        <v>6285</v>
      </c>
      <c r="L1874" s="1">
        <v>12</v>
      </c>
      <c r="M1874" s="3">
        <v>25.29</v>
      </c>
      <c r="N1874" s="3">
        <v>1.26</v>
      </c>
      <c r="O1874" s="3">
        <v>0</v>
      </c>
      <c r="P1874" s="3">
        <v>1.2</v>
      </c>
      <c r="Q1874" s="3">
        <v>27.75</v>
      </c>
      <c r="R1874" s="3">
        <v>18.95</v>
      </c>
      <c r="S1874" s="3">
        <f>VLOOKUP(C1874,[1]page!$C$2:$M$3071,11,0)</f>
        <v>25.29</v>
      </c>
      <c r="T1874" s="6">
        <f t="shared" si="29"/>
        <v>0</v>
      </c>
    </row>
    <row r="1875" spans="1:20" x14ac:dyDescent="0.2">
      <c r="A1875" t="s">
        <v>6186</v>
      </c>
      <c r="B1875" t="s">
        <v>6286</v>
      </c>
      <c r="C1875" t="s">
        <v>6287</v>
      </c>
      <c r="D1875" t="s">
        <v>6288</v>
      </c>
      <c r="E1875" t="s">
        <v>6190</v>
      </c>
      <c r="F1875" t="s">
        <v>6289</v>
      </c>
      <c r="G1875" s="1">
        <v>4</v>
      </c>
      <c r="H1875" s="1">
        <v>1</v>
      </c>
      <c r="I1875" t="s">
        <v>6191</v>
      </c>
      <c r="L1875" s="1">
        <v>12</v>
      </c>
      <c r="M1875" s="3">
        <v>14.36</v>
      </c>
      <c r="N1875" s="3">
        <v>0.72</v>
      </c>
      <c r="O1875" s="3">
        <v>0</v>
      </c>
      <c r="P1875" s="3">
        <v>1.2</v>
      </c>
      <c r="Q1875" s="3">
        <v>16.28</v>
      </c>
      <c r="R1875" s="3">
        <v>13.4</v>
      </c>
      <c r="S1875" s="3">
        <f>VLOOKUP(C1875,[1]page!$C$2:$M$3071,11,0)</f>
        <v>14.36</v>
      </c>
      <c r="T1875" s="6">
        <f t="shared" si="29"/>
        <v>0</v>
      </c>
    </row>
    <row r="1876" spans="1:20" x14ac:dyDescent="0.2">
      <c r="A1876" t="s">
        <v>6186</v>
      </c>
      <c r="B1876" t="s">
        <v>6290</v>
      </c>
      <c r="C1876" t="s">
        <v>6291</v>
      </c>
      <c r="D1876" t="s">
        <v>6288</v>
      </c>
      <c r="E1876" t="s">
        <v>6190</v>
      </c>
      <c r="F1876" t="s">
        <v>5861</v>
      </c>
      <c r="G1876" s="1">
        <v>4</v>
      </c>
      <c r="H1876" s="1">
        <v>1</v>
      </c>
      <c r="I1876" t="s">
        <v>6191</v>
      </c>
      <c r="L1876" s="1">
        <v>12</v>
      </c>
      <c r="M1876" s="3">
        <v>27.28</v>
      </c>
      <c r="N1876" s="3">
        <v>1.36</v>
      </c>
      <c r="O1876" s="3">
        <v>0</v>
      </c>
      <c r="P1876" s="3">
        <v>1.2</v>
      </c>
      <c r="Q1876" s="3">
        <v>29.84</v>
      </c>
      <c r="R1876" s="3">
        <v>18.95</v>
      </c>
      <c r="S1876" s="3">
        <f>VLOOKUP(C1876,[1]page!$C$2:$M$3071,11,0)</f>
        <v>27.28</v>
      </c>
      <c r="T1876" s="6">
        <f t="shared" si="29"/>
        <v>0</v>
      </c>
    </row>
    <row r="1877" spans="1:20" x14ac:dyDescent="0.2">
      <c r="A1877" t="s">
        <v>6186</v>
      </c>
      <c r="B1877" t="s">
        <v>6292</v>
      </c>
      <c r="C1877" t="s">
        <v>6293</v>
      </c>
      <c r="D1877" t="s">
        <v>6294</v>
      </c>
      <c r="E1877" t="s">
        <v>6190</v>
      </c>
      <c r="F1877" t="s">
        <v>5861</v>
      </c>
      <c r="G1877" s="1">
        <v>4</v>
      </c>
      <c r="H1877" s="1">
        <v>1</v>
      </c>
      <c r="I1877" t="s">
        <v>6191</v>
      </c>
      <c r="L1877" s="1">
        <v>12</v>
      </c>
      <c r="M1877" s="3">
        <v>28.49</v>
      </c>
      <c r="N1877" s="3">
        <v>1.42</v>
      </c>
      <c r="O1877" s="3">
        <v>0</v>
      </c>
      <c r="P1877" s="3">
        <v>1.2</v>
      </c>
      <c r="Q1877" s="3">
        <v>31.11</v>
      </c>
      <c r="R1877" s="3">
        <v>18.95</v>
      </c>
      <c r="S1877" s="3">
        <f>VLOOKUP(C1877,[1]page!$C$2:$M$3071,11,0)</f>
        <v>28.49</v>
      </c>
      <c r="T1877" s="6">
        <f t="shared" si="29"/>
        <v>0</v>
      </c>
    </row>
    <row r="1878" spans="1:20" x14ac:dyDescent="0.2">
      <c r="A1878" t="s">
        <v>6186</v>
      </c>
      <c r="B1878" t="s">
        <v>6295</v>
      </c>
      <c r="C1878" t="s">
        <v>6296</v>
      </c>
      <c r="D1878" t="s">
        <v>6297</v>
      </c>
      <c r="E1878" t="s">
        <v>6190</v>
      </c>
      <c r="F1878" t="s">
        <v>5861</v>
      </c>
      <c r="G1878" s="1">
        <v>4</v>
      </c>
      <c r="H1878" s="1">
        <v>1</v>
      </c>
      <c r="I1878" t="s">
        <v>6191</v>
      </c>
      <c r="L1878" s="1">
        <v>12</v>
      </c>
      <c r="M1878" s="3">
        <v>27.48</v>
      </c>
      <c r="N1878" s="3">
        <v>1.37</v>
      </c>
      <c r="O1878" s="3">
        <v>0</v>
      </c>
      <c r="P1878" s="3">
        <v>1.2</v>
      </c>
      <c r="Q1878" s="3">
        <v>30.05</v>
      </c>
      <c r="R1878" s="3">
        <v>18.95</v>
      </c>
      <c r="S1878" s="3">
        <f>VLOOKUP(C1878,[1]page!$C$2:$M$3071,11,0)</f>
        <v>27.48</v>
      </c>
      <c r="T1878" s="6">
        <f t="shared" si="29"/>
        <v>0</v>
      </c>
    </row>
    <row r="1879" spans="1:20" x14ac:dyDescent="0.2">
      <c r="A1879" t="s">
        <v>6186</v>
      </c>
      <c r="B1879" t="s">
        <v>6298</v>
      </c>
      <c r="C1879" t="s">
        <v>6299</v>
      </c>
      <c r="D1879" t="s">
        <v>6300</v>
      </c>
      <c r="E1879" t="s">
        <v>6190</v>
      </c>
      <c r="F1879" t="s">
        <v>5861</v>
      </c>
      <c r="G1879" s="2">
        <v>4.0999999999999996</v>
      </c>
      <c r="H1879" s="1">
        <v>1</v>
      </c>
      <c r="I1879" t="s">
        <v>6191</v>
      </c>
      <c r="L1879" s="1">
        <v>12</v>
      </c>
      <c r="M1879" s="3">
        <v>28.49</v>
      </c>
      <c r="N1879" s="3">
        <v>1.42</v>
      </c>
      <c r="O1879" s="3">
        <v>0</v>
      </c>
      <c r="P1879" s="3">
        <v>1.2</v>
      </c>
      <c r="Q1879" s="3">
        <v>31.11</v>
      </c>
      <c r="R1879" s="3">
        <v>18.95</v>
      </c>
      <c r="S1879" s="3">
        <f>VLOOKUP(C1879,[1]page!$C$2:$M$3071,11,0)</f>
        <v>28.49</v>
      </c>
      <c r="T1879" s="6">
        <f t="shared" si="29"/>
        <v>0</v>
      </c>
    </row>
    <row r="1880" spans="1:20" x14ac:dyDescent="0.2">
      <c r="A1880" t="s">
        <v>6186</v>
      </c>
      <c r="B1880" t="s">
        <v>6301</v>
      </c>
      <c r="C1880" t="s">
        <v>6302</v>
      </c>
      <c r="D1880" t="s">
        <v>6303</v>
      </c>
      <c r="E1880" t="s">
        <v>6190</v>
      </c>
      <c r="F1880" t="s">
        <v>5861</v>
      </c>
      <c r="G1880" s="1">
        <v>4</v>
      </c>
      <c r="H1880" s="1">
        <v>1</v>
      </c>
      <c r="I1880" t="s">
        <v>6191</v>
      </c>
      <c r="L1880" s="1">
        <v>12</v>
      </c>
      <c r="M1880" s="3">
        <v>28.49</v>
      </c>
      <c r="N1880" s="3">
        <v>1.42</v>
      </c>
      <c r="O1880" s="3">
        <v>0</v>
      </c>
      <c r="P1880" s="3">
        <v>1.2</v>
      </c>
      <c r="Q1880" s="3">
        <v>31.11</v>
      </c>
      <c r="R1880" s="3">
        <v>18.95</v>
      </c>
      <c r="S1880" s="3">
        <f>VLOOKUP(C1880,[1]page!$C$2:$M$3071,11,0)</f>
        <v>28.49</v>
      </c>
      <c r="T1880" s="6">
        <f t="shared" si="29"/>
        <v>0</v>
      </c>
    </row>
    <row r="1881" spans="1:20" x14ac:dyDescent="0.2">
      <c r="A1881" t="s">
        <v>6186</v>
      </c>
      <c r="B1881" t="s">
        <v>6304</v>
      </c>
      <c r="C1881" t="s">
        <v>6305</v>
      </c>
      <c r="D1881" t="s">
        <v>6306</v>
      </c>
      <c r="E1881" t="s">
        <v>6190</v>
      </c>
      <c r="F1881" t="s">
        <v>5861</v>
      </c>
      <c r="G1881" s="1">
        <v>0</v>
      </c>
      <c r="H1881" s="1">
        <v>1</v>
      </c>
      <c r="I1881" t="s">
        <v>6191</v>
      </c>
      <c r="L1881" s="1">
        <v>12</v>
      </c>
      <c r="M1881" s="3">
        <v>18.25</v>
      </c>
      <c r="N1881" s="3">
        <v>0.91</v>
      </c>
      <c r="O1881" s="3">
        <v>1.1000000000000001</v>
      </c>
      <c r="P1881" s="3">
        <v>1.2</v>
      </c>
      <c r="Q1881" s="3">
        <v>21.46</v>
      </c>
      <c r="R1881" s="3">
        <v>18.95</v>
      </c>
      <c r="S1881" s="3">
        <f>VLOOKUP(C1881,[1]page!$C$2:$M$3071,11,0)</f>
        <v>18.25</v>
      </c>
      <c r="T1881" s="6">
        <f t="shared" si="29"/>
        <v>0</v>
      </c>
    </row>
    <row r="1882" spans="1:20" x14ac:dyDescent="0.2">
      <c r="A1882" t="s">
        <v>6186</v>
      </c>
      <c r="B1882" t="s">
        <v>6307</v>
      </c>
      <c r="C1882" t="s">
        <v>6308</v>
      </c>
      <c r="D1882" t="s">
        <v>6309</v>
      </c>
      <c r="E1882" t="s">
        <v>6190</v>
      </c>
      <c r="F1882" t="s">
        <v>5861</v>
      </c>
      <c r="G1882" s="1">
        <v>5</v>
      </c>
      <c r="H1882" s="1">
        <v>1</v>
      </c>
      <c r="I1882" t="s">
        <v>6191</v>
      </c>
      <c r="L1882" s="1">
        <v>12</v>
      </c>
      <c r="M1882" s="3">
        <v>27.28</v>
      </c>
      <c r="N1882" s="3">
        <v>1.36</v>
      </c>
      <c r="O1882" s="3">
        <v>0</v>
      </c>
      <c r="P1882" s="3">
        <v>1.2</v>
      </c>
      <c r="Q1882" s="3">
        <v>29.84</v>
      </c>
      <c r="R1882" s="3">
        <v>18.95</v>
      </c>
      <c r="S1882" s="3">
        <f>VLOOKUP(C1882,[1]page!$C$2:$M$3071,11,0)</f>
        <v>27.28</v>
      </c>
      <c r="T1882" s="6">
        <f t="shared" si="29"/>
        <v>0</v>
      </c>
    </row>
    <row r="1883" spans="1:20" x14ac:dyDescent="0.2">
      <c r="A1883" t="s">
        <v>6186</v>
      </c>
      <c r="B1883" t="s">
        <v>6310</v>
      </c>
      <c r="C1883" t="s">
        <v>6311</v>
      </c>
      <c r="D1883" t="s">
        <v>6312</v>
      </c>
      <c r="E1883" t="s">
        <v>6190</v>
      </c>
      <c r="F1883" t="s">
        <v>5861</v>
      </c>
      <c r="G1883" s="1">
        <v>0</v>
      </c>
      <c r="H1883" s="1">
        <v>1</v>
      </c>
      <c r="I1883" t="s">
        <v>6191</v>
      </c>
      <c r="L1883" s="1">
        <v>12</v>
      </c>
      <c r="M1883" s="3">
        <v>17.399999999999999</v>
      </c>
      <c r="N1883" s="3">
        <v>0.87</v>
      </c>
      <c r="O1883" s="3">
        <v>1.04</v>
      </c>
      <c r="P1883" s="3">
        <v>1.2</v>
      </c>
      <c r="Q1883" s="3">
        <v>20.51</v>
      </c>
      <c r="R1883" s="3">
        <v>18.95</v>
      </c>
      <c r="S1883" s="3">
        <f>VLOOKUP(C1883,[1]page!$C$2:$M$3071,11,0)</f>
        <v>17.399999999999999</v>
      </c>
      <c r="T1883" s="6">
        <f t="shared" si="29"/>
        <v>0</v>
      </c>
    </row>
    <row r="1884" spans="1:20" x14ac:dyDescent="0.2">
      <c r="A1884" t="s">
        <v>6186</v>
      </c>
      <c r="B1884" t="s">
        <v>6313</v>
      </c>
      <c r="C1884" t="s">
        <v>6314</v>
      </c>
      <c r="D1884" t="s">
        <v>6315</v>
      </c>
      <c r="E1884" t="s">
        <v>6190</v>
      </c>
      <c r="F1884" t="s">
        <v>5889</v>
      </c>
      <c r="G1884" s="2">
        <v>4.3</v>
      </c>
      <c r="H1884" s="1">
        <v>1</v>
      </c>
      <c r="I1884" t="s">
        <v>6191</v>
      </c>
      <c r="L1884" s="1">
        <v>12</v>
      </c>
      <c r="M1884" s="3">
        <v>26.79</v>
      </c>
      <c r="N1884" s="3">
        <v>1.34</v>
      </c>
      <c r="O1884" s="3">
        <v>0</v>
      </c>
      <c r="P1884" s="3">
        <v>1.2</v>
      </c>
      <c r="Q1884" s="3">
        <v>29.33</v>
      </c>
      <c r="R1884" s="3">
        <v>27.3</v>
      </c>
      <c r="S1884" s="3">
        <f>VLOOKUP(C1884,[1]page!$C$2:$M$3071,11,0)</f>
        <v>26.79</v>
      </c>
      <c r="T1884" s="6">
        <f t="shared" si="29"/>
        <v>0</v>
      </c>
    </row>
    <row r="1885" spans="1:20" x14ac:dyDescent="0.2">
      <c r="A1885" t="s">
        <v>6186</v>
      </c>
      <c r="B1885" t="s">
        <v>6316</v>
      </c>
      <c r="C1885" t="s">
        <v>6317</v>
      </c>
      <c r="D1885" t="s">
        <v>6318</v>
      </c>
      <c r="E1885" t="s">
        <v>6319</v>
      </c>
      <c r="F1885" t="s">
        <v>5889</v>
      </c>
      <c r="G1885" s="1">
        <v>4</v>
      </c>
      <c r="H1885" s="1">
        <v>1</v>
      </c>
      <c r="I1885" t="s">
        <v>5617</v>
      </c>
      <c r="L1885" s="1">
        <v>12</v>
      </c>
      <c r="M1885" s="3">
        <v>38.200000000000003</v>
      </c>
      <c r="N1885" s="3">
        <v>1.91</v>
      </c>
      <c r="O1885" s="3">
        <v>0</v>
      </c>
      <c r="P1885" s="3">
        <v>1.2</v>
      </c>
      <c r="Q1885" s="3">
        <v>41.31</v>
      </c>
      <c r="R1885" s="3">
        <v>27.3</v>
      </c>
      <c r="S1885" s="3">
        <f>VLOOKUP(C1885,[1]page!$C$2:$M$3071,11,0)</f>
        <v>38.200000000000003</v>
      </c>
      <c r="T1885" s="6">
        <f t="shared" si="29"/>
        <v>0</v>
      </c>
    </row>
    <row r="1886" spans="1:20" x14ac:dyDescent="0.2">
      <c r="A1886" t="s">
        <v>6186</v>
      </c>
      <c r="B1886" t="s">
        <v>6320</v>
      </c>
      <c r="C1886" t="s">
        <v>6321</v>
      </c>
      <c r="D1886" t="s">
        <v>6322</v>
      </c>
      <c r="E1886" t="s">
        <v>6195</v>
      </c>
      <c r="F1886" t="s">
        <v>5861</v>
      </c>
      <c r="G1886" s="2">
        <v>0.05</v>
      </c>
      <c r="H1886" s="1">
        <v>1</v>
      </c>
      <c r="I1886" t="s">
        <v>5961</v>
      </c>
      <c r="L1886" s="1">
        <v>12</v>
      </c>
      <c r="M1886" s="3">
        <v>14.69</v>
      </c>
      <c r="N1886" s="3">
        <v>0.73</v>
      </c>
      <c r="O1886" s="3">
        <v>0.88</v>
      </c>
      <c r="P1886" s="3">
        <v>1.2</v>
      </c>
      <c r="Q1886" s="3">
        <v>17.5</v>
      </c>
      <c r="R1886" s="3">
        <v>18.95</v>
      </c>
      <c r="S1886" s="3">
        <f>VLOOKUP(C1886,[1]page!$C$2:$M$3071,11,0)</f>
        <v>14.69</v>
      </c>
      <c r="T1886" s="6">
        <f t="shared" si="29"/>
        <v>0</v>
      </c>
    </row>
    <row r="1887" spans="1:20" x14ac:dyDescent="0.2">
      <c r="A1887" t="s">
        <v>6186</v>
      </c>
      <c r="B1887" t="s">
        <v>6323</v>
      </c>
      <c r="C1887" t="s">
        <v>6324</v>
      </c>
      <c r="D1887" t="s">
        <v>6325</v>
      </c>
      <c r="E1887" t="s">
        <v>6190</v>
      </c>
      <c r="F1887" t="s">
        <v>5861</v>
      </c>
      <c r="G1887" s="1">
        <v>0</v>
      </c>
      <c r="H1887" s="1">
        <v>1</v>
      </c>
      <c r="I1887" t="s">
        <v>6191</v>
      </c>
      <c r="L1887" s="1">
        <v>12</v>
      </c>
      <c r="M1887" s="3">
        <v>16.989999999999998</v>
      </c>
      <c r="N1887" s="3">
        <v>0.85</v>
      </c>
      <c r="O1887" s="3">
        <v>1.02</v>
      </c>
      <c r="P1887" s="3">
        <v>1.2</v>
      </c>
      <c r="Q1887" s="3">
        <v>20.059999999999999</v>
      </c>
      <c r="R1887" s="3">
        <v>18.95</v>
      </c>
      <c r="S1887" s="3">
        <f>VLOOKUP(C1887,[1]page!$C$2:$M$3071,11,0)</f>
        <v>16.989999999999998</v>
      </c>
      <c r="T1887" s="6">
        <f t="shared" ref="T1887:T1950" si="30">SUM(M1887-S1887)</f>
        <v>0</v>
      </c>
    </row>
    <row r="1888" spans="1:20" x14ac:dyDescent="0.2">
      <c r="A1888" t="s">
        <v>6186</v>
      </c>
      <c r="B1888" t="s">
        <v>6326</v>
      </c>
      <c r="C1888" t="s">
        <v>6327</v>
      </c>
      <c r="D1888" t="s">
        <v>6328</v>
      </c>
      <c r="E1888" t="s">
        <v>6190</v>
      </c>
      <c r="F1888" t="s">
        <v>5861</v>
      </c>
      <c r="G1888" s="1">
        <v>0</v>
      </c>
      <c r="H1888" s="1">
        <v>1</v>
      </c>
      <c r="I1888" t="s">
        <v>6191</v>
      </c>
      <c r="L1888" s="1">
        <v>12</v>
      </c>
      <c r="M1888" s="3">
        <v>16.989999999999998</v>
      </c>
      <c r="N1888" s="3">
        <v>0.85</v>
      </c>
      <c r="O1888" s="3">
        <v>1.02</v>
      </c>
      <c r="P1888" s="3">
        <v>1.2</v>
      </c>
      <c r="Q1888" s="3">
        <v>20.059999999999999</v>
      </c>
      <c r="R1888" s="3">
        <v>18.95</v>
      </c>
      <c r="S1888" s="3">
        <f>VLOOKUP(C1888,[1]page!$C$2:$M$3071,11,0)</f>
        <v>16.989999999999998</v>
      </c>
      <c r="T1888" s="6">
        <f t="shared" si="30"/>
        <v>0</v>
      </c>
    </row>
    <row r="1889" spans="1:20" x14ac:dyDescent="0.2">
      <c r="A1889" t="s">
        <v>6186</v>
      </c>
      <c r="B1889" t="s">
        <v>6329</v>
      </c>
      <c r="C1889" t="s">
        <v>6330</v>
      </c>
      <c r="D1889" t="s">
        <v>6331</v>
      </c>
      <c r="E1889" t="s">
        <v>6332</v>
      </c>
      <c r="F1889" t="s">
        <v>5861</v>
      </c>
      <c r="G1889" s="1">
        <v>5</v>
      </c>
      <c r="H1889" s="1">
        <v>1</v>
      </c>
      <c r="I1889" t="s">
        <v>5961</v>
      </c>
      <c r="L1889" s="1">
        <v>12</v>
      </c>
      <c r="M1889" s="3">
        <v>26.76</v>
      </c>
      <c r="N1889" s="3">
        <v>1.34</v>
      </c>
      <c r="O1889" s="3">
        <v>0</v>
      </c>
      <c r="P1889" s="3">
        <v>1.2</v>
      </c>
      <c r="Q1889" s="3">
        <v>29.3</v>
      </c>
      <c r="R1889" s="3">
        <v>18.95</v>
      </c>
      <c r="S1889" s="3">
        <f>VLOOKUP(C1889,[1]page!$C$2:$M$3071,11,0)</f>
        <v>26.76</v>
      </c>
      <c r="T1889" s="6">
        <f t="shared" si="30"/>
        <v>0</v>
      </c>
    </row>
    <row r="1890" spans="1:20" x14ac:dyDescent="0.2">
      <c r="A1890" t="s">
        <v>6186</v>
      </c>
      <c r="B1890" t="s">
        <v>6333</v>
      </c>
      <c r="C1890" t="s">
        <v>6334</v>
      </c>
      <c r="D1890" t="s">
        <v>6335</v>
      </c>
      <c r="E1890" t="s">
        <v>6277</v>
      </c>
      <c r="F1890" t="s">
        <v>5861</v>
      </c>
      <c r="G1890" s="2">
        <v>6.5</v>
      </c>
      <c r="H1890" s="1">
        <v>1</v>
      </c>
      <c r="I1890" t="s">
        <v>5920</v>
      </c>
      <c r="L1890" s="1">
        <v>12</v>
      </c>
      <c r="M1890" s="3">
        <v>19.98</v>
      </c>
      <c r="N1890" s="3">
        <v>1</v>
      </c>
      <c r="O1890" s="3">
        <v>0</v>
      </c>
      <c r="P1890" s="3">
        <v>1.2</v>
      </c>
      <c r="Q1890" s="3">
        <v>22.18</v>
      </c>
      <c r="R1890" s="3">
        <v>18.95</v>
      </c>
      <c r="S1890" s="3">
        <f>VLOOKUP(C1890,[1]page!$C$2:$M$3071,11,0)</f>
        <v>19.98</v>
      </c>
      <c r="T1890" s="6">
        <f t="shared" si="30"/>
        <v>0</v>
      </c>
    </row>
    <row r="1891" spans="1:20" x14ac:dyDescent="0.2">
      <c r="A1891" t="s">
        <v>6186</v>
      </c>
      <c r="B1891" t="s">
        <v>6336</v>
      </c>
      <c r="C1891" t="s">
        <v>6337</v>
      </c>
      <c r="D1891" t="s">
        <v>6338</v>
      </c>
      <c r="E1891" t="s">
        <v>6190</v>
      </c>
      <c r="F1891" t="s">
        <v>5861</v>
      </c>
      <c r="G1891" s="2">
        <v>5.9</v>
      </c>
      <c r="H1891" s="1">
        <v>1</v>
      </c>
      <c r="I1891" t="s">
        <v>6191</v>
      </c>
      <c r="L1891" s="1">
        <v>12</v>
      </c>
      <c r="M1891" s="3">
        <v>26.48</v>
      </c>
      <c r="N1891" s="3">
        <v>1.32</v>
      </c>
      <c r="O1891" s="3">
        <v>0</v>
      </c>
      <c r="P1891" s="3">
        <v>1.2</v>
      </c>
      <c r="Q1891" s="3">
        <v>29</v>
      </c>
      <c r="R1891" s="3">
        <v>18.95</v>
      </c>
      <c r="S1891" s="3">
        <f>VLOOKUP(C1891,[1]page!$C$2:$M$3071,11,0)</f>
        <v>26.48</v>
      </c>
      <c r="T1891" s="6">
        <f t="shared" si="30"/>
        <v>0</v>
      </c>
    </row>
    <row r="1892" spans="1:20" x14ac:dyDescent="0.2">
      <c r="A1892" t="s">
        <v>6186</v>
      </c>
      <c r="B1892" t="s">
        <v>6339</v>
      </c>
      <c r="C1892" t="s">
        <v>6340</v>
      </c>
      <c r="D1892" t="s">
        <v>6341</v>
      </c>
      <c r="E1892" t="s">
        <v>6277</v>
      </c>
      <c r="F1892" t="s">
        <v>5861</v>
      </c>
      <c r="G1892" s="2">
        <v>4.4000000000000004</v>
      </c>
      <c r="H1892" s="1">
        <v>1</v>
      </c>
      <c r="I1892" t="s">
        <v>5920</v>
      </c>
      <c r="L1892" s="1">
        <v>12</v>
      </c>
      <c r="M1892" s="3">
        <v>26.99</v>
      </c>
      <c r="N1892" s="3">
        <v>1.35</v>
      </c>
      <c r="O1892" s="3">
        <v>0</v>
      </c>
      <c r="P1892" s="3">
        <v>1.2</v>
      </c>
      <c r="Q1892" s="3">
        <v>29.54</v>
      </c>
      <c r="R1892" s="3">
        <v>18.95</v>
      </c>
      <c r="S1892" s="3">
        <f>VLOOKUP(C1892,[1]page!$C$2:$M$3071,11,0)</f>
        <v>26.99</v>
      </c>
      <c r="T1892" s="6">
        <f t="shared" si="30"/>
        <v>0</v>
      </c>
    </row>
    <row r="1893" spans="1:20" x14ac:dyDescent="0.2">
      <c r="A1893" t="s">
        <v>6186</v>
      </c>
      <c r="B1893" t="s">
        <v>6342</v>
      </c>
      <c r="C1893" t="s">
        <v>6343</v>
      </c>
      <c r="D1893" t="s">
        <v>6344</v>
      </c>
      <c r="E1893" t="s">
        <v>6277</v>
      </c>
      <c r="F1893" t="s">
        <v>5861</v>
      </c>
      <c r="G1893" s="2">
        <v>2.5</v>
      </c>
      <c r="H1893" s="1">
        <v>1</v>
      </c>
      <c r="I1893" t="s">
        <v>5920</v>
      </c>
      <c r="L1893" s="1">
        <v>12</v>
      </c>
      <c r="M1893" s="3">
        <v>26.99</v>
      </c>
      <c r="N1893" s="3">
        <v>1.35</v>
      </c>
      <c r="O1893" s="3">
        <v>0</v>
      </c>
      <c r="P1893" s="3">
        <v>1.2</v>
      </c>
      <c r="Q1893" s="3">
        <v>29.54</v>
      </c>
      <c r="R1893" s="3">
        <v>18.95</v>
      </c>
      <c r="S1893" s="3">
        <f>VLOOKUP(C1893,[1]page!$C$2:$M$3071,11,0)</f>
        <v>26.99</v>
      </c>
      <c r="T1893" s="6">
        <f t="shared" si="30"/>
        <v>0</v>
      </c>
    </row>
    <row r="1894" spans="1:20" x14ac:dyDescent="0.2">
      <c r="A1894" t="s">
        <v>6186</v>
      </c>
      <c r="B1894" t="s">
        <v>6345</v>
      </c>
      <c r="C1894" t="s">
        <v>6346</v>
      </c>
      <c r="D1894" t="s">
        <v>6347</v>
      </c>
      <c r="E1894" t="s">
        <v>6116</v>
      </c>
      <c r="F1894" t="s">
        <v>6041</v>
      </c>
      <c r="G1894" s="1">
        <v>0</v>
      </c>
      <c r="H1894" s="1">
        <v>1</v>
      </c>
      <c r="I1894" t="s">
        <v>5961</v>
      </c>
      <c r="L1894" s="1">
        <v>12</v>
      </c>
      <c r="M1894" s="3">
        <v>16.649999999999999</v>
      </c>
      <c r="N1894" s="3">
        <v>0.83</v>
      </c>
      <c r="O1894" s="3">
        <v>1</v>
      </c>
      <c r="P1894" s="3">
        <v>1.2</v>
      </c>
      <c r="Q1894" s="3">
        <v>19.68</v>
      </c>
      <c r="R1894" s="3">
        <v>18.2</v>
      </c>
      <c r="S1894" s="3">
        <f>VLOOKUP(C1894,[1]page!$C$2:$M$3071,11,0)</f>
        <v>16.649999999999999</v>
      </c>
      <c r="T1894" s="6">
        <f t="shared" si="30"/>
        <v>0</v>
      </c>
    </row>
    <row r="1895" spans="1:20" x14ac:dyDescent="0.2">
      <c r="A1895" t="s">
        <v>6186</v>
      </c>
      <c r="B1895" t="s">
        <v>6348</v>
      </c>
      <c r="C1895" t="s">
        <v>6349</v>
      </c>
      <c r="D1895" t="s">
        <v>6350</v>
      </c>
      <c r="E1895" t="s">
        <v>6116</v>
      </c>
      <c r="F1895" t="s">
        <v>6041</v>
      </c>
      <c r="G1895" s="1">
        <v>5</v>
      </c>
      <c r="H1895" s="1">
        <v>1</v>
      </c>
      <c r="I1895" t="s">
        <v>5961</v>
      </c>
      <c r="L1895" s="1">
        <v>12</v>
      </c>
      <c r="M1895" s="3">
        <v>30.49</v>
      </c>
      <c r="N1895" s="3">
        <v>1.52</v>
      </c>
      <c r="O1895" s="3">
        <v>0</v>
      </c>
      <c r="P1895" s="3">
        <v>1.2</v>
      </c>
      <c r="Q1895" s="3">
        <v>33.21</v>
      </c>
      <c r="R1895" s="3">
        <v>18.2</v>
      </c>
      <c r="S1895" s="3">
        <f>VLOOKUP(C1895,[1]page!$C$2:$M$3071,11,0)</f>
        <v>30.49</v>
      </c>
      <c r="T1895" s="6">
        <f t="shared" si="30"/>
        <v>0</v>
      </c>
    </row>
    <row r="1896" spans="1:20" x14ac:dyDescent="0.2">
      <c r="A1896" t="s">
        <v>6186</v>
      </c>
      <c r="B1896" t="s">
        <v>6351</v>
      </c>
      <c r="C1896" t="s">
        <v>6352</v>
      </c>
      <c r="D1896" t="s">
        <v>6353</v>
      </c>
      <c r="E1896" t="s">
        <v>6116</v>
      </c>
      <c r="F1896" t="s">
        <v>6041</v>
      </c>
      <c r="G1896" s="1">
        <v>4</v>
      </c>
      <c r="H1896" s="1">
        <v>1</v>
      </c>
      <c r="I1896" t="s">
        <v>5961</v>
      </c>
      <c r="L1896" s="1">
        <v>12</v>
      </c>
      <c r="M1896" s="3">
        <v>30.49</v>
      </c>
      <c r="N1896" s="3">
        <v>1.52</v>
      </c>
      <c r="O1896" s="3">
        <v>0</v>
      </c>
      <c r="P1896" s="3">
        <v>1.2</v>
      </c>
      <c r="Q1896" s="3">
        <v>33.21</v>
      </c>
      <c r="R1896" s="3">
        <v>18.2</v>
      </c>
      <c r="S1896" s="3">
        <f>VLOOKUP(C1896,[1]page!$C$2:$M$3071,11,0)</f>
        <v>30.49</v>
      </c>
      <c r="T1896" s="6">
        <f t="shared" si="30"/>
        <v>0</v>
      </c>
    </row>
    <row r="1897" spans="1:20" x14ac:dyDescent="0.2">
      <c r="A1897" t="s">
        <v>6186</v>
      </c>
      <c r="B1897" t="s">
        <v>6354</v>
      </c>
      <c r="C1897" t="s">
        <v>6355</v>
      </c>
      <c r="D1897" t="s">
        <v>6356</v>
      </c>
      <c r="E1897" t="s">
        <v>6357</v>
      </c>
      <c r="F1897" t="s">
        <v>6041</v>
      </c>
      <c r="G1897" s="2">
        <v>4.9000000000000004</v>
      </c>
      <c r="H1897" s="1">
        <v>1</v>
      </c>
      <c r="I1897" t="s">
        <v>6191</v>
      </c>
      <c r="L1897" s="1">
        <v>12</v>
      </c>
      <c r="M1897" s="3">
        <v>27.98</v>
      </c>
      <c r="N1897" s="3">
        <v>1.4</v>
      </c>
      <c r="O1897" s="3">
        <v>0</v>
      </c>
      <c r="P1897" s="3">
        <v>1.2</v>
      </c>
      <c r="Q1897" s="3">
        <v>30.58</v>
      </c>
      <c r="R1897" s="3">
        <v>18.2</v>
      </c>
      <c r="S1897" s="3">
        <f>VLOOKUP(C1897,[1]page!$C$2:$M$3071,11,0)</f>
        <v>27.98</v>
      </c>
      <c r="T1897" s="6">
        <f t="shared" si="30"/>
        <v>0</v>
      </c>
    </row>
    <row r="1898" spans="1:20" x14ac:dyDescent="0.2">
      <c r="A1898" t="s">
        <v>6186</v>
      </c>
      <c r="B1898" t="s">
        <v>6358</v>
      </c>
      <c r="C1898" t="s">
        <v>6359</v>
      </c>
      <c r="D1898" t="s">
        <v>6360</v>
      </c>
      <c r="E1898" t="s">
        <v>6319</v>
      </c>
      <c r="F1898" t="s">
        <v>5861</v>
      </c>
      <c r="G1898" s="1">
        <v>5</v>
      </c>
      <c r="H1898" s="1">
        <v>1</v>
      </c>
      <c r="I1898" t="s">
        <v>5617</v>
      </c>
      <c r="L1898" s="1">
        <v>12</v>
      </c>
      <c r="M1898" s="3">
        <v>25.51</v>
      </c>
      <c r="N1898" s="3">
        <v>1.28</v>
      </c>
      <c r="O1898" s="3">
        <v>0</v>
      </c>
      <c r="P1898" s="3">
        <v>1.2</v>
      </c>
      <c r="Q1898" s="3">
        <v>27.99</v>
      </c>
      <c r="R1898" s="3">
        <v>18.95</v>
      </c>
      <c r="S1898" s="3">
        <f>VLOOKUP(C1898,[1]page!$C$2:$M$3071,11,0)</f>
        <v>24.56</v>
      </c>
      <c r="T1898" s="6">
        <f t="shared" si="30"/>
        <v>0.95000000000000284</v>
      </c>
    </row>
    <row r="1899" spans="1:20" x14ac:dyDescent="0.2">
      <c r="A1899" t="s">
        <v>6186</v>
      </c>
      <c r="B1899" t="s">
        <v>6361</v>
      </c>
      <c r="C1899" t="s">
        <v>6362</v>
      </c>
      <c r="D1899" t="s">
        <v>6363</v>
      </c>
      <c r="E1899" t="s">
        <v>6195</v>
      </c>
      <c r="F1899" t="s">
        <v>5861</v>
      </c>
      <c r="G1899" s="2">
        <v>6.2</v>
      </c>
      <c r="H1899" s="1">
        <v>1</v>
      </c>
      <c r="I1899" t="s">
        <v>5961</v>
      </c>
      <c r="L1899" s="1">
        <v>12</v>
      </c>
      <c r="M1899" s="3">
        <v>26.76</v>
      </c>
      <c r="N1899" s="3">
        <v>1.34</v>
      </c>
      <c r="O1899" s="3">
        <v>0</v>
      </c>
      <c r="P1899" s="3">
        <v>1.2</v>
      </c>
      <c r="Q1899" s="3">
        <v>29.3</v>
      </c>
      <c r="R1899" s="3">
        <v>18.95</v>
      </c>
      <c r="S1899" s="3">
        <f>VLOOKUP(C1899,[1]page!$C$2:$M$3071,11,0)</f>
        <v>26.76</v>
      </c>
      <c r="T1899" s="6">
        <f t="shared" si="30"/>
        <v>0</v>
      </c>
    </row>
    <row r="1900" spans="1:20" x14ac:dyDescent="0.2">
      <c r="A1900" t="s">
        <v>6186</v>
      </c>
      <c r="B1900" t="s">
        <v>6364</v>
      </c>
      <c r="C1900" t="s">
        <v>6365</v>
      </c>
      <c r="D1900" t="s">
        <v>6366</v>
      </c>
      <c r="E1900" t="s">
        <v>6195</v>
      </c>
      <c r="F1900" t="s">
        <v>5861</v>
      </c>
      <c r="G1900" s="2">
        <v>6.97</v>
      </c>
      <c r="H1900" s="1">
        <v>1</v>
      </c>
      <c r="I1900" t="s">
        <v>5961</v>
      </c>
      <c r="L1900" s="1">
        <v>12</v>
      </c>
      <c r="M1900" s="3">
        <v>25.99</v>
      </c>
      <c r="N1900" s="3">
        <v>1.3</v>
      </c>
      <c r="O1900" s="3">
        <v>0</v>
      </c>
      <c r="P1900" s="3">
        <v>1.2</v>
      </c>
      <c r="Q1900" s="3">
        <v>28.49</v>
      </c>
      <c r="R1900" s="3">
        <v>24.15</v>
      </c>
      <c r="S1900" s="3">
        <f>VLOOKUP(C1900,[1]page!$C$2:$M$3071,11,0)</f>
        <v>25.99</v>
      </c>
      <c r="T1900" s="6">
        <f t="shared" si="30"/>
        <v>0</v>
      </c>
    </row>
    <row r="1901" spans="1:20" x14ac:dyDescent="0.2">
      <c r="A1901" t="s">
        <v>6186</v>
      </c>
      <c r="B1901" t="s">
        <v>6367</v>
      </c>
      <c r="C1901" t="s">
        <v>6368</v>
      </c>
      <c r="D1901" t="s">
        <v>6369</v>
      </c>
      <c r="E1901" t="s">
        <v>6190</v>
      </c>
      <c r="F1901" t="s">
        <v>5861</v>
      </c>
      <c r="G1901" s="1">
        <v>5</v>
      </c>
      <c r="H1901" s="1">
        <v>1</v>
      </c>
      <c r="I1901" t="s">
        <v>6191</v>
      </c>
      <c r="L1901" s="1">
        <v>12</v>
      </c>
      <c r="M1901" s="3">
        <v>27.28</v>
      </c>
      <c r="N1901" s="3">
        <v>1.36</v>
      </c>
      <c r="O1901" s="3">
        <v>0</v>
      </c>
      <c r="P1901" s="3">
        <v>1.2</v>
      </c>
      <c r="Q1901" s="3">
        <v>29.84</v>
      </c>
      <c r="R1901" s="3">
        <v>18.95</v>
      </c>
      <c r="S1901" s="3">
        <f>VLOOKUP(C1901,[1]page!$C$2:$M$3071,11,0)</f>
        <v>27.28</v>
      </c>
      <c r="T1901" s="6">
        <f t="shared" si="30"/>
        <v>0</v>
      </c>
    </row>
    <row r="1902" spans="1:20" x14ac:dyDescent="0.2">
      <c r="A1902" t="s">
        <v>6186</v>
      </c>
      <c r="B1902" t="s">
        <v>6370</v>
      </c>
      <c r="C1902" t="s">
        <v>6371</v>
      </c>
      <c r="D1902" t="s">
        <v>6372</v>
      </c>
      <c r="E1902" t="s">
        <v>6195</v>
      </c>
      <c r="F1902" t="s">
        <v>5861</v>
      </c>
      <c r="G1902" s="2">
        <v>4.5999999999999996</v>
      </c>
      <c r="H1902" s="1">
        <v>1</v>
      </c>
      <c r="I1902" t="s">
        <v>5961</v>
      </c>
      <c r="L1902" s="1">
        <v>12</v>
      </c>
      <c r="M1902" s="3">
        <v>24.5</v>
      </c>
      <c r="N1902" s="3">
        <v>1.23</v>
      </c>
      <c r="O1902" s="3">
        <v>0</v>
      </c>
      <c r="P1902" s="3">
        <v>1.2</v>
      </c>
      <c r="Q1902" s="3">
        <v>26.93</v>
      </c>
      <c r="R1902" s="3">
        <v>18.95</v>
      </c>
      <c r="S1902" s="3">
        <f>VLOOKUP(C1902,[1]page!$C$2:$M$3071,11,0)</f>
        <v>24.5</v>
      </c>
      <c r="T1902" s="6">
        <f t="shared" si="30"/>
        <v>0</v>
      </c>
    </row>
    <row r="1903" spans="1:20" x14ac:dyDescent="0.2">
      <c r="A1903" t="s">
        <v>6186</v>
      </c>
      <c r="B1903" t="s">
        <v>6373</v>
      </c>
      <c r="C1903" t="s">
        <v>6374</v>
      </c>
      <c r="D1903" t="s">
        <v>6375</v>
      </c>
      <c r="E1903" t="s">
        <v>6376</v>
      </c>
      <c r="F1903" t="s">
        <v>5861</v>
      </c>
      <c r="G1903" s="2">
        <v>4.2</v>
      </c>
      <c r="H1903" s="1">
        <v>1</v>
      </c>
      <c r="I1903" t="s">
        <v>6191</v>
      </c>
      <c r="L1903" s="1">
        <v>12</v>
      </c>
      <c r="M1903" s="3">
        <v>24.59</v>
      </c>
      <c r="N1903" s="3">
        <v>1.23</v>
      </c>
      <c r="O1903" s="3">
        <v>0</v>
      </c>
      <c r="P1903" s="3">
        <v>1.2</v>
      </c>
      <c r="Q1903" s="3">
        <v>27.02</v>
      </c>
      <c r="R1903" s="3">
        <v>18.95</v>
      </c>
      <c r="S1903" s="3">
        <f>VLOOKUP(C1903,[1]page!$C$2:$M$3071,11,0)</f>
        <v>24.59</v>
      </c>
      <c r="T1903" s="6">
        <f t="shared" si="30"/>
        <v>0</v>
      </c>
    </row>
    <row r="1904" spans="1:20" x14ac:dyDescent="0.2">
      <c r="A1904" t="s">
        <v>6186</v>
      </c>
      <c r="B1904" t="s">
        <v>6377</v>
      </c>
      <c r="C1904" t="s">
        <v>6378</v>
      </c>
      <c r="D1904" t="s">
        <v>6379</v>
      </c>
      <c r="E1904" t="s">
        <v>6380</v>
      </c>
      <c r="F1904" t="s">
        <v>5861</v>
      </c>
      <c r="G1904" s="1">
        <v>5</v>
      </c>
      <c r="H1904" s="1">
        <v>1</v>
      </c>
      <c r="I1904" t="s">
        <v>6381</v>
      </c>
      <c r="L1904" s="1">
        <v>12</v>
      </c>
      <c r="M1904" s="3">
        <v>26.47</v>
      </c>
      <c r="N1904" s="3">
        <v>1.32</v>
      </c>
      <c r="O1904" s="3">
        <v>0</v>
      </c>
      <c r="P1904" s="3">
        <v>1.2</v>
      </c>
      <c r="Q1904" s="3">
        <v>28.99</v>
      </c>
      <c r="R1904" s="3">
        <v>18.95</v>
      </c>
      <c r="S1904" s="3">
        <f>VLOOKUP(C1904,[1]page!$C$2:$M$3071,11,0)</f>
        <v>26.47</v>
      </c>
      <c r="T1904" s="6">
        <f t="shared" si="30"/>
        <v>0</v>
      </c>
    </row>
    <row r="1905" spans="1:20" x14ac:dyDescent="0.2">
      <c r="A1905" t="s">
        <v>6186</v>
      </c>
      <c r="B1905" t="s">
        <v>6382</v>
      </c>
      <c r="C1905" t="s">
        <v>6383</v>
      </c>
      <c r="D1905" t="s">
        <v>6384</v>
      </c>
      <c r="E1905" t="s">
        <v>6190</v>
      </c>
      <c r="F1905" t="s">
        <v>5861</v>
      </c>
      <c r="G1905" s="2">
        <v>4.5</v>
      </c>
      <c r="H1905" s="1">
        <v>1</v>
      </c>
      <c r="I1905" t="s">
        <v>6191</v>
      </c>
      <c r="L1905" s="1">
        <v>12</v>
      </c>
      <c r="M1905" s="3">
        <v>29.99</v>
      </c>
      <c r="N1905" s="3">
        <v>1.5</v>
      </c>
      <c r="O1905" s="3">
        <v>0</v>
      </c>
      <c r="P1905" s="3">
        <v>1.2</v>
      </c>
      <c r="Q1905" s="3">
        <v>32.69</v>
      </c>
      <c r="R1905" s="3">
        <v>18.95</v>
      </c>
      <c r="S1905" s="3">
        <f>VLOOKUP(C1905,[1]page!$C$2:$M$3071,11,0)</f>
        <v>29.99</v>
      </c>
      <c r="T1905" s="6">
        <f t="shared" si="30"/>
        <v>0</v>
      </c>
    </row>
    <row r="1906" spans="1:20" x14ac:dyDescent="0.2">
      <c r="A1906" t="s">
        <v>6186</v>
      </c>
      <c r="B1906" t="s">
        <v>6385</v>
      </c>
      <c r="C1906" t="s">
        <v>6386</v>
      </c>
      <c r="D1906" t="s">
        <v>6387</v>
      </c>
      <c r="E1906" t="s">
        <v>6241</v>
      </c>
      <c r="F1906" t="s">
        <v>5861</v>
      </c>
      <c r="G1906" s="2">
        <v>4.5</v>
      </c>
      <c r="H1906" s="1">
        <v>1</v>
      </c>
      <c r="I1906" t="s">
        <v>6191</v>
      </c>
      <c r="L1906" s="1">
        <v>12</v>
      </c>
      <c r="M1906" s="3">
        <v>29.99</v>
      </c>
      <c r="N1906" s="3">
        <v>1.5</v>
      </c>
      <c r="O1906" s="3">
        <v>0</v>
      </c>
      <c r="P1906" s="3">
        <v>1.2</v>
      </c>
      <c r="Q1906" s="3">
        <v>32.69</v>
      </c>
      <c r="R1906" s="3">
        <v>18.95</v>
      </c>
      <c r="S1906" s="3">
        <f>VLOOKUP(C1906,[1]page!$C$2:$M$3071,11,0)</f>
        <v>29.99</v>
      </c>
      <c r="T1906" s="6">
        <f t="shared" si="30"/>
        <v>0</v>
      </c>
    </row>
    <row r="1907" spans="1:20" x14ac:dyDescent="0.2">
      <c r="A1907" t="s">
        <v>6186</v>
      </c>
      <c r="B1907" t="s">
        <v>6388</v>
      </c>
      <c r="C1907" t="s">
        <v>6389</v>
      </c>
      <c r="D1907" t="s">
        <v>6390</v>
      </c>
      <c r="E1907" t="s">
        <v>6195</v>
      </c>
      <c r="F1907" t="s">
        <v>5861</v>
      </c>
      <c r="G1907" s="2">
        <v>0.5</v>
      </c>
      <c r="H1907" s="1">
        <v>1</v>
      </c>
      <c r="I1907" t="s">
        <v>5961</v>
      </c>
      <c r="L1907" s="1">
        <v>12</v>
      </c>
      <c r="M1907" s="3">
        <v>13.49</v>
      </c>
      <c r="N1907" s="3">
        <v>0.67</v>
      </c>
      <c r="O1907" s="3">
        <v>0.81</v>
      </c>
      <c r="P1907" s="3">
        <v>1.2</v>
      </c>
      <c r="Q1907" s="3">
        <v>16.170000000000002</v>
      </c>
      <c r="R1907" s="3">
        <v>18.95</v>
      </c>
      <c r="S1907" s="3">
        <f>VLOOKUP(C1907,[1]page!$C$2:$M$3071,11,0)</f>
        <v>13.49</v>
      </c>
      <c r="T1907" s="6">
        <f t="shared" si="30"/>
        <v>0</v>
      </c>
    </row>
    <row r="1908" spans="1:20" x14ac:dyDescent="0.2">
      <c r="A1908" t="s">
        <v>6186</v>
      </c>
      <c r="B1908" t="s">
        <v>6391</v>
      </c>
      <c r="C1908" t="s">
        <v>6392</v>
      </c>
      <c r="D1908" t="s">
        <v>6393</v>
      </c>
      <c r="E1908" t="s">
        <v>6195</v>
      </c>
      <c r="F1908" t="s">
        <v>5861</v>
      </c>
      <c r="G1908" s="1">
        <v>5</v>
      </c>
      <c r="H1908" s="1">
        <v>1</v>
      </c>
      <c r="I1908" t="s">
        <v>5961</v>
      </c>
      <c r="L1908" s="1">
        <v>12</v>
      </c>
      <c r="M1908" s="3">
        <v>23.29</v>
      </c>
      <c r="N1908" s="3">
        <v>1.1599999999999999</v>
      </c>
      <c r="O1908" s="3">
        <v>0</v>
      </c>
      <c r="P1908" s="3">
        <v>1.2</v>
      </c>
      <c r="Q1908" s="3">
        <v>25.65</v>
      </c>
      <c r="R1908" s="3">
        <v>18.95</v>
      </c>
      <c r="S1908" s="3">
        <f>VLOOKUP(C1908,[1]page!$C$2:$M$3071,11,0)</f>
        <v>23.29</v>
      </c>
      <c r="T1908" s="6">
        <f t="shared" si="30"/>
        <v>0</v>
      </c>
    </row>
    <row r="1909" spans="1:20" x14ac:dyDescent="0.2">
      <c r="A1909" t="s">
        <v>6186</v>
      </c>
      <c r="B1909" t="s">
        <v>6394</v>
      </c>
      <c r="C1909" t="s">
        <v>6395</v>
      </c>
      <c r="D1909" t="s">
        <v>6396</v>
      </c>
      <c r="E1909" t="s">
        <v>6277</v>
      </c>
      <c r="F1909" t="s">
        <v>5861</v>
      </c>
      <c r="G1909" s="1">
        <v>5</v>
      </c>
      <c r="H1909" s="1">
        <v>1</v>
      </c>
      <c r="I1909" t="s">
        <v>5920</v>
      </c>
      <c r="L1909" s="1">
        <v>12</v>
      </c>
      <c r="M1909" s="3">
        <v>27.2</v>
      </c>
      <c r="N1909" s="3">
        <v>1.36</v>
      </c>
      <c r="O1909" s="3">
        <v>0</v>
      </c>
      <c r="P1909" s="3">
        <v>1.2</v>
      </c>
      <c r="Q1909" s="3">
        <v>29.76</v>
      </c>
      <c r="R1909" s="3">
        <v>18.95</v>
      </c>
      <c r="S1909" s="3">
        <f>VLOOKUP(C1909,[1]page!$C$2:$M$3071,11,0)</f>
        <v>27.2</v>
      </c>
      <c r="T1909" s="6">
        <f t="shared" si="30"/>
        <v>0</v>
      </c>
    </row>
    <row r="1910" spans="1:20" x14ac:dyDescent="0.2">
      <c r="A1910" t="s">
        <v>6186</v>
      </c>
      <c r="B1910" t="s">
        <v>6397</v>
      </c>
      <c r="C1910" t="s">
        <v>6398</v>
      </c>
      <c r="D1910" t="s">
        <v>6399</v>
      </c>
      <c r="E1910" t="s">
        <v>6400</v>
      </c>
      <c r="F1910" t="s">
        <v>5861</v>
      </c>
      <c r="G1910" s="1">
        <v>5</v>
      </c>
      <c r="H1910" s="1">
        <v>1</v>
      </c>
      <c r="I1910" t="s">
        <v>6401</v>
      </c>
      <c r="L1910" s="1">
        <v>12</v>
      </c>
      <c r="M1910" s="3">
        <v>31</v>
      </c>
      <c r="N1910" s="3">
        <v>1.55</v>
      </c>
      <c r="O1910" s="3">
        <v>0</v>
      </c>
      <c r="P1910" s="3">
        <v>1.2</v>
      </c>
      <c r="Q1910" s="3">
        <v>33.75</v>
      </c>
      <c r="R1910" s="3">
        <v>18.95</v>
      </c>
      <c r="S1910" s="3">
        <f>VLOOKUP(C1910,[1]page!$C$2:$M$3071,11,0)</f>
        <v>31</v>
      </c>
      <c r="T1910" s="6">
        <f t="shared" si="30"/>
        <v>0</v>
      </c>
    </row>
    <row r="1911" spans="1:20" x14ac:dyDescent="0.2">
      <c r="A1911" t="s">
        <v>6186</v>
      </c>
      <c r="B1911" t="s">
        <v>6402</v>
      </c>
      <c r="C1911" t="s">
        <v>6403</v>
      </c>
      <c r="D1911" t="s">
        <v>6404</v>
      </c>
      <c r="E1911" t="s">
        <v>6284</v>
      </c>
      <c r="F1911" t="s">
        <v>5861</v>
      </c>
      <c r="G1911" s="1">
        <v>5</v>
      </c>
      <c r="H1911" s="1">
        <v>1</v>
      </c>
      <c r="I1911" t="s">
        <v>6285</v>
      </c>
      <c r="L1911" s="1">
        <v>12</v>
      </c>
      <c r="M1911" s="3">
        <v>17.39</v>
      </c>
      <c r="N1911" s="3">
        <v>0.87</v>
      </c>
      <c r="O1911" s="3">
        <v>0</v>
      </c>
      <c r="P1911" s="3">
        <v>1.2</v>
      </c>
      <c r="Q1911" s="3">
        <v>19.46</v>
      </c>
      <c r="R1911" s="3">
        <v>18.95</v>
      </c>
      <c r="S1911" s="3" t="e">
        <f>VLOOKUP(C1911,[1]page!$C$2:$M$3071,11,0)</f>
        <v>#N/A</v>
      </c>
      <c r="T1911" s="6" t="e">
        <f t="shared" si="30"/>
        <v>#N/A</v>
      </c>
    </row>
    <row r="1912" spans="1:20" x14ac:dyDescent="0.2">
      <c r="A1912" t="s">
        <v>6186</v>
      </c>
      <c r="B1912" t="s">
        <v>6405</v>
      </c>
      <c r="C1912" t="s">
        <v>6406</v>
      </c>
      <c r="D1912" t="s">
        <v>6407</v>
      </c>
      <c r="E1912" t="s">
        <v>6284</v>
      </c>
      <c r="F1912" t="s">
        <v>5861</v>
      </c>
      <c r="G1912" s="2">
        <v>5.5</v>
      </c>
      <c r="H1912" s="1">
        <v>1</v>
      </c>
      <c r="I1912" t="s">
        <v>6285</v>
      </c>
      <c r="L1912" s="1">
        <v>12</v>
      </c>
      <c r="M1912" s="3">
        <v>17.39</v>
      </c>
      <c r="N1912" s="3">
        <v>0.87</v>
      </c>
      <c r="O1912" s="3">
        <v>0</v>
      </c>
      <c r="P1912" s="3">
        <v>1.2</v>
      </c>
      <c r="Q1912" s="3">
        <v>19.46</v>
      </c>
      <c r="R1912" s="3">
        <v>18.95</v>
      </c>
      <c r="S1912" s="3" t="e">
        <f>VLOOKUP(C1912,[1]page!$C$2:$M$3071,11,0)</f>
        <v>#N/A</v>
      </c>
      <c r="T1912" s="6" t="e">
        <f t="shared" si="30"/>
        <v>#N/A</v>
      </c>
    </row>
    <row r="1913" spans="1:20" x14ac:dyDescent="0.2">
      <c r="A1913" t="s">
        <v>6186</v>
      </c>
      <c r="B1913" t="s">
        <v>6408</v>
      </c>
      <c r="C1913" t="s">
        <v>6409</v>
      </c>
      <c r="D1913" t="s">
        <v>6410</v>
      </c>
      <c r="E1913" t="s">
        <v>6319</v>
      </c>
      <c r="F1913" t="s">
        <v>5861</v>
      </c>
      <c r="G1913" s="1">
        <v>5</v>
      </c>
      <c r="H1913" s="1">
        <v>1</v>
      </c>
      <c r="I1913" t="s">
        <v>5617</v>
      </c>
      <c r="L1913" s="1">
        <v>12</v>
      </c>
      <c r="M1913" s="3">
        <v>24.56</v>
      </c>
      <c r="N1913" s="3">
        <v>1.23</v>
      </c>
      <c r="O1913" s="3">
        <v>0</v>
      </c>
      <c r="P1913" s="3">
        <v>1.2</v>
      </c>
      <c r="Q1913" s="3">
        <v>26.99</v>
      </c>
      <c r="R1913" s="3">
        <v>18.95</v>
      </c>
      <c r="S1913" s="3">
        <f>VLOOKUP(C1913,[1]page!$C$2:$M$3071,11,0)</f>
        <v>24.56</v>
      </c>
      <c r="T1913" s="6">
        <f t="shared" si="30"/>
        <v>0</v>
      </c>
    </row>
    <row r="1914" spans="1:20" x14ac:dyDescent="0.2">
      <c r="A1914" t="s">
        <v>6186</v>
      </c>
      <c r="B1914" t="s">
        <v>6411</v>
      </c>
      <c r="C1914" t="s">
        <v>6412</v>
      </c>
      <c r="D1914" t="s">
        <v>6413</v>
      </c>
      <c r="E1914" t="s">
        <v>6319</v>
      </c>
      <c r="F1914" t="s">
        <v>5861</v>
      </c>
      <c r="G1914" s="1">
        <v>4</v>
      </c>
      <c r="H1914" s="1">
        <v>1</v>
      </c>
      <c r="I1914" t="s">
        <v>5617</v>
      </c>
      <c r="L1914" s="1">
        <v>12</v>
      </c>
      <c r="M1914" s="3">
        <v>26.47</v>
      </c>
      <c r="N1914" s="3">
        <v>1.32</v>
      </c>
      <c r="O1914" s="3">
        <v>0</v>
      </c>
      <c r="P1914" s="3">
        <v>1.2</v>
      </c>
      <c r="Q1914" s="3">
        <v>28.99</v>
      </c>
      <c r="R1914" s="3">
        <v>18.95</v>
      </c>
      <c r="S1914" s="3">
        <f>VLOOKUP(C1914,[1]page!$C$2:$M$3071,11,0)</f>
        <v>25.51</v>
      </c>
      <c r="T1914" s="6">
        <f t="shared" si="30"/>
        <v>0.9599999999999973</v>
      </c>
    </row>
    <row r="1915" spans="1:20" x14ac:dyDescent="0.2">
      <c r="A1915" t="s">
        <v>6186</v>
      </c>
      <c r="B1915" t="s">
        <v>6414</v>
      </c>
      <c r="C1915" t="s">
        <v>6415</v>
      </c>
      <c r="D1915" t="s">
        <v>6416</v>
      </c>
      <c r="E1915" t="s">
        <v>6319</v>
      </c>
      <c r="F1915" t="s">
        <v>5861</v>
      </c>
      <c r="G1915" s="1">
        <v>5</v>
      </c>
      <c r="H1915" s="1">
        <v>1</v>
      </c>
      <c r="I1915" t="s">
        <v>5617</v>
      </c>
      <c r="L1915" s="1">
        <v>12</v>
      </c>
      <c r="M1915" s="3">
        <v>25.51</v>
      </c>
      <c r="N1915" s="3">
        <v>1.28</v>
      </c>
      <c r="O1915" s="3">
        <v>0</v>
      </c>
      <c r="P1915" s="3">
        <v>1.2</v>
      </c>
      <c r="Q1915" s="3">
        <v>27.99</v>
      </c>
      <c r="R1915" s="3">
        <v>18.95</v>
      </c>
      <c r="S1915" s="3">
        <f>VLOOKUP(C1915,[1]page!$C$2:$M$3071,11,0)</f>
        <v>25.51</v>
      </c>
      <c r="T1915" s="6">
        <f t="shared" si="30"/>
        <v>0</v>
      </c>
    </row>
    <row r="1916" spans="1:20" x14ac:dyDescent="0.2">
      <c r="A1916" t="s">
        <v>6186</v>
      </c>
      <c r="B1916" t="s">
        <v>6417</v>
      </c>
      <c r="C1916" t="s">
        <v>6418</v>
      </c>
      <c r="D1916" t="s">
        <v>6419</v>
      </c>
      <c r="E1916" t="s">
        <v>6195</v>
      </c>
      <c r="F1916" t="s">
        <v>5861</v>
      </c>
      <c r="G1916" s="2">
        <v>4.5</v>
      </c>
      <c r="H1916" s="1">
        <v>1</v>
      </c>
      <c r="I1916" t="s">
        <v>5961</v>
      </c>
      <c r="L1916" s="1">
        <v>12</v>
      </c>
      <c r="M1916" s="3">
        <v>29</v>
      </c>
      <c r="N1916" s="3">
        <v>1.45</v>
      </c>
      <c r="O1916" s="3">
        <v>0</v>
      </c>
      <c r="P1916" s="3">
        <v>1.2</v>
      </c>
      <c r="Q1916" s="3">
        <v>31.65</v>
      </c>
      <c r="R1916" s="3">
        <v>18.95</v>
      </c>
      <c r="S1916" s="3">
        <f>VLOOKUP(C1916,[1]page!$C$2:$M$3071,11,0)</f>
        <v>29</v>
      </c>
      <c r="T1916" s="6">
        <f t="shared" si="30"/>
        <v>0</v>
      </c>
    </row>
    <row r="1917" spans="1:20" x14ac:dyDescent="0.2">
      <c r="A1917" t="s">
        <v>6186</v>
      </c>
      <c r="B1917" t="s">
        <v>6420</v>
      </c>
      <c r="C1917" t="s">
        <v>6421</v>
      </c>
      <c r="D1917" t="s">
        <v>6422</v>
      </c>
      <c r="E1917" t="s">
        <v>6423</v>
      </c>
      <c r="F1917" t="s">
        <v>5861</v>
      </c>
      <c r="G1917" s="2">
        <v>5.2</v>
      </c>
      <c r="H1917" s="1">
        <v>1</v>
      </c>
      <c r="I1917" t="s">
        <v>6191</v>
      </c>
      <c r="L1917" s="1">
        <v>12</v>
      </c>
      <c r="M1917" s="3">
        <v>27.98</v>
      </c>
      <c r="N1917" s="3">
        <v>1.4</v>
      </c>
      <c r="O1917" s="3">
        <v>0</v>
      </c>
      <c r="P1917" s="3">
        <v>1.2</v>
      </c>
      <c r="Q1917" s="3">
        <v>30.58</v>
      </c>
      <c r="R1917" s="3">
        <v>18.95</v>
      </c>
      <c r="S1917" s="3">
        <f>VLOOKUP(C1917,[1]page!$C$2:$M$3071,11,0)</f>
        <v>27.98</v>
      </c>
      <c r="T1917" s="6">
        <f t="shared" si="30"/>
        <v>0</v>
      </c>
    </row>
    <row r="1918" spans="1:20" x14ac:dyDescent="0.2">
      <c r="A1918" t="s">
        <v>6186</v>
      </c>
      <c r="B1918" t="s">
        <v>6424</v>
      </c>
      <c r="C1918" t="s">
        <v>6425</v>
      </c>
      <c r="D1918" t="s">
        <v>6426</v>
      </c>
      <c r="E1918" t="s">
        <v>6284</v>
      </c>
      <c r="F1918" t="s">
        <v>5861</v>
      </c>
      <c r="G1918" s="1">
        <v>5</v>
      </c>
      <c r="H1918" s="1">
        <v>1</v>
      </c>
      <c r="I1918" t="s">
        <v>6285</v>
      </c>
      <c r="L1918" s="1">
        <v>12</v>
      </c>
      <c r="M1918" s="3">
        <v>26.45</v>
      </c>
      <c r="N1918" s="3">
        <v>1.32</v>
      </c>
      <c r="O1918" s="3">
        <v>0</v>
      </c>
      <c r="P1918" s="3">
        <v>1.2</v>
      </c>
      <c r="Q1918" s="3">
        <v>28.97</v>
      </c>
      <c r="R1918" s="3">
        <v>18.95</v>
      </c>
      <c r="S1918" s="3">
        <f>VLOOKUP(C1918,[1]page!$C$2:$M$3071,11,0)</f>
        <v>26.45</v>
      </c>
      <c r="T1918" s="6">
        <f t="shared" si="30"/>
        <v>0</v>
      </c>
    </row>
    <row r="1919" spans="1:20" x14ac:dyDescent="0.2">
      <c r="A1919" t="s">
        <v>6186</v>
      </c>
      <c r="B1919" t="s">
        <v>6427</v>
      </c>
      <c r="C1919" t="s">
        <v>6428</v>
      </c>
      <c r="D1919" t="s">
        <v>6429</v>
      </c>
      <c r="E1919" t="s">
        <v>6190</v>
      </c>
      <c r="F1919" t="s">
        <v>6430</v>
      </c>
      <c r="G1919" s="1">
        <v>4</v>
      </c>
      <c r="H1919" s="1">
        <v>1</v>
      </c>
      <c r="I1919" t="s">
        <v>6191</v>
      </c>
      <c r="L1919" s="1">
        <v>15</v>
      </c>
      <c r="M1919" s="3">
        <v>31.48</v>
      </c>
      <c r="N1919" s="3">
        <v>1.57</v>
      </c>
      <c r="O1919" s="3">
        <v>0</v>
      </c>
      <c r="P1919" s="3">
        <v>1.5</v>
      </c>
      <c r="Q1919" s="3">
        <v>34.549999999999997</v>
      </c>
      <c r="R1919" s="3">
        <v>23.7</v>
      </c>
      <c r="S1919" s="3">
        <f>VLOOKUP(C1919,[1]page!$C$2:$M$3071,11,0)</f>
        <v>31.48</v>
      </c>
      <c r="T1919" s="6">
        <f t="shared" si="30"/>
        <v>0</v>
      </c>
    </row>
    <row r="1920" spans="1:20" x14ac:dyDescent="0.2">
      <c r="A1920" t="s">
        <v>6186</v>
      </c>
      <c r="B1920" t="s">
        <v>6431</v>
      </c>
      <c r="C1920" t="s">
        <v>6432</v>
      </c>
      <c r="D1920" t="s">
        <v>6433</v>
      </c>
      <c r="E1920" t="s">
        <v>6190</v>
      </c>
      <c r="F1920" t="s">
        <v>6430</v>
      </c>
      <c r="G1920" s="1">
        <v>5</v>
      </c>
      <c r="H1920" s="1">
        <v>1</v>
      </c>
      <c r="I1920" t="s">
        <v>6191</v>
      </c>
      <c r="L1920" s="1">
        <v>15</v>
      </c>
      <c r="M1920" s="3">
        <v>31.48</v>
      </c>
      <c r="N1920" s="3">
        <v>1.57</v>
      </c>
      <c r="O1920" s="3">
        <v>0</v>
      </c>
      <c r="P1920" s="3">
        <v>1.5</v>
      </c>
      <c r="Q1920" s="3">
        <v>34.549999999999997</v>
      </c>
      <c r="R1920" s="3">
        <v>23.7</v>
      </c>
      <c r="S1920" s="3">
        <f>VLOOKUP(C1920,[1]page!$C$2:$M$3071,11,0)</f>
        <v>31.48</v>
      </c>
      <c r="T1920" s="6">
        <f t="shared" si="30"/>
        <v>0</v>
      </c>
    </row>
    <row r="1921" spans="1:20" x14ac:dyDescent="0.2">
      <c r="A1921" t="s">
        <v>6186</v>
      </c>
      <c r="B1921" t="s">
        <v>6434</v>
      </c>
      <c r="C1921" t="s">
        <v>6435</v>
      </c>
      <c r="D1921" t="s">
        <v>6436</v>
      </c>
      <c r="E1921" t="s">
        <v>6190</v>
      </c>
      <c r="F1921" t="s">
        <v>6430</v>
      </c>
      <c r="G1921" s="2">
        <v>4.3</v>
      </c>
      <c r="H1921" s="1">
        <v>1</v>
      </c>
      <c r="I1921" t="s">
        <v>6191</v>
      </c>
      <c r="L1921" s="1">
        <v>15</v>
      </c>
      <c r="M1921" s="3">
        <v>27.99</v>
      </c>
      <c r="N1921" s="3">
        <v>1.4</v>
      </c>
      <c r="O1921" s="3">
        <v>0</v>
      </c>
      <c r="P1921" s="3">
        <v>1.5</v>
      </c>
      <c r="Q1921" s="3">
        <v>30.89</v>
      </c>
      <c r="R1921" s="3">
        <v>23.7</v>
      </c>
      <c r="S1921" s="3">
        <f>VLOOKUP(C1921,[1]page!$C$2:$M$3071,11,0)</f>
        <v>27.99</v>
      </c>
      <c r="T1921" s="6">
        <f t="shared" si="30"/>
        <v>0</v>
      </c>
    </row>
    <row r="1922" spans="1:20" x14ac:dyDescent="0.2">
      <c r="A1922" t="s">
        <v>6186</v>
      </c>
      <c r="B1922" t="s">
        <v>6437</v>
      </c>
      <c r="C1922" t="s">
        <v>6438</v>
      </c>
      <c r="D1922" t="s">
        <v>6439</v>
      </c>
      <c r="E1922" t="s">
        <v>6195</v>
      </c>
      <c r="F1922" t="s">
        <v>6430</v>
      </c>
      <c r="G1922" s="1">
        <v>5</v>
      </c>
      <c r="H1922" s="1">
        <v>1</v>
      </c>
      <c r="I1922" t="s">
        <v>5961</v>
      </c>
      <c r="L1922" s="1">
        <v>15</v>
      </c>
      <c r="M1922" s="3">
        <v>31.5</v>
      </c>
      <c r="N1922" s="3">
        <v>1.58</v>
      </c>
      <c r="O1922" s="3">
        <v>0</v>
      </c>
      <c r="P1922" s="3">
        <v>1.5</v>
      </c>
      <c r="Q1922" s="3">
        <v>34.58</v>
      </c>
      <c r="R1922" s="3">
        <v>23.7</v>
      </c>
      <c r="S1922" s="3">
        <f>VLOOKUP(C1922,[1]page!$C$2:$M$3071,11,0)</f>
        <v>31.5</v>
      </c>
      <c r="T1922" s="6">
        <f t="shared" si="30"/>
        <v>0</v>
      </c>
    </row>
    <row r="1923" spans="1:20" x14ac:dyDescent="0.2">
      <c r="A1923" t="s">
        <v>6186</v>
      </c>
      <c r="B1923" t="s">
        <v>6440</v>
      </c>
      <c r="C1923" t="s">
        <v>6441</v>
      </c>
      <c r="D1923" t="s">
        <v>6442</v>
      </c>
      <c r="E1923" t="s">
        <v>6195</v>
      </c>
      <c r="F1923" t="s">
        <v>6430</v>
      </c>
      <c r="G1923" s="1">
        <v>4</v>
      </c>
      <c r="H1923" s="1">
        <v>1</v>
      </c>
      <c r="I1923" t="s">
        <v>5961</v>
      </c>
      <c r="L1923" s="1">
        <v>15</v>
      </c>
      <c r="M1923" s="3">
        <v>31.5</v>
      </c>
      <c r="N1923" s="3">
        <v>1.58</v>
      </c>
      <c r="O1923" s="3">
        <v>0</v>
      </c>
      <c r="P1923" s="3">
        <v>1.5</v>
      </c>
      <c r="Q1923" s="3">
        <v>34.58</v>
      </c>
      <c r="R1923" s="3">
        <v>23.7</v>
      </c>
      <c r="S1923" s="3">
        <f>VLOOKUP(C1923,[1]page!$C$2:$M$3071,11,0)</f>
        <v>31.5</v>
      </c>
      <c r="T1923" s="6">
        <f t="shared" si="30"/>
        <v>0</v>
      </c>
    </row>
    <row r="1924" spans="1:20" x14ac:dyDescent="0.2">
      <c r="A1924" t="s">
        <v>6186</v>
      </c>
      <c r="B1924" t="s">
        <v>6443</v>
      </c>
      <c r="C1924" t="s">
        <v>6444</v>
      </c>
      <c r="D1924" t="s">
        <v>6445</v>
      </c>
      <c r="E1924" t="s">
        <v>6190</v>
      </c>
      <c r="F1924" t="s">
        <v>6430</v>
      </c>
      <c r="G1924" s="1">
        <v>5</v>
      </c>
      <c r="H1924" s="1">
        <v>1</v>
      </c>
      <c r="I1924" t="s">
        <v>6191</v>
      </c>
      <c r="L1924" s="1">
        <v>15</v>
      </c>
      <c r="M1924" s="3">
        <v>31.48</v>
      </c>
      <c r="N1924" s="3">
        <v>1.57</v>
      </c>
      <c r="O1924" s="3">
        <v>0</v>
      </c>
      <c r="P1924" s="3">
        <v>1.5</v>
      </c>
      <c r="Q1924" s="3">
        <v>34.549999999999997</v>
      </c>
      <c r="R1924" s="3">
        <v>23.7</v>
      </c>
      <c r="S1924" s="3">
        <f>VLOOKUP(C1924,[1]page!$C$2:$M$3071,11,0)</f>
        <v>31.48</v>
      </c>
      <c r="T1924" s="6">
        <f t="shared" si="30"/>
        <v>0</v>
      </c>
    </row>
    <row r="1925" spans="1:20" x14ac:dyDescent="0.2">
      <c r="A1925" t="s">
        <v>6186</v>
      </c>
      <c r="B1925" t="s">
        <v>6446</v>
      </c>
      <c r="C1925" t="s">
        <v>6447</v>
      </c>
      <c r="D1925" t="s">
        <v>6448</v>
      </c>
      <c r="E1925" t="s">
        <v>6190</v>
      </c>
      <c r="F1925" t="s">
        <v>6430</v>
      </c>
      <c r="G1925" s="1">
        <v>4</v>
      </c>
      <c r="H1925" s="1">
        <v>1</v>
      </c>
      <c r="I1925" t="s">
        <v>6191</v>
      </c>
      <c r="L1925" s="1">
        <v>15</v>
      </c>
      <c r="M1925" s="3">
        <v>33.49</v>
      </c>
      <c r="N1925" s="3">
        <v>1.67</v>
      </c>
      <c r="O1925" s="3">
        <v>0</v>
      </c>
      <c r="P1925" s="3">
        <v>1.5</v>
      </c>
      <c r="Q1925" s="3">
        <v>36.659999999999997</v>
      </c>
      <c r="R1925" s="3">
        <v>23.7</v>
      </c>
      <c r="S1925" s="3">
        <f>VLOOKUP(C1925,[1]page!$C$2:$M$3071,11,0)</f>
        <v>33.49</v>
      </c>
      <c r="T1925" s="6">
        <f t="shared" si="30"/>
        <v>0</v>
      </c>
    </row>
    <row r="1926" spans="1:20" x14ac:dyDescent="0.2">
      <c r="A1926" t="s">
        <v>6186</v>
      </c>
      <c r="B1926" t="s">
        <v>6449</v>
      </c>
      <c r="C1926" t="s">
        <v>6450</v>
      </c>
      <c r="D1926" t="s">
        <v>6451</v>
      </c>
      <c r="E1926" t="s">
        <v>6284</v>
      </c>
      <c r="F1926" t="s">
        <v>5915</v>
      </c>
      <c r="G1926" s="1">
        <v>5</v>
      </c>
      <c r="H1926" s="1">
        <v>1</v>
      </c>
      <c r="I1926" t="s">
        <v>6285</v>
      </c>
      <c r="L1926" s="1">
        <v>15</v>
      </c>
      <c r="M1926" s="3">
        <v>25.32</v>
      </c>
      <c r="N1926" s="3">
        <v>1.27</v>
      </c>
      <c r="O1926" s="3">
        <v>0</v>
      </c>
      <c r="P1926" s="3">
        <v>1.5</v>
      </c>
      <c r="Q1926" s="3">
        <v>28.09</v>
      </c>
      <c r="R1926" s="3">
        <v>23.7</v>
      </c>
      <c r="S1926" s="3">
        <f>VLOOKUP(C1926,[1]page!$C$2:$M$3071,11,0)</f>
        <v>25.32</v>
      </c>
      <c r="T1926" s="6">
        <f t="shared" si="30"/>
        <v>0</v>
      </c>
    </row>
    <row r="1927" spans="1:20" x14ac:dyDescent="0.2">
      <c r="A1927" t="s">
        <v>6186</v>
      </c>
      <c r="B1927" t="s">
        <v>6452</v>
      </c>
      <c r="C1927" t="s">
        <v>6453</v>
      </c>
      <c r="D1927" t="s">
        <v>6454</v>
      </c>
      <c r="E1927" t="s">
        <v>6284</v>
      </c>
      <c r="F1927" t="s">
        <v>5915</v>
      </c>
      <c r="G1927" s="1">
        <v>4</v>
      </c>
      <c r="H1927" s="1">
        <v>1</v>
      </c>
      <c r="I1927" t="s">
        <v>6285</v>
      </c>
      <c r="L1927" s="1">
        <v>15</v>
      </c>
      <c r="M1927" s="3">
        <v>25.32</v>
      </c>
      <c r="N1927" s="3">
        <v>1.27</v>
      </c>
      <c r="O1927" s="3">
        <v>0</v>
      </c>
      <c r="P1927" s="3">
        <v>1.5</v>
      </c>
      <c r="Q1927" s="3">
        <v>28.09</v>
      </c>
      <c r="R1927" s="3">
        <v>23.7</v>
      </c>
      <c r="S1927" s="3">
        <f>VLOOKUP(C1927,[1]page!$C$2:$M$3071,11,0)</f>
        <v>25.32</v>
      </c>
      <c r="T1927" s="6">
        <f t="shared" si="30"/>
        <v>0</v>
      </c>
    </row>
    <row r="1928" spans="1:20" x14ac:dyDescent="0.2">
      <c r="A1928" t="s">
        <v>6186</v>
      </c>
      <c r="B1928" t="s">
        <v>6455</v>
      </c>
      <c r="C1928" t="s">
        <v>6456</v>
      </c>
      <c r="D1928" t="s">
        <v>6457</v>
      </c>
      <c r="E1928" t="s">
        <v>6284</v>
      </c>
      <c r="F1928" t="s">
        <v>5915</v>
      </c>
      <c r="G1928" s="1">
        <v>5</v>
      </c>
      <c r="H1928" s="1">
        <v>1</v>
      </c>
      <c r="I1928" t="s">
        <v>6285</v>
      </c>
      <c r="L1928" s="1">
        <v>15</v>
      </c>
      <c r="M1928" s="3">
        <v>25.32</v>
      </c>
      <c r="N1928" s="3">
        <v>1.27</v>
      </c>
      <c r="O1928" s="3">
        <v>0</v>
      </c>
      <c r="P1928" s="3">
        <v>1.5</v>
      </c>
      <c r="Q1928" s="3">
        <v>28.09</v>
      </c>
      <c r="R1928" s="3">
        <v>23.7</v>
      </c>
      <c r="S1928" s="3">
        <f>VLOOKUP(C1928,[1]page!$C$2:$M$3071,11,0)</f>
        <v>25.32</v>
      </c>
      <c r="T1928" s="6">
        <f t="shared" si="30"/>
        <v>0</v>
      </c>
    </row>
    <row r="1929" spans="1:20" x14ac:dyDescent="0.2">
      <c r="A1929" t="s">
        <v>6186</v>
      </c>
      <c r="B1929" t="s">
        <v>6458</v>
      </c>
      <c r="C1929" t="s">
        <v>6459</v>
      </c>
      <c r="D1929" t="s">
        <v>6460</v>
      </c>
      <c r="E1929" t="s">
        <v>6190</v>
      </c>
      <c r="F1929" t="s">
        <v>5915</v>
      </c>
      <c r="G1929" s="1">
        <v>5</v>
      </c>
      <c r="H1929" s="1">
        <v>1</v>
      </c>
      <c r="I1929" t="s">
        <v>6191</v>
      </c>
      <c r="L1929" s="1">
        <v>15</v>
      </c>
      <c r="M1929" s="3">
        <v>34.49</v>
      </c>
      <c r="N1929" s="3">
        <v>1.72</v>
      </c>
      <c r="O1929" s="3">
        <v>0</v>
      </c>
      <c r="P1929" s="3">
        <v>1.5</v>
      </c>
      <c r="Q1929" s="3">
        <v>37.71</v>
      </c>
      <c r="R1929" s="3">
        <v>23.7</v>
      </c>
      <c r="S1929" s="3">
        <f>VLOOKUP(C1929,[1]page!$C$2:$M$3071,11,0)</f>
        <v>34.49</v>
      </c>
      <c r="T1929" s="6">
        <f t="shared" si="30"/>
        <v>0</v>
      </c>
    </row>
    <row r="1930" spans="1:20" x14ac:dyDescent="0.2">
      <c r="A1930" t="s">
        <v>6186</v>
      </c>
      <c r="B1930" t="s">
        <v>6461</v>
      </c>
      <c r="C1930" t="s">
        <v>6462</v>
      </c>
      <c r="D1930" t="s">
        <v>6463</v>
      </c>
      <c r="E1930" t="s">
        <v>6195</v>
      </c>
      <c r="F1930" t="s">
        <v>5915</v>
      </c>
      <c r="G1930" s="2">
        <v>6.1</v>
      </c>
      <c r="H1930" s="1">
        <v>1</v>
      </c>
      <c r="I1930" t="s">
        <v>5961</v>
      </c>
      <c r="L1930" s="1">
        <v>15</v>
      </c>
      <c r="M1930" s="3">
        <v>27.59</v>
      </c>
      <c r="N1930" s="3">
        <v>1.38</v>
      </c>
      <c r="O1930" s="3">
        <v>0</v>
      </c>
      <c r="P1930" s="3">
        <v>1.5</v>
      </c>
      <c r="Q1930" s="3">
        <v>30.47</v>
      </c>
      <c r="R1930" s="3">
        <v>23.7</v>
      </c>
      <c r="S1930" s="3">
        <f>VLOOKUP(C1930,[1]page!$C$2:$M$3071,11,0)</f>
        <v>27.59</v>
      </c>
      <c r="T1930" s="6">
        <f t="shared" si="30"/>
        <v>0</v>
      </c>
    </row>
    <row r="1931" spans="1:20" x14ac:dyDescent="0.2">
      <c r="A1931" t="s">
        <v>6186</v>
      </c>
      <c r="B1931" t="s">
        <v>6464</v>
      </c>
      <c r="C1931" t="s">
        <v>6465</v>
      </c>
      <c r="D1931" t="s">
        <v>6466</v>
      </c>
      <c r="E1931" t="s">
        <v>6284</v>
      </c>
      <c r="F1931" t="s">
        <v>5915</v>
      </c>
      <c r="G1931" s="1">
        <v>5</v>
      </c>
      <c r="H1931" s="1">
        <v>1</v>
      </c>
      <c r="I1931" t="s">
        <v>6285</v>
      </c>
      <c r="L1931" s="1">
        <v>15</v>
      </c>
      <c r="M1931" s="3">
        <v>20</v>
      </c>
      <c r="N1931" s="3">
        <v>1</v>
      </c>
      <c r="O1931" s="3">
        <v>0</v>
      </c>
      <c r="P1931" s="3">
        <v>1.5</v>
      </c>
      <c r="Q1931" s="3">
        <v>22.5</v>
      </c>
      <c r="R1931" s="3">
        <v>23.7</v>
      </c>
      <c r="S1931" s="3">
        <f>VLOOKUP(C1931,[1]page!$C$2:$M$3071,11,0)</f>
        <v>20</v>
      </c>
      <c r="T1931" s="6">
        <f t="shared" si="30"/>
        <v>0</v>
      </c>
    </row>
    <row r="1932" spans="1:20" x14ac:dyDescent="0.2">
      <c r="A1932" t="s">
        <v>6186</v>
      </c>
      <c r="B1932" t="s">
        <v>6467</v>
      </c>
      <c r="C1932" t="s">
        <v>6468</v>
      </c>
      <c r="D1932" t="s">
        <v>6469</v>
      </c>
      <c r="E1932" t="s">
        <v>6284</v>
      </c>
      <c r="F1932" t="s">
        <v>5915</v>
      </c>
      <c r="G1932" s="1">
        <v>5</v>
      </c>
      <c r="H1932" s="1">
        <v>1</v>
      </c>
      <c r="I1932" t="s">
        <v>6285</v>
      </c>
      <c r="L1932" s="1">
        <v>15</v>
      </c>
      <c r="M1932" s="3">
        <v>20</v>
      </c>
      <c r="N1932" s="3">
        <v>1</v>
      </c>
      <c r="O1932" s="3">
        <v>0</v>
      </c>
      <c r="P1932" s="3">
        <v>1.5</v>
      </c>
      <c r="Q1932" s="3">
        <v>22.5</v>
      </c>
      <c r="R1932" s="3">
        <v>23.7</v>
      </c>
      <c r="S1932" s="3">
        <f>VLOOKUP(C1932,[1]page!$C$2:$M$3071,11,0)</f>
        <v>20</v>
      </c>
      <c r="T1932" s="6">
        <f t="shared" si="30"/>
        <v>0</v>
      </c>
    </row>
    <row r="1933" spans="1:20" x14ac:dyDescent="0.2">
      <c r="A1933" t="s">
        <v>6186</v>
      </c>
      <c r="B1933" t="s">
        <v>6470</v>
      </c>
      <c r="C1933" t="s">
        <v>6471</v>
      </c>
      <c r="D1933" t="s">
        <v>6472</v>
      </c>
      <c r="E1933" t="s">
        <v>6277</v>
      </c>
      <c r="F1933" t="s">
        <v>5915</v>
      </c>
      <c r="G1933" s="1">
        <v>6</v>
      </c>
      <c r="H1933" s="1">
        <v>1</v>
      </c>
      <c r="I1933" t="s">
        <v>5920</v>
      </c>
      <c r="L1933" s="1">
        <v>15</v>
      </c>
      <c r="M1933" s="3">
        <v>25.85</v>
      </c>
      <c r="N1933" s="3">
        <v>1.29</v>
      </c>
      <c r="O1933" s="3">
        <v>0</v>
      </c>
      <c r="P1933" s="3">
        <v>1.5</v>
      </c>
      <c r="Q1933" s="3">
        <v>28.64</v>
      </c>
      <c r="R1933" s="3">
        <v>23.7</v>
      </c>
      <c r="S1933" s="3">
        <f>VLOOKUP(C1933,[1]page!$C$2:$M$3071,11,0)</f>
        <v>25.85</v>
      </c>
      <c r="T1933" s="6">
        <f t="shared" si="30"/>
        <v>0</v>
      </c>
    </row>
    <row r="1934" spans="1:20" x14ac:dyDescent="0.2">
      <c r="A1934" t="s">
        <v>6186</v>
      </c>
      <c r="B1934" t="s">
        <v>6473</v>
      </c>
      <c r="C1934" t="s">
        <v>6474</v>
      </c>
      <c r="D1934" t="s">
        <v>6475</v>
      </c>
      <c r="E1934" t="s">
        <v>6277</v>
      </c>
      <c r="F1934" t="s">
        <v>5915</v>
      </c>
      <c r="G1934" s="1">
        <v>4</v>
      </c>
      <c r="H1934" s="1">
        <v>1</v>
      </c>
      <c r="I1934" t="s">
        <v>5920</v>
      </c>
      <c r="L1934" s="1">
        <v>15</v>
      </c>
      <c r="M1934" s="3">
        <v>25.85</v>
      </c>
      <c r="N1934" s="3">
        <v>1.29</v>
      </c>
      <c r="O1934" s="3">
        <v>0</v>
      </c>
      <c r="P1934" s="3">
        <v>1.5</v>
      </c>
      <c r="Q1934" s="3">
        <v>28.64</v>
      </c>
      <c r="R1934" s="3">
        <v>23.7</v>
      </c>
      <c r="S1934" s="3">
        <f>VLOOKUP(C1934,[1]page!$C$2:$M$3071,11,0)</f>
        <v>25.85</v>
      </c>
      <c r="T1934" s="6">
        <f t="shared" si="30"/>
        <v>0</v>
      </c>
    </row>
    <row r="1935" spans="1:20" x14ac:dyDescent="0.2">
      <c r="A1935" t="s">
        <v>6186</v>
      </c>
      <c r="B1935" t="s">
        <v>6476</v>
      </c>
      <c r="C1935" t="s">
        <v>6477</v>
      </c>
      <c r="D1935" t="s">
        <v>6478</v>
      </c>
      <c r="E1935" t="s">
        <v>6277</v>
      </c>
      <c r="F1935" t="s">
        <v>5915</v>
      </c>
      <c r="G1935" s="1">
        <v>4</v>
      </c>
      <c r="H1935" s="1">
        <v>1</v>
      </c>
      <c r="I1935" t="s">
        <v>5920</v>
      </c>
      <c r="L1935" s="1">
        <v>15</v>
      </c>
      <c r="M1935" s="3">
        <v>25.85</v>
      </c>
      <c r="N1935" s="3">
        <v>1.29</v>
      </c>
      <c r="O1935" s="3">
        <v>0</v>
      </c>
      <c r="P1935" s="3">
        <v>1.5</v>
      </c>
      <c r="Q1935" s="3">
        <v>28.64</v>
      </c>
      <c r="R1935" s="3">
        <v>23.7</v>
      </c>
      <c r="S1935" s="3">
        <f>VLOOKUP(C1935,[1]page!$C$2:$M$3071,11,0)</f>
        <v>25.85</v>
      </c>
      <c r="T1935" s="6">
        <f t="shared" si="30"/>
        <v>0</v>
      </c>
    </row>
    <row r="1936" spans="1:20" x14ac:dyDescent="0.2">
      <c r="A1936" t="s">
        <v>6186</v>
      </c>
      <c r="B1936" t="s">
        <v>6479</v>
      </c>
      <c r="C1936" t="s">
        <v>6480</v>
      </c>
      <c r="D1936" t="s">
        <v>6481</v>
      </c>
      <c r="E1936" t="s">
        <v>6277</v>
      </c>
      <c r="F1936" t="s">
        <v>5915</v>
      </c>
      <c r="G1936" s="1">
        <v>4</v>
      </c>
      <c r="H1936" s="1">
        <v>1</v>
      </c>
      <c r="I1936" t="s">
        <v>5920</v>
      </c>
      <c r="L1936" s="1">
        <v>15</v>
      </c>
      <c r="M1936" s="3">
        <v>25.85</v>
      </c>
      <c r="N1936" s="3">
        <v>1.29</v>
      </c>
      <c r="O1936" s="3">
        <v>0</v>
      </c>
      <c r="P1936" s="3">
        <v>1.5</v>
      </c>
      <c r="Q1936" s="3">
        <v>28.64</v>
      </c>
      <c r="R1936" s="3">
        <v>23.7</v>
      </c>
      <c r="S1936" s="3">
        <f>VLOOKUP(C1936,[1]page!$C$2:$M$3071,11,0)</f>
        <v>25.85</v>
      </c>
      <c r="T1936" s="6">
        <f t="shared" si="30"/>
        <v>0</v>
      </c>
    </row>
    <row r="1937" spans="1:20" x14ac:dyDescent="0.2">
      <c r="A1937" t="s">
        <v>6186</v>
      </c>
      <c r="B1937" t="s">
        <v>6482</v>
      </c>
      <c r="C1937" t="s">
        <v>6483</v>
      </c>
      <c r="D1937" t="s">
        <v>6484</v>
      </c>
      <c r="E1937" t="s">
        <v>6190</v>
      </c>
      <c r="F1937" t="s">
        <v>5915</v>
      </c>
      <c r="G1937" s="1">
        <v>4</v>
      </c>
      <c r="H1937" s="1">
        <v>1</v>
      </c>
      <c r="I1937" t="s">
        <v>6191</v>
      </c>
      <c r="L1937" s="1">
        <v>15</v>
      </c>
      <c r="M1937" s="3">
        <v>33.28</v>
      </c>
      <c r="N1937" s="3">
        <v>1.66</v>
      </c>
      <c r="O1937" s="3">
        <v>0</v>
      </c>
      <c r="P1937" s="3">
        <v>1.5</v>
      </c>
      <c r="Q1937" s="3">
        <v>36.44</v>
      </c>
      <c r="R1937" s="3">
        <v>23.7</v>
      </c>
      <c r="S1937" s="3">
        <f>VLOOKUP(C1937,[1]page!$C$2:$M$3071,11,0)</f>
        <v>33.28</v>
      </c>
      <c r="T1937" s="6">
        <f t="shared" si="30"/>
        <v>0</v>
      </c>
    </row>
    <row r="1938" spans="1:20" x14ac:dyDescent="0.2">
      <c r="A1938" t="s">
        <v>6186</v>
      </c>
      <c r="B1938" t="s">
        <v>6485</v>
      </c>
      <c r="C1938" t="s">
        <v>6486</v>
      </c>
      <c r="D1938" t="s">
        <v>6487</v>
      </c>
      <c r="E1938" t="s">
        <v>6190</v>
      </c>
      <c r="F1938" t="s">
        <v>5915</v>
      </c>
      <c r="G1938" s="1">
        <v>5</v>
      </c>
      <c r="H1938" s="1">
        <v>1</v>
      </c>
      <c r="I1938" t="s">
        <v>6191</v>
      </c>
      <c r="L1938" s="1">
        <v>15</v>
      </c>
      <c r="M1938" s="3">
        <v>33.28</v>
      </c>
      <c r="N1938" s="3">
        <v>1.66</v>
      </c>
      <c r="O1938" s="3">
        <v>0</v>
      </c>
      <c r="P1938" s="3">
        <v>1.5</v>
      </c>
      <c r="Q1938" s="3">
        <v>36.44</v>
      </c>
      <c r="R1938" s="3">
        <v>23.7</v>
      </c>
      <c r="S1938" s="3">
        <f>VLOOKUP(C1938,[1]page!$C$2:$M$3071,11,0)</f>
        <v>33.28</v>
      </c>
      <c r="T1938" s="6">
        <f t="shared" si="30"/>
        <v>0</v>
      </c>
    </row>
    <row r="1939" spans="1:20" x14ac:dyDescent="0.2">
      <c r="A1939" t="s">
        <v>6186</v>
      </c>
      <c r="B1939" t="s">
        <v>6488</v>
      </c>
      <c r="C1939" t="s">
        <v>6489</v>
      </c>
      <c r="D1939" t="s">
        <v>6490</v>
      </c>
      <c r="E1939" t="s">
        <v>6190</v>
      </c>
      <c r="F1939" t="s">
        <v>5915</v>
      </c>
      <c r="G1939" s="1">
        <v>6</v>
      </c>
      <c r="H1939" s="1">
        <v>1</v>
      </c>
      <c r="I1939" t="s">
        <v>6191</v>
      </c>
      <c r="L1939" s="1">
        <v>15</v>
      </c>
      <c r="M1939" s="3">
        <v>27.9</v>
      </c>
      <c r="N1939" s="3">
        <v>1.4</v>
      </c>
      <c r="O1939" s="3">
        <v>0</v>
      </c>
      <c r="P1939" s="3">
        <v>1.5</v>
      </c>
      <c r="Q1939" s="3">
        <v>30.8</v>
      </c>
      <c r="R1939" s="3">
        <v>23.7</v>
      </c>
      <c r="S1939" s="3">
        <f>VLOOKUP(C1939,[1]page!$C$2:$M$3071,11,0)</f>
        <v>27.98</v>
      </c>
      <c r="T1939" s="6">
        <f t="shared" si="30"/>
        <v>-8.0000000000001847E-2</v>
      </c>
    </row>
    <row r="1940" spans="1:20" x14ac:dyDescent="0.2">
      <c r="A1940" t="s">
        <v>6186</v>
      </c>
      <c r="B1940" t="s">
        <v>6491</v>
      </c>
      <c r="C1940" t="s">
        <v>6492</v>
      </c>
      <c r="D1940" t="s">
        <v>6493</v>
      </c>
      <c r="E1940" t="s">
        <v>6190</v>
      </c>
      <c r="F1940" t="s">
        <v>5915</v>
      </c>
      <c r="G1940" s="2">
        <v>4.7</v>
      </c>
      <c r="H1940" s="1">
        <v>1</v>
      </c>
      <c r="I1940" t="s">
        <v>6191</v>
      </c>
      <c r="L1940" s="1">
        <v>15</v>
      </c>
      <c r="M1940" s="3">
        <v>27.9</v>
      </c>
      <c r="N1940" s="3">
        <v>1.4</v>
      </c>
      <c r="O1940" s="3">
        <v>0</v>
      </c>
      <c r="P1940" s="3">
        <v>1.5</v>
      </c>
      <c r="Q1940" s="3">
        <v>30.8</v>
      </c>
      <c r="R1940" s="3">
        <v>23.7</v>
      </c>
      <c r="S1940" s="3">
        <f>VLOOKUP(C1940,[1]page!$C$2:$M$3071,11,0)</f>
        <v>27.98</v>
      </c>
      <c r="T1940" s="6">
        <f t="shared" si="30"/>
        <v>-8.0000000000001847E-2</v>
      </c>
    </row>
    <row r="1941" spans="1:20" x14ac:dyDescent="0.2">
      <c r="A1941" t="s">
        <v>6186</v>
      </c>
      <c r="B1941" t="s">
        <v>6494</v>
      </c>
      <c r="C1941" t="s">
        <v>6495</v>
      </c>
      <c r="D1941" t="s">
        <v>6496</v>
      </c>
      <c r="E1941" t="s">
        <v>6190</v>
      </c>
      <c r="F1941" t="s">
        <v>5915</v>
      </c>
      <c r="G1941" s="1">
        <v>4</v>
      </c>
      <c r="H1941" s="1">
        <v>1</v>
      </c>
      <c r="I1941" t="s">
        <v>6191</v>
      </c>
      <c r="L1941" s="1">
        <v>15</v>
      </c>
      <c r="M1941" s="3">
        <v>27.9</v>
      </c>
      <c r="N1941" s="3">
        <v>1.4</v>
      </c>
      <c r="O1941" s="3">
        <v>0</v>
      </c>
      <c r="P1941" s="3">
        <v>1.5</v>
      </c>
      <c r="Q1941" s="3">
        <v>30.8</v>
      </c>
      <c r="R1941" s="3">
        <v>23.7</v>
      </c>
      <c r="S1941" s="3">
        <f>VLOOKUP(C1941,[1]page!$C$2:$M$3071,11,0)</f>
        <v>27.09</v>
      </c>
      <c r="T1941" s="6">
        <f t="shared" si="30"/>
        <v>0.80999999999999872</v>
      </c>
    </row>
    <row r="1942" spans="1:20" x14ac:dyDescent="0.2">
      <c r="A1942" t="s">
        <v>6186</v>
      </c>
      <c r="B1942" t="s">
        <v>6497</v>
      </c>
      <c r="C1942" t="s">
        <v>6498</v>
      </c>
      <c r="D1942" t="s">
        <v>6499</v>
      </c>
      <c r="E1942" t="s">
        <v>6190</v>
      </c>
      <c r="F1942" t="s">
        <v>5915</v>
      </c>
      <c r="G1942" s="1">
        <v>4</v>
      </c>
      <c r="H1942" s="1">
        <v>1</v>
      </c>
      <c r="I1942" t="s">
        <v>6191</v>
      </c>
      <c r="L1942" s="1">
        <v>15</v>
      </c>
      <c r="M1942" s="3">
        <v>27.9</v>
      </c>
      <c r="N1942" s="3">
        <v>1.4</v>
      </c>
      <c r="O1942" s="3">
        <v>0</v>
      </c>
      <c r="P1942" s="3">
        <v>1.5</v>
      </c>
      <c r="Q1942" s="3">
        <v>30.8</v>
      </c>
      <c r="R1942" s="3">
        <v>23.7</v>
      </c>
      <c r="S1942" s="3">
        <f>VLOOKUP(C1942,[1]page!$C$2:$M$3071,11,0)</f>
        <v>27.98</v>
      </c>
      <c r="T1942" s="6">
        <f t="shared" si="30"/>
        <v>-8.0000000000001847E-2</v>
      </c>
    </row>
    <row r="1943" spans="1:20" x14ac:dyDescent="0.2">
      <c r="A1943" t="s">
        <v>6186</v>
      </c>
      <c r="B1943" t="s">
        <v>6500</v>
      </c>
      <c r="C1943" t="s">
        <v>6501</v>
      </c>
      <c r="D1943" t="s">
        <v>6502</v>
      </c>
      <c r="E1943" t="s">
        <v>6195</v>
      </c>
      <c r="F1943" t="s">
        <v>5915</v>
      </c>
      <c r="G1943" s="1">
        <v>5</v>
      </c>
      <c r="H1943" s="1">
        <v>1</v>
      </c>
      <c r="I1943" t="s">
        <v>5961</v>
      </c>
      <c r="L1943" s="1">
        <v>15</v>
      </c>
      <c r="M1943" s="3">
        <v>30.49</v>
      </c>
      <c r="N1943" s="3">
        <v>1.52</v>
      </c>
      <c r="O1943" s="3">
        <v>0</v>
      </c>
      <c r="P1943" s="3">
        <v>1.5</v>
      </c>
      <c r="Q1943" s="3">
        <v>33.51</v>
      </c>
      <c r="R1943" s="3">
        <v>23.7</v>
      </c>
      <c r="S1943" s="3">
        <f>VLOOKUP(C1943,[1]page!$C$2:$M$3071,11,0)</f>
        <v>30.49</v>
      </c>
      <c r="T1943" s="6">
        <f t="shared" si="30"/>
        <v>0</v>
      </c>
    </row>
    <row r="1944" spans="1:20" x14ac:dyDescent="0.2">
      <c r="A1944" t="s">
        <v>6186</v>
      </c>
      <c r="B1944" t="s">
        <v>6503</v>
      </c>
      <c r="C1944" t="s">
        <v>6504</v>
      </c>
      <c r="D1944" t="s">
        <v>6505</v>
      </c>
      <c r="E1944" t="s">
        <v>6195</v>
      </c>
      <c r="F1944" t="s">
        <v>5915</v>
      </c>
      <c r="G1944" s="1">
        <v>4</v>
      </c>
      <c r="H1944" s="1">
        <v>1</v>
      </c>
      <c r="I1944" t="s">
        <v>5961</v>
      </c>
      <c r="L1944" s="1">
        <v>15</v>
      </c>
      <c r="M1944" s="3">
        <v>30.49</v>
      </c>
      <c r="N1944" s="3">
        <v>1.52</v>
      </c>
      <c r="O1944" s="3">
        <v>0</v>
      </c>
      <c r="P1944" s="3">
        <v>1.5</v>
      </c>
      <c r="Q1944" s="3">
        <v>33.51</v>
      </c>
      <c r="R1944" s="3">
        <v>23.7</v>
      </c>
      <c r="S1944" s="3">
        <f>VLOOKUP(C1944,[1]page!$C$2:$M$3071,11,0)</f>
        <v>30.49</v>
      </c>
      <c r="T1944" s="6">
        <f t="shared" si="30"/>
        <v>0</v>
      </c>
    </row>
    <row r="1945" spans="1:20" x14ac:dyDescent="0.2">
      <c r="A1945" t="s">
        <v>6186</v>
      </c>
      <c r="B1945" t="s">
        <v>6506</v>
      </c>
      <c r="C1945" t="s">
        <v>6507</v>
      </c>
      <c r="D1945" t="s">
        <v>6508</v>
      </c>
      <c r="E1945" t="s">
        <v>6195</v>
      </c>
      <c r="F1945" t="s">
        <v>5915</v>
      </c>
      <c r="G1945" s="1">
        <v>5</v>
      </c>
      <c r="H1945" s="1">
        <v>1</v>
      </c>
      <c r="I1945" t="s">
        <v>5961</v>
      </c>
      <c r="L1945" s="1">
        <v>15</v>
      </c>
      <c r="M1945" s="3">
        <v>34.5</v>
      </c>
      <c r="N1945" s="3">
        <v>1.73</v>
      </c>
      <c r="O1945" s="3">
        <v>0</v>
      </c>
      <c r="P1945" s="3">
        <v>1.5</v>
      </c>
      <c r="Q1945" s="3">
        <v>37.729999999999997</v>
      </c>
      <c r="R1945" s="3">
        <v>23.7</v>
      </c>
      <c r="S1945" s="3">
        <f>VLOOKUP(C1945,[1]page!$C$2:$M$3071,11,0)</f>
        <v>34.5</v>
      </c>
      <c r="T1945" s="6">
        <f t="shared" si="30"/>
        <v>0</v>
      </c>
    </row>
    <row r="1946" spans="1:20" x14ac:dyDescent="0.2">
      <c r="A1946" t="s">
        <v>6186</v>
      </c>
      <c r="B1946" t="s">
        <v>6509</v>
      </c>
      <c r="C1946" t="s">
        <v>6510</v>
      </c>
      <c r="D1946" t="s">
        <v>6511</v>
      </c>
      <c r="E1946" t="s">
        <v>6190</v>
      </c>
      <c r="F1946" t="s">
        <v>5915</v>
      </c>
      <c r="G1946" s="1">
        <v>4</v>
      </c>
      <c r="H1946" s="1">
        <v>1</v>
      </c>
      <c r="I1946" t="s">
        <v>6191</v>
      </c>
      <c r="L1946" s="1">
        <v>15</v>
      </c>
      <c r="M1946" s="3">
        <v>31.49</v>
      </c>
      <c r="N1946" s="3">
        <v>1.57</v>
      </c>
      <c r="O1946" s="3">
        <v>0</v>
      </c>
      <c r="P1946" s="3">
        <v>1.5</v>
      </c>
      <c r="Q1946" s="3">
        <v>34.56</v>
      </c>
      <c r="R1946" s="3">
        <v>23.7</v>
      </c>
      <c r="S1946" s="3">
        <f>VLOOKUP(C1946,[1]page!$C$2:$M$3071,11,0)</f>
        <v>31.49</v>
      </c>
      <c r="T1946" s="6">
        <f t="shared" si="30"/>
        <v>0</v>
      </c>
    </row>
    <row r="1947" spans="1:20" x14ac:dyDescent="0.2">
      <c r="A1947" t="s">
        <v>6186</v>
      </c>
      <c r="B1947" t="s">
        <v>6512</v>
      </c>
      <c r="C1947" t="s">
        <v>6513</v>
      </c>
      <c r="D1947" t="s">
        <v>6514</v>
      </c>
      <c r="E1947" t="s">
        <v>6319</v>
      </c>
      <c r="F1947" t="s">
        <v>5915</v>
      </c>
      <c r="G1947" s="1">
        <v>5</v>
      </c>
      <c r="H1947" s="1">
        <v>1</v>
      </c>
      <c r="I1947" t="s">
        <v>5617</v>
      </c>
      <c r="L1947" s="1">
        <v>15</v>
      </c>
      <c r="M1947" s="3">
        <v>32.840000000000003</v>
      </c>
      <c r="N1947" s="3">
        <v>1.64</v>
      </c>
      <c r="O1947" s="3">
        <v>0</v>
      </c>
      <c r="P1947" s="3">
        <v>1.5</v>
      </c>
      <c r="Q1947" s="3">
        <v>35.979999999999997</v>
      </c>
      <c r="R1947" s="3">
        <v>23.7</v>
      </c>
      <c r="S1947" s="3" t="e">
        <f>VLOOKUP(C1947,[1]page!$C$2:$M$3071,11,0)</f>
        <v>#N/A</v>
      </c>
      <c r="T1947" s="6" t="e">
        <f t="shared" si="30"/>
        <v>#N/A</v>
      </c>
    </row>
    <row r="1948" spans="1:20" x14ac:dyDescent="0.2">
      <c r="A1948" t="s">
        <v>6186</v>
      </c>
      <c r="B1948" t="s">
        <v>6515</v>
      </c>
      <c r="C1948" t="s">
        <v>6516</v>
      </c>
      <c r="D1948" t="s">
        <v>6517</v>
      </c>
      <c r="E1948" t="s">
        <v>6332</v>
      </c>
      <c r="F1948" t="s">
        <v>5915</v>
      </c>
      <c r="G1948" s="2">
        <v>4.7</v>
      </c>
      <c r="H1948" s="1">
        <v>1</v>
      </c>
      <c r="I1948" t="s">
        <v>5961</v>
      </c>
      <c r="L1948" s="1">
        <v>15</v>
      </c>
      <c r="M1948" s="3">
        <v>25.99</v>
      </c>
      <c r="N1948" s="3">
        <v>1.3</v>
      </c>
      <c r="O1948" s="3">
        <v>0</v>
      </c>
      <c r="P1948" s="3">
        <v>1.5</v>
      </c>
      <c r="Q1948" s="3">
        <v>28.79</v>
      </c>
      <c r="R1948" s="3">
        <v>23.7</v>
      </c>
      <c r="S1948" s="3">
        <f>VLOOKUP(C1948,[1]page!$C$2:$M$3071,11,0)</f>
        <v>25.99</v>
      </c>
      <c r="T1948" s="6">
        <f t="shared" si="30"/>
        <v>0</v>
      </c>
    </row>
    <row r="1949" spans="1:20" x14ac:dyDescent="0.2">
      <c r="A1949" t="s">
        <v>6186</v>
      </c>
      <c r="B1949" t="s">
        <v>6518</v>
      </c>
      <c r="C1949" t="s">
        <v>6519</v>
      </c>
      <c r="D1949" t="s">
        <v>6520</v>
      </c>
      <c r="E1949" t="s">
        <v>6195</v>
      </c>
      <c r="F1949" t="s">
        <v>5915</v>
      </c>
      <c r="G1949" s="1">
        <v>4</v>
      </c>
      <c r="H1949" s="1">
        <v>1</v>
      </c>
      <c r="I1949" t="s">
        <v>5961</v>
      </c>
      <c r="L1949" s="1">
        <v>15</v>
      </c>
      <c r="M1949" s="3">
        <v>26.99</v>
      </c>
      <c r="N1949" s="3">
        <v>1.35</v>
      </c>
      <c r="O1949" s="3">
        <v>0</v>
      </c>
      <c r="P1949" s="3">
        <v>1.5</v>
      </c>
      <c r="Q1949" s="3">
        <v>29.84</v>
      </c>
      <c r="R1949" s="3">
        <v>23.7</v>
      </c>
      <c r="S1949" s="3">
        <f>VLOOKUP(C1949,[1]page!$C$2:$M$3071,11,0)</f>
        <v>26.99</v>
      </c>
      <c r="T1949" s="6">
        <f t="shared" si="30"/>
        <v>0</v>
      </c>
    </row>
    <row r="1950" spans="1:20" x14ac:dyDescent="0.2">
      <c r="A1950" t="s">
        <v>6186</v>
      </c>
      <c r="B1950" t="s">
        <v>6521</v>
      </c>
      <c r="C1950" t="s">
        <v>6522</v>
      </c>
      <c r="D1950" t="s">
        <v>6523</v>
      </c>
      <c r="E1950" t="s">
        <v>6190</v>
      </c>
      <c r="F1950" t="s">
        <v>5915</v>
      </c>
      <c r="G1950" s="1">
        <v>5</v>
      </c>
      <c r="H1950" s="1">
        <v>1</v>
      </c>
      <c r="I1950" t="s">
        <v>6191</v>
      </c>
      <c r="L1950" s="1">
        <v>15</v>
      </c>
      <c r="M1950" s="3">
        <v>33.28</v>
      </c>
      <c r="N1950" s="3">
        <v>1.66</v>
      </c>
      <c r="O1950" s="3">
        <v>0</v>
      </c>
      <c r="P1950" s="3">
        <v>1.5</v>
      </c>
      <c r="Q1950" s="3">
        <v>36.44</v>
      </c>
      <c r="R1950" s="3">
        <v>23.7</v>
      </c>
      <c r="S1950" s="3">
        <f>VLOOKUP(C1950,[1]page!$C$2:$M$3071,11,0)</f>
        <v>33.28</v>
      </c>
      <c r="T1950" s="6">
        <f t="shared" si="30"/>
        <v>0</v>
      </c>
    </row>
    <row r="1951" spans="1:20" x14ac:dyDescent="0.2">
      <c r="A1951" t="s">
        <v>6186</v>
      </c>
      <c r="B1951" t="s">
        <v>6524</v>
      </c>
      <c r="C1951" t="s">
        <v>6525</v>
      </c>
      <c r="D1951" t="s">
        <v>6526</v>
      </c>
      <c r="E1951" t="s">
        <v>6190</v>
      </c>
      <c r="F1951" t="s">
        <v>5915</v>
      </c>
      <c r="G1951" s="2">
        <v>5.3</v>
      </c>
      <c r="H1951" s="1">
        <v>1</v>
      </c>
      <c r="I1951" t="s">
        <v>6191</v>
      </c>
      <c r="L1951" s="1">
        <v>15</v>
      </c>
      <c r="M1951" s="3">
        <v>33.28</v>
      </c>
      <c r="N1951" s="3">
        <v>1.66</v>
      </c>
      <c r="O1951" s="3">
        <v>0</v>
      </c>
      <c r="P1951" s="3">
        <v>1.5</v>
      </c>
      <c r="Q1951" s="3">
        <v>36.44</v>
      </c>
      <c r="R1951" s="3">
        <v>23.7</v>
      </c>
      <c r="S1951" s="3">
        <f>VLOOKUP(C1951,[1]page!$C$2:$M$3071,11,0)</f>
        <v>33.28</v>
      </c>
      <c r="T1951" s="6">
        <f t="shared" ref="T1951:T2014" si="31">SUM(M1951-S1951)</f>
        <v>0</v>
      </c>
    </row>
    <row r="1952" spans="1:20" x14ac:dyDescent="0.2">
      <c r="A1952" t="s">
        <v>6186</v>
      </c>
      <c r="B1952" t="s">
        <v>6527</v>
      </c>
      <c r="C1952" t="s">
        <v>6528</v>
      </c>
      <c r="D1952" t="s">
        <v>6529</v>
      </c>
      <c r="E1952" t="s">
        <v>6190</v>
      </c>
      <c r="F1952" t="s">
        <v>5915</v>
      </c>
      <c r="G1952" s="1">
        <v>5</v>
      </c>
      <c r="H1952" s="1">
        <v>1</v>
      </c>
      <c r="I1952" t="s">
        <v>6191</v>
      </c>
      <c r="L1952" s="1">
        <v>15</v>
      </c>
      <c r="M1952" s="3">
        <v>25.85</v>
      </c>
      <c r="N1952" s="3">
        <v>1.29</v>
      </c>
      <c r="O1952" s="3">
        <v>0</v>
      </c>
      <c r="P1952" s="3">
        <v>1.5</v>
      </c>
      <c r="Q1952" s="3">
        <v>28.64</v>
      </c>
      <c r="R1952" s="3">
        <v>23.7</v>
      </c>
      <c r="S1952" s="3">
        <f>VLOOKUP(C1952,[1]page!$C$2:$M$3071,11,0)</f>
        <v>26.79</v>
      </c>
      <c r="T1952" s="6">
        <f t="shared" si="31"/>
        <v>-0.93999999999999773</v>
      </c>
    </row>
    <row r="1953" spans="1:20" x14ac:dyDescent="0.2">
      <c r="A1953" t="s">
        <v>6186</v>
      </c>
      <c r="B1953" t="s">
        <v>6530</v>
      </c>
      <c r="C1953" t="s">
        <v>6531</v>
      </c>
      <c r="D1953" t="s">
        <v>6532</v>
      </c>
      <c r="E1953" t="s">
        <v>6190</v>
      </c>
      <c r="F1953" t="s">
        <v>5915</v>
      </c>
      <c r="G1953" s="1">
        <v>4</v>
      </c>
      <c r="H1953" s="1">
        <v>1</v>
      </c>
      <c r="I1953" t="s">
        <v>6191</v>
      </c>
      <c r="L1953" s="1">
        <v>15</v>
      </c>
      <c r="M1953" s="3">
        <v>27.98</v>
      </c>
      <c r="N1953" s="3">
        <v>1.4</v>
      </c>
      <c r="O1953" s="3">
        <v>0</v>
      </c>
      <c r="P1953" s="3">
        <v>1.5</v>
      </c>
      <c r="Q1953" s="3">
        <v>30.88</v>
      </c>
      <c r="R1953" s="3">
        <v>23.7</v>
      </c>
      <c r="S1953" s="3">
        <f>VLOOKUP(C1953,[1]page!$C$2:$M$3071,11,0)</f>
        <v>27.98</v>
      </c>
      <c r="T1953" s="6">
        <f t="shared" si="31"/>
        <v>0</v>
      </c>
    </row>
    <row r="1954" spans="1:20" x14ac:dyDescent="0.2">
      <c r="A1954" t="s">
        <v>6186</v>
      </c>
      <c r="B1954" t="s">
        <v>6533</v>
      </c>
      <c r="C1954" t="s">
        <v>6534</v>
      </c>
      <c r="D1954" t="s">
        <v>6535</v>
      </c>
      <c r="E1954" t="s">
        <v>6380</v>
      </c>
      <c r="F1954" t="s">
        <v>5915</v>
      </c>
      <c r="G1954" s="2">
        <v>5.4</v>
      </c>
      <c r="H1954" s="1">
        <v>1</v>
      </c>
      <c r="I1954" t="s">
        <v>6381</v>
      </c>
      <c r="L1954" s="1">
        <v>15</v>
      </c>
      <c r="M1954" s="3">
        <v>21.42</v>
      </c>
      <c r="N1954" s="3">
        <v>1.07</v>
      </c>
      <c r="O1954" s="3">
        <v>0</v>
      </c>
      <c r="P1954" s="3">
        <v>1.5</v>
      </c>
      <c r="Q1954" s="3">
        <v>23.99</v>
      </c>
      <c r="R1954" s="3">
        <v>23.7</v>
      </c>
      <c r="S1954" s="3">
        <f>VLOOKUP(C1954,[1]page!$C$2:$M$3071,11,0)</f>
        <v>21.42</v>
      </c>
      <c r="T1954" s="6">
        <f t="shared" si="31"/>
        <v>0</v>
      </c>
    </row>
    <row r="1955" spans="1:20" x14ac:dyDescent="0.2">
      <c r="A1955" t="s">
        <v>6186</v>
      </c>
      <c r="B1955" t="s">
        <v>6536</v>
      </c>
      <c r="C1955" t="s">
        <v>6537</v>
      </c>
      <c r="D1955" t="s">
        <v>6538</v>
      </c>
      <c r="E1955" t="s">
        <v>6190</v>
      </c>
      <c r="F1955" t="s">
        <v>5915</v>
      </c>
      <c r="G1955" s="1">
        <v>5</v>
      </c>
      <c r="H1955" s="1">
        <v>1</v>
      </c>
      <c r="I1955" t="s">
        <v>6191</v>
      </c>
      <c r="L1955" s="1">
        <v>15</v>
      </c>
      <c r="M1955" s="3">
        <v>27.9</v>
      </c>
      <c r="N1955" s="3">
        <v>1.4</v>
      </c>
      <c r="O1955" s="3">
        <v>0</v>
      </c>
      <c r="P1955" s="3">
        <v>1.5</v>
      </c>
      <c r="Q1955" s="3">
        <v>30.8</v>
      </c>
      <c r="R1955" s="3">
        <v>23.7</v>
      </c>
      <c r="S1955" s="3">
        <f>VLOOKUP(C1955,[1]page!$C$2:$M$3071,11,0)</f>
        <v>27.98</v>
      </c>
      <c r="T1955" s="6">
        <f t="shared" si="31"/>
        <v>-8.0000000000001847E-2</v>
      </c>
    </row>
    <row r="1956" spans="1:20" x14ac:dyDescent="0.2">
      <c r="A1956" t="s">
        <v>6186</v>
      </c>
      <c r="B1956" t="s">
        <v>6539</v>
      </c>
      <c r="C1956" t="s">
        <v>6540</v>
      </c>
      <c r="D1956" t="s">
        <v>6541</v>
      </c>
      <c r="E1956" t="s">
        <v>6190</v>
      </c>
      <c r="F1956" t="s">
        <v>5915</v>
      </c>
      <c r="G1956" s="1">
        <v>4</v>
      </c>
      <c r="H1956" s="1">
        <v>1</v>
      </c>
      <c r="I1956" t="s">
        <v>6191</v>
      </c>
      <c r="L1956" s="1">
        <v>15</v>
      </c>
      <c r="M1956" s="3">
        <v>35.479999999999997</v>
      </c>
      <c r="N1956" s="3">
        <v>1.77</v>
      </c>
      <c r="O1956" s="3">
        <v>0</v>
      </c>
      <c r="P1956" s="3">
        <v>1.5</v>
      </c>
      <c r="Q1956" s="3">
        <v>38.75</v>
      </c>
      <c r="R1956" s="3">
        <v>23.7</v>
      </c>
      <c r="S1956" s="3">
        <f>VLOOKUP(C1956,[1]page!$C$2:$M$3071,11,0)</f>
        <v>35.479999999999997</v>
      </c>
      <c r="T1956" s="6">
        <f t="shared" si="31"/>
        <v>0</v>
      </c>
    </row>
    <row r="1957" spans="1:20" x14ac:dyDescent="0.2">
      <c r="A1957" t="s">
        <v>6186</v>
      </c>
      <c r="B1957" t="s">
        <v>6542</v>
      </c>
      <c r="C1957" t="s">
        <v>6543</v>
      </c>
      <c r="D1957" t="s">
        <v>6544</v>
      </c>
      <c r="E1957" t="s">
        <v>6190</v>
      </c>
      <c r="F1957" t="s">
        <v>5915</v>
      </c>
      <c r="G1957" s="1">
        <v>4</v>
      </c>
      <c r="H1957" s="1">
        <v>1</v>
      </c>
      <c r="I1957" t="s">
        <v>6191</v>
      </c>
      <c r="L1957" s="1">
        <v>15</v>
      </c>
      <c r="M1957" s="3">
        <v>35.479999999999997</v>
      </c>
      <c r="N1957" s="3">
        <v>1.77</v>
      </c>
      <c r="O1957" s="3">
        <v>0</v>
      </c>
      <c r="P1957" s="3">
        <v>1.5</v>
      </c>
      <c r="Q1957" s="3">
        <v>38.75</v>
      </c>
      <c r="R1957" s="3">
        <v>23.7</v>
      </c>
      <c r="S1957" s="3">
        <f>VLOOKUP(C1957,[1]page!$C$2:$M$3071,11,0)</f>
        <v>35.479999999999997</v>
      </c>
      <c r="T1957" s="6">
        <f t="shared" si="31"/>
        <v>0</v>
      </c>
    </row>
    <row r="1958" spans="1:20" x14ac:dyDescent="0.2">
      <c r="A1958" t="s">
        <v>6186</v>
      </c>
      <c r="B1958" t="s">
        <v>6545</v>
      </c>
      <c r="C1958" t="s">
        <v>6546</v>
      </c>
      <c r="D1958" t="s">
        <v>6547</v>
      </c>
      <c r="E1958" t="s">
        <v>6195</v>
      </c>
      <c r="F1958" t="s">
        <v>5915</v>
      </c>
      <c r="G1958" s="2">
        <v>4.7</v>
      </c>
      <c r="H1958" s="1">
        <v>1</v>
      </c>
      <c r="I1958" t="s">
        <v>5961</v>
      </c>
      <c r="L1958" s="1">
        <v>15</v>
      </c>
      <c r="M1958" s="3">
        <v>34.19</v>
      </c>
      <c r="N1958" s="3">
        <v>1.71</v>
      </c>
      <c r="O1958" s="3">
        <v>0</v>
      </c>
      <c r="P1958" s="3">
        <v>1.5</v>
      </c>
      <c r="Q1958" s="3">
        <v>37.4</v>
      </c>
      <c r="R1958" s="3">
        <v>23.7</v>
      </c>
      <c r="S1958" s="3">
        <f>VLOOKUP(C1958,[1]page!$C$2:$M$3071,11,0)</f>
        <v>34.19</v>
      </c>
      <c r="T1958" s="6">
        <f t="shared" si="31"/>
        <v>0</v>
      </c>
    </row>
    <row r="1959" spans="1:20" x14ac:dyDescent="0.2">
      <c r="A1959" t="s">
        <v>6186</v>
      </c>
      <c r="B1959" t="s">
        <v>6548</v>
      </c>
      <c r="C1959" t="s">
        <v>6549</v>
      </c>
      <c r="D1959" t="s">
        <v>6550</v>
      </c>
      <c r="E1959" t="s">
        <v>6195</v>
      </c>
      <c r="F1959" t="s">
        <v>5915</v>
      </c>
      <c r="G1959" s="2">
        <v>4.5999999999999996</v>
      </c>
      <c r="H1959" s="1">
        <v>1</v>
      </c>
      <c r="I1959" t="s">
        <v>5961</v>
      </c>
      <c r="L1959" s="1">
        <v>15</v>
      </c>
      <c r="M1959" s="3">
        <v>26.99</v>
      </c>
      <c r="N1959" s="3">
        <v>1.35</v>
      </c>
      <c r="O1959" s="3">
        <v>0</v>
      </c>
      <c r="P1959" s="3">
        <v>1.5</v>
      </c>
      <c r="Q1959" s="3">
        <v>29.84</v>
      </c>
      <c r="R1959" s="3">
        <v>23.7</v>
      </c>
      <c r="S1959" s="3">
        <f>VLOOKUP(C1959,[1]page!$C$2:$M$3071,11,0)</f>
        <v>26.99</v>
      </c>
      <c r="T1959" s="6">
        <f t="shared" si="31"/>
        <v>0</v>
      </c>
    </row>
    <row r="1960" spans="1:20" x14ac:dyDescent="0.2">
      <c r="A1960" t="s">
        <v>6186</v>
      </c>
      <c r="B1960" t="s">
        <v>6551</v>
      </c>
      <c r="C1960" t="s">
        <v>6552</v>
      </c>
      <c r="D1960" t="s">
        <v>6553</v>
      </c>
      <c r="E1960" t="s">
        <v>6195</v>
      </c>
      <c r="F1960" t="s">
        <v>5915</v>
      </c>
      <c r="G1960" s="2">
        <v>4.2</v>
      </c>
      <c r="H1960" s="1">
        <v>1</v>
      </c>
      <c r="I1960" t="s">
        <v>5961</v>
      </c>
      <c r="L1960" s="1">
        <v>15</v>
      </c>
      <c r="M1960" s="3">
        <v>34.5</v>
      </c>
      <c r="N1960" s="3">
        <v>1.73</v>
      </c>
      <c r="O1960" s="3">
        <v>0</v>
      </c>
      <c r="P1960" s="3">
        <v>1.5</v>
      </c>
      <c r="Q1960" s="3">
        <v>37.729999999999997</v>
      </c>
      <c r="R1960" s="3">
        <v>23.7</v>
      </c>
      <c r="S1960" s="3">
        <f>VLOOKUP(C1960,[1]page!$C$2:$M$3071,11,0)</f>
        <v>34.5</v>
      </c>
      <c r="T1960" s="6">
        <f t="shared" si="31"/>
        <v>0</v>
      </c>
    </row>
    <row r="1961" spans="1:20" x14ac:dyDescent="0.2">
      <c r="A1961" t="s">
        <v>6186</v>
      </c>
      <c r="B1961" t="s">
        <v>6554</v>
      </c>
      <c r="C1961" t="s">
        <v>6555</v>
      </c>
      <c r="D1961" t="s">
        <v>6556</v>
      </c>
      <c r="E1961" t="s">
        <v>6195</v>
      </c>
      <c r="F1961" t="s">
        <v>5915</v>
      </c>
      <c r="G1961" s="1">
        <v>5</v>
      </c>
      <c r="H1961" s="1">
        <v>1</v>
      </c>
      <c r="I1961" t="s">
        <v>5961</v>
      </c>
      <c r="L1961" s="1">
        <v>15</v>
      </c>
      <c r="M1961" s="3">
        <v>27.49</v>
      </c>
      <c r="N1961" s="3">
        <v>1.37</v>
      </c>
      <c r="O1961" s="3">
        <v>0</v>
      </c>
      <c r="P1961" s="3">
        <v>1.5</v>
      </c>
      <c r="Q1961" s="3">
        <v>30.36</v>
      </c>
      <c r="R1961" s="3">
        <v>23.7</v>
      </c>
      <c r="S1961" s="3">
        <f>VLOOKUP(C1961,[1]page!$C$2:$M$3071,11,0)</f>
        <v>27.49</v>
      </c>
      <c r="T1961" s="6">
        <f t="shared" si="31"/>
        <v>0</v>
      </c>
    </row>
    <row r="1962" spans="1:20" x14ac:dyDescent="0.2">
      <c r="A1962" t="s">
        <v>6186</v>
      </c>
      <c r="B1962" t="s">
        <v>6557</v>
      </c>
      <c r="C1962" t="s">
        <v>6558</v>
      </c>
      <c r="D1962" t="s">
        <v>6559</v>
      </c>
      <c r="E1962" t="s">
        <v>6195</v>
      </c>
      <c r="F1962" t="s">
        <v>5915</v>
      </c>
      <c r="G1962" s="1">
        <v>3</v>
      </c>
      <c r="H1962" s="1">
        <v>1</v>
      </c>
      <c r="I1962" t="s">
        <v>5961</v>
      </c>
      <c r="L1962" s="1">
        <v>15</v>
      </c>
      <c r="M1962" s="3">
        <v>34.5</v>
      </c>
      <c r="N1962" s="3">
        <v>1.73</v>
      </c>
      <c r="O1962" s="3">
        <v>0</v>
      </c>
      <c r="P1962" s="3">
        <v>1.5</v>
      </c>
      <c r="Q1962" s="3">
        <v>37.729999999999997</v>
      </c>
      <c r="R1962" s="3">
        <v>23.7</v>
      </c>
      <c r="S1962" s="3">
        <f>VLOOKUP(C1962,[1]page!$C$2:$M$3071,11,0)</f>
        <v>34.5</v>
      </c>
      <c r="T1962" s="6">
        <f t="shared" si="31"/>
        <v>0</v>
      </c>
    </row>
    <row r="1963" spans="1:20" x14ac:dyDescent="0.2">
      <c r="A1963" t="s">
        <v>6186</v>
      </c>
      <c r="B1963" t="s">
        <v>6560</v>
      </c>
      <c r="C1963" t="s">
        <v>6561</v>
      </c>
      <c r="D1963" t="s">
        <v>6562</v>
      </c>
      <c r="E1963" t="s">
        <v>6319</v>
      </c>
      <c r="F1963" t="s">
        <v>5915</v>
      </c>
      <c r="G1963" s="1">
        <v>5</v>
      </c>
      <c r="H1963" s="1">
        <v>1</v>
      </c>
      <c r="I1963" t="s">
        <v>5617</v>
      </c>
      <c r="L1963" s="1">
        <v>15</v>
      </c>
      <c r="M1963" s="3">
        <v>26.81</v>
      </c>
      <c r="N1963" s="3">
        <v>1.34</v>
      </c>
      <c r="O1963" s="3">
        <v>0</v>
      </c>
      <c r="P1963" s="3">
        <v>1.5</v>
      </c>
      <c r="Q1963" s="3">
        <v>29.65</v>
      </c>
      <c r="R1963" s="3">
        <v>23.7</v>
      </c>
      <c r="S1963" s="3">
        <f>VLOOKUP(C1963,[1]page!$C$2:$M$3071,11,0)</f>
        <v>26.81</v>
      </c>
      <c r="T1963" s="6">
        <f t="shared" si="31"/>
        <v>0</v>
      </c>
    </row>
    <row r="1964" spans="1:20" x14ac:dyDescent="0.2">
      <c r="A1964" t="s">
        <v>6186</v>
      </c>
      <c r="B1964" t="s">
        <v>6563</v>
      </c>
      <c r="C1964" t="s">
        <v>6564</v>
      </c>
      <c r="D1964" t="s">
        <v>6565</v>
      </c>
      <c r="E1964" t="s">
        <v>6277</v>
      </c>
      <c r="F1964" t="s">
        <v>5915</v>
      </c>
      <c r="G1964" s="1">
        <v>5</v>
      </c>
      <c r="H1964" s="1">
        <v>1</v>
      </c>
      <c r="I1964" t="s">
        <v>5920</v>
      </c>
      <c r="L1964" s="1">
        <v>15</v>
      </c>
      <c r="M1964" s="3">
        <v>16.09</v>
      </c>
      <c r="N1964" s="3">
        <v>0.8</v>
      </c>
      <c r="O1964" s="3">
        <v>0</v>
      </c>
      <c r="P1964" s="3">
        <v>1.5</v>
      </c>
      <c r="Q1964" s="3">
        <v>18.39</v>
      </c>
      <c r="R1964" s="3">
        <v>23.7</v>
      </c>
      <c r="S1964" s="3">
        <f>VLOOKUP(C1964,[1]page!$C$2:$M$3071,11,0)</f>
        <v>16.09</v>
      </c>
      <c r="T1964" s="6">
        <f t="shared" si="31"/>
        <v>0</v>
      </c>
    </row>
    <row r="1965" spans="1:20" x14ac:dyDescent="0.2">
      <c r="A1965" t="s">
        <v>6186</v>
      </c>
      <c r="B1965" t="s">
        <v>6566</v>
      </c>
      <c r="C1965" t="s">
        <v>6567</v>
      </c>
      <c r="D1965" t="s">
        <v>6568</v>
      </c>
      <c r="E1965" t="s">
        <v>6277</v>
      </c>
      <c r="F1965" t="s">
        <v>5915</v>
      </c>
      <c r="G1965" s="1">
        <v>5</v>
      </c>
      <c r="H1965" s="1">
        <v>1</v>
      </c>
      <c r="I1965" t="s">
        <v>5920</v>
      </c>
      <c r="L1965" s="1">
        <v>15</v>
      </c>
      <c r="M1965" s="3">
        <v>33.99</v>
      </c>
      <c r="N1965" s="3">
        <v>1.7</v>
      </c>
      <c r="O1965" s="3">
        <v>0</v>
      </c>
      <c r="P1965" s="3">
        <v>1.5</v>
      </c>
      <c r="Q1965" s="3">
        <v>37.19</v>
      </c>
      <c r="R1965" s="3">
        <v>23.7</v>
      </c>
      <c r="S1965" s="3">
        <f>VLOOKUP(C1965,[1]page!$C$2:$M$3071,11,0)</f>
        <v>33.99</v>
      </c>
      <c r="T1965" s="6">
        <f t="shared" si="31"/>
        <v>0</v>
      </c>
    </row>
    <row r="1966" spans="1:20" x14ac:dyDescent="0.2">
      <c r="A1966" t="s">
        <v>6186</v>
      </c>
      <c r="B1966" t="s">
        <v>6569</v>
      </c>
      <c r="C1966" t="s">
        <v>6570</v>
      </c>
      <c r="D1966" t="s">
        <v>6571</v>
      </c>
      <c r="E1966" t="s">
        <v>6277</v>
      </c>
      <c r="F1966" t="s">
        <v>5915</v>
      </c>
      <c r="G1966" s="2">
        <v>2.5</v>
      </c>
      <c r="H1966" s="1">
        <v>1</v>
      </c>
      <c r="I1966" t="s">
        <v>5920</v>
      </c>
      <c r="L1966" s="1">
        <v>15</v>
      </c>
      <c r="M1966" s="3">
        <v>33.99</v>
      </c>
      <c r="N1966" s="3">
        <v>1.7</v>
      </c>
      <c r="O1966" s="3">
        <v>0</v>
      </c>
      <c r="P1966" s="3">
        <v>1.5</v>
      </c>
      <c r="Q1966" s="3">
        <v>37.19</v>
      </c>
      <c r="R1966" s="3">
        <v>23.7</v>
      </c>
      <c r="S1966" s="3">
        <f>VLOOKUP(C1966,[1]page!$C$2:$M$3071,11,0)</f>
        <v>33.99</v>
      </c>
      <c r="T1966" s="6">
        <f t="shared" si="31"/>
        <v>0</v>
      </c>
    </row>
    <row r="1967" spans="1:20" x14ac:dyDescent="0.2">
      <c r="A1967" t="s">
        <v>6186</v>
      </c>
      <c r="B1967" t="s">
        <v>6572</v>
      </c>
      <c r="C1967" t="s">
        <v>6573</v>
      </c>
      <c r="D1967" t="s">
        <v>6574</v>
      </c>
      <c r="E1967" t="s">
        <v>6277</v>
      </c>
      <c r="F1967" t="s">
        <v>5915</v>
      </c>
      <c r="G1967" s="1">
        <v>5</v>
      </c>
      <c r="H1967" s="1">
        <v>1</v>
      </c>
      <c r="I1967" t="s">
        <v>5920</v>
      </c>
      <c r="L1967" s="1">
        <v>15</v>
      </c>
      <c r="M1967" s="3">
        <v>33.99</v>
      </c>
      <c r="N1967" s="3">
        <v>1.7</v>
      </c>
      <c r="O1967" s="3">
        <v>0</v>
      </c>
      <c r="P1967" s="3">
        <v>1.5</v>
      </c>
      <c r="Q1967" s="3">
        <v>37.19</v>
      </c>
      <c r="R1967" s="3">
        <v>23.7</v>
      </c>
      <c r="S1967" s="3">
        <f>VLOOKUP(C1967,[1]page!$C$2:$M$3071,11,0)</f>
        <v>33.99</v>
      </c>
      <c r="T1967" s="6">
        <f t="shared" si="31"/>
        <v>0</v>
      </c>
    </row>
    <row r="1968" spans="1:20" x14ac:dyDescent="0.2">
      <c r="A1968" t="s">
        <v>6186</v>
      </c>
      <c r="B1968" t="s">
        <v>6575</v>
      </c>
      <c r="C1968" t="s">
        <v>6576</v>
      </c>
      <c r="D1968" t="s">
        <v>6577</v>
      </c>
      <c r="E1968" t="s">
        <v>6277</v>
      </c>
      <c r="F1968" t="s">
        <v>5915</v>
      </c>
      <c r="G1968" s="2">
        <v>4.8</v>
      </c>
      <c r="H1968" s="1">
        <v>1</v>
      </c>
      <c r="I1968" t="s">
        <v>5920</v>
      </c>
      <c r="L1968" s="1">
        <v>15</v>
      </c>
      <c r="M1968" s="3">
        <v>33.99</v>
      </c>
      <c r="N1968" s="3">
        <v>1.7</v>
      </c>
      <c r="O1968" s="3">
        <v>0</v>
      </c>
      <c r="P1968" s="3">
        <v>1.5</v>
      </c>
      <c r="Q1968" s="3">
        <v>37.19</v>
      </c>
      <c r="R1968" s="3">
        <v>23.7</v>
      </c>
      <c r="S1968" s="3">
        <f>VLOOKUP(C1968,[1]page!$C$2:$M$3071,11,0)</f>
        <v>33.99</v>
      </c>
      <c r="T1968" s="6">
        <f t="shared" si="31"/>
        <v>0</v>
      </c>
    </row>
    <row r="1969" spans="1:20" x14ac:dyDescent="0.2">
      <c r="A1969" t="s">
        <v>6186</v>
      </c>
      <c r="B1969" t="s">
        <v>6578</v>
      </c>
      <c r="C1969" t="s">
        <v>6579</v>
      </c>
      <c r="D1969" t="s">
        <v>6580</v>
      </c>
      <c r="E1969" t="s">
        <v>6277</v>
      </c>
      <c r="F1969" t="s">
        <v>5915</v>
      </c>
      <c r="G1969" s="1">
        <v>4</v>
      </c>
      <c r="H1969" s="1">
        <v>1</v>
      </c>
      <c r="I1969" t="s">
        <v>5920</v>
      </c>
      <c r="L1969" s="1">
        <v>15</v>
      </c>
      <c r="M1969" s="3">
        <v>33.99</v>
      </c>
      <c r="N1969" s="3">
        <v>1.7</v>
      </c>
      <c r="O1969" s="3">
        <v>0</v>
      </c>
      <c r="P1969" s="3">
        <v>1.5</v>
      </c>
      <c r="Q1969" s="3">
        <v>37.19</v>
      </c>
      <c r="R1969" s="3">
        <v>23.7</v>
      </c>
      <c r="S1969" s="3">
        <f>VLOOKUP(C1969,[1]page!$C$2:$M$3071,11,0)</f>
        <v>33.99</v>
      </c>
      <c r="T1969" s="6">
        <f t="shared" si="31"/>
        <v>0</v>
      </c>
    </row>
    <row r="1970" spans="1:20" x14ac:dyDescent="0.2">
      <c r="A1970" t="s">
        <v>6186</v>
      </c>
      <c r="B1970" t="s">
        <v>6581</v>
      </c>
      <c r="C1970" t="s">
        <v>6582</v>
      </c>
      <c r="D1970" t="s">
        <v>6583</v>
      </c>
      <c r="E1970" t="s">
        <v>6319</v>
      </c>
      <c r="F1970" t="s">
        <v>5915</v>
      </c>
      <c r="G1970" s="2">
        <v>4.9000000000000004</v>
      </c>
      <c r="H1970" s="1">
        <v>1</v>
      </c>
      <c r="I1970" t="s">
        <v>5617</v>
      </c>
      <c r="L1970" s="1">
        <v>15</v>
      </c>
      <c r="M1970" s="3">
        <v>27.9</v>
      </c>
      <c r="N1970" s="3">
        <v>1.4</v>
      </c>
      <c r="O1970" s="3">
        <v>0</v>
      </c>
      <c r="P1970" s="3">
        <v>1.5</v>
      </c>
      <c r="Q1970" s="3">
        <v>30.8</v>
      </c>
      <c r="R1970" s="3">
        <v>23.7</v>
      </c>
      <c r="S1970" s="3">
        <f>VLOOKUP(C1970,[1]page!$C$2:$M$3071,11,0)</f>
        <v>27.9</v>
      </c>
      <c r="T1970" s="6">
        <f t="shared" si="31"/>
        <v>0</v>
      </c>
    </row>
    <row r="1971" spans="1:20" x14ac:dyDescent="0.2">
      <c r="A1971" t="s">
        <v>6186</v>
      </c>
      <c r="B1971" t="s">
        <v>6584</v>
      </c>
      <c r="C1971" t="s">
        <v>6585</v>
      </c>
      <c r="D1971" t="s">
        <v>6586</v>
      </c>
      <c r="E1971" t="s">
        <v>6319</v>
      </c>
      <c r="F1971" t="s">
        <v>5915</v>
      </c>
      <c r="G1971" s="1">
        <v>4</v>
      </c>
      <c r="H1971" s="1">
        <v>1</v>
      </c>
      <c r="I1971" t="s">
        <v>5617</v>
      </c>
      <c r="L1971" s="1">
        <v>15</v>
      </c>
      <c r="M1971" s="3">
        <v>27.9</v>
      </c>
      <c r="N1971" s="3">
        <v>1.4</v>
      </c>
      <c r="O1971" s="3">
        <v>0</v>
      </c>
      <c r="P1971" s="3">
        <v>1.5</v>
      </c>
      <c r="Q1971" s="3">
        <v>30.8</v>
      </c>
      <c r="R1971" s="3">
        <v>23.7</v>
      </c>
      <c r="S1971" s="3">
        <f>VLOOKUP(C1971,[1]page!$C$2:$M$3071,11,0)</f>
        <v>27.9</v>
      </c>
      <c r="T1971" s="6">
        <f t="shared" si="31"/>
        <v>0</v>
      </c>
    </row>
    <row r="1972" spans="1:20" x14ac:dyDescent="0.2">
      <c r="A1972" t="s">
        <v>6186</v>
      </c>
      <c r="B1972" t="s">
        <v>6587</v>
      </c>
      <c r="C1972" t="s">
        <v>6588</v>
      </c>
      <c r="D1972" t="s">
        <v>6589</v>
      </c>
      <c r="E1972" t="s">
        <v>6195</v>
      </c>
      <c r="F1972" t="s">
        <v>5915</v>
      </c>
      <c r="G1972" s="1">
        <v>5</v>
      </c>
      <c r="H1972" s="1">
        <v>1</v>
      </c>
      <c r="I1972" t="s">
        <v>5961</v>
      </c>
      <c r="L1972" s="1">
        <v>15</v>
      </c>
      <c r="M1972" s="3">
        <v>26.92</v>
      </c>
      <c r="N1972" s="3">
        <v>1.35</v>
      </c>
      <c r="O1972" s="3">
        <v>0</v>
      </c>
      <c r="P1972" s="3">
        <v>1.5</v>
      </c>
      <c r="Q1972" s="3">
        <v>29.77</v>
      </c>
      <c r="R1972" s="3">
        <v>23.7</v>
      </c>
      <c r="S1972" s="3">
        <f>VLOOKUP(C1972,[1]page!$C$2:$M$3071,11,0)</f>
        <v>26.92</v>
      </c>
      <c r="T1972" s="6">
        <f t="shared" si="31"/>
        <v>0</v>
      </c>
    </row>
    <row r="1973" spans="1:20" x14ac:dyDescent="0.2">
      <c r="A1973" t="s">
        <v>6186</v>
      </c>
      <c r="B1973" t="s">
        <v>6590</v>
      </c>
      <c r="C1973" t="s">
        <v>6591</v>
      </c>
      <c r="D1973" t="s">
        <v>6592</v>
      </c>
      <c r="E1973" t="s">
        <v>6319</v>
      </c>
      <c r="F1973" t="s">
        <v>5915</v>
      </c>
      <c r="G1973" s="2">
        <v>4.7</v>
      </c>
      <c r="H1973" s="1">
        <v>1</v>
      </c>
      <c r="I1973" t="s">
        <v>5617</v>
      </c>
      <c r="L1973" s="1">
        <v>15</v>
      </c>
      <c r="M1973" s="3">
        <v>25</v>
      </c>
      <c r="N1973" s="3">
        <v>1.25</v>
      </c>
      <c r="O1973" s="3">
        <v>0</v>
      </c>
      <c r="P1973" s="3">
        <v>1.5</v>
      </c>
      <c r="Q1973" s="3">
        <v>27.75</v>
      </c>
      <c r="R1973" s="3">
        <v>23.7</v>
      </c>
      <c r="S1973" s="3">
        <f>VLOOKUP(C1973,[1]page!$C$2:$M$3071,11,0)</f>
        <v>25</v>
      </c>
      <c r="T1973" s="6">
        <f t="shared" si="31"/>
        <v>0</v>
      </c>
    </row>
    <row r="1974" spans="1:20" x14ac:dyDescent="0.2">
      <c r="A1974" t="s">
        <v>6186</v>
      </c>
      <c r="B1974" t="s">
        <v>6593</v>
      </c>
      <c r="C1974" t="s">
        <v>6594</v>
      </c>
      <c r="D1974" t="s">
        <v>6595</v>
      </c>
      <c r="E1974" t="s">
        <v>6190</v>
      </c>
      <c r="F1974" t="s">
        <v>5915</v>
      </c>
      <c r="G1974" s="2">
        <v>4.5</v>
      </c>
      <c r="H1974" s="1">
        <v>1</v>
      </c>
      <c r="I1974" t="s">
        <v>6191</v>
      </c>
      <c r="L1974" s="1">
        <v>15</v>
      </c>
      <c r="M1974" s="3">
        <v>26.99</v>
      </c>
      <c r="N1974" s="3">
        <v>1.35</v>
      </c>
      <c r="O1974" s="3">
        <v>0</v>
      </c>
      <c r="P1974" s="3">
        <v>1.5</v>
      </c>
      <c r="Q1974" s="3">
        <v>29.84</v>
      </c>
      <c r="R1974" s="3">
        <v>23.7</v>
      </c>
      <c r="S1974" s="3">
        <f>VLOOKUP(C1974,[1]page!$C$2:$M$3071,11,0)</f>
        <v>26.99</v>
      </c>
      <c r="T1974" s="6">
        <f t="shared" si="31"/>
        <v>0</v>
      </c>
    </row>
    <row r="1975" spans="1:20" x14ac:dyDescent="0.2">
      <c r="A1975" t="s">
        <v>6186</v>
      </c>
      <c r="B1975" t="s">
        <v>6596</v>
      </c>
      <c r="C1975" t="s">
        <v>6597</v>
      </c>
      <c r="D1975" t="s">
        <v>6598</v>
      </c>
      <c r="E1975" t="s">
        <v>6319</v>
      </c>
      <c r="F1975" t="s">
        <v>5915</v>
      </c>
      <c r="G1975" s="1">
        <v>4</v>
      </c>
      <c r="H1975" s="1">
        <v>1</v>
      </c>
      <c r="I1975" t="s">
        <v>5617</v>
      </c>
      <c r="L1975" s="1">
        <v>15</v>
      </c>
      <c r="M1975" s="3">
        <v>30.49</v>
      </c>
      <c r="N1975" s="3">
        <v>1.52</v>
      </c>
      <c r="O1975" s="3">
        <v>0</v>
      </c>
      <c r="P1975" s="3">
        <v>1.5</v>
      </c>
      <c r="Q1975" s="3">
        <v>33.51</v>
      </c>
      <c r="R1975" s="3">
        <v>23.7</v>
      </c>
      <c r="S1975" s="3">
        <f>VLOOKUP(C1975,[1]page!$C$2:$M$3071,11,0)</f>
        <v>30.49</v>
      </c>
      <c r="T1975" s="6">
        <f t="shared" si="31"/>
        <v>0</v>
      </c>
    </row>
    <row r="1976" spans="1:20" x14ac:dyDescent="0.2">
      <c r="A1976" t="s">
        <v>6186</v>
      </c>
      <c r="B1976" t="s">
        <v>6599</v>
      </c>
      <c r="C1976" t="s">
        <v>6600</v>
      </c>
      <c r="D1976" t="s">
        <v>6601</v>
      </c>
      <c r="E1976" t="s">
        <v>6319</v>
      </c>
      <c r="F1976" t="s">
        <v>5915</v>
      </c>
      <c r="G1976" s="2">
        <v>5.2</v>
      </c>
      <c r="H1976" s="1">
        <v>1</v>
      </c>
      <c r="I1976" t="s">
        <v>5617</v>
      </c>
      <c r="L1976" s="1">
        <v>15</v>
      </c>
      <c r="M1976" s="3">
        <v>32.840000000000003</v>
      </c>
      <c r="N1976" s="3">
        <v>1.64</v>
      </c>
      <c r="O1976" s="3">
        <v>0</v>
      </c>
      <c r="P1976" s="3">
        <v>1.5</v>
      </c>
      <c r="Q1976" s="3">
        <v>35.979999999999997</v>
      </c>
      <c r="R1976" s="3">
        <v>23.7</v>
      </c>
      <c r="S1976" s="3">
        <f>VLOOKUP(C1976,[1]page!$C$2:$M$3071,11,0)</f>
        <v>32.840000000000003</v>
      </c>
      <c r="T1976" s="6">
        <f t="shared" si="31"/>
        <v>0</v>
      </c>
    </row>
    <row r="1977" spans="1:20" x14ac:dyDescent="0.2">
      <c r="A1977" t="s">
        <v>6186</v>
      </c>
      <c r="B1977" t="s">
        <v>6602</v>
      </c>
      <c r="C1977" t="s">
        <v>6603</v>
      </c>
      <c r="D1977" t="s">
        <v>6604</v>
      </c>
      <c r="E1977" t="s">
        <v>6319</v>
      </c>
      <c r="F1977" t="s">
        <v>5915</v>
      </c>
      <c r="G1977" s="1">
        <v>5</v>
      </c>
      <c r="H1977" s="1">
        <v>1</v>
      </c>
      <c r="I1977" t="s">
        <v>5617</v>
      </c>
      <c r="L1977" s="1">
        <v>15</v>
      </c>
      <c r="M1977" s="3">
        <v>30.49</v>
      </c>
      <c r="N1977" s="3">
        <v>1.52</v>
      </c>
      <c r="O1977" s="3">
        <v>0</v>
      </c>
      <c r="P1977" s="3">
        <v>1.5</v>
      </c>
      <c r="Q1977" s="3">
        <v>33.51</v>
      </c>
      <c r="R1977" s="3">
        <v>23.7</v>
      </c>
      <c r="S1977" s="3">
        <f>VLOOKUP(C1977,[1]page!$C$2:$M$3071,11,0)</f>
        <v>30.49</v>
      </c>
      <c r="T1977" s="6">
        <f t="shared" si="31"/>
        <v>0</v>
      </c>
    </row>
    <row r="1978" spans="1:20" x14ac:dyDescent="0.2">
      <c r="A1978" t="s">
        <v>6186</v>
      </c>
      <c r="B1978" t="s">
        <v>6605</v>
      </c>
      <c r="C1978" t="s">
        <v>6606</v>
      </c>
      <c r="D1978" t="s">
        <v>6607</v>
      </c>
      <c r="E1978" t="s">
        <v>6190</v>
      </c>
      <c r="F1978" t="s">
        <v>5915</v>
      </c>
      <c r="G1978" s="1">
        <v>5</v>
      </c>
      <c r="H1978" s="1">
        <v>1</v>
      </c>
      <c r="I1978" t="s">
        <v>6191</v>
      </c>
      <c r="L1978" s="1">
        <v>15</v>
      </c>
      <c r="M1978" s="3">
        <v>31.49</v>
      </c>
      <c r="N1978" s="3">
        <v>1.57</v>
      </c>
      <c r="O1978" s="3">
        <v>0</v>
      </c>
      <c r="P1978" s="3">
        <v>1.5</v>
      </c>
      <c r="Q1978" s="3">
        <v>34.56</v>
      </c>
      <c r="R1978" s="3">
        <v>23.7</v>
      </c>
      <c r="S1978" s="3">
        <f>VLOOKUP(C1978,[1]page!$C$2:$M$3071,11,0)</f>
        <v>31.49</v>
      </c>
      <c r="T1978" s="6">
        <f t="shared" si="31"/>
        <v>0</v>
      </c>
    </row>
    <row r="1979" spans="1:20" x14ac:dyDescent="0.2">
      <c r="A1979" t="s">
        <v>6186</v>
      </c>
      <c r="B1979" t="s">
        <v>6608</v>
      </c>
      <c r="C1979" t="s">
        <v>6609</v>
      </c>
      <c r="D1979" t="s">
        <v>6610</v>
      </c>
      <c r="E1979" t="s">
        <v>6284</v>
      </c>
      <c r="F1979" t="s">
        <v>5915</v>
      </c>
      <c r="G1979" s="1">
        <v>5</v>
      </c>
      <c r="H1979" s="1">
        <v>1</v>
      </c>
      <c r="I1979" t="s">
        <v>6285</v>
      </c>
      <c r="L1979" s="1">
        <v>15</v>
      </c>
      <c r="M1979" s="3">
        <v>31.75</v>
      </c>
      <c r="N1979" s="3">
        <v>1.59</v>
      </c>
      <c r="O1979" s="3">
        <v>0</v>
      </c>
      <c r="P1979" s="3">
        <v>1.5</v>
      </c>
      <c r="Q1979" s="3">
        <v>34.840000000000003</v>
      </c>
      <c r="R1979" s="3">
        <v>23.7</v>
      </c>
      <c r="S1979" s="3">
        <f>VLOOKUP(C1979,[1]page!$C$2:$M$3071,11,0)</f>
        <v>31.75</v>
      </c>
      <c r="T1979" s="6">
        <f t="shared" si="31"/>
        <v>0</v>
      </c>
    </row>
    <row r="1980" spans="1:20" x14ac:dyDescent="0.2">
      <c r="A1980" t="s">
        <v>6186</v>
      </c>
      <c r="B1980" t="s">
        <v>6611</v>
      </c>
      <c r="C1980" t="s">
        <v>6612</v>
      </c>
      <c r="D1980" t="s">
        <v>6613</v>
      </c>
      <c r="E1980" t="s">
        <v>6190</v>
      </c>
      <c r="F1980" t="s">
        <v>6614</v>
      </c>
      <c r="G1980" s="2">
        <v>4.5999999999999996</v>
      </c>
      <c r="H1980" s="1">
        <v>1</v>
      </c>
      <c r="I1980" t="s">
        <v>6191</v>
      </c>
      <c r="L1980" s="1">
        <v>18</v>
      </c>
      <c r="M1980" s="3">
        <v>42.78</v>
      </c>
      <c r="N1980" s="3">
        <v>2.14</v>
      </c>
      <c r="O1980" s="3">
        <v>0</v>
      </c>
      <c r="P1980" s="3">
        <v>3.6</v>
      </c>
      <c r="Q1980" s="3">
        <v>48.52</v>
      </c>
      <c r="R1980" s="3">
        <v>27.3</v>
      </c>
      <c r="S1980" s="3">
        <f>VLOOKUP(C1980,[1]page!$C$2:$M$3071,11,0)</f>
        <v>42.78</v>
      </c>
      <c r="T1980" s="6">
        <f t="shared" si="31"/>
        <v>0</v>
      </c>
    </row>
    <row r="1981" spans="1:20" x14ac:dyDescent="0.2">
      <c r="A1981" t="s">
        <v>6186</v>
      </c>
      <c r="B1981" t="s">
        <v>6615</v>
      </c>
      <c r="C1981" t="s">
        <v>6616</v>
      </c>
      <c r="D1981" t="s">
        <v>6617</v>
      </c>
      <c r="E1981" t="s">
        <v>6195</v>
      </c>
      <c r="F1981" t="s">
        <v>6618</v>
      </c>
      <c r="G1981" s="2">
        <v>4.7</v>
      </c>
      <c r="H1981" s="1">
        <v>1</v>
      </c>
      <c r="I1981" t="s">
        <v>5961</v>
      </c>
      <c r="L1981" s="1">
        <v>18</v>
      </c>
      <c r="M1981" s="3">
        <v>41</v>
      </c>
      <c r="N1981" s="3">
        <v>2.0499999999999998</v>
      </c>
      <c r="O1981" s="3">
        <v>0</v>
      </c>
      <c r="P1981" s="3">
        <v>1.8</v>
      </c>
      <c r="Q1981" s="3">
        <v>44.85</v>
      </c>
      <c r="R1981" s="3">
        <v>31.6</v>
      </c>
      <c r="S1981" s="3">
        <f>VLOOKUP(C1981,[1]page!$C$2:$M$3071,11,0)</f>
        <v>41</v>
      </c>
      <c r="T1981" s="6">
        <f t="shared" si="31"/>
        <v>0</v>
      </c>
    </row>
    <row r="1982" spans="1:20" x14ac:dyDescent="0.2">
      <c r="A1982" t="s">
        <v>6186</v>
      </c>
      <c r="B1982" t="s">
        <v>6619</v>
      </c>
      <c r="C1982" t="s">
        <v>6620</v>
      </c>
      <c r="D1982" t="s">
        <v>6621</v>
      </c>
      <c r="E1982" t="s">
        <v>6190</v>
      </c>
      <c r="F1982" t="s">
        <v>6614</v>
      </c>
      <c r="G1982" s="1">
        <v>5</v>
      </c>
      <c r="H1982" s="1">
        <v>1</v>
      </c>
      <c r="I1982" t="s">
        <v>6191</v>
      </c>
      <c r="L1982" s="1">
        <v>18</v>
      </c>
      <c r="M1982" s="3">
        <v>42.78</v>
      </c>
      <c r="N1982" s="3">
        <v>2.14</v>
      </c>
      <c r="O1982" s="3">
        <v>0</v>
      </c>
      <c r="P1982" s="3">
        <v>3.6</v>
      </c>
      <c r="Q1982" s="3">
        <v>48.52</v>
      </c>
      <c r="R1982" s="3">
        <v>27.3</v>
      </c>
      <c r="S1982" s="3">
        <f>VLOOKUP(C1982,[1]page!$C$2:$M$3071,11,0)</f>
        <v>42.78</v>
      </c>
      <c r="T1982" s="6">
        <f t="shared" si="31"/>
        <v>0</v>
      </c>
    </row>
    <row r="1983" spans="1:20" x14ac:dyDescent="0.2">
      <c r="A1983" t="s">
        <v>6186</v>
      </c>
      <c r="B1983" t="s">
        <v>6622</v>
      </c>
      <c r="C1983" t="s">
        <v>6623</v>
      </c>
      <c r="D1983" t="s">
        <v>6624</v>
      </c>
      <c r="E1983" t="s">
        <v>6190</v>
      </c>
      <c r="F1983" t="s">
        <v>6618</v>
      </c>
      <c r="G1983" s="1">
        <v>4</v>
      </c>
      <c r="H1983" s="1">
        <v>1</v>
      </c>
      <c r="I1983" t="s">
        <v>6191</v>
      </c>
      <c r="L1983" s="1">
        <v>18</v>
      </c>
      <c r="M1983" s="3">
        <v>37.5</v>
      </c>
      <c r="N1983" s="3">
        <v>1.88</v>
      </c>
      <c r="O1983" s="3">
        <v>0</v>
      </c>
      <c r="P1983" s="3">
        <v>1.8</v>
      </c>
      <c r="Q1983" s="3">
        <v>41.18</v>
      </c>
      <c r="R1983" s="3">
        <v>31.6</v>
      </c>
      <c r="S1983" s="3">
        <f>VLOOKUP(C1983,[1]page!$C$2:$M$3071,11,0)</f>
        <v>37.5</v>
      </c>
      <c r="T1983" s="6">
        <f t="shared" si="31"/>
        <v>0</v>
      </c>
    </row>
    <row r="1984" spans="1:20" x14ac:dyDescent="0.2">
      <c r="A1984" t="s">
        <v>6186</v>
      </c>
      <c r="B1984" t="s">
        <v>6625</v>
      </c>
      <c r="C1984" t="s">
        <v>6626</v>
      </c>
      <c r="D1984" t="s">
        <v>6627</v>
      </c>
      <c r="E1984" t="s">
        <v>6190</v>
      </c>
      <c r="F1984" t="s">
        <v>6618</v>
      </c>
      <c r="G1984" s="1">
        <v>5</v>
      </c>
      <c r="H1984" s="1">
        <v>1</v>
      </c>
      <c r="I1984" t="s">
        <v>6191</v>
      </c>
      <c r="L1984" s="1">
        <v>18</v>
      </c>
      <c r="M1984" s="3">
        <v>37.5</v>
      </c>
      <c r="N1984" s="3">
        <v>1.88</v>
      </c>
      <c r="O1984" s="3">
        <v>0</v>
      </c>
      <c r="P1984" s="3">
        <v>1.8</v>
      </c>
      <c r="Q1984" s="3">
        <v>41.18</v>
      </c>
      <c r="R1984" s="3">
        <v>31.6</v>
      </c>
      <c r="S1984" s="3">
        <f>VLOOKUP(C1984,[1]page!$C$2:$M$3071,11,0)</f>
        <v>37.5</v>
      </c>
      <c r="T1984" s="6">
        <f t="shared" si="31"/>
        <v>0</v>
      </c>
    </row>
    <row r="1985" spans="1:20" x14ac:dyDescent="0.2">
      <c r="A1985" t="s">
        <v>6186</v>
      </c>
      <c r="B1985" t="s">
        <v>6628</v>
      </c>
      <c r="C1985" t="s">
        <v>6629</v>
      </c>
      <c r="D1985" t="s">
        <v>6630</v>
      </c>
      <c r="E1985" t="s">
        <v>6195</v>
      </c>
      <c r="F1985" t="s">
        <v>6618</v>
      </c>
      <c r="G1985" s="1">
        <v>5</v>
      </c>
      <c r="H1985" s="1">
        <v>1</v>
      </c>
      <c r="I1985" t="s">
        <v>5961</v>
      </c>
      <c r="L1985" s="1">
        <v>18</v>
      </c>
      <c r="M1985" s="3">
        <v>37.5</v>
      </c>
      <c r="N1985" s="3">
        <v>1.88</v>
      </c>
      <c r="O1985" s="3">
        <v>0</v>
      </c>
      <c r="P1985" s="3">
        <v>1.8</v>
      </c>
      <c r="Q1985" s="3">
        <v>41.18</v>
      </c>
      <c r="R1985" s="3">
        <v>31.6</v>
      </c>
      <c r="S1985" s="3">
        <f>VLOOKUP(C1985,[1]page!$C$2:$M$3071,11,0)</f>
        <v>37.5</v>
      </c>
      <c r="T1985" s="6">
        <f t="shared" si="31"/>
        <v>0</v>
      </c>
    </row>
    <row r="1986" spans="1:20" x14ac:dyDescent="0.2">
      <c r="A1986" t="s">
        <v>6186</v>
      </c>
      <c r="B1986" t="s">
        <v>6631</v>
      </c>
      <c r="C1986" t="s">
        <v>6632</v>
      </c>
      <c r="D1986" t="s">
        <v>6633</v>
      </c>
      <c r="E1986" t="s">
        <v>6195</v>
      </c>
      <c r="F1986" t="s">
        <v>6618</v>
      </c>
      <c r="G1986" s="1">
        <v>4</v>
      </c>
      <c r="H1986" s="1">
        <v>1</v>
      </c>
      <c r="I1986" t="s">
        <v>5961</v>
      </c>
      <c r="L1986" s="1">
        <v>18</v>
      </c>
      <c r="M1986" s="3">
        <v>37.5</v>
      </c>
      <c r="N1986" s="3">
        <v>1.88</v>
      </c>
      <c r="O1986" s="3">
        <v>0</v>
      </c>
      <c r="P1986" s="3">
        <v>1.8</v>
      </c>
      <c r="Q1986" s="3">
        <v>41.18</v>
      </c>
      <c r="R1986" s="3">
        <v>31.6</v>
      </c>
      <c r="S1986" s="3">
        <f>VLOOKUP(C1986,[1]page!$C$2:$M$3071,11,0)</f>
        <v>37.5</v>
      </c>
      <c r="T1986" s="6">
        <f t="shared" si="31"/>
        <v>0</v>
      </c>
    </row>
    <row r="1987" spans="1:20" x14ac:dyDescent="0.2">
      <c r="A1987" t="s">
        <v>6186</v>
      </c>
      <c r="B1987" t="s">
        <v>6634</v>
      </c>
      <c r="C1987" t="s">
        <v>6635</v>
      </c>
      <c r="D1987" t="s">
        <v>6636</v>
      </c>
      <c r="E1987" t="s">
        <v>6277</v>
      </c>
      <c r="F1987" t="s">
        <v>6618</v>
      </c>
      <c r="G1987" s="1">
        <v>5</v>
      </c>
      <c r="H1987" s="1">
        <v>1</v>
      </c>
      <c r="I1987" t="s">
        <v>5920</v>
      </c>
      <c r="L1987" s="1">
        <v>18</v>
      </c>
      <c r="M1987" s="3">
        <v>33.99</v>
      </c>
      <c r="N1987" s="3">
        <v>1.7</v>
      </c>
      <c r="O1987" s="3">
        <v>0</v>
      </c>
      <c r="P1987" s="3">
        <v>1.8</v>
      </c>
      <c r="Q1987" s="3">
        <v>37.49</v>
      </c>
      <c r="R1987" s="3">
        <v>31.6</v>
      </c>
      <c r="S1987" s="3">
        <f>VLOOKUP(C1987,[1]page!$C$2:$M$3071,11,0)</f>
        <v>33.99</v>
      </c>
      <c r="T1987" s="6">
        <f t="shared" si="31"/>
        <v>0</v>
      </c>
    </row>
    <row r="1988" spans="1:20" x14ac:dyDescent="0.2">
      <c r="A1988" t="s">
        <v>6186</v>
      </c>
      <c r="B1988" t="s">
        <v>6637</v>
      </c>
      <c r="C1988" t="s">
        <v>6638</v>
      </c>
      <c r="D1988" t="s">
        <v>6639</v>
      </c>
      <c r="E1988" t="s">
        <v>6277</v>
      </c>
      <c r="F1988" t="s">
        <v>6618</v>
      </c>
      <c r="G1988" s="1">
        <v>4</v>
      </c>
      <c r="H1988" s="1">
        <v>1</v>
      </c>
      <c r="I1988" t="s">
        <v>5920</v>
      </c>
      <c r="L1988" s="1">
        <v>18</v>
      </c>
      <c r="M1988" s="3">
        <v>33.99</v>
      </c>
      <c r="N1988" s="3">
        <v>1.7</v>
      </c>
      <c r="O1988" s="3">
        <v>0</v>
      </c>
      <c r="P1988" s="3">
        <v>1.8</v>
      </c>
      <c r="Q1988" s="3">
        <v>37.49</v>
      </c>
      <c r="R1988" s="3">
        <v>31.6</v>
      </c>
      <c r="S1988" s="3">
        <f>VLOOKUP(C1988,[1]page!$C$2:$M$3071,11,0)</f>
        <v>33.99</v>
      </c>
      <c r="T1988" s="6">
        <f t="shared" si="31"/>
        <v>0</v>
      </c>
    </row>
    <row r="1989" spans="1:20" x14ac:dyDescent="0.2">
      <c r="A1989" t="s">
        <v>6186</v>
      </c>
      <c r="B1989" t="s">
        <v>6640</v>
      </c>
      <c r="C1989" t="s">
        <v>6641</v>
      </c>
      <c r="D1989" t="s">
        <v>6642</v>
      </c>
      <c r="E1989" t="s">
        <v>6277</v>
      </c>
      <c r="F1989" t="s">
        <v>6618</v>
      </c>
      <c r="G1989" s="1">
        <v>5</v>
      </c>
      <c r="H1989" s="1">
        <v>1</v>
      </c>
      <c r="I1989" t="s">
        <v>5920</v>
      </c>
      <c r="L1989" s="1">
        <v>18</v>
      </c>
      <c r="M1989" s="3">
        <v>32.5</v>
      </c>
      <c r="N1989" s="3">
        <v>1.63</v>
      </c>
      <c r="O1989" s="3">
        <v>0</v>
      </c>
      <c r="P1989" s="3">
        <v>1.8</v>
      </c>
      <c r="Q1989" s="3">
        <v>35.93</v>
      </c>
      <c r="R1989" s="3">
        <v>31.6</v>
      </c>
      <c r="S1989" s="3">
        <f>VLOOKUP(C1989,[1]page!$C$2:$M$3071,11,0)</f>
        <v>32.5</v>
      </c>
      <c r="T1989" s="6">
        <f t="shared" si="31"/>
        <v>0</v>
      </c>
    </row>
    <row r="1990" spans="1:20" x14ac:dyDescent="0.2">
      <c r="A1990" t="s">
        <v>6186</v>
      </c>
      <c r="B1990" t="s">
        <v>6643</v>
      </c>
      <c r="C1990" t="s">
        <v>6644</v>
      </c>
      <c r="D1990" t="s">
        <v>6645</v>
      </c>
      <c r="E1990" t="s">
        <v>6190</v>
      </c>
      <c r="F1990" t="s">
        <v>6618</v>
      </c>
      <c r="G1990" s="1">
        <v>5</v>
      </c>
      <c r="H1990" s="1">
        <v>1</v>
      </c>
      <c r="I1990" t="s">
        <v>6191</v>
      </c>
      <c r="L1990" s="1">
        <v>18</v>
      </c>
      <c r="M1990" s="3">
        <v>34.99</v>
      </c>
      <c r="N1990" s="3">
        <v>1.75</v>
      </c>
      <c r="O1990" s="3">
        <v>0</v>
      </c>
      <c r="P1990" s="3">
        <v>1.8</v>
      </c>
      <c r="Q1990" s="3">
        <v>38.54</v>
      </c>
      <c r="R1990" s="3">
        <v>31.6</v>
      </c>
      <c r="S1990" s="3">
        <f>VLOOKUP(C1990,[1]page!$C$2:$M$3071,11,0)</f>
        <v>34.99</v>
      </c>
      <c r="T1990" s="6">
        <f t="shared" si="31"/>
        <v>0</v>
      </c>
    </row>
    <row r="1991" spans="1:20" x14ac:dyDescent="0.2">
      <c r="A1991" t="s">
        <v>6186</v>
      </c>
      <c r="B1991" t="s">
        <v>6646</v>
      </c>
      <c r="C1991" t="s">
        <v>6647</v>
      </c>
      <c r="D1991" t="s">
        <v>6648</v>
      </c>
      <c r="E1991" t="s">
        <v>6190</v>
      </c>
      <c r="F1991" t="s">
        <v>6649</v>
      </c>
      <c r="G1991" s="1">
        <v>4</v>
      </c>
      <c r="H1991" s="1">
        <v>1</v>
      </c>
      <c r="I1991" t="s">
        <v>6191</v>
      </c>
      <c r="L1991" s="1">
        <v>18</v>
      </c>
      <c r="M1991" s="3">
        <v>40.99</v>
      </c>
      <c r="N1991" s="3">
        <v>2.0499999999999998</v>
      </c>
      <c r="O1991" s="3">
        <v>0</v>
      </c>
      <c r="P1991" s="3">
        <v>1.8</v>
      </c>
      <c r="Q1991" s="3">
        <v>44.84</v>
      </c>
      <c r="R1991" s="3">
        <v>31.6</v>
      </c>
      <c r="S1991" s="3">
        <f>VLOOKUP(C1991,[1]page!$C$2:$M$3071,11,0)</f>
        <v>40.99</v>
      </c>
      <c r="T1991" s="6">
        <f t="shared" si="31"/>
        <v>0</v>
      </c>
    </row>
    <row r="1992" spans="1:20" x14ac:dyDescent="0.2">
      <c r="A1992" t="s">
        <v>6186</v>
      </c>
      <c r="B1992" t="s">
        <v>6650</v>
      </c>
      <c r="C1992" t="s">
        <v>6651</v>
      </c>
      <c r="D1992" t="s">
        <v>6652</v>
      </c>
      <c r="E1992" t="s">
        <v>6195</v>
      </c>
      <c r="F1992" t="s">
        <v>6618</v>
      </c>
      <c r="G1992" s="1">
        <v>5</v>
      </c>
      <c r="H1992" s="1">
        <v>1</v>
      </c>
      <c r="I1992" t="s">
        <v>5961</v>
      </c>
      <c r="L1992" s="1">
        <v>18</v>
      </c>
      <c r="M1992" s="3">
        <v>33.200000000000003</v>
      </c>
      <c r="N1992" s="3">
        <v>1.66</v>
      </c>
      <c r="O1992" s="3">
        <v>0</v>
      </c>
      <c r="P1992" s="3">
        <v>1.8</v>
      </c>
      <c r="Q1992" s="3">
        <v>36.659999999999997</v>
      </c>
      <c r="R1992" s="3">
        <v>31.6</v>
      </c>
      <c r="S1992" s="3">
        <f>VLOOKUP(C1992,[1]page!$C$2:$M$3071,11,0)</f>
        <v>33.200000000000003</v>
      </c>
      <c r="T1992" s="6">
        <f t="shared" si="31"/>
        <v>0</v>
      </c>
    </row>
    <row r="1993" spans="1:20" x14ac:dyDescent="0.2">
      <c r="A1993" t="s">
        <v>6186</v>
      </c>
      <c r="B1993" t="s">
        <v>6653</v>
      </c>
      <c r="C1993" t="s">
        <v>6654</v>
      </c>
      <c r="D1993" t="s">
        <v>6655</v>
      </c>
      <c r="E1993" t="s">
        <v>6190</v>
      </c>
      <c r="F1993" t="s">
        <v>6139</v>
      </c>
      <c r="G1993" s="2">
        <v>4.5999999999999996</v>
      </c>
      <c r="H1993" s="1">
        <v>12</v>
      </c>
      <c r="I1993" t="s">
        <v>6191</v>
      </c>
      <c r="L1993" s="1">
        <v>1</v>
      </c>
      <c r="M1993" s="3">
        <v>4.6900000000000004</v>
      </c>
      <c r="N1993" s="3">
        <v>0.23</v>
      </c>
      <c r="O1993" s="3">
        <v>0</v>
      </c>
      <c r="P1993" s="3">
        <v>0.2</v>
      </c>
      <c r="Q1993" s="3">
        <v>5.12</v>
      </c>
      <c r="R1993" s="3">
        <v>3.45</v>
      </c>
      <c r="S1993" s="3">
        <f>VLOOKUP(C1993,[1]page!$C$2:$M$3071,11,0)</f>
        <v>4.6900000000000004</v>
      </c>
      <c r="T1993" s="6">
        <f t="shared" si="31"/>
        <v>0</v>
      </c>
    </row>
    <row r="1994" spans="1:20" x14ac:dyDescent="0.2">
      <c r="A1994" t="s">
        <v>6186</v>
      </c>
      <c r="B1994" t="s">
        <v>6656</v>
      </c>
      <c r="C1994" t="s">
        <v>6657</v>
      </c>
      <c r="D1994" t="s">
        <v>6658</v>
      </c>
      <c r="E1994" t="s">
        <v>6190</v>
      </c>
      <c r="F1994" t="s">
        <v>6659</v>
      </c>
      <c r="G1994" s="1">
        <v>5</v>
      </c>
      <c r="H1994" s="1">
        <v>1</v>
      </c>
      <c r="I1994" t="s">
        <v>6191</v>
      </c>
      <c r="L1994" s="1">
        <v>1</v>
      </c>
      <c r="M1994" s="3">
        <v>4.4800000000000004</v>
      </c>
      <c r="N1994" s="3">
        <v>0.22</v>
      </c>
      <c r="O1994" s="3">
        <v>0</v>
      </c>
      <c r="P1994" s="3">
        <v>0.1</v>
      </c>
      <c r="Q1994" s="3">
        <v>4.8</v>
      </c>
      <c r="R1994" s="3">
        <v>3.65</v>
      </c>
      <c r="S1994" s="3">
        <f>VLOOKUP(C1994,[1]page!$C$2:$M$3071,11,0)</f>
        <v>4.59</v>
      </c>
      <c r="T1994" s="6">
        <f t="shared" si="31"/>
        <v>-0.10999999999999943</v>
      </c>
    </row>
    <row r="1995" spans="1:20" x14ac:dyDescent="0.2">
      <c r="A1995" t="s">
        <v>6186</v>
      </c>
      <c r="B1995" t="s">
        <v>6660</v>
      </c>
      <c r="C1995" t="s">
        <v>6661</v>
      </c>
      <c r="D1995" t="s">
        <v>6662</v>
      </c>
      <c r="E1995" t="s">
        <v>6190</v>
      </c>
      <c r="F1995" t="s">
        <v>5855</v>
      </c>
      <c r="G1995" s="1">
        <v>5</v>
      </c>
      <c r="H1995" s="1">
        <v>24</v>
      </c>
      <c r="I1995" t="s">
        <v>6191</v>
      </c>
      <c r="L1995" s="1">
        <v>1</v>
      </c>
      <c r="M1995" s="3">
        <v>3.29</v>
      </c>
      <c r="N1995" s="3">
        <v>0.16</v>
      </c>
      <c r="O1995" s="3">
        <v>0</v>
      </c>
      <c r="P1995" s="3">
        <v>0.1</v>
      </c>
      <c r="Q1995" s="3">
        <v>3.55</v>
      </c>
      <c r="R1995" s="3">
        <v>2.2999999999999998</v>
      </c>
      <c r="S1995" s="3">
        <f>VLOOKUP(C1995,[1]page!$C$2:$M$3071,11,0)</f>
        <v>3.29</v>
      </c>
      <c r="T1995" s="6">
        <f t="shared" si="31"/>
        <v>0</v>
      </c>
    </row>
    <row r="1996" spans="1:20" x14ac:dyDescent="0.2">
      <c r="A1996" t="s">
        <v>6186</v>
      </c>
      <c r="B1996" t="s">
        <v>6663</v>
      </c>
      <c r="C1996" t="s">
        <v>6664</v>
      </c>
      <c r="D1996" t="s">
        <v>6665</v>
      </c>
      <c r="E1996" t="s">
        <v>6195</v>
      </c>
      <c r="F1996" t="s">
        <v>5855</v>
      </c>
      <c r="G1996" s="2">
        <v>5.4</v>
      </c>
      <c r="H1996" s="1">
        <v>24</v>
      </c>
      <c r="I1996" t="s">
        <v>5961</v>
      </c>
      <c r="L1996" s="1">
        <v>1</v>
      </c>
      <c r="M1996" s="3">
        <v>3.4</v>
      </c>
      <c r="N1996" s="3">
        <v>0.17</v>
      </c>
      <c r="O1996" s="3">
        <v>0</v>
      </c>
      <c r="P1996" s="3">
        <v>0.1</v>
      </c>
      <c r="Q1996" s="3">
        <v>3.67</v>
      </c>
      <c r="R1996" s="3">
        <v>2.2999999999999998</v>
      </c>
      <c r="S1996" s="3">
        <f>VLOOKUP(C1996,[1]page!$C$2:$M$3071,11,0)</f>
        <v>3.4</v>
      </c>
      <c r="T1996" s="6">
        <f t="shared" si="31"/>
        <v>0</v>
      </c>
    </row>
    <row r="1997" spans="1:20" x14ac:dyDescent="0.2">
      <c r="A1997" t="s">
        <v>6186</v>
      </c>
      <c r="B1997" t="s">
        <v>6666</v>
      </c>
      <c r="C1997" t="s">
        <v>6667</v>
      </c>
      <c r="D1997" t="s">
        <v>6668</v>
      </c>
      <c r="E1997" t="s">
        <v>6319</v>
      </c>
      <c r="F1997" t="s">
        <v>6139</v>
      </c>
      <c r="G1997" s="1">
        <v>10</v>
      </c>
      <c r="H1997" s="1">
        <v>12</v>
      </c>
      <c r="I1997" t="s">
        <v>5617</v>
      </c>
      <c r="L1997" s="1">
        <v>1</v>
      </c>
      <c r="M1997" s="3">
        <v>3.48</v>
      </c>
      <c r="N1997" s="3">
        <v>0.17</v>
      </c>
      <c r="O1997" s="3">
        <v>0</v>
      </c>
      <c r="P1997" s="3">
        <v>0.1</v>
      </c>
      <c r="Q1997" s="3">
        <v>3.75</v>
      </c>
      <c r="R1997" s="3">
        <v>5.45</v>
      </c>
      <c r="S1997" s="3">
        <f>VLOOKUP(C1997,[1]page!$C$2:$M$3071,11,0)</f>
        <v>3.48</v>
      </c>
      <c r="T1997" s="6">
        <f t="shared" si="31"/>
        <v>0</v>
      </c>
    </row>
    <row r="1998" spans="1:20" x14ac:dyDescent="0.2">
      <c r="A1998" t="s">
        <v>6186</v>
      </c>
      <c r="B1998" t="s">
        <v>6669</v>
      </c>
      <c r="C1998" t="s">
        <v>6670</v>
      </c>
      <c r="D1998" t="s">
        <v>6671</v>
      </c>
      <c r="E1998" t="s">
        <v>6195</v>
      </c>
      <c r="F1998" t="s">
        <v>6139</v>
      </c>
      <c r="G1998" s="2">
        <v>6.1</v>
      </c>
      <c r="H1998" s="1">
        <v>12</v>
      </c>
      <c r="I1998" t="s">
        <v>5961</v>
      </c>
      <c r="L1998" s="1">
        <v>1</v>
      </c>
      <c r="M1998" s="3">
        <v>3.89</v>
      </c>
      <c r="N1998" s="3">
        <v>0.19</v>
      </c>
      <c r="O1998" s="3">
        <v>0</v>
      </c>
      <c r="P1998" s="3">
        <v>0.1</v>
      </c>
      <c r="Q1998" s="3">
        <v>4.18</v>
      </c>
      <c r="R1998" s="3">
        <v>3.45</v>
      </c>
      <c r="S1998" s="3">
        <f>VLOOKUP(C1998,[1]page!$C$2:$M$3071,11,0)</f>
        <v>3.89</v>
      </c>
      <c r="T1998" s="6">
        <f t="shared" si="31"/>
        <v>0</v>
      </c>
    </row>
    <row r="1999" spans="1:20" x14ac:dyDescent="0.2">
      <c r="A1999" t="s">
        <v>6186</v>
      </c>
      <c r="B1999" t="s">
        <v>6672</v>
      </c>
      <c r="C1999" t="s">
        <v>6673</v>
      </c>
      <c r="D1999" t="s">
        <v>6674</v>
      </c>
      <c r="E1999" t="s">
        <v>6190</v>
      </c>
      <c r="F1999" t="s">
        <v>5855</v>
      </c>
      <c r="G1999" s="1">
        <v>4</v>
      </c>
      <c r="H1999" s="1">
        <v>24</v>
      </c>
      <c r="I1999" t="s">
        <v>6191</v>
      </c>
      <c r="L1999" s="1">
        <v>1</v>
      </c>
      <c r="M1999" s="3">
        <v>3.19</v>
      </c>
      <c r="N1999" s="3">
        <v>0.16</v>
      </c>
      <c r="O1999" s="3">
        <v>0</v>
      </c>
      <c r="P1999" s="3">
        <v>0.1</v>
      </c>
      <c r="Q1999" s="3">
        <v>3.45</v>
      </c>
      <c r="R1999" s="3">
        <v>2.2999999999999998</v>
      </c>
      <c r="S1999" s="3">
        <f>VLOOKUP(C1999,[1]page!$C$2:$M$3071,11,0)</f>
        <v>3.19</v>
      </c>
      <c r="T1999" s="6">
        <f t="shared" si="31"/>
        <v>0</v>
      </c>
    </row>
    <row r="2000" spans="1:20" x14ac:dyDescent="0.2">
      <c r="A2000" t="s">
        <v>6186</v>
      </c>
      <c r="B2000" t="s">
        <v>6675</v>
      </c>
      <c r="C2000" t="s">
        <v>6676</v>
      </c>
      <c r="D2000" t="s">
        <v>6674</v>
      </c>
      <c r="E2000" t="s">
        <v>6190</v>
      </c>
      <c r="F2000" t="s">
        <v>6659</v>
      </c>
      <c r="G2000" s="1">
        <v>4</v>
      </c>
      <c r="H2000" s="1">
        <v>1</v>
      </c>
      <c r="I2000" t="s">
        <v>6191</v>
      </c>
      <c r="L2000" s="1">
        <v>1</v>
      </c>
      <c r="M2000" s="3">
        <v>4.4800000000000004</v>
      </c>
      <c r="N2000" s="3">
        <v>0.22</v>
      </c>
      <c r="O2000" s="3">
        <v>0</v>
      </c>
      <c r="P2000" s="3">
        <v>0.1</v>
      </c>
      <c r="Q2000" s="3">
        <v>4.8</v>
      </c>
      <c r="R2000" s="3">
        <v>3.65</v>
      </c>
      <c r="S2000" s="3">
        <f>VLOOKUP(C2000,[1]page!$C$2:$M$3071,11,0)</f>
        <v>4.59</v>
      </c>
      <c r="T2000" s="6">
        <f t="shared" si="31"/>
        <v>-0.10999999999999943</v>
      </c>
    </row>
    <row r="2001" spans="1:20" x14ac:dyDescent="0.2">
      <c r="A2001" t="s">
        <v>6186</v>
      </c>
      <c r="B2001" t="s">
        <v>6677</v>
      </c>
      <c r="C2001" t="s">
        <v>6678</v>
      </c>
      <c r="D2001" t="s">
        <v>6679</v>
      </c>
      <c r="E2001" t="s">
        <v>6190</v>
      </c>
      <c r="F2001" t="s">
        <v>5855</v>
      </c>
      <c r="G2001" s="1">
        <v>4</v>
      </c>
      <c r="H2001" s="1">
        <v>24</v>
      </c>
      <c r="I2001" t="s">
        <v>6191</v>
      </c>
      <c r="L2001" s="1">
        <v>1</v>
      </c>
      <c r="M2001" s="3">
        <v>3.25</v>
      </c>
      <c r="N2001" s="3">
        <v>0.16</v>
      </c>
      <c r="O2001" s="3">
        <v>0</v>
      </c>
      <c r="P2001" s="3">
        <v>0.1</v>
      </c>
      <c r="Q2001" s="3">
        <v>3.51</v>
      </c>
      <c r="R2001" s="3">
        <v>2.2999999999999998</v>
      </c>
      <c r="S2001" s="3">
        <f>VLOOKUP(C2001,[1]page!$C$2:$M$3071,11,0)</f>
        <v>3.25</v>
      </c>
      <c r="T2001" s="6">
        <f t="shared" si="31"/>
        <v>0</v>
      </c>
    </row>
    <row r="2002" spans="1:20" x14ac:dyDescent="0.2">
      <c r="A2002" t="s">
        <v>6186</v>
      </c>
      <c r="B2002" t="s">
        <v>6680</v>
      </c>
      <c r="C2002" t="s">
        <v>6681</v>
      </c>
      <c r="D2002" t="s">
        <v>6682</v>
      </c>
      <c r="E2002" t="s">
        <v>6190</v>
      </c>
      <c r="F2002" t="s">
        <v>5855</v>
      </c>
      <c r="G2002" s="1">
        <v>4</v>
      </c>
      <c r="H2002" s="1">
        <v>24</v>
      </c>
      <c r="I2002" t="s">
        <v>6191</v>
      </c>
      <c r="L2002" s="1">
        <v>1</v>
      </c>
      <c r="M2002" s="3">
        <v>3.6</v>
      </c>
      <c r="N2002" s="3">
        <v>0.18</v>
      </c>
      <c r="O2002" s="3">
        <v>0</v>
      </c>
      <c r="P2002" s="3">
        <v>0.1</v>
      </c>
      <c r="Q2002" s="3">
        <v>3.88</v>
      </c>
      <c r="R2002" s="3">
        <v>2.2999999999999998</v>
      </c>
      <c r="S2002" s="3">
        <f>VLOOKUP(C2002,[1]page!$C$2:$M$3071,11,0)</f>
        <v>3.6</v>
      </c>
      <c r="T2002" s="6">
        <f t="shared" si="31"/>
        <v>0</v>
      </c>
    </row>
    <row r="2003" spans="1:20" x14ac:dyDescent="0.2">
      <c r="A2003" t="s">
        <v>6186</v>
      </c>
      <c r="B2003" t="s">
        <v>6683</v>
      </c>
      <c r="C2003" t="s">
        <v>6684</v>
      </c>
      <c r="D2003" t="s">
        <v>6685</v>
      </c>
      <c r="E2003" t="s">
        <v>6190</v>
      </c>
      <c r="F2003" t="s">
        <v>5855</v>
      </c>
      <c r="G2003" s="1">
        <v>4</v>
      </c>
      <c r="H2003" s="1">
        <v>24</v>
      </c>
      <c r="I2003" t="s">
        <v>6191</v>
      </c>
      <c r="L2003" s="1">
        <v>1</v>
      </c>
      <c r="M2003" s="3">
        <v>3.55</v>
      </c>
      <c r="N2003" s="3">
        <v>0.18</v>
      </c>
      <c r="O2003" s="3">
        <v>0</v>
      </c>
      <c r="P2003" s="3">
        <v>0.1</v>
      </c>
      <c r="Q2003" s="3">
        <v>3.83</v>
      </c>
      <c r="R2003" s="3">
        <v>2.2999999999999998</v>
      </c>
      <c r="S2003" s="3">
        <f>VLOOKUP(C2003,[1]page!$C$2:$M$3071,11,0)</f>
        <v>3.55</v>
      </c>
      <c r="T2003" s="6">
        <f t="shared" si="31"/>
        <v>0</v>
      </c>
    </row>
    <row r="2004" spans="1:20" x14ac:dyDescent="0.2">
      <c r="A2004" t="s">
        <v>6186</v>
      </c>
      <c r="B2004" t="s">
        <v>6686</v>
      </c>
      <c r="C2004" t="s">
        <v>6687</v>
      </c>
      <c r="D2004" t="s">
        <v>6688</v>
      </c>
      <c r="E2004" t="s">
        <v>6190</v>
      </c>
      <c r="F2004" t="s">
        <v>5855</v>
      </c>
      <c r="G2004" s="1">
        <v>5</v>
      </c>
      <c r="H2004" s="1">
        <v>24</v>
      </c>
      <c r="I2004" t="s">
        <v>6191</v>
      </c>
      <c r="L2004" s="1">
        <v>1</v>
      </c>
      <c r="M2004" s="3">
        <v>3.19</v>
      </c>
      <c r="N2004" s="3">
        <v>0.16</v>
      </c>
      <c r="O2004" s="3">
        <v>0</v>
      </c>
      <c r="P2004" s="3">
        <v>0.1</v>
      </c>
      <c r="Q2004" s="3">
        <v>3.45</v>
      </c>
      <c r="R2004" s="3">
        <v>2.2999999999999998</v>
      </c>
      <c r="S2004" s="3">
        <f>VLOOKUP(C2004,[1]page!$C$2:$M$3071,11,0)</f>
        <v>3.19</v>
      </c>
      <c r="T2004" s="6">
        <f t="shared" si="31"/>
        <v>0</v>
      </c>
    </row>
    <row r="2005" spans="1:20" x14ac:dyDescent="0.2">
      <c r="A2005" t="s">
        <v>6186</v>
      </c>
      <c r="B2005" t="s">
        <v>6689</v>
      </c>
      <c r="C2005" t="s">
        <v>6690</v>
      </c>
      <c r="D2005" t="s">
        <v>6688</v>
      </c>
      <c r="E2005" t="s">
        <v>6190</v>
      </c>
      <c r="F2005" t="s">
        <v>6659</v>
      </c>
      <c r="G2005" s="1">
        <v>5</v>
      </c>
      <c r="H2005" s="1">
        <v>1</v>
      </c>
      <c r="I2005" t="s">
        <v>6191</v>
      </c>
      <c r="L2005" s="1">
        <v>1</v>
      </c>
      <c r="M2005" s="3">
        <v>4.4800000000000004</v>
      </c>
      <c r="N2005" s="3">
        <v>0.22</v>
      </c>
      <c r="O2005" s="3">
        <v>0</v>
      </c>
      <c r="P2005" s="3">
        <v>0.1</v>
      </c>
      <c r="Q2005" s="3">
        <v>4.8</v>
      </c>
      <c r="R2005" s="3">
        <v>3.65</v>
      </c>
      <c r="S2005" s="3">
        <f>VLOOKUP(C2005,[1]page!$C$2:$M$3071,11,0)</f>
        <v>4.59</v>
      </c>
      <c r="T2005" s="6">
        <f t="shared" si="31"/>
        <v>-0.10999999999999943</v>
      </c>
    </row>
    <row r="2006" spans="1:20" x14ac:dyDescent="0.2">
      <c r="A2006" t="s">
        <v>6186</v>
      </c>
      <c r="B2006" t="s">
        <v>6691</v>
      </c>
      <c r="C2006" t="s">
        <v>6692</v>
      </c>
      <c r="D2006" t="s">
        <v>6693</v>
      </c>
      <c r="E2006" t="s">
        <v>6190</v>
      </c>
      <c r="F2006" t="s">
        <v>6659</v>
      </c>
      <c r="G2006" s="2">
        <v>4.7</v>
      </c>
      <c r="H2006" s="1">
        <v>1</v>
      </c>
      <c r="I2006" t="s">
        <v>6242</v>
      </c>
      <c r="L2006" s="1">
        <v>1</v>
      </c>
      <c r="M2006" s="3">
        <v>3.74</v>
      </c>
      <c r="N2006" s="3">
        <v>0.19</v>
      </c>
      <c r="O2006" s="3">
        <v>0</v>
      </c>
      <c r="P2006" s="3">
        <v>0.1</v>
      </c>
      <c r="Q2006" s="3">
        <v>4.03</v>
      </c>
      <c r="R2006" s="3">
        <v>3.65</v>
      </c>
      <c r="S2006" s="3">
        <f>VLOOKUP(C2006,[1]page!$C$2:$M$3071,11,0)</f>
        <v>3.79</v>
      </c>
      <c r="T2006" s="6">
        <f t="shared" si="31"/>
        <v>-4.9999999999999822E-2</v>
      </c>
    </row>
    <row r="2007" spans="1:20" x14ac:dyDescent="0.2">
      <c r="A2007" t="s">
        <v>6186</v>
      </c>
      <c r="B2007" t="s">
        <v>6694</v>
      </c>
      <c r="C2007" t="s">
        <v>6695</v>
      </c>
      <c r="D2007" t="s">
        <v>6696</v>
      </c>
      <c r="E2007" t="s">
        <v>6190</v>
      </c>
      <c r="F2007" t="s">
        <v>6659</v>
      </c>
      <c r="G2007" s="1">
        <v>6</v>
      </c>
      <c r="H2007" s="1">
        <v>12</v>
      </c>
      <c r="I2007" t="s">
        <v>6191</v>
      </c>
      <c r="L2007" s="1">
        <v>1</v>
      </c>
      <c r="M2007" s="3">
        <v>3.74</v>
      </c>
      <c r="N2007" s="3">
        <v>0.19</v>
      </c>
      <c r="O2007" s="3">
        <v>0</v>
      </c>
      <c r="P2007" s="3">
        <v>0.1</v>
      </c>
      <c r="Q2007" s="3">
        <v>4.03</v>
      </c>
      <c r="R2007" s="3">
        <v>3.65</v>
      </c>
      <c r="S2007" s="3">
        <f>VLOOKUP(C2007,[1]page!$C$2:$M$3071,11,0)</f>
        <v>3.79</v>
      </c>
      <c r="T2007" s="6">
        <f t="shared" si="31"/>
        <v>-4.9999999999999822E-2</v>
      </c>
    </row>
    <row r="2008" spans="1:20" x14ac:dyDescent="0.2">
      <c r="A2008" t="s">
        <v>6186</v>
      </c>
      <c r="B2008" t="s">
        <v>6697</v>
      </c>
      <c r="C2008" t="s">
        <v>6698</v>
      </c>
      <c r="D2008" t="s">
        <v>6699</v>
      </c>
      <c r="E2008" t="s">
        <v>6190</v>
      </c>
      <c r="F2008" t="s">
        <v>6659</v>
      </c>
      <c r="G2008" s="1">
        <v>8</v>
      </c>
      <c r="H2008" s="1">
        <v>12</v>
      </c>
      <c r="I2008" t="s">
        <v>6191</v>
      </c>
      <c r="L2008" s="1">
        <v>1</v>
      </c>
      <c r="M2008" s="3">
        <v>3.78</v>
      </c>
      <c r="N2008" s="3">
        <v>0.19</v>
      </c>
      <c r="O2008" s="3">
        <v>0</v>
      </c>
      <c r="P2008" s="3">
        <v>0.1</v>
      </c>
      <c r="Q2008" s="3">
        <v>4.07</v>
      </c>
      <c r="R2008" s="3">
        <v>5.35</v>
      </c>
      <c r="S2008" s="3" t="e">
        <f>VLOOKUP(C2008,[1]page!$C$2:$M$3071,11,0)</f>
        <v>#N/A</v>
      </c>
      <c r="T2008" s="6" t="e">
        <f t="shared" si="31"/>
        <v>#N/A</v>
      </c>
    </row>
    <row r="2009" spans="1:20" x14ac:dyDescent="0.2">
      <c r="A2009" t="s">
        <v>6186</v>
      </c>
      <c r="B2009" t="s">
        <v>6700</v>
      </c>
      <c r="C2009" t="s">
        <v>6701</v>
      </c>
      <c r="D2009" t="s">
        <v>6702</v>
      </c>
      <c r="E2009" t="s">
        <v>6195</v>
      </c>
      <c r="F2009" t="s">
        <v>6139</v>
      </c>
      <c r="G2009" s="1">
        <v>5</v>
      </c>
      <c r="H2009" s="1">
        <v>12</v>
      </c>
      <c r="I2009" t="s">
        <v>5961</v>
      </c>
      <c r="L2009" s="1">
        <v>1</v>
      </c>
      <c r="M2009" s="3">
        <v>4.3</v>
      </c>
      <c r="N2009" s="3">
        <v>0.22</v>
      </c>
      <c r="O2009" s="3">
        <v>0</v>
      </c>
      <c r="P2009" s="3">
        <v>0.1</v>
      </c>
      <c r="Q2009" s="3">
        <v>4.62</v>
      </c>
      <c r="R2009" s="3">
        <v>3.45</v>
      </c>
      <c r="S2009" s="3">
        <f>VLOOKUP(C2009,[1]page!$C$2:$M$3071,11,0)</f>
        <v>4.3</v>
      </c>
      <c r="T2009" s="6">
        <f t="shared" si="31"/>
        <v>0</v>
      </c>
    </row>
    <row r="2010" spans="1:20" x14ac:dyDescent="0.2">
      <c r="A2010" t="s">
        <v>6186</v>
      </c>
      <c r="B2010" t="s">
        <v>6703</v>
      </c>
      <c r="C2010" t="s">
        <v>6704</v>
      </c>
      <c r="D2010" t="s">
        <v>6705</v>
      </c>
      <c r="E2010" t="s">
        <v>6195</v>
      </c>
      <c r="F2010" t="s">
        <v>5855</v>
      </c>
      <c r="G2010" s="1">
        <v>6</v>
      </c>
      <c r="H2010" s="1">
        <v>24</v>
      </c>
      <c r="I2010" t="s">
        <v>5961</v>
      </c>
      <c r="L2010" s="1">
        <v>1</v>
      </c>
      <c r="M2010" s="3">
        <v>2.99</v>
      </c>
      <c r="N2010" s="3">
        <v>0.15</v>
      </c>
      <c r="O2010" s="3">
        <v>0</v>
      </c>
      <c r="P2010" s="3">
        <v>0.1</v>
      </c>
      <c r="Q2010" s="3">
        <v>3.24</v>
      </c>
      <c r="R2010" s="3">
        <v>2.2999999999999998</v>
      </c>
      <c r="S2010" s="3">
        <f>VLOOKUP(C2010,[1]page!$C$2:$M$3071,11,0)</f>
        <v>2.99</v>
      </c>
      <c r="T2010" s="6">
        <f t="shared" si="31"/>
        <v>0</v>
      </c>
    </row>
    <row r="2011" spans="1:20" x14ac:dyDescent="0.2">
      <c r="A2011" t="s">
        <v>6186</v>
      </c>
      <c r="B2011" t="s">
        <v>6706</v>
      </c>
      <c r="C2011" t="s">
        <v>6707</v>
      </c>
      <c r="D2011" t="s">
        <v>6708</v>
      </c>
      <c r="E2011" t="s">
        <v>6195</v>
      </c>
      <c r="F2011" t="s">
        <v>5855</v>
      </c>
      <c r="G2011" s="2">
        <v>7.1</v>
      </c>
      <c r="H2011" s="1">
        <v>24</v>
      </c>
      <c r="I2011" t="s">
        <v>5961</v>
      </c>
      <c r="L2011" s="1">
        <v>1</v>
      </c>
      <c r="M2011" s="3">
        <v>2.99</v>
      </c>
      <c r="N2011" s="3">
        <v>0.15</v>
      </c>
      <c r="O2011" s="3">
        <v>0</v>
      </c>
      <c r="P2011" s="3">
        <v>0.1</v>
      </c>
      <c r="Q2011" s="3">
        <v>3.24</v>
      </c>
      <c r="R2011" s="3">
        <v>2.95</v>
      </c>
      <c r="S2011" s="3">
        <f>VLOOKUP(C2011,[1]page!$C$2:$M$3071,11,0)</f>
        <v>2.99</v>
      </c>
      <c r="T2011" s="6">
        <f t="shared" si="31"/>
        <v>0</v>
      </c>
    </row>
    <row r="2012" spans="1:20" x14ac:dyDescent="0.2">
      <c r="A2012" t="s">
        <v>6186</v>
      </c>
      <c r="B2012" t="s">
        <v>6709</v>
      </c>
      <c r="C2012" t="s">
        <v>6710</v>
      </c>
      <c r="D2012" t="s">
        <v>6711</v>
      </c>
      <c r="E2012" t="s">
        <v>6319</v>
      </c>
      <c r="F2012" t="s">
        <v>6139</v>
      </c>
      <c r="G2012" s="1">
        <v>8</v>
      </c>
      <c r="H2012" s="1">
        <v>12</v>
      </c>
      <c r="I2012" t="s">
        <v>5617</v>
      </c>
      <c r="L2012" s="1">
        <v>1</v>
      </c>
      <c r="M2012" s="3">
        <v>3.48</v>
      </c>
      <c r="N2012" s="3">
        <v>0.17</v>
      </c>
      <c r="O2012" s="3">
        <v>0</v>
      </c>
      <c r="P2012" s="3">
        <v>0.1</v>
      </c>
      <c r="Q2012" s="3">
        <v>3.75</v>
      </c>
      <c r="R2012" s="3">
        <v>5.05</v>
      </c>
      <c r="S2012" s="3">
        <f>VLOOKUP(C2012,[1]page!$C$2:$M$3071,11,0)</f>
        <v>3.48</v>
      </c>
      <c r="T2012" s="6">
        <f t="shared" si="31"/>
        <v>0</v>
      </c>
    </row>
    <row r="2013" spans="1:20" x14ac:dyDescent="0.2">
      <c r="A2013" t="s">
        <v>6186</v>
      </c>
      <c r="B2013" t="s">
        <v>6712</v>
      </c>
      <c r="C2013" t="s">
        <v>6713</v>
      </c>
      <c r="D2013" t="s">
        <v>6714</v>
      </c>
      <c r="E2013" t="s">
        <v>6195</v>
      </c>
      <c r="F2013" t="s">
        <v>5855</v>
      </c>
      <c r="G2013" s="2">
        <v>0.05</v>
      </c>
      <c r="H2013" s="1">
        <v>12</v>
      </c>
      <c r="I2013" t="s">
        <v>5961</v>
      </c>
      <c r="L2013" s="1">
        <v>1</v>
      </c>
      <c r="M2013" s="3">
        <v>2.0099999999999998</v>
      </c>
      <c r="N2013" s="3">
        <v>0.1</v>
      </c>
      <c r="O2013" s="3">
        <v>0.12</v>
      </c>
      <c r="P2013" s="3">
        <v>0.1</v>
      </c>
      <c r="Q2013" s="3">
        <v>2.33</v>
      </c>
      <c r="R2013" s="3">
        <v>2.2999999999999998</v>
      </c>
      <c r="S2013" s="3">
        <f>VLOOKUP(C2013,[1]page!$C$2:$M$3071,11,0)</f>
        <v>2.0099999999999998</v>
      </c>
      <c r="T2013" s="6">
        <f t="shared" si="31"/>
        <v>0</v>
      </c>
    </row>
    <row r="2014" spans="1:20" x14ac:dyDescent="0.2">
      <c r="A2014" t="s">
        <v>6186</v>
      </c>
      <c r="B2014" t="s">
        <v>6715</v>
      </c>
      <c r="C2014" t="s">
        <v>6716</v>
      </c>
      <c r="D2014" t="s">
        <v>6717</v>
      </c>
      <c r="E2014" t="s">
        <v>6195</v>
      </c>
      <c r="F2014" t="s">
        <v>6139</v>
      </c>
      <c r="G2014" s="1">
        <v>4</v>
      </c>
      <c r="H2014" s="1">
        <v>12</v>
      </c>
      <c r="I2014" t="s">
        <v>5961</v>
      </c>
      <c r="L2014" s="1">
        <v>1</v>
      </c>
      <c r="M2014" s="3">
        <v>4.3</v>
      </c>
      <c r="N2014" s="3">
        <v>0.22</v>
      </c>
      <c r="O2014" s="3">
        <v>0</v>
      </c>
      <c r="P2014" s="3">
        <v>0.1</v>
      </c>
      <c r="Q2014" s="3">
        <v>4.62</v>
      </c>
      <c r="R2014" s="3">
        <v>3.45</v>
      </c>
      <c r="S2014" s="3">
        <f>VLOOKUP(C2014,[1]page!$C$2:$M$3071,11,0)</f>
        <v>4.3</v>
      </c>
      <c r="T2014" s="6">
        <f t="shared" si="31"/>
        <v>0</v>
      </c>
    </row>
    <row r="2015" spans="1:20" x14ac:dyDescent="0.2">
      <c r="A2015" t="s">
        <v>6186</v>
      </c>
      <c r="B2015" t="s">
        <v>6718</v>
      </c>
      <c r="C2015" t="s">
        <v>6719</v>
      </c>
      <c r="D2015" t="s">
        <v>6720</v>
      </c>
      <c r="E2015" t="s">
        <v>6195</v>
      </c>
      <c r="F2015" t="s">
        <v>5855</v>
      </c>
      <c r="G2015" s="1">
        <v>5</v>
      </c>
      <c r="H2015" s="1">
        <v>24</v>
      </c>
      <c r="I2015" t="s">
        <v>5961</v>
      </c>
      <c r="L2015" s="1">
        <v>1</v>
      </c>
      <c r="M2015" s="3">
        <v>3.4</v>
      </c>
      <c r="N2015" s="3">
        <v>0.17</v>
      </c>
      <c r="O2015" s="3">
        <v>0</v>
      </c>
      <c r="P2015" s="3">
        <v>0.1</v>
      </c>
      <c r="Q2015" s="3">
        <v>3.67</v>
      </c>
      <c r="R2015" s="3">
        <v>2.2999999999999998</v>
      </c>
      <c r="S2015" s="3">
        <f>VLOOKUP(C2015,[1]page!$C$2:$M$3071,11,0)</f>
        <v>3.4</v>
      </c>
      <c r="T2015" s="6">
        <f t="shared" ref="T2015:T2078" si="32">SUM(M2015-S2015)</f>
        <v>0</v>
      </c>
    </row>
    <row r="2016" spans="1:20" x14ac:dyDescent="0.2">
      <c r="A2016" t="s">
        <v>6186</v>
      </c>
      <c r="B2016" t="s">
        <v>6721</v>
      </c>
      <c r="C2016" t="s">
        <v>6722</v>
      </c>
      <c r="D2016" t="s">
        <v>6720</v>
      </c>
      <c r="E2016" t="s">
        <v>6195</v>
      </c>
      <c r="F2016" t="s">
        <v>6139</v>
      </c>
      <c r="G2016" s="1">
        <v>5</v>
      </c>
      <c r="H2016" s="1">
        <v>12</v>
      </c>
      <c r="I2016" t="s">
        <v>5961</v>
      </c>
      <c r="L2016" s="1">
        <v>1</v>
      </c>
      <c r="M2016" s="3">
        <v>4.5599999999999996</v>
      </c>
      <c r="N2016" s="3">
        <v>0.23</v>
      </c>
      <c r="O2016" s="3">
        <v>0</v>
      </c>
      <c r="P2016" s="3">
        <v>0.1</v>
      </c>
      <c r="Q2016" s="3">
        <v>4.8899999999999997</v>
      </c>
      <c r="R2016" s="3">
        <v>3.45</v>
      </c>
      <c r="S2016" s="3">
        <f>VLOOKUP(C2016,[1]page!$C$2:$M$3071,11,0)</f>
        <v>4.5599999999999996</v>
      </c>
      <c r="T2016" s="6">
        <f t="shared" si="32"/>
        <v>0</v>
      </c>
    </row>
    <row r="2017" spans="1:20" x14ac:dyDescent="0.2">
      <c r="A2017" t="s">
        <v>6186</v>
      </c>
      <c r="B2017" t="s">
        <v>6723</v>
      </c>
      <c r="C2017" t="s">
        <v>6724</v>
      </c>
      <c r="D2017" t="s">
        <v>6725</v>
      </c>
      <c r="E2017" t="s">
        <v>6190</v>
      </c>
      <c r="F2017" t="s">
        <v>5855</v>
      </c>
      <c r="G2017" s="2">
        <v>4.5999999999999996</v>
      </c>
      <c r="H2017" s="1">
        <v>24</v>
      </c>
      <c r="I2017" t="s">
        <v>6191</v>
      </c>
      <c r="L2017" s="1">
        <v>1</v>
      </c>
      <c r="M2017" s="3">
        <v>3.79</v>
      </c>
      <c r="N2017" s="3">
        <v>0.19</v>
      </c>
      <c r="O2017" s="3">
        <v>0</v>
      </c>
      <c r="P2017" s="3">
        <v>0.1</v>
      </c>
      <c r="Q2017" s="3">
        <v>4.08</v>
      </c>
      <c r="R2017" s="3">
        <v>2.2999999999999998</v>
      </c>
      <c r="S2017" s="3">
        <f>VLOOKUP(C2017,[1]page!$C$2:$M$3071,11,0)</f>
        <v>3.79</v>
      </c>
      <c r="T2017" s="6">
        <f t="shared" si="32"/>
        <v>0</v>
      </c>
    </row>
    <row r="2018" spans="1:20" x14ac:dyDescent="0.2">
      <c r="A2018" t="s">
        <v>6186</v>
      </c>
      <c r="B2018" t="s">
        <v>6726</v>
      </c>
      <c r="C2018" t="s">
        <v>6727</v>
      </c>
      <c r="D2018" t="s">
        <v>6728</v>
      </c>
      <c r="E2018" t="s">
        <v>6332</v>
      </c>
      <c r="F2018" t="s">
        <v>5855</v>
      </c>
      <c r="G2018" s="1">
        <v>5</v>
      </c>
      <c r="H2018" s="1">
        <v>24</v>
      </c>
      <c r="I2018" t="s">
        <v>5961</v>
      </c>
      <c r="L2018" s="1">
        <v>1</v>
      </c>
      <c r="M2018" s="3">
        <v>2.96</v>
      </c>
      <c r="N2018" s="3">
        <v>0.15</v>
      </c>
      <c r="O2018" s="3">
        <v>0</v>
      </c>
      <c r="P2018" s="3">
        <v>0.1</v>
      </c>
      <c r="Q2018" s="3">
        <v>3.21</v>
      </c>
      <c r="R2018" s="3">
        <v>2.2999999999999998</v>
      </c>
      <c r="S2018" s="3">
        <f>VLOOKUP(C2018,[1]page!$C$2:$M$3071,11,0)</f>
        <v>2.96</v>
      </c>
      <c r="T2018" s="6">
        <f t="shared" si="32"/>
        <v>0</v>
      </c>
    </row>
    <row r="2019" spans="1:20" x14ac:dyDescent="0.2">
      <c r="A2019" t="s">
        <v>6186</v>
      </c>
      <c r="B2019" t="s">
        <v>6729</v>
      </c>
      <c r="C2019" t="s">
        <v>6730</v>
      </c>
      <c r="D2019" t="s">
        <v>6731</v>
      </c>
      <c r="E2019" t="s">
        <v>6332</v>
      </c>
      <c r="F2019" t="s">
        <v>5855</v>
      </c>
      <c r="G2019" s="2">
        <v>4.5</v>
      </c>
      <c r="H2019" s="1">
        <v>24</v>
      </c>
      <c r="I2019" t="s">
        <v>5961</v>
      </c>
      <c r="L2019" s="1">
        <v>1</v>
      </c>
      <c r="M2019" s="3">
        <v>2.96</v>
      </c>
      <c r="N2019" s="3">
        <v>0.15</v>
      </c>
      <c r="O2019" s="3">
        <v>0</v>
      </c>
      <c r="P2019" s="3">
        <v>0.1</v>
      </c>
      <c r="Q2019" s="3">
        <v>3.21</v>
      </c>
      <c r="R2019" s="3">
        <v>2.2999999999999998</v>
      </c>
      <c r="S2019" s="3">
        <f>VLOOKUP(C2019,[1]page!$C$2:$M$3071,11,0)</f>
        <v>2.96</v>
      </c>
      <c r="T2019" s="6">
        <f t="shared" si="32"/>
        <v>0</v>
      </c>
    </row>
    <row r="2020" spans="1:20" x14ac:dyDescent="0.2">
      <c r="A2020" t="s">
        <v>6186</v>
      </c>
      <c r="B2020" t="s">
        <v>6732</v>
      </c>
      <c r="C2020" t="s">
        <v>6733</v>
      </c>
      <c r="D2020" t="s">
        <v>6734</v>
      </c>
      <c r="E2020" t="s">
        <v>6332</v>
      </c>
      <c r="F2020" t="s">
        <v>5855</v>
      </c>
      <c r="G2020" s="2">
        <v>4.7</v>
      </c>
      <c r="H2020" s="1">
        <v>24</v>
      </c>
      <c r="I2020" t="s">
        <v>5961</v>
      </c>
      <c r="L2020" s="1">
        <v>1</v>
      </c>
      <c r="M2020" s="3">
        <v>2.96</v>
      </c>
      <c r="N2020" s="3">
        <v>0.15</v>
      </c>
      <c r="O2020" s="3">
        <v>0</v>
      </c>
      <c r="P2020" s="3">
        <v>0.1</v>
      </c>
      <c r="Q2020" s="3">
        <v>3.21</v>
      </c>
      <c r="R2020" s="3">
        <v>2.2999999999999998</v>
      </c>
      <c r="S2020" s="3">
        <f>VLOOKUP(C2020,[1]page!$C$2:$M$3071,11,0)</f>
        <v>2.96</v>
      </c>
      <c r="T2020" s="6">
        <f t="shared" si="32"/>
        <v>0</v>
      </c>
    </row>
    <row r="2021" spans="1:20" x14ac:dyDescent="0.2">
      <c r="A2021" t="s">
        <v>6186</v>
      </c>
      <c r="B2021" t="s">
        <v>6735</v>
      </c>
      <c r="C2021" t="s">
        <v>6736</v>
      </c>
      <c r="D2021" t="s">
        <v>6737</v>
      </c>
      <c r="E2021" t="s">
        <v>6332</v>
      </c>
      <c r="F2021" t="s">
        <v>5855</v>
      </c>
      <c r="G2021" s="1">
        <v>5</v>
      </c>
      <c r="H2021" s="1">
        <v>24</v>
      </c>
      <c r="I2021" t="s">
        <v>5961</v>
      </c>
      <c r="L2021" s="1">
        <v>1</v>
      </c>
      <c r="M2021" s="3">
        <v>2.96</v>
      </c>
      <c r="N2021" s="3">
        <v>0.15</v>
      </c>
      <c r="O2021" s="3">
        <v>0</v>
      </c>
      <c r="P2021" s="3">
        <v>0.1</v>
      </c>
      <c r="Q2021" s="3">
        <v>3.21</v>
      </c>
      <c r="R2021" s="3">
        <v>2.2999999999999998</v>
      </c>
      <c r="S2021" s="3">
        <f>VLOOKUP(C2021,[1]page!$C$2:$M$3071,11,0)</f>
        <v>2.96</v>
      </c>
      <c r="T2021" s="6">
        <f t="shared" si="32"/>
        <v>0</v>
      </c>
    </row>
    <row r="2022" spans="1:20" x14ac:dyDescent="0.2">
      <c r="A2022" t="s">
        <v>6186</v>
      </c>
      <c r="B2022" t="s">
        <v>6738</v>
      </c>
      <c r="C2022" t="s">
        <v>6739</v>
      </c>
      <c r="D2022" t="s">
        <v>6740</v>
      </c>
      <c r="E2022" t="s">
        <v>6332</v>
      </c>
      <c r="F2022" t="s">
        <v>5855</v>
      </c>
      <c r="G2022" s="1">
        <v>5</v>
      </c>
      <c r="H2022" s="1">
        <v>24</v>
      </c>
      <c r="I2022" t="s">
        <v>5961</v>
      </c>
      <c r="L2022" s="1">
        <v>1</v>
      </c>
      <c r="M2022" s="3">
        <v>2.96</v>
      </c>
      <c r="N2022" s="3">
        <v>0.15</v>
      </c>
      <c r="O2022" s="3">
        <v>0</v>
      </c>
      <c r="P2022" s="3">
        <v>0.1</v>
      </c>
      <c r="Q2022" s="3">
        <v>3.21</v>
      </c>
      <c r="R2022" s="3">
        <v>2.2999999999999998</v>
      </c>
      <c r="S2022" s="3">
        <f>VLOOKUP(C2022,[1]page!$C$2:$M$3071,11,0)</f>
        <v>2.96</v>
      </c>
      <c r="T2022" s="6">
        <f t="shared" si="32"/>
        <v>0</v>
      </c>
    </row>
    <row r="2023" spans="1:20" x14ac:dyDescent="0.2">
      <c r="A2023" t="s">
        <v>6186</v>
      </c>
      <c r="B2023" t="s">
        <v>6741</v>
      </c>
      <c r="C2023" t="s">
        <v>6742</v>
      </c>
      <c r="D2023" t="s">
        <v>6743</v>
      </c>
      <c r="E2023" t="s">
        <v>6332</v>
      </c>
      <c r="F2023" t="s">
        <v>5855</v>
      </c>
      <c r="G2023" s="1">
        <v>5</v>
      </c>
      <c r="H2023" s="1">
        <v>24</v>
      </c>
      <c r="I2023" t="s">
        <v>5961</v>
      </c>
      <c r="L2023" s="1">
        <v>1</v>
      </c>
      <c r="M2023" s="3">
        <v>3.16</v>
      </c>
      <c r="N2023" s="3">
        <v>0.16</v>
      </c>
      <c r="O2023" s="3">
        <v>0</v>
      </c>
      <c r="P2023" s="3">
        <v>0.1</v>
      </c>
      <c r="Q2023" s="3">
        <v>3.42</v>
      </c>
      <c r="R2023" s="3">
        <v>2.2999999999999998</v>
      </c>
      <c r="S2023" s="3">
        <f>VLOOKUP(C2023,[1]page!$C$2:$M$3071,11,0)</f>
        <v>3.16</v>
      </c>
      <c r="T2023" s="6">
        <f t="shared" si="32"/>
        <v>0</v>
      </c>
    </row>
    <row r="2024" spans="1:20" x14ac:dyDescent="0.2">
      <c r="A2024" t="s">
        <v>6186</v>
      </c>
      <c r="B2024" t="s">
        <v>6744</v>
      </c>
      <c r="C2024" t="s">
        <v>6745</v>
      </c>
      <c r="D2024" t="s">
        <v>6746</v>
      </c>
      <c r="E2024" t="s">
        <v>6747</v>
      </c>
      <c r="F2024" t="s">
        <v>2078</v>
      </c>
      <c r="G2024" s="2">
        <v>4.2</v>
      </c>
      <c r="H2024" s="1">
        <v>24</v>
      </c>
      <c r="I2024" t="s">
        <v>6748</v>
      </c>
      <c r="L2024" s="1">
        <v>1</v>
      </c>
      <c r="M2024" s="3">
        <v>3.69</v>
      </c>
      <c r="N2024" s="3">
        <v>0.18</v>
      </c>
      <c r="O2024" s="3">
        <v>0</v>
      </c>
      <c r="P2024" s="3">
        <v>0.1</v>
      </c>
      <c r="Q2024" s="3">
        <v>3.97</v>
      </c>
      <c r="R2024" s="3">
        <v>2.4500000000000002</v>
      </c>
      <c r="S2024" s="3">
        <f>VLOOKUP(C2024,[1]page!$C$2:$M$3071,11,0)</f>
        <v>3.69</v>
      </c>
      <c r="T2024" s="6">
        <f t="shared" si="32"/>
        <v>0</v>
      </c>
    </row>
    <row r="2025" spans="1:20" x14ac:dyDescent="0.2">
      <c r="A2025" t="s">
        <v>6186</v>
      </c>
      <c r="B2025" t="s">
        <v>6749</v>
      </c>
      <c r="C2025" t="s">
        <v>6750</v>
      </c>
      <c r="D2025" t="s">
        <v>6751</v>
      </c>
      <c r="E2025" t="s">
        <v>6747</v>
      </c>
      <c r="F2025" t="s">
        <v>2078</v>
      </c>
      <c r="G2025" s="1">
        <v>5</v>
      </c>
      <c r="H2025" s="1">
        <v>24</v>
      </c>
      <c r="I2025" t="s">
        <v>24</v>
      </c>
      <c r="L2025" s="1">
        <v>1</v>
      </c>
      <c r="M2025" s="3">
        <v>3.79</v>
      </c>
      <c r="N2025" s="3">
        <v>0.19</v>
      </c>
      <c r="O2025" s="3">
        <v>0</v>
      </c>
      <c r="P2025" s="3">
        <v>0.1</v>
      </c>
      <c r="Q2025" s="3">
        <v>4.08</v>
      </c>
      <c r="R2025" s="3">
        <v>2.4500000000000002</v>
      </c>
      <c r="S2025" s="3" t="e">
        <f>VLOOKUP(C2025,[1]page!$C$2:$M$3071,11,0)</f>
        <v>#N/A</v>
      </c>
      <c r="T2025" s="6" t="e">
        <f t="shared" si="32"/>
        <v>#N/A</v>
      </c>
    </row>
    <row r="2026" spans="1:20" x14ac:dyDescent="0.2">
      <c r="A2026" t="s">
        <v>6186</v>
      </c>
      <c r="B2026" t="s">
        <v>6752</v>
      </c>
      <c r="C2026" t="s">
        <v>6753</v>
      </c>
      <c r="D2026" t="s">
        <v>6754</v>
      </c>
      <c r="E2026" t="s">
        <v>6747</v>
      </c>
      <c r="F2026" t="s">
        <v>2078</v>
      </c>
      <c r="G2026" s="1">
        <v>5</v>
      </c>
      <c r="H2026" s="1">
        <v>24</v>
      </c>
      <c r="I2026" t="s">
        <v>24</v>
      </c>
      <c r="L2026" s="1">
        <v>1</v>
      </c>
      <c r="M2026" s="3">
        <v>3.58</v>
      </c>
      <c r="N2026" s="3">
        <v>0.18</v>
      </c>
      <c r="O2026" s="3">
        <v>0</v>
      </c>
      <c r="P2026" s="3">
        <v>0.1</v>
      </c>
      <c r="Q2026" s="3">
        <v>3.86</v>
      </c>
      <c r="R2026" s="3">
        <v>2.4500000000000002</v>
      </c>
      <c r="S2026" s="3">
        <f>VLOOKUP(C2026,[1]page!$C$2:$M$3071,11,0)</f>
        <v>3.58</v>
      </c>
      <c r="T2026" s="6">
        <f t="shared" si="32"/>
        <v>0</v>
      </c>
    </row>
    <row r="2027" spans="1:20" x14ac:dyDescent="0.2">
      <c r="A2027" t="s">
        <v>6186</v>
      </c>
      <c r="B2027" t="s">
        <v>6755</v>
      </c>
      <c r="C2027" t="s">
        <v>6756</v>
      </c>
      <c r="D2027" t="s">
        <v>6757</v>
      </c>
      <c r="E2027" t="s">
        <v>6747</v>
      </c>
      <c r="F2027" t="s">
        <v>2078</v>
      </c>
      <c r="G2027" s="1">
        <v>5</v>
      </c>
      <c r="H2027" s="1">
        <v>24</v>
      </c>
      <c r="I2027" t="s">
        <v>24</v>
      </c>
      <c r="L2027" s="1">
        <v>1</v>
      </c>
      <c r="M2027" s="3">
        <v>3.58</v>
      </c>
      <c r="N2027" s="3">
        <v>0.18</v>
      </c>
      <c r="O2027" s="3">
        <v>0</v>
      </c>
      <c r="P2027" s="3">
        <v>0.1</v>
      </c>
      <c r="Q2027" s="3">
        <v>3.86</v>
      </c>
      <c r="R2027" s="3">
        <v>2.4500000000000002</v>
      </c>
      <c r="S2027" s="3">
        <f>VLOOKUP(C2027,[1]page!$C$2:$M$3071,11,0)</f>
        <v>3.58</v>
      </c>
      <c r="T2027" s="6">
        <f t="shared" si="32"/>
        <v>0</v>
      </c>
    </row>
    <row r="2028" spans="1:20" x14ac:dyDescent="0.2">
      <c r="A2028" t="s">
        <v>6186</v>
      </c>
      <c r="B2028" t="s">
        <v>6758</v>
      </c>
      <c r="C2028" t="s">
        <v>6759</v>
      </c>
      <c r="D2028" t="s">
        <v>6760</v>
      </c>
      <c r="E2028" t="s">
        <v>6116</v>
      </c>
      <c r="F2028" t="s">
        <v>2078</v>
      </c>
      <c r="G2028" s="1">
        <v>5</v>
      </c>
      <c r="H2028" s="1">
        <v>24</v>
      </c>
      <c r="I2028" t="s">
        <v>5961</v>
      </c>
      <c r="L2028" s="1">
        <v>1</v>
      </c>
      <c r="M2028" s="3">
        <v>3.79</v>
      </c>
      <c r="N2028" s="3">
        <v>0.19</v>
      </c>
      <c r="O2028" s="3">
        <v>0</v>
      </c>
      <c r="P2028" s="3">
        <v>0.1</v>
      </c>
      <c r="Q2028" s="3">
        <v>4.08</v>
      </c>
      <c r="R2028" s="3">
        <v>2.4500000000000002</v>
      </c>
      <c r="S2028" s="3">
        <f>VLOOKUP(C2028,[1]page!$C$2:$M$3071,11,0)</f>
        <v>3.79</v>
      </c>
      <c r="T2028" s="6">
        <f t="shared" si="32"/>
        <v>0</v>
      </c>
    </row>
    <row r="2029" spans="1:20" x14ac:dyDescent="0.2">
      <c r="A2029" t="s">
        <v>6186</v>
      </c>
      <c r="B2029" t="s">
        <v>6761</v>
      </c>
      <c r="C2029" t="s">
        <v>6762</v>
      </c>
      <c r="D2029" t="s">
        <v>6760</v>
      </c>
      <c r="E2029" t="s">
        <v>6116</v>
      </c>
      <c r="F2029" t="s">
        <v>6763</v>
      </c>
      <c r="G2029" s="1">
        <v>5</v>
      </c>
      <c r="H2029" s="1">
        <v>2</v>
      </c>
      <c r="I2029" t="s">
        <v>5961</v>
      </c>
      <c r="L2029" s="1">
        <v>1</v>
      </c>
      <c r="M2029" s="3">
        <v>38.950000000000003</v>
      </c>
      <c r="N2029" s="3">
        <v>1.95</v>
      </c>
      <c r="O2029" s="3">
        <v>0</v>
      </c>
      <c r="P2029" s="3">
        <v>0.25</v>
      </c>
      <c r="Q2029" s="3">
        <v>41.15</v>
      </c>
      <c r="R2029" s="3">
        <v>23.7</v>
      </c>
      <c r="S2029" s="3">
        <f>VLOOKUP(C2029,[1]page!$C$2:$M$3071,11,0)</f>
        <v>38.950000000000003</v>
      </c>
      <c r="T2029" s="6">
        <f t="shared" si="32"/>
        <v>0</v>
      </c>
    </row>
    <row r="2030" spans="1:20" x14ac:dyDescent="0.2">
      <c r="A2030" t="s">
        <v>6186</v>
      </c>
      <c r="B2030" t="s">
        <v>6764</v>
      </c>
      <c r="C2030" t="s">
        <v>6765</v>
      </c>
      <c r="D2030" t="s">
        <v>6766</v>
      </c>
      <c r="E2030" t="s">
        <v>6116</v>
      </c>
      <c r="F2030" t="s">
        <v>2078</v>
      </c>
      <c r="G2030" s="1">
        <v>4</v>
      </c>
      <c r="H2030" s="1">
        <v>24</v>
      </c>
      <c r="I2030" t="s">
        <v>5961</v>
      </c>
      <c r="L2030" s="1">
        <v>1</v>
      </c>
      <c r="M2030" s="3">
        <v>3.79</v>
      </c>
      <c r="N2030" s="3">
        <v>0.19</v>
      </c>
      <c r="O2030" s="3">
        <v>0</v>
      </c>
      <c r="P2030" s="3">
        <v>0.1</v>
      </c>
      <c r="Q2030" s="3">
        <v>4.08</v>
      </c>
      <c r="R2030" s="3">
        <v>2.4500000000000002</v>
      </c>
      <c r="S2030" s="3">
        <f>VLOOKUP(C2030,[1]page!$C$2:$M$3071,11,0)</f>
        <v>3.79</v>
      </c>
      <c r="T2030" s="6">
        <f t="shared" si="32"/>
        <v>0</v>
      </c>
    </row>
    <row r="2031" spans="1:20" x14ac:dyDescent="0.2">
      <c r="A2031" t="s">
        <v>6186</v>
      </c>
      <c r="B2031" t="s">
        <v>6767</v>
      </c>
      <c r="C2031" t="s">
        <v>6768</v>
      </c>
      <c r="D2031" t="s">
        <v>6769</v>
      </c>
      <c r="E2031" t="s">
        <v>6195</v>
      </c>
      <c r="F2031" t="s">
        <v>5855</v>
      </c>
      <c r="G2031" s="2">
        <v>6.2</v>
      </c>
      <c r="H2031" s="1">
        <v>12</v>
      </c>
      <c r="I2031" t="s">
        <v>5961</v>
      </c>
      <c r="L2031" s="1">
        <v>1</v>
      </c>
      <c r="M2031" s="3">
        <v>3.3</v>
      </c>
      <c r="N2031" s="3">
        <v>0.17</v>
      </c>
      <c r="O2031" s="3">
        <v>0</v>
      </c>
      <c r="P2031" s="3">
        <v>0.1</v>
      </c>
      <c r="Q2031" s="3">
        <v>3.57</v>
      </c>
      <c r="R2031" s="3">
        <v>2.2999999999999998</v>
      </c>
      <c r="S2031" s="3">
        <f>VLOOKUP(C2031,[1]page!$C$2:$M$3071,11,0)</f>
        <v>3.3</v>
      </c>
      <c r="T2031" s="6">
        <f t="shared" si="32"/>
        <v>0</v>
      </c>
    </row>
    <row r="2032" spans="1:20" x14ac:dyDescent="0.2">
      <c r="A2032" t="s">
        <v>6186</v>
      </c>
      <c r="B2032" t="s">
        <v>6770</v>
      </c>
      <c r="C2032" t="s">
        <v>6771</v>
      </c>
      <c r="D2032" t="s">
        <v>6772</v>
      </c>
      <c r="E2032" t="s">
        <v>6190</v>
      </c>
      <c r="F2032" t="s">
        <v>6659</v>
      </c>
      <c r="G2032" s="1">
        <v>5</v>
      </c>
      <c r="H2032" s="1">
        <v>1</v>
      </c>
      <c r="I2032" t="s">
        <v>6191</v>
      </c>
      <c r="L2032" s="1">
        <v>1</v>
      </c>
      <c r="M2032" s="3">
        <v>3.74</v>
      </c>
      <c r="N2032" s="3">
        <v>0.19</v>
      </c>
      <c r="O2032" s="3">
        <v>0</v>
      </c>
      <c r="P2032" s="3">
        <v>0.1</v>
      </c>
      <c r="Q2032" s="3">
        <v>4.03</v>
      </c>
      <c r="R2032" s="3">
        <v>3.65</v>
      </c>
      <c r="S2032" s="3">
        <f>VLOOKUP(C2032,[1]page!$C$2:$M$3071,11,0)</f>
        <v>4.3899999999999997</v>
      </c>
      <c r="T2032" s="6">
        <f t="shared" si="32"/>
        <v>-0.64999999999999947</v>
      </c>
    </row>
    <row r="2033" spans="1:20" x14ac:dyDescent="0.2">
      <c r="A2033" t="s">
        <v>6186</v>
      </c>
      <c r="B2033" t="s">
        <v>6773</v>
      </c>
      <c r="C2033" t="s">
        <v>6774</v>
      </c>
      <c r="D2033" t="s">
        <v>6775</v>
      </c>
      <c r="E2033" t="s">
        <v>6190</v>
      </c>
      <c r="F2033" t="s">
        <v>6659</v>
      </c>
      <c r="G2033" s="2">
        <v>8.1</v>
      </c>
      <c r="H2033" s="1">
        <v>1</v>
      </c>
      <c r="I2033" t="s">
        <v>6242</v>
      </c>
      <c r="L2033" s="1">
        <v>1</v>
      </c>
      <c r="M2033" s="3">
        <v>3.62</v>
      </c>
      <c r="N2033" s="3">
        <v>0.18</v>
      </c>
      <c r="O2033" s="3">
        <v>0</v>
      </c>
      <c r="P2033" s="3">
        <v>0.1</v>
      </c>
      <c r="Q2033" s="3">
        <v>3.9</v>
      </c>
      <c r="R2033" s="3">
        <v>5.35</v>
      </c>
      <c r="S2033" s="3">
        <f>VLOOKUP(C2033,[1]page!$C$2:$M$3071,11,0)</f>
        <v>3.68</v>
      </c>
      <c r="T2033" s="6">
        <f t="shared" si="32"/>
        <v>-6.0000000000000053E-2</v>
      </c>
    </row>
    <row r="2034" spans="1:20" x14ac:dyDescent="0.2">
      <c r="A2034" t="s">
        <v>6186</v>
      </c>
      <c r="B2034" t="s">
        <v>6776</v>
      </c>
      <c r="C2034" t="s">
        <v>6777</v>
      </c>
      <c r="D2034" t="s">
        <v>6778</v>
      </c>
      <c r="E2034" t="s">
        <v>6190</v>
      </c>
      <c r="F2034" t="s">
        <v>5855</v>
      </c>
      <c r="G2034" s="1">
        <v>5</v>
      </c>
      <c r="H2034" s="1">
        <v>24</v>
      </c>
      <c r="I2034" t="s">
        <v>6191</v>
      </c>
      <c r="L2034" s="1">
        <v>1</v>
      </c>
      <c r="M2034" s="3">
        <v>2.59</v>
      </c>
      <c r="N2034" s="3">
        <v>0.13</v>
      </c>
      <c r="O2034" s="3">
        <v>0</v>
      </c>
      <c r="P2034" s="3">
        <v>0.1</v>
      </c>
      <c r="Q2034" s="3">
        <v>2.82</v>
      </c>
      <c r="R2034" s="3">
        <v>2.2999999999999998</v>
      </c>
      <c r="S2034" s="3">
        <f>VLOOKUP(C2034,[1]page!$C$2:$M$3071,11,0)</f>
        <v>2.59</v>
      </c>
      <c r="T2034" s="6">
        <f t="shared" si="32"/>
        <v>0</v>
      </c>
    </row>
    <row r="2035" spans="1:20" x14ac:dyDescent="0.2">
      <c r="A2035" t="s">
        <v>6186</v>
      </c>
      <c r="B2035" t="s">
        <v>6779</v>
      </c>
      <c r="C2035" t="s">
        <v>6780</v>
      </c>
      <c r="D2035" t="s">
        <v>6781</v>
      </c>
      <c r="E2035" t="s">
        <v>6195</v>
      </c>
      <c r="F2035" t="s">
        <v>5855</v>
      </c>
      <c r="G2035" s="2">
        <v>4.5999999999999996</v>
      </c>
      <c r="H2035" s="1">
        <v>24</v>
      </c>
      <c r="I2035" t="s">
        <v>5961</v>
      </c>
      <c r="L2035" s="1">
        <v>1</v>
      </c>
      <c r="M2035" s="3">
        <v>3.3</v>
      </c>
      <c r="N2035" s="3">
        <v>0.17</v>
      </c>
      <c r="O2035" s="3">
        <v>0</v>
      </c>
      <c r="P2035" s="3">
        <v>0.1</v>
      </c>
      <c r="Q2035" s="3">
        <v>3.57</v>
      </c>
      <c r="R2035" s="3">
        <v>2.2999999999999998</v>
      </c>
      <c r="S2035" s="3">
        <f>VLOOKUP(C2035,[1]page!$C$2:$M$3071,11,0)</f>
        <v>3.3</v>
      </c>
      <c r="T2035" s="6">
        <f t="shared" si="32"/>
        <v>0</v>
      </c>
    </row>
    <row r="2036" spans="1:20" x14ac:dyDescent="0.2">
      <c r="A2036" t="s">
        <v>6186</v>
      </c>
      <c r="B2036" t="s">
        <v>6782</v>
      </c>
      <c r="C2036" t="s">
        <v>6783</v>
      </c>
      <c r="D2036" t="s">
        <v>6784</v>
      </c>
      <c r="E2036" t="s">
        <v>6190</v>
      </c>
      <c r="F2036" t="s">
        <v>5855</v>
      </c>
      <c r="G2036" s="1">
        <v>4</v>
      </c>
      <c r="H2036" s="1">
        <v>24</v>
      </c>
      <c r="I2036" t="s">
        <v>6242</v>
      </c>
      <c r="L2036" s="1">
        <v>1</v>
      </c>
      <c r="M2036" s="3">
        <v>3.5</v>
      </c>
      <c r="N2036" s="3">
        <v>0.18</v>
      </c>
      <c r="O2036" s="3">
        <v>0</v>
      </c>
      <c r="P2036" s="3">
        <v>0.1</v>
      </c>
      <c r="Q2036" s="3">
        <v>3.78</v>
      </c>
      <c r="R2036" s="3">
        <v>2.2999999999999998</v>
      </c>
      <c r="S2036" s="3">
        <f>VLOOKUP(C2036,[1]page!$C$2:$M$3071,11,0)</f>
        <v>3.5</v>
      </c>
      <c r="T2036" s="6">
        <f t="shared" si="32"/>
        <v>0</v>
      </c>
    </row>
    <row r="2037" spans="1:20" x14ac:dyDescent="0.2">
      <c r="A2037" t="s">
        <v>6186</v>
      </c>
      <c r="B2037" t="s">
        <v>6785</v>
      </c>
      <c r="C2037" t="s">
        <v>6786</v>
      </c>
      <c r="D2037" t="s">
        <v>6784</v>
      </c>
      <c r="E2037" t="s">
        <v>6190</v>
      </c>
      <c r="F2037" t="s">
        <v>6659</v>
      </c>
      <c r="G2037" s="1">
        <v>4</v>
      </c>
      <c r="H2037" s="1">
        <v>12</v>
      </c>
      <c r="I2037" t="s">
        <v>6191</v>
      </c>
      <c r="L2037" s="1">
        <v>1</v>
      </c>
      <c r="M2037" s="3">
        <v>4.79</v>
      </c>
      <c r="N2037" s="3">
        <v>0.24</v>
      </c>
      <c r="O2037" s="3">
        <v>0</v>
      </c>
      <c r="P2037" s="3">
        <v>0.1</v>
      </c>
      <c r="Q2037" s="3">
        <v>5.13</v>
      </c>
      <c r="R2037" s="3">
        <v>3.65</v>
      </c>
      <c r="S2037" s="3">
        <f>VLOOKUP(C2037,[1]page!$C$2:$M$3071,11,0)</f>
        <v>4.79</v>
      </c>
      <c r="T2037" s="6">
        <f t="shared" si="32"/>
        <v>0</v>
      </c>
    </row>
    <row r="2038" spans="1:20" x14ac:dyDescent="0.2">
      <c r="A2038" t="s">
        <v>6186</v>
      </c>
      <c r="B2038" t="s">
        <v>6787</v>
      </c>
      <c r="C2038" t="s">
        <v>6788</v>
      </c>
      <c r="D2038" t="s">
        <v>6789</v>
      </c>
      <c r="E2038" t="s">
        <v>6376</v>
      </c>
      <c r="F2038" t="s">
        <v>6790</v>
      </c>
      <c r="G2038" s="1">
        <v>5</v>
      </c>
      <c r="H2038" s="1">
        <v>12</v>
      </c>
      <c r="I2038" t="s">
        <v>6191</v>
      </c>
      <c r="L2038" s="1">
        <v>1</v>
      </c>
      <c r="M2038" s="3">
        <v>3.14</v>
      </c>
      <c r="N2038" s="3">
        <v>0.16</v>
      </c>
      <c r="O2038" s="3">
        <v>0</v>
      </c>
      <c r="P2038" s="3">
        <v>0.1</v>
      </c>
      <c r="Q2038" s="3">
        <v>3.4</v>
      </c>
      <c r="R2038" s="3">
        <v>2.2999999999999998</v>
      </c>
      <c r="S2038" s="3">
        <f>VLOOKUP(C2038,[1]page!$C$2:$M$3071,11,0)</f>
        <v>3.14</v>
      </c>
      <c r="T2038" s="6">
        <f t="shared" si="32"/>
        <v>0</v>
      </c>
    </row>
    <row r="2039" spans="1:20" x14ac:dyDescent="0.2">
      <c r="A2039" t="s">
        <v>6186</v>
      </c>
      <c r="B2039" t="s">
        <v>6791</v>
      </c>
      <c r="C2039" t="s">
        <v>6792</v>
      </c>
      <c r="D2039" t="s">
        <v>6793</v>
      </c>
      <c r="E2039" t="s">
        <v>6376</v>
      </c>
      <c r="F2039" t="s">
        <v>6790</v>
      </c>
      <c r="G2039" s="1">
        <v>5</v>
      </c>
      <c r="H2039" s="1">
        <v>12</v>
      </c>
      <c r="I2039" t="s">
        <v>6191</v>
      </c>
      <c r="L2039" s="1">
        <v>1</v>
      </c>
      <c r="M2039" s="3">
        <v>3.14</v>
      </c>
      <c r="N2039" s="3">
        <v>0.16</v>
      </c>
      <c r="O2039" s="3">
        <v>0</v>
      </c>
      <c r="P2039" s="3">
        <v>0.1</v>
      </c>
      <c r="Q2039" s="3">
        <v>3.4</v>
      </c>
      <c r="R2039" s="3">
        <v>2.2999999999999998</v>
      </c>
      <c r="S2039" s="3">
        <f>VLOOKUP(C2039,[1]page!$C$2:$M$3071,11,0)</f>
        <v>3.14</v>
      </c>
      <c r="T2039" s="6">
        <f t="shared" si="32"/>
        <v>0</v>
      </c>
    </row>
    <row r="2040" spans="1:20" x14ac:dyDescent="0.2">
      <c r="A2040" t="s">
        <v>6186</v>
      </c>
      <c r="B2040" t="s">
        <v>6794</v>
      </c>
      <c r="C2040" t="s">
        <v>6795</v>
      </c>
      <c r="D2040" t="s">
        <v>6796</v>
      </c>
      <c r="E2040" t="s">
        <v>6195</v>
      </c>
      <c r="F2040" t="s">
        <v>5855</v>
      </c>
      <c r="G2040" s="2">
        <v>4.7</v>
      </c>
      <c r="H2040" s="1">
        <v>24</v>
      </c>
      <c r="I2040" t="s">
        <v>5961</v>
      </c>
      <c r="L2040" s="1">
        <v>1</v>
      </c>
      <c r="M2040" s="3">
        <v>3.4</v>
      </c>
      <c r="N2040" s="3">
        <v>0.17</v>
      </c>
      <c r="O2040" s="3">
        <v>0</v>
      </c>
      <c r="P2040" s="3">
        <v>0.1</v>
      </c>
      <c r="Q2040" s="3">
        <v>3.67</v>
      </c>
      <c r="R2040" s="3">
        <v>2.2999999999999998</v>
      </c>
      <c r="S2040" s="3">
        <f>VLOOKUP(C2040,[1]page!$C$2:$M$3071,11,0)</f>
        <v>3.4</v>
      </c>
      <c r="T2040" s="6">
        <f t="shared" si="32"/>
        <v>0</v>
      </c>
    </row>
    <row r="2041" spans="1:20" x14ac:dyDescent="0.2">
      <c r="A2041" t="s">
        <v>6186</v>
      </c>
      <c r="B2041" t="s">
        <v>6797</v>
      </c>
      <c r="C2041" t="s">
        <v>6798</v>
      </c>
      <c r="D2041" t="s">
        <v>6799</v>
      </c>
      <c r="E2041" t="s">
        <v>6195</v>
      </c>
      <c r="F2041" t="s">
        <v>5855</v>
      </c>
      <c r="G2041" s="2">
        <v>4.5999999999999996</v>
      </c>
      <c r="H2041" s="1">
        <v>24</v>
      </c>
      <c r="I2041" t="s">
        <v>5961</v>
      </c>
      <c r="L2041" s="1">
        <v>1</v>
      </c>
      <c r="M2041" s="3">
        <v>2.59</v>
      </c>
      <c r="N2041" s="3">
        <v>0.13</v>
      </c>
      <c r="O2041" s="3">
        <v>0</v>
      </c>
      <c r="P2041" s="3">
        <v>0.1</v>
      </c>
      <c r="Q2041" s="3">
        <v>2.82</v>
      </c>
      <c r="R2041" s="3">
        <v>2.2999999999999998</v>
      </c>
      <c r="S2041" s="3">
        <f>VLOOKUP(C2041,[1]page!$C$2:$M$3071,11,0)</f>
        <v>2.59</v>
      </c>
      <c r="T2041" s="6">
        <f t="shared" si="32"/>
        <v>0</v>
      </c>
    </row>
    <row r="2042" spans="1:20" x14ac:dyDescent="0.2">
      <c r="A2042" t="s">
        <v>6186</v>
      </c>
      <c r="B2042" t="s">
        <v>6800</v>
      </c>
      <c r="C2042" t="s">
        <v>6801</v>
      </c>
      <c r="D2042" t="s">
        <v>6802</v>
      </c>
      <c r="E2042" t="s">
        <v>6195</v>
      </c>
      <c r="F2042" t="s">
        <v>5855</v>
      </c>
      <c r="G2042" s="2">
        <v>4.2</v>
      </c>
      <c r="H2042" s="1">
        <v>24</v>
      </c>
      <c r="I2042" t="s">
        <v>5961</v>
      </c>
      <c r="L2042" s="1">
        <v>1</v>
      </c>
      <c r="M2042" s="3">
        <v>3.45</v>
      </c>
      <c r="N2042" s="3">
        <v>0.17</v>
      </c>
      <c r="O2042" s="3">
        <v>0</v>
      </c>
      <c r="P2042" s="3">
        <v>0.1</v>
      </c>
      <c r="Q2042" s="3">
        <v>3.72</v>
      </c>
      <c r="R2042" s="3">
        <v>2.2999999999999998</v>
      </c>
      <c r="S2042" s="3">
        <f>VLOOKUP(C2042,[1]page!$C$2:$M$3071,11,0)</f>
        <v>3.45</v>
      </c>
      <c r="T2042" s="6">
        <f t="shared" si="32"/>
        <v>0</v>
      </c>
    </row>
    <row r="2043" spans="1:20" x14ac:dyDescent="0.2">
      <c r="A2043" t="s">
        <v>6186</v>
      </c>
      <c r="B2043" t="s">
        <v>6803</v>
      </c>
      <c r="C2043" t="s">
        <v>6804</v>
      </c>
      <c r="D2043" t="s">
        <v>6805</v>
      </c>
      <c r="E2043" t="s">
        <v>6190</v>
      </c>
      <c r="F2043" t="s">
        <v>5855</v>
      </c>
      <c r="G2043" s="2">
        <v>4.5</v>
      </c>
      <c r="H2043" s="1">
        <v>24</v>
      </c>
      <c r="I2043" t="s">
        <v>6191</v>
      </c>
      <c r="L2043" s="1">
        <v>1</v>
      </c>
      <c r="M2043" s="3">
        <v>3.89</v>
      </c>
      <c r="N2043" s="3">
        <v>0.19</v>
      </c>
      <c r="O2043" s="3">
        <v>0</v>
      </c>
      <c r="P2043" s="3">
        <v>0.1</v>
      </c>
      <c r="Q2043" s="3">
        <v>4.18</v>
      </c>
      <c r="R2043" s="3">
        <v>2.2999999999999998</v>
      </c>
      <c r="S2043" s="3">
        <f>VLOOKUP(C2043,[1]page!$C$2:$M$3071,11,0)</f>
        <v>3.89</v>
      </c>
      <c r="T2043" s="6">
        <f t="shared" si="32"/>
        <v>0</v>
      </c>
    </row>
    <row r="2044" spans="1:20" x14ac:dyDescent="0.2">
      <c r="A2044" t="s">
        <v>6186</v>
      </c>
      <c r="B2044" t="s">
        <v>6806</v>
      </c>
      <c r="C2044" t="s">
        <v>6807</v>
      </c>
      <c r="D2044" t="s">
        <v>6808</v>
      </c>
      <c r="E2044" t="s">
        <v>6195</v>
      </c>
      <c r="F2044" t="s">
        <v>6139</v>
      </c>
      <c r="G2044" s="2">
        <v>5.5</v>
      </c>
      <c r="H2044" s="1">
        <v>12</v>
      </c>
      <c r="I2044" t="s">
        <v>5961</v>
      </c>
      <c r="L2044" s="1">
        <v>1</v>
      </c>
      <c r="M2044" s="3">
        <v>3.6</v>
      </c>
      <c r="N2044" s="3">
        <v>0.18</v>
      </c>
      <c r="O2044" s="3">
        <v>0</v>
      </c>
      <c r="P2044" s="3">
        <v>0.1</v>
      </c>
      <c r="Q2044" s="3">
        <v>3.88</v>
      </c>
      <c r="R2044" s="3">
        <v>3.45</v>
      </c>
      <c r="S2044" s="3">
        <f>VLOOKUP(C2044,[1]page!$C$2:$M$3071,11,0)</f>
        <v>3.6</v>
      </c>
      <c r="T2044" s="6">
        <f t="shared" si="32"/>
        <v>0</v>
      </c>
    </row>
    <row r="2045" spans="1:20" x14ac:dyDescent="0.2">
      <c r="A2045" t="s">
        <v>6186</v>
      </c>
      <c r="B2045" t="s">
        <v>6809</v>
      </c>
      <c r="C2045" t="s">
        <v>6810</v>
      </c>
      <c r="D2045" t="s">
        <v>6811</v>
      </c>
      <c r="E2045" t="s">
        <v>6195</v>
      </c>
      <c r="F2045" t="s">
        <v>5855</v>
      </c>
      <c r="G2045" s="1">
        <v>3</v>
      </c>
      <c r="H2045" s="1">
        <v>24</v>
      </c>
      <c r="I2045" t="s">
        <v>5961</v>
      </c>
      <c r="L2045" s="1">
        <v>1</v>
      </c>
      <c r="M2045" s="3">
        <v>3.35</v>
      </c>
      <c r="N2045" s="3">
        <v>0.17</v>
      </c>
      <c r="O2045" s="3">
        <v>0</v>
      </c>
      <c r="P2045" s="3">
        <v>0.1</v>
      </c>
      <c r="Q2045" s="3">
        <v>3.62</v>
      </c>
      <c r="R2045" s="3">
        <v>2.2999999999999998</v>
      </c>
      <c r="S2045" s="3">
        <f>VLOOKUP(C2045,[1]page!$C$2:$M$3071,11,0)</f>
        <v>3.35</v>
      </c>
      <c r="T2045" s="6">
        <f t="shared" si="32"/>
        <v>0</v>
      </c>
    </row>
    <row r="2046" spans="1:20" x14ac:dyDescent="0.2">
      <c r="A2046" t="s">
        <v>6186</v>
      </c>
      <c r="B2046" t="s">
        <v>6812</v>
      </c>
      <c r="C2046" t="s">
        <v>6813</v>
      </c>
      <c r="D2046" t="s">
        <v>6814</v>
      </c>
      <c r="E2046" t="s">
        <v>6319</v>
      </c>
      <c r="F2046" t="s">
        <v>6139</v>
      </c>
      <c r="G2046" s="2">
        <v>4.9000000000000004</v>
      </c>
      <c r="H2046" s="1">
        <v>12</v>
      </c>
      <c r="I2046" t="s">
        <v>5617</v>
      </c>
      <c r="L2046" s="1">
        <v>1</v>
      </c>
      <c r="M2046" s="3">
        <v>3.6</v>
      </c>
      <c r="N2046" s="3">
        <v>0.18</v>
      </c>
      <c r="O2046" s="3">
        <v>0</v>
      </c>
      <c r="P2046" s="3">
        <v>0.1</v>
      </c>
      <c r="Q2046" s="3">
        <v>3.88</v>
      </c>
      <c r="R2046" s="3">
        <v>3.45</v>
      </c>
      <c r="S2046" s="3">
        <f>VLOOKUP(C2046,[1]page!$C$2:$M$3071,11,0)</f>
        <v>3.6</v>
      </c>
      <c r="T2046" s="6">
        <f t="shared" si="32"/>
        <v>0</v>
      </c>
    </row>
    <row r="2047" spans="1:20" x14ac:dyDescent="0.2">
      <c r="A2047" t="s">
        <v>6186</v>
      </c>
      <c r="B2047" t="s">
        <v>6815</v>
      </c>
      <c r="C2047" t="s">
        <v>6816</v>
      </c>
      <c r="D2047" t="s">
        <v>6817</v>
      </c>
      <c r="E2047" t="s">
        <v>6319</v>
      </c>
      <c r="F2047" t="s">
        <v>6139</v>
      </c>
      <c r="G2047" s="2">
        <v>4.9000000000000004</v>
      </c>
      <c r="H2047" s="1">
        <v>12</v>
      </c>
      <c r="I2047" t="s">
        <v>5617</v>
      </c>
      <c r="L2047" s="1">
        <v>1</v>
      </c>
      <c r="M2047" s="3">
        <v>3.6</v>
      </c>
      <c r="N2047" s="3">
        <v>0.18</v>
      </c>
      <c r="O2047" s="3">
        <v>0</v>
      </c>
      <c r="P2047" s="3">
        <v>0.1</v>
      </c>
      <c r="Q2047" s="3">
        <v>3.88</v>
      </c>
      <c r="R2047" s="3">
        <v>3.45</v>
      </c>
      <c r="S2047" s="3">
        <f>VLOOKUP(C2047,[1]page!$C$2:$M$3071,11,0)</f>
        <v>3.6</v>
      </c>
      <c r="T2047" s="6">
        <f t="shared" si="32"/>
        <v>0</v>
      </c>
    </row>
    <row r="2048" spans="1:20" x14ac:dyDescent="0.2">
      <c r="A2048" t="s">
        <v>6186</v>
      </c>
      <c r="B2048" t="s">
        <v>6818</v>
      </c>
      <c r="C2048" t="s">
        <v>6819</v>
      </c>
      <c r="D2048" t="s">
        <v>6820</v>
      </c>
      <c r="E2048" t="s">
        <v>6195</v>
      </c>
      <c r="F2048" t="s">
        <v>6139</v>
      </c>
      <c r="G2048" s="1">
        <v>5</v>
      </c>
      <c r="H2048" s="1">
        <v>12</v>
      </c>
      <c r="I2048" t="s">
        <v>5627</v>
      </c>
      <c r="L2048" s="1">
        <v>1</v>
      </c>
      <c r="M2048" s="3">
        <v>3.6</v>
      </c>
      <c r="N2048" s="3">
        <v>0.18</v>
      </c>
      <c r="O2048" s="3">
        <v>0</v>
      </c>
      <c r="P2048" s="3">
        <v>0.1</v>
      </c>
      <c r="Q2048" s="3">
        <v>3.88</v>
      </c>
      <c r="R2048" s="3">
        <v>3.45</v>
      </c>
      <c r="S2048" s="3">
        <f>VLOOKUP(C2048,[1]page!$C$2:$M$3071,11,0)</f>
        <v>3.6</v>
      </c>
      <c r="T2048" s="6">
        <f t="shared" si="32"/>
        <v>0</v>
      </c>
    </row>
    <row r="2049" spans="1:20" x14ac:dyDescent="0.2">
      <c r="A2049" t="s">
        <v>6186</v>
      </c>
      <c r="B2049" t="s">
        <v>6821</v>
      </c>
      <c r="C2049" t="s">
        <v>6822</v>
      </c>
      <c r="D2049" t="s">
        <v>6823</v>
      </c>
      <c r="E2049" t="s">
        <v>6376</v>
      </c>
      <c r="F2049" t="s">
        <v>5855</v>
      </c>
      <c r="G2049" s="2">
        <v>4.2</v>
      </c>
      <c r="H2049" s="1">
        <v>12</v>
      </c>
      <c r="I2049" t="s">
        <v>6242</v>
      </c>
      <c r="L2049" s="1">
        <v>1</v>
      </c>
      <c r="M2049" s="3">
        <v>3.19</v>
      </c>
      <c r="N2049" s="3">
        <v>0.16</v>
      </c>
      <c r="O2049" s="3">
        <v>0</v>
      </c>
      <c r="P2049" s="3">
        <v>0.1</v>
      </c>
      <c r="Q2049" s="3">
        <v>3.45</v>
      </c>
      <c r="R2049" s="3">
        <v>2.2999999999999998</v>
      </c>
      <c r="S2049" s="3">
        <f>VLOOKUP(C2049,[1]page!$C$2:$M$3071,11,0)</f>
        <v>3.19</v>
      </c>
      <c r="T2049" s="6">
        <f t="shared" si="32"/>
        <v>0</v>
      </c>
    </row>
    <row r="2050" spans="1:20" x14ac:dyDescent="0.2">
      <c r="A2050" t="s">
        <v>6186</v>
      </c>
      <c r="B2050" t="s">
        <v>6824</v>
      </c>
      <c r="C2050" t="s">
        <v>6825</v>
      </c>
      <c r="D2050" t="s">
        <v>6826</v>
      </c>
      <c r="E2050" t="s">
        <v>6319</v>
      </c>
      <c r="F2050" t="s">
        <v>6139</v>
      </c>
      <c r="G2050" s="2">
        <v>4.9000000000000004</v>
      </c>
      <c r="H2050" s="1">
        <v>12</v>
      </c>
      <c r="I2050" t="s">
        <v>5617</v>
      </c>
      <c r="L2050" s="1">
        <v>1</v>
      </c>
      <c r="M2050" s="3">
        <v>3.6</v>
      </c>
      <c r="N2050" s="3">
        <v>0.18</v>
      </c>
      <c r="O2050" s="3">
        <v>0</v>
      </c>
      <c r="P2050" s="3">
        <v>0.1</v>
      </c>
      <c r="Q2050" s="3">
        <v>3.88</v>
      </c>
      <c r="R2050" s="3">
        <v>3.45</v>
      </c>
      <c r="S2050" s="3">
        <f>VLOOKUP(C2050,[1]page!$C$2:$M$3071,11,0)</f>
        <v>3.6</v>
      </c>
      <c r="T2050" s="6">
        <f t="shared" si="32"/>
        <v>0</v>
      </c>
    </row>
    <row r="2051" spans="1:20" x14ac:dyDescent="0.2">
      <c r="A2051" t="s">
        <v>6186</v>
      </c>
      <c r="B2051" t="s">
        <v>6827</v>
      </c>
      <c r="C2051" t="s">
        <v>6828</v>
      </c>
      <c r="D2051" t="s">
        <v>6829</v>
      </c>
      <c r="E2051" t="s">
        <v>6319</v>
      </c>
      <c r="F2051" t="s">
        <v>6139</v>
      </c>
      <c r="G2051" s="2">
        <v>5.9</v>
      </c>
      <c r="H2051" s="1">
        <v>12</v>
      </c>
      <c r="I2051" t="s">
        <v>5617</v>
      </c>
      <c r="L2051" s="1">
        <v>1</v>
      </c>
      <c r="M2051" s="3">
        <v>3.48</v>
      </c>
      <c r="N2051" s="3">
        <v>0.17</v>
      </c>
      <c r="O2051" s="3">
        <v>0</v>
      </c>
      <c r="P2051" s="3">
        <v>0.1</v>
      </c>
      <c r="Q2051" s="3">
        <v>3.75</v>
      </c>
      <c r="R2051" s="3">
        <v>3.45</v>
      </c>
      <c r="S2051" s="3">
        <f>VLOOKUP(C2051,[1]page!$C$2:$M$3071,11,0)</f>
        <v>3.48</v>
      </c>
      <c r="T2051" s="6">
        <f t="shared" si="32"/>
        <v>0</v>
      </c>
    </row>
    <row r="2052" spans="1:20" x14ac:dyDescent="0.2">
      <c r="A2052" t="s">
        <v>6186</v>
      </c>
      <c r="B2052" t="s">
        <v>6830</v>
      </c>
      <c r="C2052" t="s">
        <v>6831</v>
      </c>
      <c r="D2052" t="s">
        <v>6832</v>
      </c>
      <c r="E2052" t="s">
        <v>6319</v>
      </c>
      <c r="F2052" t="s">
        <v>6139</v>
      </c>
      <c r="G2052" s="1">
        <v>8</v>
      </c>
      <c r="H2052" s="1">
        <v>12</v>
      </c>
      <c r="I2052" t="s">
        <v>5617</v>
      </c>
      <c r="L2052" s="1">
        <v>1</v>
      </c>
      <c r="M2052" s="3">
        <v>3.48</v>
      </c>
      <c r="N2052" s="3">
        <v>0.17</v>
      </c>
      <c r="O2052" s="3">
        <v>0</v>
      </c>
      <c r="P2052" s="3">
        <v>0.1</v>
      </c>
      <c r="Q2052" s="3">
        <v>3.75</v>
      </c>
      <c r="R2052" s="3">
        <v>5.05</v>
      </c>
      <c r="S2052" s="3">
        <f>VLOOKUP(C2052,[1]page!$C$2:$M$3071,11,0)</f>
        <v>3.48</v>
      </c>
      <c r="T2052" s="6">
        <f t="shared" si="32"/>
        <v>0</v>
      </c>
    </row>
    <row r="2053" spans="1:20" x14ac:dyDescent="0.2">
      <c r="A2053" t="s">
        <v>6186</v>
      </c>
      <c r="B2053" t="s">
        <v>6833</v>
      </c>
      <c r="C2053" t="s">
        <v>6834</v>
      </c>
      <c r="D2053" t="s">
        <v>6835</v>
      </c>
      <c r="E2053" t="s">
        <v>6195</v>
      </c>
      <c r="F2053" t="s">
        <v>6139</v>
      </c>
      <c r="G2053" s="2">
        <v>6.1</v>
      </c>
      <c r="H2053" s="1">
        <v>12</v>
      </c>
      <c r="I2053" t="s">
        <v>5961</v>
      </c>
      <c r="L2053" s="1">
        <v>1</v>
      </c>
      <c r="M2053" s="3">
        <v>3.48</v>
      </c>
      <c r="N2053" s="3">
        <v>0.17</v>
      </c>
      <c r="O2053" s="3">
        <v>0</v>
      </c>
      <c r="P2053" s="3">
        <v>0.1</v>
      </c>
      <c r="Q2053" s="3">
        <v>3.75</v>
      </c>
      <c r="R2053" s="3">
        <v>3.45</v>
      </c>
      <c r="S2053" s="3">
        <f>VLOOKUP(C2053,[1]page!$C$2:$M$3071,11,0)</f>
        <v>3.48</v>
      </c>
      <c r="T2053" s="6">
        <f t="shared" si="32"/>
        <v>0</v>
      </c>
    </row>
    <row r="2054" spans="1:20" x14ac:dyDescent="0.2">
      <c r="A2054" t="s">
        <v>6186</v>
      </c>
      <c r="B2054" t="s">
        <v>6836</v>
      </c>
      <c r="C2054" t="s">
        <v>6837</v>
      </c>
      <c r="D2054" t="s">
        <v>6838</v>
      </c>
      <c r="E2054" t="s">
        <v>6319</v>
      </c>
      <c r="F2054" t="s">
        <v>5855</v>
      </c>
      <c r="G2054" s="1">
        <v>4</v>
      </c>
      <c r="H2054" s="1">
        <v>24</v>
      </c>
      <c r="I2054" t="s">
        <v>5617</v>
      </c>
      <c r="L2054" s="1">
        <v>1</v>
      </c>
      <c r="M2054" s="3">
        <v>3.35</v>
      </c>
      <c r="N2054" s="3">
        <v>0.17</v>
      </c>
      <c r="O2054" s="3">
        <v>0</v>
      </c>
      <c r="P2054" s="3">
        <v>0.1</v>
      </c>
      <c r="Q2054" s="3">
        <v>3.62</v>
      </c>
      <c r="R2054" s="3">
        <v>2.2999999999999998</v>
      </c>
      <c r="S2054" s="3">
        <f>VLOOKUP(C2054,[1]page!$C$2:$M$3071,11,0)</f>
        <v>3.35</v>
      </c>
      <c r="T2054" s="6">
        <f t="shared" si="32"/>
        <v>0</v>
      </c>
    </row>
    <row r="2055" spans="1:20" x14ac:dyDescent="0.2">
      <c r="A2055" t="s">
        <v>6186</v>
      </c>
      <c r="B2055" t="s">
        <v>6839</v>
      </c>
      <c r="C2055" t="s">
        <v>6840</v>
      </c>
      <c r="D2055" t="s">
        <v>6841</v>
      </c>
      <c r="E2055" t="s">
        <v>6747</v>
      </c>
      <c r="F2055" t="s">
        <v>2078</v>
      </c>
      <c r="G2055" s="1">
        <v>5</v>
      </c>
      <c r="H2055" s="1">
        <v>24</v>
      </c>
      <c r="I2055" t="s">
        <v>24</v>
      </c>
      <c r="L2055" s="1">
        <v>1</v>
      </c>
      <c r="M2055" s="3">
        <v>3.58</v>
      </c>
      <c r="N2055" s="3">
        <v>0.18</v>
      </c>
      <c r="O2055" s="3">
        <v>0</v>
      </c>
      <c r="P2055" s="3">
        <v>0.1</v>
      </c>
      <c r="Q2055" s="3">
        <v>3.86</v>
      </c>
      <c r="R2055" s="3">
        <v>2.4500000000000002</v>
      </c>
      <c r="S2055" s="3">
        <f>VLOOKUP(C2055,[1]page!$C$2:$M$3071,11,0)</f>
        <v>3.58</v>
      </c>
      <c r="T2055" s="6">
        <f t="shared" si="32"/>
        <v>0</v>
      </c>
    </row>
    <row r="2056" spans="1:20" x14ac:dyDescent="0.2">
      <c r="A2056" t="s">
        <v>6186</v>
      </c>
      <c r="B2056" t="s">
        <v>6842</v>
      </c>
      <c r="C2056" t="s">
        <v>6843</v>
      </c>
      <c r="D2056" t="s">
        <v>6844</v>
      </c>
      <c r="E2056" t="s">
        <v>6195</v>
      </c>
      <c r="F2056" t="s">
        <v>5855</v>
      </c>
      <c r="G2056" s="2">
        <v>4.5</v>
      </c>
      <c r="H2056" s="1">
        <v>24</v>
      </c>
      <c r="I2056" t="s">
        <v>5961</v>
      </c>
      <c r="L2056" s="1">
        <v>1</v>
      </c>
      <c r="M2056" s="3">
        <v>3.6</v>
      </c>
      <c r="N2056" s="3">
        <v>0.18</v>
      </c>
      <c r="O2056" s="3">
        <v>0</v>
      </c>
      <c r="P2056" s="3">
        <v>0.1</v>
      </c>
      <c r="Q2056" s="3">
        <v>3.88</v>
      </c>
      <c r="R2056" s="3">
        <v>2.2999999999999998</v>
      </c>
      <c r="S2056" s="3">
        <f>VLOOKUP(C2056,[1]page!$C$2:$M$3071,11,0)</f>
        <v>3.6</v>
      </c>
      <c r="T2056" s="6">
        <f t="shared" si="32"/>
        <v>0</v>
      </c>
    </row>
    <row r="2057" spans="1:20" x14ac:dyDescent="0.2">
      <c r="A2057" t="s">
        <v>6186</v>
      </c>
      <c r="B2057" t="s">
        <v>6845</v>
      </c>
      <c r="C2057" t="s">
        <v>6846</v>
      </c>
      <c r="D2057" t="s">
        <v>6847</v>
      </c>
      <c r="E2057" t="s">
        <v>6423</v>
      </c>
      <c r="F2057" t="s">
        <v>5855</v>
      </c>
      <c r="G2057" s="2">
        <v>4.5</v>
      </c>
      <c r="H2057" s="1">
        <v>24</v>
      </c>
      <c r="I2057" t="s">
        <v>6191</v>
      </c>
      <c r="L2057" s="1">
        <v>1</v>
      </c>
      <c r="M2057" s="3">
        <v>4.18</v>
      </c>
      <c r="N2057" s="3">
        <v>0.21</v>
      </c>
      <c r="O2057" s="3">
        <v>0</v>
      </c>
      <c r="P2057" s="3">
        <v>0.1</v>
      </c>
      <c r="Q2057" s="3">
        <v>4.49</v>
      </c>
      <c r="R2057" s="3">
        <v>2.2999999999999998</v>
      </c>
      <c r="S2057" s="3">
        <f>VLOOKUP(C2057,[1]page!$C$2:$M$3071,11,0)</f>
        <v>4.18</v>
      </c>
      <c r="T2057" s="6">
        <f t="shared" si="32"/>
        <v>0</v>
      </c>
    </row>
    <row r="2058" spans="1:20" x14ac:dyDescent="0.2">
      <c r="A2058" t="s">
        <v>6186</v>
      </c>
      <c r="B2058" t="s">
        <v>6848</v>
      </c>
      <c r="C2058" t="s">
        <v>6849</v>
      </c>
      <c r="D2058" t="s">
        <v>6850</v>
      </c>
      <c r="E2058" t="s">
        <v>6400</v>
      </c>
      <c r="F2058" t="s">
        <v>5855</v>
      </c>
      <c r="G2058" s="1">
        <v>5</v>
      </c>
      <c r="H2058" s="1">
        <v>24</v>
      </c>
      <c r="I2058" t="s">
        <v>6401</v>
      </c>
      <c r="L2058" s="1">
        <v>1</v>
      </c>
      <c r="M2058" s="3">
        <v>3.57</v>
      </c>
      <c r="N2058" s="3">
        <v>0.18</v>
      </c>
      <c r="O2058" s="3">
        <v>0</v>
      </c>
      <c r="P2058" s="3">
        <v>0.1</v>
      </c>
      <c r="Q2058" s="3">
        <v>3.85</v>
      </c>
      <c r="R2058" s="3">
        <v>2.2999999999999998</v>
      </c>
      <c r="S2058" s="3">
        <f>VLOOKUP(C2058,[1]page!$C$2:$M$3071,11,0)</f>
        <v>3.57</v>
      </c>
      <c r="T2058" s="6">
        <f t="shared" si="32"/>
        <v>0</v>
      </c>
    </row>
    <row r="2059" spans="1:20" x14ac:dyDescent="0.2">
      <c r="A2059" t="s">
        <v>6186</v>
      </c>
      <c r="B2059" t="s">
        <v>6851</v>
      </c>
      <c r="C2059" t="s">
        <v>6852</v>
      </c>
      <c r="D2059" t="s">
        <v>6853</v>
      </c>
      <c r="E2059" t="s">
        <v>6190</v>
      </c>
      <c r="F2059" t="s">
        <v>5855</v>
      </c>
      <c r="G2059" s="1">
        <v>5</v>
      </c>
      <c r="H2059" s="1">
        <v>24</v>
      </c>
      <c r="I2059" t="s">
        <v>6191</v>
      </c>
      <c r="L2059" s="1">
        <v>1</v>
      </c>
      <c r="M2059" s="3">
        <v>3.69</v>
      </c>
      <c r="N2059" s="3">
        <v>0.18</v>
      </c>
      <c r="O2059" s="3">
        <v>0</v>
      </c>
      <c r="P2059" s="3">
        <v>0.1</v>
      </c>
      <c r="Q2059" s="3">
        <v>3.97</v>
      </c>
      <c r="R2059" s="3">
        <v>2.2999999999999998</v>
      </c>
      <c r="S2059" s="3">
        <f>VLOOKUP(C2059,[1]page!$C$2:$M$3071,11,0)</f>
        <v>3.69</v>
      </c>
      <c r="T2059" s="6">
        <f t="shared" si="32"/>
        <v>0</v>
      </c>
    </row>
    <row r="2060" spans="1:20" x14ac:dyDescent="0.2">
      <c r="A2060" t="s">
        <v>6186</v>
      </c>
      <c r="B2060" t="s">
        <v>6854</v>
      </c>
      <c r="C2060" t="s">
        <v>6855</v>
      </c>
      <c r="D2060" t="s">
        <v>6856</v>
      </c>
      <c r="E2060" t="s">
        <v>6284</v>
      </c>
      <c r="F2060" t="s">
        <v>5855</v>
      </c>
      <c r="G2060" s="2">
        <v>2.5</v>
      </c>
      <c r="H2060" s="1">
        <v>24</v>
      </c>
      <c r="I2060" t="s">
        <v>6285</v>
      </c>
      <c r="L2060" s="1">
        <v>1</v>
      </c>
      <c r="M2060" s="3">
        <v>2.99</v>
      </c>
      <c r="N2060" s="3">
        <v>0.15</v>
      </c>
      <c r="O2060" s="3">
        <v>0</v>
      </c>
      <c r="P2060" s="3">
        <v>0.1</v>
      </c>
      <c r="Q2060" s="3">
        <v>3.24</v>
      </c>
      <c r="R2060" s="3">
        <v>2.2999999999999998</v>
      </c>
      <c r="S2060" s="3">
        <f>VLOOKUP(C2060,[1]page!$C$2:$M$3071,11,0)</f>
        <v>2.99</v>
      </c>
      <c r="T2060" s="6">
        <f t="shared" si="32"/>
        <v>0</v>
      </c>
    </row>
    <row r="2061" spans="1:20" x14ac:dyDescent="0.2">
      <c r="A2061" t="s">
        <v>6186</v>
      </c>
      <c r="B2061" t="s">
        <v>6857</v>
      </c>
      <c r="C2061" t="s">
        <v>6858</v>
      </c>
      <c r="D2061" t="s">
        <v>6859</v>
      </c>
      <c r="E2061" t="s">
        <v>6284</v>
      </c>
      <c r="F2061" t="s">
        <v>5855</v>
      </c>
      <c r="G2061" s="1">
        <v>5</v>
      </c>
      <c r="H2061" s="1">
        <v>24</v>
      </c>
      <c r="I2061" t="s">
        <v>6285</v>
      </c>
      <c r="L2061" s="1">
        <v>1</v>
      </c>
      <c r="M2061" s="3">
        <v>3.45</v>
      </c>
      <c r="N2061" s="3">
        <v>0.17</v>
      </c>
      <c r="O2061" s="3">
        <v>0</v>
      </c>
      <c r="P2061" s="3">
        <v>0.1</v>
      </c>
      <c r="Q2061" s="3">
        <v>3.72</v>
      </c>
      <c r="R2061" s="3">
        <v>2.2999999999999998</v>
      </c>
      <c r="S2061" s="3">
        <f>VLOOKUP(C2061,[1]page!$C$2:$M$3071,11,0)</f>
        <v>3.45</v>
      </c>
      <c r="T2061" s="6">
        <f t="shared" si="32"/>
        <v>0</v>
      </c>
    </row>
    <row r="2062" spans="1:20" x14ac:dyDescent="0.2">
      <c r="A2062" t="s">
        <v>6186</v>
      </c>
      <c r="B2062" t="s">
        <v>6860</v>
      </c>
      <c r="C2062" t="s">
        <v>6861</v>
      </c>
      <c r="D2062" t="s">
        <v>6862</v>
      </c>
      <c r="E2062" t="s">
        <v>6284</v>
      </c>
      <c r="F2062" t="s">
        <v>5855</v>
      </c>
      <c r="G2062" s="2">
        <v>5.4</v>
      </c>
      <c r="H2062" s="1">
        <v>24</v>
      </c>
      <c r="I2062" t="s">
        <v>6285</v>
      </c>
      <c r="L2062" s="1">
        <v>1</v>
      </c>
      <c r="M2062" s="3">
        <v>2.99</v>
      </c>
      <c r="N2062" s="3">
        <v>0.15</v>
      </c>
      <c r="O2062" s="3">
        <v>0</v>
      </c>
      <c r="P2062" s="3">
        <v>0.1</v>
      </c>
      <c r="Q2062" s="3">
        <v>3.24</v>
      </c>
      <c r="R2062" s="3">
        <v>2.2999999999999998</v>
      </c>
      <c r="S2062" s="3">
        <f>VLOOKUP(C2062,[1]page!$C$2:$M$3071,11,0)</f>
        <v>2.99</v>
      </c>
      <c r="T2062" s="6">
        <f t="shared" si="32"/>
        <v>0</v>
      </c>
    </row>
    <row r="2063" spans="1:20" x14ac:dyDescent="0.2">
      <c r="A2063" t="s">
        <v>6186</v>
      </c>
      <c r="B2063" t="s">
        <v>6863</v>
      </c>
      <c r="C2063" t="s">
        <v>6864</v>
      </c>
      <c r="D2063" t="s">
        <v>6865</v>
      </c>
      <c r="E2063" t="s">
        <v>6284</v>
      </c>
      <c r="F2063" t="s">
        <v>5855</v>
      </c>
      <c r="G2063" s="2">
        <v>6.5</v>
      </c>
      <c r="H2063" s="1">
        <v>24</v>
      </c>
      <c r="I2063" t="s">
        <v>6285</v>
      </c>
      <c r="L2063" s="1">
        <v>1</v>
      </c>
      <c r="M2063" s="3">
        <v>3.45</v>
      </c>
      <c r="N2063" s="3">
        <v>0.17</v>
      </c>
      <c r="O2063" s="3">
        <v>0</v>
      </c>
      <c r="P2063" s="3">
        <v>0.1</v>
      </c>
      <c r="Q2063" s="3">
        <v>3.72</v>
      </c>
      <c r="R2063" s="3">
        <v>2.2999999999999998</v>
      </c>
      <c r="S2063" s="3">
        <f>VLOOKUP(C2063,[1]page!$C$2:$M$3071,11,0)</f>
        <v>3.45</v>
      </c>
      <c r="T2063" s="6">
        <f t="shared" si="32"/>
        <v>0</v>
      </c>
    </row>
    <row r="2064" spans="1:20" x14ac:dyDescent="0.2">
      <c r="A2064" t="s">
        <v>6186</v>
      </c>
      <c r="B2064" t="s">
        <v>6866</v>
      </c>
      <c r="C2064" t="s">
        <v>6867</v>
      </c>
      <c r="D2064" t="s">
        <v>6868</v>
      </c>
      <c r="E2064" t="s">
        <v>6284</v>
      </c>
      <c r="F2064" t="s">
        <v>5855</v>
      </c>
      <c r="G2064" s="2">
        <v>4.9000000000000004</v>
      </c>
      <c r="H2064" s="1">
        <v>24</v>
      </c>
      <c r="I2064" t="s">
        <v>6285</v>
      </c>
      <c r="L2064" s="1">
        <v>1</v>
      </c>
      <c r="M2064" s="3">
        <v>2.99</v>
      </c>
      <c r="N2064" s="3">
        <v>0.15</v>
      </c>
      <c r="O2064" s="3">
        <v>0</v>
      </c>
      <c r="P2064" s="3">
        <v>0.1</v>
      </c>
      <c r="Q2064" s="3">
        <v>3.24</v>
      </c>
      <c r="R2064" s="3">
        <v>2.2999999999999998</v>
      </c>
      <c r="S2064" s="3">
        <f>VLOOKUP(C2064,[1]page!$C$2:$M$3071,11,0)</f>
        <v>2.99</v>
      </c>
      <c r="T2064" s="6">
        <f t="shared" si="32"/>
        <v>0</v>
      </c>
    </row>
    <row r="2065" spans="1:20" x14ac:dyDescent="0.2">
      <c r="A2065" t="s">
        <v>6186</v>
      </c>
      <c r="B2065" t="s">
        <v>6869</v>
      </c>
      <c r="C2065" t="s">
        <v>6870</v>
      </c>
      <c r="D2065" t="s">
        <v>6871</v>
      </c>
      <c r="E2065" t="s">
        <v>6376</v>
      </c>
      <c r="F2065" t="s">
        <v>6083</v>
      </c>
      <c r="G2065" s="2">
        <v>4.2</v>
      </c>
      <c r="H2065" s="1">
        <v>1</v>
      </c>
      <c r="I2065" t="s">
        <v>6242</v>
      </c>
      <c r="L2065" s="1">
        <v>1</v>
      </c>
      <c r="M2065" s="3">
        <v>244.99</v>
      </c>
      <c r="N2065" s="3">
        <v>12.25</v>
      </c>
      <c r="O2065" s="3">
        <v>0</v>
      </c>
      <c r="P2065" s="3">
        <v>20</v>
      </c>
      <c r="Q2065" s="3">
        <v>277.24</v>
      </c>
      <c r="S2065" s="3">
        <f>VLOOKUP(C2065,[1]page!$C$2:$M$3071,11,0)</f>
        <v>244.99</v>
      </c>
      <c r="T2065" s="6">
        <f t="shared" si="32"/>
        <v>0</v>
      </c>
    </row>
    <row r="2066" spans="1:20" x14ac:dyDescent="0.2">
      <c r="A2066" t="s">
        <v>6186</v>
      </c>
      <c r="B2066" t="s">
        <v>6872</v>
      </c>
      <c r="C2066" t="s">
        <v>6873</v>
      </c>
      <c r="D2066" t="s">
        <v>6874</v>
      </c>
      <c r="E2066" t="s">
        <v>6284</v>
      </c>
      <c r="F2066" t="s">
        <v>6875</v>
      </c>
      <c r="G2066" s="1">
        <v>5</v>
      </c>
      <c r="H2066" s="1">
        <v>1</v>
      </c>
      <c r="I2066" t="s">
        <v>6285</v>
      </c>
      <c r="L2066" s="1">
        <v>1</v>
      </c>
      <c r="M2066" s="3">
        <v>218.61</v>
      </c>
      <c r="N2066" s="3">
        <v>10.93</v>
      </c>
      <c r="O2066" s="3">
        <v>0</v>
      </c>
      <c r="P2066" s="3">
        <v>20</v>
      </c>
      <c r="Q2066" s="3">
        <v>249.54</v>
      </c>
      <c r="S2066" s="3">
        <f>VLOOKUP(C2066,[1]page!$C$2:$M$3071,11,0)</f>
        <v>218.61</v>
      </c>
      <c r="T2066" s="6">
        <f t="shared" si="32"/>
        <v>0</v>
      </c>
    </row>
    <row r="2067" spans="1:20" x14ac:dyDescent="0.2">
      <c r="A2067" t="s">
        <v>6186</v>
      </c>
      <c r="B2067" t="s">
        <v>6876</v>
      </c>
      <c r="C2067" t="s">
        <v>6877</v>
      </c>
      <c r="D2067" t="s">
        <v>6878</v>
      </c>
      <c r="E2067" t="s">
        <v>6190</v>
      </c>
      <c r="F2067" t="s">
        <v>6875</v>
      </c>
      <c r="G2067" s="1">
        <v>5</v>
      </c>
      <c r="H2067" s="1">
        <v>1</v>
      </c>
      <c r="I2067" t="s">
        <v>6242</v>
      </c>
      <c r="L2067" s="1">
        <v>1</v>
      </c>
      <c r="M2067" s="3">
        <v>296.99</v>
      </c>
      <c r="N2067" s="3">
        <v>14.85</v>
      </c>
      <c r="O2067" s="3">
        <v>0</v>
      </c>
      <c r="P2067" s="3">
        <v>20</v>
      </c>
      <c r="Q2067" s="3">
        <v>331.84</v>
      </c>
      <c r="S2067" s="3">
        <f>VLOOKUP(C2067,[1]page!$C$2:$M$3071,11,0)</f>
        <v>296.99</v>
      </c>
      <c r="T2067" s="6">
        <f t="shared" si="32"/>
        <v>0</v>
      </c>
    </row>
    <row r="2068" spans="1:20" x14ac:dyDescent="0.2">
      <c r="A2068" t="s">
        <v>6186</v>
      </c>
      <c r="B2068" t="s">
        <v>6879</v>
      </c>
      <c r="C2068" t="s">
        <v>6880</v>
      </c>
      <c r="D2068" t="s">
        <v>6881</v>
      </c>
      <c r="E2068" t="s">
        <v>6264</v>
      </c>
      <c r="F2068" t="s">
        <v>6083</v>
      </c>
      <c r="G2068" s="2">
        <v>4.4000000000000004</v>
      </c>
      <c r="H2068" s="1">
        <v>1</v>
      </c>
      <c r="I2068" t="s">
        <v>6191</v>
      </c>
      <c r="L2068" s="1">
        <v>1</v>
      </c>
      <c r="M2068" s="3">
        <v>257.99</v>
      </c>
      <c r="N2068" s="3">
        <v>12.9</v>
      </c>
      <c r="O2068" s="3">
        <v>0</v>
      </c>
      <c r="P2068" s="3">
        <v>20</v>
      </c>
      <c r="Q2068" s="3">
        <v>290.89</v>
      </c>
      <c r="S2068" s="3">
        <f>VLOOKUP(C2068,[1]page!$C$2:$M$3071,11,0)</f>
        <v>257.99</v>
      </c>
      <c r="T2068" s="6">
        <f t="shared" si="32"/>
        <v>0</v>
      </c>
    </row>
    <row r="2069" spans="1:20" x14ac:dyDescent="0.2">
      <c r="A2069" t="s">
        <v>6186</v>
      </c>
      <c r="B2069" t="s">
        <v>6882</v>
      </c>
      <c r="C2069" t="s">
        <v>6883</v>
      </c>
      <c r="D2069" t="s">
        <v>6884</v>
      </c>
      <c r="E2069" t="s">
        <v>6264</v>
      </c>
      <c r="F2069" t="s">
        <v>6885</v>
      </c>
      <c r="G2069" s="2">
        <v>4.4000000000000004</v>
      </c>
      <c r="H2069" s="1">
        <v>1</v>
      </c>
      <c r="I2069" t="s">
        <v>6191</v>
      </c>
      <c r="L2069" s="1">
        <v>1</v>
      </c>
      <c r="M2069" s="3">
        <v>329.98</v>
      </c>
      <c r="N2069" s="3">
        <v>16.5</v>
      </c>
      <c r="O2069" s="3">
        <v>0</v>
      </c>
      <c r="P2069" s="3">
        <v>20</v>
      </c>
      <c r="Q2069" s="3">
        <v>366.48</v>
      </c>
      <c r="S2069" s="3">
        <f>VLOOKUP(C2069,[1]page!$C$2:$M$3071,11,0)</f>
        <v>329.98</v>
      </c>
      <c r="T2069" s="6">
        <f t="shared" si="32"/>
        <v>0</v>
      </c>
    </row>
    <row r="2070" spans="1:20" x14ac:dyDescent="0.2">
      <c r="A2070" t="s">
        <v>6186</v>
      </c>
      <c r="B2070" t="s">
        <v>6886</v>
      </c>
      <c r="C2070" t="s">
        <v>6887</v>
      </c>
      <c r="D2070" t="s">
        <v>6888</v>
      </c>
      <c r="E2070" t="s">
        <v>6264</v>
      </c>
      <c r="F2070" t="s">
        <v>6083</v>
      </c>
      <c r="G2070" s="1">
        <v>5</v>
      </c>
      <c r="H2070" s="1">
        <v>1</v>
      </c>
      <c r="I2070" t="s">
        <v>6191</v>
      </c>
      <c r="L2070" s="1">
        <v>1</v>
      </c>
      <c r="M2070" s="3">
        <v>257.99</v>
      </c>
      <c r="N2070" s="3">
        <v>12.9</v>
      </c>
      <c r="O2070" s="3">
        <v>0</v>
      </c>
      <c r="P2070" s="3">
        <v>20</v>
      </c>
      <c r="Q2070" s="3">
        <v>290.89</v>
      </c>
      <c r="S2070" s="3">
        <f>VLOOKUP(C2070,[1]page!$C$2:$M$3071,11,0)</f>
        <v>257.99</v>
      </c>
      <c r="T2070" s="6">
        <f t="shared" si="32"/>
        <v>0</v>
      </c>
    </row>
    <row r="2071" spans="1:20" x14ac:dyDescent="0.2">
      <c r="A2071" t="s">
        <v>6186</v>
      </c>
      <c r="B2071" t="s">
        <v>6889</v>
      </c>
      <c r="C2071" t="s">
        <v>6890</v>
      </c>
      <c r="D2071" t="s">
        <v>6888</v>
      </c>
      <c r="E2071" t="s">
        <v>6264</v>
      </c>
      <c r="F2071" t="s">
        <v>6885</v>
      </c>
      <c r="G2071" s="1">
        <v>5</v>
      </c>
      <c r="H2071" s="1">
        <v>1</v>
      </c>
      <c r="I2071" t="s">
        <v>6191</v>
      </c>
      <c r="L2071" s="1">
        <v>1</v>
      </c>
      <c r="M2071" s="3">
        <v>319.99</v>
      </c>
      <c r="N2071" s="3">
        <v>16</v>
      </c>
      <c r="O2071" s="3">
        <v>0</v>
      </c>
      <c r="P2071" s="3">
        <v>20</v>
      </c>
      <c r="Q2071" s="3">
        <v>355.99</v>
      </c>
      <c r="S2071" s="3">
        <f>VLOOKUP(C2071,[1]page!$C$2:$M$3071,11,0)</f>
        <v>319.99</v>
      </c>
      <c r="T2071" s="6">
        <f t="shared" si="32"/>
        <v>0</v>
      </c>
    </row>
    <row r="2072" spans="1:20" x14ac:dyDescent="0.2">
      <c r="A2072" t="s">
        <v>6186</v>
      </c>
      <c r="B2072" t="s">
        <v>6891</v>
      </c>
      <c r="C2072" t="s">
        <v>6892</v>
      </c>
      <c r="D2072" t="s">
        <v>6893</v>
      </c>
      <c r="E2072" t="s">
        <v>6264</v>
      </c>
      <c r="F2072" t="s">
        <v>6083</v>
      </c>
      <c r="G2072" s="2">
        <v>7.1</v>
      </c>
      <c r="H2072" s="1">
        <v>1</v>
      </c>
      <c r="I2072" t="s">
        <v>6191</v>
      </c>
      <c r="L2072" s="1">
        <v>1</v>
      </c>
      <c r="M2072" s="3">
        <v>257.98</v>
      </c>
      <c r="N2072" s="3">
        <v>12.9</v>
      </c>
      <c r="O2072" s="3">
        <v>0</v>
      </c>
      <c r="P2072" s="3">
        <v>20</v>
      </c>
      <c r="Q2072" s="3">
        <v>290.88</v>
      </c>
      <c r="S2072" s="3">
        <f>VLOOKUP(C2072,[1]page!$C$2:$M$3071,11,0)</f>
        <v>257.98</v>
      </c>
      <c r="T2072" s="6">
        <f t="shared" si="32"/>
        <v>0</v>
      </c>
    </row>
    <row r="2073" spans="1:20" x14ac:dyDescent="0.2">
      <c r="A2073" t="s">
        <v>6186</v>
      </c>
      <c r="B2073" t="s">
        <v>6894</v>
      </c>
      <c r="C2073" t="s">
        <v>6895</v>
      </c>
      <c r="D2073" t="s">
        <v>6896</v>
      </c>
      <c r="E2073" t="s">
        <v>6195</v>
      </c>
      <c r="F2073" t="s">
        <v>6875</v>
      </c>
      <c r="G2073" s="2">
        <v>5.4</v>
      </c>
      <c r="H2073" s="1">
        <v>1</v>
      </c>
      <c r="I2073" t="s">
        <v>5961</v>
      </c>
      <c r="L2073" s="1">
        <v>1</v>
      </c>
      <c r="M2073" s="3">
        <v>307.99</v>
      </c>
      <c r="N2073" s="3">
        <v>15.4</v>
      </c>
      <c r="O2073" s="3">
        <v>0</v>
      </c>
      <c r="P2073" s="3">
        <v>20</v>
      </c>
      <c r="Q2073" s="3">
        <v>343.39</v>
      </c>
      <c r="S2073" s="3">
        <f>VLOOKUP(C2073,[1]page!$C$2:$M$3071,11,0)</f>
        <v>307.99</v>
      </c>
      <c r="T2073" s="6">
        <f t="shared" si="32"/>
        <v>0</v>
      </c>
    </row>
    <row r="2074" spans="1:20" x14ac:dyDescent="0.2">
      <c r="A2074" t="s">
        <v>6186</v>
      </c>
      <c r="B2074" t="s">
        <v>6897</v>
      </c>
      <c r="C2074" t="s">
        <v>6898</v>
      </c>
      <c r="D2074" t="s">
        <v>6899</v>
      </c>
      <c r="E2074" t="s">
        <v>6195</v>
      </c>
      <c r="F2074" t="s">
        <v>6875</v>
      </c>
      <c r="G2074" s="1">
        <v>5</v>
      </c>
      <c r="H2074" s="1">
        <v>1</v>
      </c>
      <c r="I2074" t="s">
        <v>5961</v>
      </c>
      <c r="L2074" s="1">
        <v>1</v>
      </c>
      <c r="M2074" s="3">
        <v>267</v>
      </c>
      <c r="N2074" s="3">
        <v>13.35</v>
      </c>
      <c r="O2074" s="3">
        <v>0</v>
      </c>
      <c r="P2074" s="3">
        <v>20</v>
      </c>
      <c r="Q2074" s="3">
        <v>300.35000000000002</v>
      </c>
      <c r="S2074" s="3">
        <f>VLOOKUP(C2074,[1]page!$C$2:$M$3071,11,0)</f>
        <v>267</v>
      </c>
      <c r="T2074" s="6">
        <f t="shared" si="32"/>
        <v>0</v>
      </c>
    </row>
    <row r="2075" spans="1:20" x14ac:dyDescent="0.2">
      <c r="A2075" t="s">
        <v>6186</v>
      </c>
      <c r="B2075" t="s">
        <v>6900</v>
      </c>
      <c r="C2075" t="s">
        <v>6901</v>
      </c>
      <c r="D2075" t="s">
        <v>6902</v>
      </c>
      <c r="E2075" t="s">
        <v>6264</v>
      </c>
      <c r="F2075" t="s">
        <v>6083</v>
      </c>
      <c r="G2075" s="2">
        <v>4.8</v>
      </c>
      <c r="H2075" s="1">
        <v>1</v>
      </c>
      <c r="I2075" t="s">
        <v>6191</v>
      </c>
      <c r="L2075" s="1">
        <v>1</v>
      </c>
      <c r="M2075" s="3">
        <v>249.98</v>
      </c>
      <c r="N2075" s="3">
        <v>12.5</v>
      </c>
      <c r="O2075" s="3">
        <v>0</v>
      </c>
      <c r="P2075" s="3">
        <v>20</v>
      </c>
      <c r="Q2075" s="3">
        <v>282.48</v>
      </c>
      <c r="S2075" s="3">
        <f>VLOOKUP(C2075,[1]page!$C$2:$M$3071,11,0)</f>
        <v>249.98</v>
      </c>
      <c r="T2075" s="6">
        <f t="shared" si="32"/>
        <v>0</v>
      </c>
    </row>
    <row r="2076" spans="1:20" x14ac:dyDescent="0.2">
      <c r="A2076" t="s">
        <v>6186</v>
      </c>
      <c r="B2076" t="s">
        <v>6903</v>
      </c>
      <c r="C2076" t="s">
        <v>6904</v>
      </c>
      <c r="D2076" t="s">
        <v>6905</v>
      </c>
      <c r="E2076" t="s">
        <v>6264</v>
      </c>
      <c r="F2076" t="s">
        <v>6083</v>
      </c>
      <c r="G2076" s="2">
        <v>5.0999999999999996</v>
      </c>
      <c r="H2076" s="1">
        <v>1</v>
      </c>
      <c r="I2076" t="s">
        <v>6191</v>
      </c>
      <c r="L2076" s="1">
        <v>1</v>
      </c>
      <c r="M2076" s="3">
        <v>267.99</v>
      </c>
      <c r="N2076" s="3">
        <v>13.4</v>
      </c>
      <c r="O2076" s="3">
        <v>0</v>
      </c>
      <c r="P2076" s="3">
        <v>20</v>
      </c>
      <c r="Q2076" s="3">
        <v>301.39</v>
      </c>
      <c r="S2076" s="3">
        <f>VLOOKUP(C2076,[1]page!$C$2:$M$3071,11,0)</f>
        <v>267.99</v>
      </c>
      <c r="T2076" s="6">
        <f t="shared" si="32"/>
        <v>0</v>
      </c>
    </row>
    <row r="2077" spans="1:20" x14ac:dyDescent="0.2">
      <c r="A2077" t="s">
        <v>6186</v>
      </c>
      <c r="B2077" t="s">
        <v>6906</v>
      </c>
      <c r="C2077" t="s">
        <v>6907</v>
      </c>
      <c r="D2077" t="s">
        <v>6908</v>
      </c>
      <c r="E2077" t="s">
        <v>6264</v>
      </c>
      <c r="F2077" t="s">
        <v>6045</v>
      </c>
      <c r="G2077" s="2">
        <v>5.0999999999999996</v>
      </c>
      <c r="H2077" s="1">
        <v>1</v>
      </c>
      <c r="I2077" t="s">
        <v>6191</v>
      </c>
      <c r="L2077" s="1">
        <v>1</v>
      </c>
      <c r="M2077" s="3">
        <v>181.99</v>
      </c>
      <c r="N2077" s="3">
        <v>9.1</v>
      </c>
      <c r="O2077" s="3">
        <v>0</v>
      </c>
      <c r="P2077" s="3">
        <v>20</v>
      </c>
      <c r="Q2077" s="3">
        <v>211.09</v>
      </c>
      <c r="S2077" s="3">
        <f>VLOOKUP(C2077,[1]page!$C$2:$M$3071,11,0)</f>
        <v>181.99</v>
      </c>
      <c r="T2077" s="6">
        <f t="shared" si="32"/>
        <v>0</v>
      </c>
    </row>
    <row r="2078" spans="1:20" x14ac:dyDescent="0.2">
      <c r="A2078" t="s">
        <v>6186</v>
      </c>
      <c r="B2078" t="s">
        <v>6909</v>
      </c>
      <c r="C2078" t="s">
        <v>6910</v>
      </c>
      <c r="D2078" t="s">
        <v>6911</v>
      </c>
      <c r="E2078" t="s">
        <v>6264</v>
      </c>
      <c r="F2078" t="s">
        <v>6083</v>
      </c>
      <c r="G2078" s="2">
        <v>5.7</v>
      </c>
      <c r="H2078" s="1">
        <v>1</v>
      </c>
      <c r="I2078" t="s">
        <v>6191</v>
      </c>
      <c r="L2078" s="1">
        <v>1</v>
      </c>
      <c r="M2078" s="3">
        <v>267.99</v>
      </c>
      <c r="N2078" s="3">
        <v>13.4</v>
      </c>
      <c r="O2078" s="3">
        <v>0</v>
      </c>
      <c r="P2078" s="3">
        <v>20</v>
      </c>
      <c r="Q2078" s="3">
        <v>301.39</v>
      </c>
      <c r="S2078" s="3">
        <f>VLOOKUP(C2078,[1]page!$C$2:$M$3071,11,0)</f>
        <v>267.99</v>
      </c>
      <c r="T2078" s="6">
        <f t="shared" si="32"/>
        <v>0</v>
      </c>
    </row>
    <row r="2079" spans="1:20" x14ac:dyDescent="0.2">
      <c r="A2079" t="s">
        <v>6186</v>
      </c>
      <c r="B2079" t="s">
        <v>6912</v>
      </c>
      <c r="C2079" t="s">
        <v>6913</v>
      </c>
      <c r="D2079" t="s">
        <v>6914</v>
      </c>
      <c r="E2079" t="s">
        <v>6264</v>
      </c>
      <c r="F2079" t="s">
        <v>6045</v>
      </c>
      <c r="G2079" s="2">
        <v>4.7</v>
      </c>
      <c r="H2079" s="1">
        <v>1</v>
      </c>
      <c r="I2079" t="s">
        <v>6191</v>
      </c>
      <c r="L2079" s="1">
        <v>1</v>
      </c>
      <c r="M2079" s="3">
        <v>181.99</v>
      </c>
      <c r="N2079" s="3">
        <v>9.1</v>
      </c>
      <c r="O2079" s="3">
        <v>0</v>
      </c>
      <c r="P2079" s="3">
        <v>20</v>
      </c>
      <c r="Q2079" s="3">
        <v>211.09</v>
      </c>
      <c r="S2079" s="3">
        <f>VLOOKUP(C2079,[1]page!$C$2:$M$3071,11,0)</f>
        <v>181.99</v>
      </c>
      <c r="T2079" s="6">
        <f t="shared" ref="T2079:T2142" si="33">SUM(M2079-S2079)</f>
        <v>0</v>
      </c>
    </row>
    <row r="2080" spans="1:20" x14ac:dyDescent="0.2">
      <c r="A2080" t="s">
        <v>6186</v>
      </c>
      <c r="B2080" t="s">
        <v>6915</v>
      </c>
      <c r="C2080" t="s">
        <v>6916</v>
      </c>
      <c r="D2080" t="s">
        <v>6917</v>
      </c>
      <c r="E2080" t="s">
        <v>6264</v>
      </c>
      <c r="F2080" t="s">
        <v>6083</v>
      </c>
      <c r="G2080" s="2">
        <v>4.5999999999999996</v>
      </c>
      <c r="H2080" s="1">
        <v>1</v>
      </c>
      <c r="I2080" t="s">
        <v>6191</v>
      </c>
      <c r="L2080" s="1">
        <v>1</v>
      </c>
      <c r="M2080" s="3">
        <v>257.99</v>
      </c>
      <c r="N2080" s="3">
        <v>12.9</v>
      </c>
      <c r="O2080" s="3">
        <v>0</v>
      </c>
      <c r="P2080" s="3">
        <v>20</v>
      </c>
      <c r="Q2080" s="3">
        <v>290.89</v>
      </c>
      <c r="S2080" s="3">
        <f>VLOOKUP(C2080,[1]page!$C$2:$M$3071,11,0)</f>
        <v>257.99</v>
      </c>
      <c r="T2080" s="6">
        <f t="shared" si="33"/>
        <v>0</v>
      </c>
    </row>
    <row r="2081" spans="1:20" x14ac:dyDescent="0.2">
      <c r="A2081" t="s">
        <v>6186</v>
      </c>
      <c r="B2081" t="s">
        <v>6918</v>
      </c>
      <c r="C2081" t="s">
        <v>6919</v>
      </c>
      <c r="D2081" t="s">
        <v>6920</v>
      </c>
      <c r="E2081" t="s">
        <v>6264</v>
      </c>
      <c r="F2081" t="s">
        <v>6045</v>
      </c>
      <c r="G2081" s="2">
        <v>6.1</v>
      </c>
      <c r="H2081" s="1">
        <v>1</v>
      </c>
      <c r="I2081" t="s">
        <v>6191</v>
      </c>
      <c r="L2081" s="1">
        <v>1</v>
      </c>
      <c r="M2081" s="3">
        <v>184.99</v>
      </c>
      <c r="N2081" s="3">
        <v>9.25</v>
      </c>
      <c r="O2081" s="3">
        <v>0</v>
      </c>
      <c r="P2081" s="3">
        <v>20</v>
      </c>
      <c r="Q2081" s="3">
        <v>214.24</v>
      </c>
      <c r="S2081" s="3">
        <f>VLOOKUP(C2081,[1]page!$C$2:$M$3071,11,0)</f>
        <v>184.99</v>
      </c>
      <c r="T2081" s="6">
        <f t="shared" si="33"/>
        <v>0</v>
      </c>
    </row>
    <row r="2082" spans="1:20" x14ac:dyDescent="0.2">
      <c r="A2082" t="s">
        <v>6186</v>
      </c>
      <c r="B2082" t="s">
        <v>6921</v>
      </c>
      <c r="C2082" t="s">
        <v>6922</v>
      </c>
      <c r="D2082" t="s">
        <v>6923</v>
      </c>
      <c r="E2082" t="s">
        <v>6264</v>
      </c>
      <c r="F2082" t="s">
        <v>6045</v>
      </c>
      <c r="G2082" s="2">
        <v>4.3</v>
      </c>
      <c r="H2082" s="1">
        <v>1</v>
      </c>
      <c r="I2082" t="s">
        <v>6191</v>
      </c>
      <c r="L2082" s="1">
        <v>1</v>
      </c>
      <c r="M2082" s="3">
        <v>181.99</v>
      </c>
      <c r="N2082" s="3">
        <v>9.1</v>
      </c>
      <c r="O2082" s="3">
        <v>0</v>
      </c>
      <c r="P2082" s="3">
        <v>20</v>
      </c>
      <c r="Q2082" s="3">
        <v>211.09</v>
      </c>
      <c r="S2082" s="3">
        <f>VLOOKUP(C2082,[1]page!$C$2:$M$3071,11,0)</f>
        <v>181.99</v>
      </c>
      <c r="T2082" s="6">
        <f t="shared" si="33"/>
        <v>0</v>
      </c>
    </row>
    <row r="2083" spans="1:20" x14ac:dyDescent="0.2">
      <c r="A2083" t="s">
        <v>6186</v>
      </c>
      <c r="B2083" t="s">
        <v>6924</v>
      </c>
      <c r="C2083" t="s">
        <v>6925</v>
      </c>
      <c r="D2083" t="s">
        <v>6926</v>
      </c>
      <c r="E2083" t="s">
        <v>6264</v>
      </c>
      <c r="F2083" t="s">
        <v>6045</v>
      </c>
      <c r="G2083" s="1">
        <v>5</v>
      </c>
      <c r="H2083" s="1">
        <v>1</v>
      </c>
      <c r="I2083" t="s">
        <v>6191</v>
      </c>
      <c r="L2083" s="1">
        <v>1</v>
      </c>
      <c r="M2083" s="3">
        <v>184.99</v>
      </c>
      <c r="N2083" s="3">
        <v>9.25</v>
      </c>
      <c r="O2083" s="3">
        <v>0</v>
      </c>
      <c r="P2083" s="3">
        <v>20</v>
      </c>
      <c r="Q2083" s="3">
        <v>214.24</v>
      </c>
      <c r="S2083" s="3" t="e">
        <f>VLOOKUP(C2083,[1]page!$C$2:$M$3071,11,0)</f>
        <v>#N/A</v>
      </c>
      <c r="T2083" s="6" t="e">
        <f t="shared" si="33"/>
        <v>#N/A</v>
      </c>
    </row>
    <row r="2084" spans="1:20" x14ac:dyDescent="0.2">
      <c r="A2084" t="s">
        <v>6186</v>
      </c>
      <c r="B2084" t="s">
        <v>6927</v>
      </c>
      <c r="C2084" t="s">
        <v>6928</v>
      </c>
      <c r="D2084" t="s">
        <v>6929</v>
      </c>
      <c r="E2084" t="s">
        <v>6277</v>
      </c>
      <c r="F2084" t="s">
        <v>6930</v>
      </c>
      <c r="G2084" s="1">
        <v>5</v>
      </c>
      <c r="H2084" s="1">
        <v>1</v>
      </c>
      <c r="I2084" t="s">
        <v>5920</v>
      </c>
      <c r="L2084" s="1">
        <v>1</v>
      </c>
      <c r="M2084" s="3">
        <v>245</v>
      </c>
      <c r="N2084" s="3">
        <v>12.25</v>
      </c>
      <c r="O2084" s="3">
        <v>0</v>
      </c>
      <c r="P2084" s="3">
        <v>20</v>
      </c>
      <c r="Q2084" s="3">
        <v>277.25</v>
      </c>
      <c r="S2084" s="3">
        <f>VLOOKUP(C2084,[1]page!$C$2:$M$3071,11,0)</f>
        <v>245</v>
      </c>
      <c r="T2084" s="6">
        <f t="shared" si="33"/>
        <v>0</v>
      </c>
    </row>
    <row r="2085" spans="1:20" x14ac:dyDescent="0.2">
      <c r="A2085" t="s">
        <v>6186</v>
      </c>
      <c r="B2085" t="s">
        <v>6931</v>
      </c>
      <c r="C2085" t="s">
        <v>6932</v>
      </c>
      <c r="D2085" t="s">
        <v>6933</v>
      </c>
      <c r="E2085" t="s">
        <v>6284</v>
      </c>
      <c r="F2085" t="s">
        <v>6045</v>
      </c>
      <c r="G2085" s="2">
        <v>4.8</v>
      </c>
      <c r="H2085" s="1">
        <v>1</v>
      </c>
      <c r="I2085" t="s">
        <v>6285</v>
      </c>
      <c r="L2085" s="1">
        <v>1</v>
      </c>
      <c r="M2085" s="3">
        <v>138.75</v>
      </c>
      <c r="N2085" s="3">
        <v>6.94</v>
      </c>
      <c r="O2085" s="3">
        <v>0</v>
      </c>
      <c r="P2085" s="3">
        <v>20</v>
      </c>
      <c r="Q2085" s="3">
        <v>165.69</v>
      </c>
      <c r="S2085" s="3">
        <f>VLOOKUP(C2085,[1]page!$C$2:$M$3071,11,0)</f>
        <v>138.75</v>
      </c>
      <c r="T2085" s="6">
        <f t="shared" si="33"/>
        <v>0</v>
      </c>
    </row>
    <row r="2086" spans="1:20" x14ac:dyDescent="0.2">
      <c r="A2086" t="s">
        <v>6186</v>
      </c>
      <c r="B2086" t="s">
        <v>6934</v>
      </c>
      <c r="C2086" t="s">
        <v>6935</v>
      </c>
      <c r="D2086" t="s">
        <v>6936</v>
      </c>
      <c r="E2086" t="s">
        <v>6284</v>
      </c>
      <c r="F2086" t="s">
        <v>6875</v>
      </c>
      <c r="G2086" s="2">
        <v>5.5</v>
      </c>
      <c r="H2086" s="1">
        <v>1</v>
      </c>
      <c r="I2086" t="s">
        <v>6285</v>
      </c>
      <c r="L2086" s="1">
        <v>1</v>
      </c>
      <c r="M2086" s="3">
        <v>186.4</v>
      </c>
      <c r="N2086" s="3">
        <v>9.32</v>
      </c>
      <c r="O2086" s="3">
        <v>0</v>
      </c>
      <c r="P2086" s="3">
        <v>20</v>
      </c>
      <c r="Q2086" s="3">
        <v>215.72</v>
      </c>
      <c r="S2086" s="3">
        <f>VLOOKUP(C2086,[1]page!$C$2:$M$3071,11,0)</f>
        <v>186.4</v>
      </c>
      <c r="T2086" s="6">
        <f t="shared" si="33"/>
        <v>0</v>
      </c>
    </row>
    <row r="2087" spans="1:20" x14ac:dyDescent="0.2">
      <c r="A2087" t="s">
        <v>6186</v>
      </c>
      <c r="B2087" t="s">
        <v>6937</v>
      </c>
      <c r="C2087" t="s">
        <v>6938</v>
      </c>
      <c r="D2087" t="s">
        <v>6939</v>
      </c>
      <c r="E2087" t="s">
        <v>6284</v>
      </c>
      <c r="F2087" t="s">
        <v>6875</v>
      </c>
      <c r="G2087" s="1">
        <v>5</v>
      </c>
      <c r="H2087" s="1">
        <v>1</v>
      </c>
      <c r="I2087" t="s">
        <v>6285</v>
      </c>
      <c r="L2087" s="1">
        <v>1</v>
      </c>
      <c r="M2087" s="3">
        <v>176.49</v>
      </c>
      <c r="N2087" s="3">
        <v>8.82</v>
      </c>
      <c r="O2087" s="3">
        <v>0</v>
      </c>
      <c r="P2087" s="3">
        <v>20</v>
      </c>
      <c r="Q2087" s="3">
        <v>205.31</v>
      </c>
      <c r="S2087" s="3">
        <f>VLOOKUP(C2087,[1]page!$C$2:$M$3071,11,0)</f>
        <v>172.19</v>
      </c>
      <c r="T2087" s="6">
        <f t="shared" si="33"/>
        <v>4.3000000000000114</v>
      </c>
    </row>
    <row r="2088" spans="1:20" x14ac:dyDescent="0.2">
      <c r="A2088" t="s">
        <v>6186</v>
      </c>
      <c r="B2088" t="s">
        <v>6940</v>
      </c>
      <c r="C2088" t="s">
        <v>6941</v>
      </c>
      <c r="D2088" t="s">
        <v>6942</v>
      </c>
      <c r="E2088" t="s">
        <v>6190</v>
      </c>
      <c r="F2088" t="s">
        <v>6875</v>
      </c>
      <c r="G2088" s="1">
        <v>4</v>
      </c>
      <c r="H2088" s="1">
        <v>1</v>
      </c>
      <c r="I2088" t="s">
        <v>6191</v>
      </c>
      <c r="L2088" s="1">
        <v>1</v>
      </c>
      <c r="M2088" s="3">
        <v>289.98</v>
      </c>
      <c r="N2088" s="3">
        <v>14.5</v>
      </c>
      <c r="O2088" s="3">
        <v>0</v>
      </c>
      <c r="P2088" s="3">
        <v>20</v>
      </c>
      <c r="Q2088" s="3">
        <v>324.48</v>
      </c>
      <c r="S2088" s="3">
        <f>VLOOKUP(C2088,[1]page!$C$2:$M$3071,11,0)</f>
        <v>289.98</v>
      </c>
      <c r="T2088" s="6">
        <f t="shared" si="33"/>
        <v>0</v>
      </c>
    </row>
    <row r="2089" spans="1:20" x14ac:dyDescent="0.2">
      <c r="A2089" t="s">
        <v>6186</v>
      </c>
      <c r="B2089" t="s">
        <v>6943</v>
      </c>
      <c r="C2089" t="s">
        <v>6944</v>
      </c>
      <c r="D2089" t="s">
        <v>6945</v>
      </c>
      <c r="E2089" t="s">
        <v>6190</v>
      </c>
      <c r="F2089" t="s">
        <v>6875</v>
      </c>
      <c r="G2089" s="1">
        <v>5</v>
      </c>
      <c r="H2089" s="1">
        <v>1</v>
      </c>
      <c r="I2089" t="s">
        <v>6191</v>
      </c>
      <c r="L2089" s="1">
        <v>1</v>
      </c>
      <c r="M2089" s="3">
        <v>289.98</v>
      </c>
      <c r="N2089" s="3">
        <v>14.5</v>
      </c>
      <c r="O2089" s="3">
        <v>0</v>
      </c>
      <c r="P2089" s="3">
        <v>20</v>
      </c>
      <c r="Q2089" s="3">
        <v>324.48</v>
      </c>
      <c r="S2089" s="3">
        <f>VLOOKUP(C2089,[1]page!$C$2:$M$3071,11,0)</f>
        <v>289.98</v>
      </c>
      <c r="T2089" s="6">
        <f t="shared" si="33"/>
        <v>0</v>
      </c>
    </row>
    <row r="2090" spans="1:20" x14ac:dyDescent="0.2">
      <c r="A2090" t="s">
        <v>6186</v>
      </c>
      <c r="B2090" t="s">
        <v>6946</v>
      </c>
      <c r="C2090" t="s">
        <v>6947</v>
      </c>
      <c r="D2090" t="s">
        <v>6948</v>
      </c>
      <c r="E2090" t="s">
        <v>6190</v>
      </c>
      <c r="F2090" t="s">
        <v>6875</v>
      </c>
      <c r="G2090" s="2">
        <v>4.7</v>
      </c>
      <c r="H2090" s="1">
        <v>1</v>
      </c>
      <c r="I2090" t="s">
        <v>6191</v>
      </c>
      <c r="L2090" s="1">
        <v>1</v>
      </c>
      <c r="M2090" s="3">
        <v>237.48</v>
      </c>
      <c r="N2090" s="3">
        <v>11.87</v>
      </c>
      <c r="O2090" s="3">
        <v>0</v>
      </c>
      <c r="P2090" s="3">
        <v>20</v>
      </c>
      <c r="Q2090" s="3">
        <v>269.35000000000002</v>
      </c>
      <c r="S2090" s="3">
        <f>VLOOKUP(C2090,[1]page!$C$2:$M$3071,11,0)</f>
        <v>225.89</v>
      </c>
      <c r="T2090" s="6">
        <f t="shared" si="33"/>
        <v>11.590000000000003</v>
      </c>
    </row>
    <row r="2091" spans="1:20" x14ac:dyDescent="0.2">
      <c r="A2091" t="s">
        <v>6186</v>
      </c>
      <c r="B2091" t="s">
        <v>6949</v>
      </c>
      <c r="C2091" t="s">
        <v>6950</v>
      </c>
      <c r="D2091" t="s">
        <v>6951</v>
      </c>
      <c r="E2091" t="s">
        <v>6332</v>
      </c>
      <c r="F2091" t="s">
        <v>6045</v>
      </c>
      <c r="G2091" s="1">
        <v>5</v>
      </c>
      <c r="H2091" s="1">
        <v>1</v>
      </c>
      <c r="I2091" t="s">
        <v>5961</v>
      </c>
      <c r="L2091" s="1">
        <v>1</v>
      </c>
      <c r="M2091" s="3">
        <v>126.2</v>
      </c>
      <c r="N2091" s="3">
        <v>6.31</v>
      </c>
      <c r="O2091" s="3">
        <v>0</v>
      </c>
      <c r="P2091" s="3">
        <v>20</v>
      </c>
      <c r="Q2091" s="3">
        <v>152.51</v>
      </c>
      <c r="S2091" s="3">
        <f>VLOOKUP(C2091,[1]page!$C$2:$M$3071,11,0)</f>
        <v>126.2</v>
      </c>
      <c r="T2091" s="6">
        <f t="shared" si="33"/>
        <v>0</v>
      </c>
    </row>
    <row r="2092" spans="1:20" x14ac:dyDescent="0.2">
      <c r="A2092" t="s">
        <v>6186</v>
      </c>
      <c r="B2092" t="s">
        <v>6952</v>
      </c>
      <c r="C2092" t="s">
        <v>6953</v>
      </c>
      <c r="D2092" t="s">
        <v>6954</v>
      </c>
      <c r="E2092" t="s">
        <v>6195</v>
      </c>
      <c r="F2092" t="s">
        <v>6875</v>
      </c>
      <c r="G2092" s="1">
        <v>5</v>
      </c>
      <c r="H2092" s="1">
        <v>1</v>
      </c>
      <c r="I2092" t="s">
        <v>5961</v>
      </c>
      <c r="L2092" s="1">
        <v>1</v>
      </c>
      <c r="M2092" s="3">
        <v>289.98</v>
      </c>
      <c r="N2092" s="3">
        <v>14.5</v>
      </c>
      <c r="O2092" s="3">
        <v>0</v>
      </c>
      <c r="P2092" s="3">
        <v>20</v>
      </c>
      <c r="Q2092" s="3">
        <v>324.48</v>
      </c>
      <c r="S2092" s="3">
        <f>VLOOKUP(C2092,[1]page!$C$2:$M$3071,11,0)</f>
        <v>289.98</v>
      </c>
      <c r="T2092" s="6">
        <f t="shared" si="33"/>
        <v>0</v>
      </c>
    </row>
    <row r="2093" spans="1:20" x14ac:dyDescent="0.2">
      <c r="A2093" t="s">
        <v>6186</v>
      </c>
      <c r="B2093" t="s">
        <v>6955</v>
      </c>
      <c r="C2093" t="s">
        <v>6956</v>
      </c>
      <c r="D2093" t="s">
        <v>6957</v>
      </c>
      <c r="E2093" t="s">
        <v>6380</v>
      </c>
      <c r="F2093" t="s">
        <v>6875</v>
      </c>
      <c r="G2093" s="1">
        <v>5</v>
      </c>
      <c r="H2093" s="1">
        <v>1</v>
      </c>
      <c r="I2093" t="s">
        <v>6381</v>
      </c>
      <c r="L2093" s="1">
        <v>1</v>
      </c>
      <c r="M2093" s="3">
        <v>249.52</v>
      </c>
      <c r="N2093" s="3">
        <v>12.48</v>
      </c>
      <c r="O2093" s="3">
        <v>0</v>
      </c>
      <c r="P2093" s="3">
        <v>20</v>
      </c>
      <c r="Q2093" s="3">
        <v>282</v>
      </c>
      <c r="S2093" s="3">
        <f>VLOOKUP(C2093,[1]page!$C$2:$M$3071,11,0)</f>
        <v>249.52</v>
      </c>
      <c r="T2093" s="6">
        <f t="shared" si="33"/>
        <v>0</v>
      </c>
    </row>
    <row r="2094" spans="1:20" x14ac:dyDescent="0.2">
      <c r="A2094" t="s">
        <v>6186</v>
      </c>
      <c r="B2094" t="s">
        <v>6958</v>
      </c>
      <c r="C2094" t="s">
        <v>6959</v>
      </c>
      <c r="D2094" t="s">
        <v>6960</v>
      </c>
      <c r="E2094" t="s">
        <v>6380</v>
      </c>
      <c r="F2094" t="s">
        <v>6875</v>
      </c>
      <c r="G2094" s="2">
        <v>4.3</v>
      </c>
      <c r="H2094" s="1">
        <v>1</v>
      </c>
      <c r="I2094" t="s">
        <v>6381</v>
      </c>
      <c r="L2094" s="1">
        <v>1</v>
      </c>
      <c r="M2094" s="3">
        <v>235.7</v>
      </c>
      <c r="N2094" s="3">
        <v>11.79</v>
      </c>
      <c r="O2094" s="3">
        <v>0</v>
      </c>
      <c r="P2094" s="3">
        <v>20</v>
      </c>
      <c r="Q2094" s="3">
        <v>267.49</v>
      </c>
      <c r="S2094" s="3">
        <f>VLOOKUP(C2094,[1]page!$C$2:$M$3071,11,0)</f>
        <v>235.7</v>
      </c>
      <c r="T2094" s="6">
        <f t="shared" si="33"/>
        <v>0</v>
      </c>
    </row>
    <row r="2095" spans="1:20" x14ac:dyDescent="0.2">
      <c r="A2095" t="s">
        <v>6186</v>
      </c>
      <c r="B2095" t="s">
        <v>6961</v>
      </c>
      <c r="C2095" t="s">
        <v>6962</v>
      </c>
      <c r="D2095" t="s">
        <v>6963</v>
      </c>
      <c r="E2095" t="s">
        <v>6380</v>
      </c>
      <c r="F2095" t="s">
        <v>6875</v>
      </c>
      <c r="G2095" s="1">
        <v>5</v>
      </c>
      <c r="H2095" s="1">
        <v>1</v>
      </c>
      <c r="I2095" t="s">
        <v>6381</v>
      </c>
      <c r="L2095" s="1">
        <v>1</v>
      </c>
      <c r="M2095" s="3">
        <v>249.52</v>
      </c>
      <c r="N2095" s="3">
        <v>12.48</v>
      </c>
      <c r="O2095" s="3">
        <v>0</v>
      </c>
      <c r="P2095" s="3">
        <v>20</v>
      </c>
      <c r="Q2095" s="3">
        <v>282</v>
      </c>
      <c r="S2095" s="3">
        <f>VLOOKUP(C2095,[1]page!$C$2:$M$3071,11,0)</f>
        <v>249.52</v>
      </c>
      <c r="T2095" s="6">
        <f t="shared" si="33"/>
        <v>0</v>
      </c>
    </row>
    <row r="2096" spans="1:20" x14ac:dyDescent="0.2">
      <c r="A2096" t="s">
        <v>6186</v>
      </c>
      <c r="B2096" t="s">
        <v>6964</v>
      </c>
      <c r="C2096" t="s">
        <v>6965</v>
      </c>
      <c r="D2096" t="s">
        <v>6966</v>
      </c>
      <c r="E2096" t="s">
        <v>6195</v>
      </c>
      <c r="F2096" t="s">
        <v>6875</v>
      </c>
      <c r="G2096" s="1">
        <v>4</v>
      </c>
      <c r="H2096" s="1">
        <v>1</v>
      </c>
      <c r="I2096" t="s">
        <v>5961</v>
      </c>
      <c r="L2096" s="1">
        <v>1</v>
      </c>
      <c r="M2096" s="3">
        <v>289.98</v>
      </c>
      <c r="N2096" s="3">
        <v>14.5</v>
      </c>
      <c r="O2096" s="3">
        <v>0</v>
      </c>
      <c r="P2096" s="3">
        <v>20</v>
      </c>
      <c r="Q2096" s="3">
        <v>324.48</v>
      </c>
      <c r="S2096" s="3">
        <f>VLOOKUP(C2096,[1]page!$C$2:$M$3071,11,0)</f>
        <v>289.98</v>
      </c>
      <c r="T2096" s="6">
        <f t="shared" si="33"/>
        <v>0</v>
      </c>
    </row>
    <row r="2097" spans="1:20" x14ac:dyDescent="0.2">
      <c r="A2097" t="s">
        <v>6186</v>
      </c>
      <c r="B2097" t="s">
        <v>6967</v>
      </c>
      <c r="C2097" t="s">
        <v>6968</v>
      </c>
      <c r="D2097" t="s">
        <v>6969</v>
      </c>
      <c r="E2097" t="s">
        <v>6195</v>
      </c>
      <c r="F2097" t="s">
        <v>6060</v>
      </c>
      <c r="G2097" s="1">
        <v>5</v>
      </c>
      <c r="H2097" s="1">
        <v>1</v>
      </c>
      <c r="I2097" t="s">
        <v>5961</v>
      </c>
      <c r="L2097" s="1">
        <v>1</v>
      </c>
      <c r="M2097" s="3">
        <v>106.98</v>
      </c>
      <c r="N2097" s="3">
        <v>5.35</v>
      </c>
      <c r="O2097" s="3">
        <v>0</v>
      </c>
      <c r="P2097" s="3">
        <v>20</v>
      </c>
      <c r="Q2097" s="3">
        <v>132.33000000000001</v>
      </c>
      <c r="S2097" s="3">
        <f>VLOOKUP(C2097,[1]page!$C$2:$M$3071,11,0)</f>
        <v>106.98</v>
      </c>
      <c r="T2097" s="6">
        <f t="shared" si="33"/>
        <v>0</v>
      </c>
    </row>
    <row r="2098" spans="1:20" x14ac:dyDescent="0.2">
      <c r="A2098" t="s">
        <v>6186</v>
      </c>
      <c r="B2098" t="s">
        <v>6970</v>
      </c>
      <c r="C2098" t="s">
        <v>6971</v>
      </c>
      <c r="D2098" t="s">
        <v>6969</v>
      </c>
      <c r="E2098" t="s">
        <v>6195</v>
      </c>
      <c r="F2098" t="s">
        <v>6875</v>
      </c>
      <c r="G2098" s="1">
        <v>5</v>
      </c>
      <c r="H2098" s="1">
        <v>1</v>
      </c>
      <c r="I2098" t="s">
        <v>5961</v>
      </c>
      <c r="L2098" s="1">
        <v>1</v>
      </c>
      <c r="M2098" s="3">
        <v>307.99</v>
      </c>
      <c r="N2098" s="3">
        <v>15.4</v>
      </c>
      <c r="O2098" s="3">
        <v>0</v>
      </c>
      <c r="P2098" s="3">
        <v>20</v>
      </c>
      <c r="Q2098" s="3">
        <v>343.39</v>
      </c>
      <c r="S2098" s="3">
        <f>VLOOKUP(C2098,[1]page!$C$2:$M$3071,11,0)</f>
        <v>307.99</v>
      </c>
      <c r="T2098" s="6">
        <f t="shared" si="33"/>
        <v>0</v>
      </c>
    </row>
    <row r="2099" spans="1:20" x14ac:dyDescent="0.2">
      <c r="A2099" t="s">
        <v>6186</v>
      </c>
      <c r="B2099" t="s">
        <v>6972</v>
      </c>
      <c r="C2099" t="s">
        <v>6973</v>
      </c>
      <c r="D2099" t="s">
        <v>6974</v>
      </c>
      <c r="E2099" t="s">
        <v>6190</v>
      </c>
      <c r="F2099" t="s">
        <v>6975</v>
      </c>
      <c r="G2099" s="2">
        <v>4.5999999999999996</v>
      </c>
      <c r="H2099" s="1">
        <v>1</v>
      </c>
      <c r="I2099" t="s">
        <v>6191</v>
      </c>
      <c r="L2099" s="1">
        <v>1</v>
      </c>
      <c r="M2099" s="3">
        <v>343.98</v>
      </c>
      <c r="N2099" s="3">
        <v>17.2</v>
      </c>
      <c r="O2099" s="3">
        <v>0</v>
      </c>
      <c r="P2099" s="3">
        <v>20</v>
      </c>
      <c r="Q2099" s="3">
        <v>381.18</v>
      </c>
      <c r="S2099" s="3">
        <f>VLOOKUP(C2099,[1]page!$C$2:$M$3071,11,0)</f>
        <v>343.98</v>
      </c>
      <c r="T2099" s="6">
        <f t="shared" si="33"/>
        <v>0</v>
      </c>
    </row>
    <row r="2100" spans="1:20" x14ac:dyDescent="0.2">
      <c r="A2100" t="s">
        <v>6186</v>
      </c>
      <c r="B2100" t="s">
        <v>6976</v>
      </c>
      <c r="C2100" t="s">
        <v>6977</v>
      </c>
      <c r="D2100" t="s">
        <v>6978</v>
      </c>
      <c r="E2100" t="s">
        <v>6979</v>
      </c>
      <c r="F2100" t="s">
        <v>6060</v>
      </c>
      <c r="G2100" s="2">
        <v>4.5</v>
      </c>
      <c r="H2100" s="1">
        <v>1</v>
      </c>
      <c r="I2100" t="s">
        <v>5961</v>
      </c>
      <c r="L2100" s="1">
        <v>1</v>
      </c>
      <c r="M2100" s="3">
        <v>124</v>
      </c>
      <c r="N2100" s="3">
        <v>6.2</v>
      </c>
      <c r="O2100" s="3">
        <v>0</v>
      </c>
      <c r="P2100" s="3">
        <v>20</v>
      </c>
      <c r="Q2100" s="3">
        <v>150.19999999999999</v>
      </c>
      <c r="S2100" s="3">
        <f>VLOOKUP(C2100,[1]page!$C$2:$M$3071,11,0)</f>
        <v>124</v>
      </c>
      <c r="T2100" s="6">
        <f t="shared" si="33"/>
        <v>0</v>
      </c>
    </row>
    <row r="2101" spans="1:20" x14ac:dyDescent="0.2">
      <c r="A2101" t="s">
        <v>6186</v>
      </c>
      <c r="B2101" t="s">
        <v>6980</v>
      </c>
      <c r="C2101" t="s">
        <v>6981</v>
      </c>
      <c r="D2101" t="s">
        <v>6982</v>
      </c>
      <c r="E2101" t="s">
        <v>6284</v>
      </c>
      <c r="F2101" t="s">
        <v>6045</v>
      </c>
      <c r="G2101" s="1">
        <v>5</v>
      </c>
      <c r="H2101" s="1">
        <v>1</v>
      </c>
      <c r="I2101" t="s">
        <v>6285</v>
      </c>
      <c r="L2101" s="1">
        <v>1</v>
      </c>
      <c r="M2101" s="3">
        <v>145.59</v>
      </c>
      <c r="N2101" s="3">
        <v>7.28</v>
      </c>
      <c r="O2101" s="3">
        <v>0</v>
      </c>
      <c r="P2101" s="3">
        <v>20</v>
      </c>
      <c r="Q2101" s="3">
        <v>172.87</v>
      </c>
      <c r="S2101" s="3">
        <f>VLOOKUP(C2101,[1]page!$C$2:$M$3071,11,0)</f>
        <v>145.59</v>
      </c>
      <c r="T2101" s="6">
        <f t="shared" si="33"/>
        <v>0</v>
      </c>
    </row>
    <row r="2102" spans="1:20" x14ac:dyDescent="0.2">
      <c r="A2102" t="s">
        <v>6186</v>
      </c>
      <c r="B2102" t="s">
        <v>6983</v>
      </c>
      <c r="C2102" t="s">
        <v>6984</v>
      </c>
      <c r="D2102" t="s">
        <v>6985</v>
      </c>
      <c r="E2102" t="s">
        <v>6195</v>
      </c>
      <c r="F2102" t="s">
        <v>6045</v>
      </c>
      <c r="G2102" s="1">
        <v>5</v>
      </c>
      <c r="H2102" s="1">
        <v>1</v>
      </c>
      <c r="I2102" t="s">
        <v>5961</v>
      </c>
      <c r="L2102" s="1">
        <v>1</v>
      </c>
      <c r="M2102" s="3">
        <v>125.87</v>
      </c>
      <c r="N2102" s="3">
        <v>6.29</v>
      </c>
      <c r="O2102" s="3">
        <v>0</v>
      </c>
      <c r="P2102" s="3">
        <v>20</v>
      </c>
      <c r="Q2102" s="3">
        <v>152.16</v>
      </c>
      <c r="S2102" s="3">
        <f>VLOOKUP(C2102,[1]page!$C$2:$M$3071,11,0)</f>
        <v>125.87</v>
      </c>
      <c r="T2102" s="6">
        <f t="shared" si="33"/>
        <v>0</v>
      </c>
    </row>
    <row r="2103" spans="1:20" x14ac:dyDescent="0.2">
      <c r="A2103" t="s">
        <v>6186</v>
      </c>
      <c r="B2103" t="s">
        <v>6986</v>
      </c>
      <c r="C2103" t="s">
        <v>6987</v>
      </c>
      <c r="D2103" t="s">
        <v>6988</v>
      </c>
      <c r="E2103" t="s">
        <v>6332</v>
      </c>
      <c r="F2103" t="s">
        <v>6083</v>
      </c>
      <c r="G2103" s="1">
        <v>5</v>
      </c>
      <c r="H2103" s="1">
        <v>1</v>
      </c>
      <c r="I2103" t="s">
        <v>5961</v>
      </c>
      <c r="L2103" s="1">
        <v>1</v>
      </c>
      <c r="M2103" s="3">
        <v>191.97</v>
      </c>
      <c r="N2103" s="3">
        <v>9.6</v>
      </c>
      <c r="O2103" s="3">
        <v>0</v>
      </c>
      <c r="P2103" s="3">
        <v>20</v>
      </c>
      <c r="Q2103" s="3">
        <v>221.57</v>
      </c>
      <c r="S2103" s="3">
        <f>VLOOKUP(C2103,[1]page!$C$2:$M$3071,11,0)</f>
        <v>191.97</v>
      </c>
      <c r="T2103" s="6">
        <f t="shared" si="33"/>
        <v>0</v>
      </c>
    </row>
    <row r="2104" spans="1:20" x14ac:dyDescent="0.2">
      <c r="A2104" t="s">
        <v>6186</v>
      </c>
      <c r="B2104" t="s">
        <v>6989</v>
      </c>
      <c r="C2104" t="s">
        <v>6990</v>
      </c>
      <c r="D2104" t="s">
        <v>6991</v>
      </c>
      <c r="E2104" t="s">
        <v>6332</v>
      </c>
      <c r="F2104" t="s">
        <v>6045</v>
      </c>
      <c r="G2104" s="2">
        <v>3.8</v>
      </c>
      <c r="H2104" s="1">
        <v>1</v>
      </c>
      <c r="I2104" t="s">
        <v>5961</v>
      </c>
      <c r="L2104" s="1">
        <v>1</v>
      </c>
      <c r="M2104" s="3">
        <v>141</v>
      </c>
      <c r="N2104" s="3">
        <v>7.05</v>
      </c>
      <c r="O2104" s="3">
        <v>0</v>
      </c>
      <c r="P2104" s="3">
        <v>20</v>
      </c>
      <c r="Q2104" s="3">
        <v>168.05</v>
      </c>
      <c r="S2104" s="3">
        <f>VLOOKUP(C2104,[1]page!$C$2:$M$3071,11,0)</f>
        <v>141</v>
      </c>
      <c r="T2104" s="6">
        <f t="shared" si="33"/>
        <v>0</v>
      </c>
    </row>
    <row r="2105" spans="1:20" x14ac:dyDescent="0.2">
      <c r="A2105" t="s">
        <v>6186</v>
      </c>
      <c r="B2105" t="s">
        <v>6992</v>
      </c>
      <c r="C2105" t="s">
        <v>6993</v>
      </c>
      <c r="D2105" t="s">
        <v>6994</v>
      </c>
      <c r="E2105" t="s">
        <v>6332</v>
      </c>
      <c r="F2105" t="s">
        <v>6045</v>
      </c>
      <c r="G2105" s="1">
        <v>1</v>
      </c>
      <c r="H2105" s="1">
        <v>1</v>
      </c>
      <c r="I2105" t="s">
        <v>5961</v>
      </c>
      <c r="L2105" s="1">
        <v>1</v>
      </c>
      <c r="M2105" s="3">
        <v>154.30000000000001</v>
      </c>
      <c r="N2105" s="3">
        <v>7.72</v>
      </c>
      <c r="O2105" s="3">
        <v>0</v>
      </c>
      <c r="P2105" s="3">
        <v>20</v>
      </c>
      <c r="Q2105" s="3">
        <v>182.02</v>
      </c>
      <c r="S2105" s="3">
        <f>VLOOKUP(C2105,[1]page!$C$2:$M$3071,11,0)</f>
        <v>154.30000000000001</v>
      </c>
      <c r="T2105" s="6">
        <f t="shared" si="33"/>
        <v>0</v>
      </c>
    </row>
    <row r="2106" spans="1:20" x14ac:dyDescent="0.2">
      <c r="A2106" t="s">
        <v>6186</v>
      </c>
      <c r="B2106" t="s">
        <v>6995</v>
      </c>
      <c r="C2106" t="s">
        <v>6996</v>
      </c>
      <c r="D2106" t="s">
        <v>6997</v>
      </c>
      <c r="E2106" t="s">
        <v>6332</v>
      </c>
      <c r="F2106" t="s">
        <v>6045</v>
      </c>
      <c r="G2106" s="2">
        <v>4.5</v>
      </c>
      <c r="H2106" s="1">
        <v>1</v>
      </c>
      <c r="I2106" t="s">
        <v>5961</v>
      </c>
      <c r="L2106" s="1">
        <v>1</v>
      </c>
      <c r="M2106" s="3">
        <v>141</v>
      </c>
      <c r="N2106" s="3">
        <v>7.05</v>
      </c>
      <c r="O2106" s="3">
        <v>0</v>
      </c>
      <c r="P2106" s="3">
        <v>20</v>
      </c>
      <c r="Q2106" s="3">
        <v>168.05</v>
      </c>
      <c r="S2106" s="3">
        <f>VLOOKUP(C2106,[1]page!$C$2:$M$3071,11,0)</f>
        <v>141</v>
      </c>
      <c r="T2106" s="6">
        <f t="shared" si="33"/>
        <v>0</v>
      </c>
    </row>
    <row r="2107" spans="1:20" x14ac:dyDescent="0.2">
      <c r="A2107" t="s">
        <v>6186</v>
      </c>
      <c r="B2107" t="s">
        <v>6998</v>
      </c>
      <c r="C2107" t="s">
        <v>6999</v>
      </c>
      <c r="D2107" t="s">
        <v>7000</v>
      </c>
      <c r="E2107" t="s">
        <v>6332</v>
      </c>
      <c r="F2107" t="s">
        <v>6045</v>
      </c>
      <c r="G2107" s="1">
        <v>5</v>
      </c>
      <c r="H2107" s="1">
        <v>1</v>
      </c>
      <c r="I2107" t="s">
        <v>5961</v>
      </c>
      <c r="L2107" s="1">
        <v>1</v>
      </c>
      <c r="M2107" s="3">
        <v>154.30000000000001</v>
      </c>
      <c r="N2107" s="3">
        <v>7.72</v>
      </c>
      <c r="O2107" s="3">
        <v>0</v>
      </c>
      <c r="P2107" s="3">
        <v>20</v>
      </c>
      <c r="Q2107" s="3">
        <v>182.02</v>
      </c>
      <c r="S2107" s="3">
        <f>VLOOKUP(C2107,[1]page!$C$2:$M$3071,11,0)</f>
        <v>154.30000000000001</v>
      </c>
      <c r="T2107" s="6">
        <f t="shared" si="33"/>
        <v>0</v>
      </c>
    </row>
    <row r="2108" spans="1:20" x14ac:dyDescent="0.2">
      <c r="A2108" t="s">
        <v>6186</v>
      </c>
      <c r="B2108" t="s">
        <v>7001</v>
      </c>
      <c r="C2108" t="s">
        <v>7002</v>
      </c>
      <c r="D2108" t="s">
        <v>7003</v>
      </c>
      <c r="E2108" t="s">
        <v>6332</v>
      </c>
      <c r="F2108" t="s">
        <v>6045</v>
      </c>
      <c r="G2108" s="2">
        <v>5.5</v>
      </c>
      <c r="H2108" s="1">
        <v>1</v>
      </c>
      <c r="I2108" t="s">
        <v>5961</v>
      </c>
      <c r="L2108" s="1">
        <v>1</v>
      </c>
      <c r="M2108" s="3">
        <v>154.30000000000001</v>
      </c>
      <c r="N2108" s="3">
        <v>7.72</v>
      </c>
      <c r="O2108" s="3">
        <v>0</v>
      </c>
      <c r="P2108" s="3">
        <v>20</v>
      </c>
      <c r="Q2108" s="3">
        <v>182.02</v>
      </c>
      <c r="S2108" s="3">
        <f>VLOOKUP(C2108,[1]page!$C$2:$M$3071,11,0)</f>
        <v>154.30000000000001</v>
      </c>
      <c r="T2108" s="6">
        <f t="shared" si="33"/>
        <v>0</v>
      </c>
    </row>
    <row r="2109" spans="1:20" x14ac:dyDescent="0.2">
      <c r="A2109" t="s">
        <v>6186</v>
      </c>
      <c r="B2109" t="s">
        <v>7004</v>
      </c>
      <c r="C2109" t="s">
        <v>7005</v>
      </c>
      <c r="D2109" t="s">
        <v>7006</v>
      </c>
      <c r="E2109" t="s">
        <v>6332</v>
      </c>
      <c r="F2109" t="s">
        <v>6045</v>
      </c>
      <c r="G2109" s="1">
        <v>5</v>
      </c>
      <c r="H2109" s="1">
        <v>1</v>
      </c>
      <c r="I2109" t="s">
        <v>5961</v>
      </c>
      <c r="L2109" s="1">
        <v>1</v>
      </c>
      <c r="M2109" s="3">
        <v>154.30000000000001</v>
      </c>
      <c r="N2109" s="3">
        <v>7.72</v>
      </c>
      <c r="O2109" s="3">
        <v>0</v>
      </c>
      <c r="P2109" s="3">
        <v>20</v>
      </c>
      <c r="Q2109" s="3">
        <v>182.02</v>
      </c>
      <c r="S2109" s="3">
        <f>VLOOKUP(C2109,[1]page!$C$2:$M$3071,11,0)</f>
        <v>154.30000000000001</v>
      </c>
      <c r="T2109" s="6">
        <f t="shared" si="33"/>
        <v>0</v>
      </c>
    </row>
    <row r="2110" spans="1:20" x14ac:dyDescent="0.2">
      <c r="A2110" t="s">
        <v>6186</v>
      </c>
      <c r="B2110" t="s">
        <v>7007</v>
      </c>
      <c r="C2110" t="s">
        <v>7008</v>
      </c>
      <c r="D2110" t="s">
        <v>7009</v>
      </c>
      <c r="E2110" t="s">
        <v>6332</v>
      </c>
      <c r="F2110" t="s">
        <v>6045</v>
      </c>
      <c r="G2110" s="2">
        <v>4.5</v>
      </c>
      <c r="H2110" s="1">
        <v>1</v>
      </c>
      <c r="I2110" t="s">
        <v>5961</v>
      </c>
      <c r="L2110" s="1">
        <v>1</v>
      </c>
      <c r="M2110" s="3">
        <v>150</v>
      </c>
      <c r="N2110" s="3">
        <v>7.5</v>
      </c>
      <c r="O2110" s="3">
        <v>0</v>
      </c>
      <c r="P2110" s="3">
        <v>20</v>
      </c>
      <c r="Q2110" s="3">
        <v>177.5</v>
      </c>
      <c r="S2110" s="3" t="e">
        <f>VLOOKUP(C2110,[1]page!$C$2:$M$3071,11,0)</f>
        <v>#N/A</v>
      </c>
      <c r="T2110" s="6" t="e">
        <f t="shared" si="33"/>
        <v>#N/A</v>
      </c>
    </row>
    <row r="2111" spans="1:20" x14ac:dyDescent="0.2">
      <c r="A2111" t="s">
        <v>6186</v>
      </c>
      <c r="B2111" t="s">
        <v>7010</v>
      </c>
      <c r="C2111" t="s">
        <v>7011</v>
      </c>
      <c r="D2111" t="s">
        <v>7012</v>
      </c>
      <c r="E2111" t="s">
        <v>6332</v>
      </c>
      <c r="F2111" t="s">
        <v>6045</v>
      </c>
      <c r="G2111" s="2">
        <v>6.5</v>
      </c>
      <c r="H2111" s="1">
        <v>1</v>
      </c>
      <c r="I2111" t="s">
        <v>5961</v>
      </c>
      <c r="L2111" s="1">
        <v>1</v>
      </c>
      <c r="M2111" s="3">
        <v>154.30000000000001</v>
      </c>
      <c r="N2111" s="3">
        <v>7.72</v>
      </c>
      <c r="O2111" s="3">
        <v>0</v>
      </c>
      <c r="P2111" s="3">
        <v>20</v>
      </c>
      <c r="Q2111" s="3">
        <v>182.02</v>
      </c>
      <c r="S2111" s="3">
        <f>VLOOKUP(C2111,[1]page!$C$2:$M$3071,11,0)</f>
        <v>154.30000000000001</v>
      </c>
      <c r="T2111" s="6">
        <f t="shared" si="33"/>
        <v>0</v>
      </c>
    </row>
    <row r="2112" spans="1:20" x14ac:dyDescent="0.2">
      <c r="A2112" t="s">
        <v>6186</v>
      </c>
      <c r="B2112" t="s">
        <v>7013</v>
      </c>
      <c r="C2112" t="s">
        <v>7014</v>
      </c>
      <c r="D2112" t="s">
        <v>7015</v>
      </c>
      <c r="E2112" t="s">
        <v>6284</v>
      </c>
      <c r="F2112" t="s">
        <v>6045</v>
      </c>
      <c r="G2112" s="2">
        <v>2.5</v>
      </c>
      <c r="H2112" s="1">
        <v>1</v>
      </c>
      <c r="I2112" t="s">
        <v>6285</v>
      </c>
      <c r="L2112" s="1">
        <v>1</v>
      </c>
      <c r="M2112" s="3">
        <v>144.38</v>
      </c>
      <c r="N2112" s="3">
        <v>7.22</v>
      </c>
      <c r="O2112" s="3">
        <v>0</v>
      </c>
      <c r="P2112" s="3">
        <v>20</v>
      </c>
      <c r="Q2112" s="3">
        <v>171.6</v>
      </c>
      <c r="S2112" s="3">
        <f>VLOOKUP(C2112,[1]page!$C$2:$M$3071,11,0)</f>
        <v>144.38</v>
      </c>
      <c r="T2112" s="6">
        <f t="shared" si="33"/>
        <v>0</v>
      </c>
    </row>
    <row r="2113" spans="1:20" x14ac:dyDescent="0.2">
      <c r="A2113" t="s">
        <v>6186</v>
      </c>
      <c r="B2113" t="s">
        <v>7016</v>
      </c>
      <c r="C2113" t="s">
        <v>7017</v>
      </c>
      <c r="D2113" t="s">
        <v>7018</v>
      </c>
      <c r="E2113" t="s">
        <v>6190</v>
      </c>
      <c r="F2113" t="s">
        <v>6875</v>
      </c>
      <c r="G2113" s="2">
        <v>5.9</v>
      </c>
      <c r="H2113" s="1">
        <v>1</v>
      </c>
      <c r="I2113" t="s">
        <v>6191</v>
      </c>
      <c r="L2113" s="1">
        <v>1</v>
      </c>
      <c r="M2113" s="3">
        <v>285.99</v>
      </c>
      <c r="N2113" s="3">
        <v>14.3</v>
      </c>
      <c r="O2113" s="3">
        <v>0</v>
      </c>
      <c r="P2113" s="3">
        <v>20</v>
      </c>
      <c r="Q2113" s="3">
        <v>320.29000000000002</v>
      </c>
      <c r="S2113" s="3">
        <f>VLOOKUP(C2113,[1]page!$C$2:$M$3071,11,0)</f>
        <v>285.99</v>
      </c>
      <c r="T2113" s="6">
        <f t="shared" si="33"/>
        <v>0</v>
      </c>
    </row>
    <row r="2114" spans="1:20" x14ac:dyDescent="0.2">
      <c r="A2114" t="s">
        <v>6186</v>
      </c>
      <c r="B2114" t="s">
        <v>7019</v>
      </c>
      <c r="C2114" t="s">
        <v>7020</v>
      </c>
      <c r="D2114" t="s">
        <v>7021</v>
      </c>
      <c r="E2114" t="s">
        <v>6332</v>
      </c>
      <c r="F2114" t="s">
        <v>6083</v>
      </c>
      <c r="G2114" s="2">
        <v>4.7</v>
      </c>
      <c r="H2114" s="1">
        <v>1</v>
      </c>
      <c r="I2114" t="s">
        <v>5961</v>
      </c>
      <c r="L2114" s="1">
        <v>1</v>
      </c>
      <c r="M2114" s="3">
        <v>232.67</v>
      </c>
      <c r="N2114" s="3">
        <v>11.63</v>
      </c>
      <c r="O2114" s="3">
        <v>0</v>
      </c>
      <c r="P2114" s="3">
        <v>20</v>
      </c>
      <c r="Q2114" s="3">
        <v>264.3</v>
      </c>
      <c r="S2114" s="3">
        <f>VLOOKUP(C2114,[1]page!$C$2:$M$3071,11,0)</f>
        <v>232.67</v>
      </c>
      <c r="T2114" s="6">
        <f t="shared" si="33"/>
        <v>0</v>
      </c>
    </row>
    <row r="2115" spans="1:20" x14ac:dyDescent="0.2">
      <c r="A2115" t="s">
        <v>6186</v>
      </c>
      <c r="B2115" t="s">
        <v>7022</v>
      </c>
      <c r="C2115" t="s">
        <v>7023</v>
      </c>
      <c r="D2115" t="s">
        <v>7024</v>
      </c>
      <c r="E2115" t="s">
        <v>6332</v>
      </c>
      <c r="F2115" t="s">
        <v>6083</v>
      </c>
      <c r="G2115" s="1">
        <v>5</v>
      </c>
      <c r="H2115" s="1">
        <v>1</v>
      </c>
      <c r="I2115" t="s">
        <v>5961</v>
      </c>
      <c r="L2115" s="1">
        <v>1</v>
      </c>
      <c r="M2115" s="3">
        <v>230</v>
      </c>
      <c r="N2115" s="3">
        <v>11.5</v>
      </c>
      <c r="O2115" s="3">
        <v>0</v>
      </c>
      <c r="P2115" s="3">
        <v>20</v>
      </c>
      <c r="Q2115" s="3">
        <v>261.5</v>
      </c>
      <c r="S2115" s="3">
        <f>VLOOKUP(C2115,[1]page!$C$2:$M$3071,11,0)</f>
        <v>230</v>
      </c>
      <c r="T2115" s="6">
        <f t="shared" si="33"/>
        <v>0</v>
      </c>
    </row>
    <row r="2116" spans="1:20" x14ac:dyDescent="0.2">
      <c r="A2116" t="s">
        <v>6186</v>
      </c>
      <c r="B2116" t="s">
        <v>7025</v>
      </c>
      <c r="C2116" t="s">
        <v>7026</v>
      </c>
      <c r="D2116" t="s">
        <v>7027</v>
      </c>
      <c r="E2116" t="s">
        <v>6332</v>
      </c>
      <c r="F2116" t="s">
        <v>6083</v>
      </c>
      <c r="G2116" s="1">
        <v>5</v>
      </c>
      <c r="H2116" s="1">
        <v>1</v>
      </c>
      <c r="I2116" t="s">
        <v>5961</v>
      </c>
      <c r="L2116" s="1">
        <v>1</v>
      </c>
      <c r="M2116" s="3">
        <v>216</v>
      </c>
      <c r="N2116" s="3">
        <v>10.8</v>
      </c>
      <c r="O2116" s="3">
        <v>0</v>
      </c>
      <c r="P2116" s="3">
        <v>20</v>
      </c>
      <c r="Q2116" s="3">
        <v>246.8</v>
      </c>
      <c r="S2116" s="3">
        <f>VLOOKUP(C2116,[1]page!$C$2:$M$3071,11,0)</f>
        <v>216</v>
      </c>
      <c r="T2116" s="6">
        <f t="shared" si="33"/>
        <v>0</v>
      </c>
    </row>
    <row r="2117" spans="1:20" x14ac:dyDescent="0.2">
      <c r="A2117" t="s">
        <v>6186</v>
      </c>
      <c r="B2117" t="s">
        <v>7028</v>
      </c>
      <c r="C2117" t="s">
        <v>7029</v>
      </c>
      <c r="D2117" t="s">
        <v>7030</v>
      </c>
      <c r="E2117" t="s">
        <v>6332</v>
      </c>
      <c r="F2117" t="s">
        <v>6083</v>
      </c>
      <c r="G2117" s="2">
        <v>5.5</v>
      </c>
      <c r="H2117" s="1">
        <v>1</v>
      </c>
      <c r="I2117" t="s">
        <v>5961</v>
      </c>
      <c r="L2117" s="1">
        <v>1</v>
      </c>
      <c r="M2117" s="3">
        <v>230</v>
      </c>
      <c r="N2117" s="3">
        <v>11.5</v>
      </c>
      <c r="O2117" s="3">
        <v>0</v>
      </c>
      <c r="P2117" s="3">
        <v>20</v>
      </c>
      <c r="Q2117" s="3">
        <v>261.5</v>
      </c>
      <c r="S2117" s="3">
        <f>VLOOKUP(C2117,[1]page!$C$2:$M$3071,11,0)</f>
        <v>230</v>
      </c>
      <c r="T2117" s="6">
        <f t="shared" si="33"/>
        <v>0</v>
      </c>
    </row>
    <row r="2118" spans="1:20" x14ac:dyDescent="0.2">
      <c r="A2118" t="s">
        <v>6186</v>
      </c>
      <c r="B2118" t="s">
        <v>7031</v>
      </c>
      <c r="C2118" t="s">
        <v>7032</v>
      </c>
      <c r="D2118" t="s">
        <v>7033</v>
      </c>
      <c r="E2118" t="s">
        <v>6284</v>
      </c>
      <c r="F2118" t="s">
        <v>6045</v>
      </c>
      <c r="G2118" s="1">
        <v>5</v>
      </c>
      <c r="H2118" s="1">
        <v>1</v>
      </c>
      <c r="I2118" t="s">
        <v>6285</v>
      </c>
      <c r="L2118" s="1">
        <v>1</v>
      </c>
      <c r="M2118" s="3">
        <v>144.52000000000001</v>
      </c>
      <c r="N2118" s="3">
        <v>7.23</v>
      </c>
      <c r="O2118" s="3">
        <v>0</v>
      </c>
      <c r="P2118" s="3">
        <v>20</v>
      </c>
      <c r="Q2118" s="3">
        <v>171.75</v>
      </c>
      <c r="S2118" s="3">
        <f>VLOOKUP(C2118,[1]page!$C$2:$M$3071,11,0)</f>
        <v>144.52000000000001</v>
      </c>
      <c r="T2118" s="6">
        <f t="shared" si="33"/>
        <v>0</v>
      </c>
    </row>
    <row r="2119" spans="1:20" x14ac:dyDescent="0.2">
      <c r="A2119" t="s">
        <v>6186</v>
      </c>
      <c r="B2119" t="s">
        <v>7034</v>
      </c>
      <c r="C2119" t="s">
        <v>7035</v>
      </c>
      <c r="D2119" t="s">
        <v>7036</v>
      </c>
      <c r="E2119" t="s">
        <v>6277</v>
      </c>
      <c r="F2119" t="s">
        <v>6045</v>
      </c>
      <c r="G2119" s="1">
        <v>4</v>
      </c>
      <c r="H2119" s="1">
        <v>1</v>
      </c>
      <c r="I2119" t="s">
        <v>5920</v>
      </c>
      <c r="L2119" s="1">
        <v>1</v>
      </c>
      <c r="M2119" s="3">
        <v>141.99</v>
      </c>
      <c r="N2119" s="3">
        <v>7.1</v>
      </c>
      <c r="O2119" s="3">
        <v>0</v>
      </c>
      <c r="P2119" s="3">
        <v>20</v>
      </c>
      <c r="Q2119" s="3">
        <v>169.09</v>
      </c>
      <c r="S2119" s="3">
        <f>VLOOKUP(C2119,[1]page!$C$2:$M$3071,11,0)</f>
        <v>141.99</v>
      </c>
      <c r="T2119" s="6">
        <f t="shared" si="33"/>
        <v>0</v>
      </c>
    </row>
    <row r="2120" spans="1:20" x14ac:dyDescent="0.2">
      <c r="A2120" t="s">
        <v>6186</v>
      </c>
      <c r="B2120" t="s">
        <v>7037</v>
      </c>
      <c r="C2120" t="s">
        <v>7038</v>
      </c>
      <c r="D2120" t="s">
        <v>7036</v>
      </c>
      <c r="E2120" t="s">
        <v>6277</v>
      </c>
      <c r="F2120" t="s">
        <v>6875</v>
      </c>
      <c r="G2120" s="1">
        <v>4</v>
      </c>
      <c r="H2120" s="1">
        <v>1</v>
      </c>
      <c r="I2120" t="s">
        <v>5920</v>
      </c>
      <c r="L2120" s="1">
        <v>1</v>
      </c>
      <c r="M2120" s="3">
        <v>274.98</v>
      </c>
      <c r="N2120" s="3">
        <v>13.75</v>
      </c>
      <c r="O2120" s="3">
        <v>0</v>
      </c>
      <c r="P2120" s="3">
        <v>20</v>
      </c>
      <c r="Q2120" s="3">
        <v>308.73</v>
      </c>
      <c r="S2120" s="3">
        <f>VLOOKUP(C2120,[1]page!$C$2:$M$3071,11,0)</f>
        <v>274.98</v>
      </c>
      <c r="T2120" s="6">
        <f t="shared" si="33"/>
        <v>0</v>
      </c>
    </row>
    <row r="2121" spans="1:20" x14ac:dyDescent="0.2">
      <c r="A2121" t="s">
        <v>6186</v>
      </c>
      <c r="B2121" t="s">
        <v>7039</v>
      </c>
      <c r="C2121" t="s">
        <v>7040</v>
      </c>
      <c r="D2121" t="s">
        <v>7041</v>
      </c>
      <c r="E2121" t="s">
        <v>6277</v>
      </c>
      <c r="F2121" t="s">
        <v>6045</v>
      </c>
      <c r="G2121" s="1">
        <v>5</v>
      </c>
      <c r="H2121" s="1">
        <v>1</v>
      </c>
      <c r="I2121" t="s">
        <v>5920</v>
      </c>
      <c r="L2121" s="1">
        <v>1</v>
      </c>
      <c r="M2121" s="3">
        <v>141.99</v>
      </c>
      <c r="N2121" s="3">
        <v>7.1</v>
      </c>
      <c r="O2121" s="3">
        <v>0</v>
      </c>
      <c r="P2121" s="3">
        <v>20</v>
      </c>
      <c r="Q2121" s="3">
        <v>169.09</v>
      </c>
      <c r="S2121" s="3">
        <f>VLOOKUP(C2121,[1]page!$C$2:$M$3071,11,0)</f>
        <v>141.99</v>
      </c>
      <c r="T2121" s="6">
        <f t="shared" si="33"/>
        <v>0</v>
      </c>
    </row>
    <row r="2122" spans="1:20" x14ac:dyDescent="0.2">
      <c r="A2122" t="s">
        <v>6186</v>
      </c>
      <c r="B2122" t="s">
        <v>7042</v>
      </c>
      <c r="C2122" t="s">
        <v>7043</v>
      </c>
      <c r="D2122" t="s">
        <v>7044</v>
      </c>
      <c r="E2122" t="s">
        <v>6277</v>
      </c>
      <c r="F2122" t="s">
        <v>6045</v>
      </c>
      <c r="G2122" s="2">
        <v>2.5</v>
      </c>
      <c r="H2122" s="1">
        <v>1</v>
      </c>
      <c r="I2122" t="s">
        <v>5920</v>
      </c>
      <c r="L2122" s="1">
        <v>1</v>
      </c>
      <c r="M2122" s="3">
        <v>147.99</v>
      </c>
      <c r="N2122" s="3">
        <v>7.4</v>
      </c>
      <c r="O2122" s="3">
        <v>0</v>
      </c>
      <c r="P2122" s="3">
        <v>20</v>
      </c>
      <c r="Q2122" s="3">
        <v>175.39</v>
      </c>
      <c r="S2122" s="3">
        <f>VLOOKUP(C2122,[1]page!$C$2:$M$3071,11,0)</f>
        <v>147.99</v>
      </c>
      <c r="T2122" s="6">
        <f t="shared" si="33"/>
        <v>0</v>
      </c>
    </row>
    <row r="2123" spans="1:20" x14ac:dyDescent="0.2">
      <c r="A2123" t="s">
        <v>6186</v>
      </c>
      <c r="B2123" t="s">
        <v>7045</v>
      </c>
      <c r="C2123" t="s">
        <v>7046</v>
      </c>
      <c r="D2123" t="s">
        <v>7047</v>
      </c>
      <c r="E2123" t="s">
        <v>6747</v>
      </c>
      <c r="F2123" t="s">
        <v>6083</v>
      </c>
      <c r="G2123" s="1">
        <v>5</v>
      </c>
      <c r="H2123" s="1">
        <v>1</v>
      </c>
      <c r="I2123" t="s">
        <v>24</v>
      </c>
      <c r="L2123" s="1">
        <v>1</v>
      </c>
      <c r="M2123" s="3">
        <v>283.98</v>
      </c>
      <c r="N2123" s="3">
        <v>14.2</v>
      </c>
      <c r="O2123" s="3">
        <v>0</v>
      </c>
      <c r="P2123" s="3">
        <v>20</v>
      </c>
      <c r="Q2123" s="3">
        <v>318.18</v>
      </c>
      <c r="S2123" s="3">
        <f>VLOOKUP(C2123,[1]page!$C$2:$M$3071,11,0)</f>
        <v>283.98</v>
      </c>
      <c r="T2123" s="6">
        <f t="shared" si="33"/>
        <v>0</v>
      </c>
    </row>
    <row r="2124" spans="1:20" x14ac:dyDescent="0.2">
      <c r="A2124" t="s">
        <v>6186</v>
      </c>
      <c r="B2124" t="s">
        <v>7048</v>
      </c>
      <c r="C2124" t="s">
        <v>7049</v>
      </c>
      <c r="D2124" t="s">
        <v>7050</v>
      </c>
      <c r="E2124" t="s">
        <v>6747</v>
      </c>
      <c r="F2124" t="s">
        <v>6083</v>
      </c>
      <c r="G2124" s="1">
        <v>5</v>
      </c>
      <c r="H2124" s="1">
        <v>1</v>
      </c>
      <c r="I2124" t="s">
        <v>24</v>
      </c>
      <c r="L2124" s="1">
        <v>1</v>
      </c>
      <c r="M2124" s="3">
        <v>267.99</v>
      </c>
      <c r="N2124" s="3">
        <v>13.4</v>
      </c>
      <c r="O2124" s="3">
        <v>0</v>
      </c>
      <c r="P2124" s="3">
        <v>20</v>
      </c>
      <c r="Q2124" s="3">
        <v>301.39</v>
      </c>
      <c r="S2124" s="3">
        <f>VLOOKUP(C2124,[1]page!$C$2:$M$3071,11,0)</f>
        <v>267.99</v>
      </c>
      <c r="T2124" s="6">
        <f t="shared" si="33"/>
        <v>0</v>
      </c>
    </row>
    <row r="2125" spans="1:20" x14ac:dyDescent="0.2">
      <c r="A2125" t="s">
        <v>6186</v>
      </c>
      <c r="B2125" t="s">
        <v>7051</v>
      </c>
      <c r="C2125" t="s">
        <v>7052</v>
      </c>
      <c r="D2125" t="s">
        <v>7053</v>
      </c>
      <c r="E2125" t="s">
        <v>6284</v>
      </c>
      <c r="F2125" t="s">
        <v>6875</v>
      </c>
      <c r="G2125" s="2">
        <v>5.5</v>
      </c>
      <c r="H2125" s="1">
        <v>1</v>
      </c>
      <c r="I2125" t="s">
        <v>6285</v>
      </c>
      <c r="L2125" s="1">
        <v>1</v>
      </c>
      <c r="M2125" s="3">
        <v>286.56</v>
      </c>
      <c r="N2125" s="3">
        <v>14.33</v>
      </c>
      <c r="O2125" s="3">
        <v>0</v>
      </c>
      <c r="P2125" s="3">
        <v>20</v>
      </c>
      <c r="Q2125" s="3">
        <v>320.89</v>
      </c>
      <c r="S2125" s="3">
        <f>VLOOKUP(C2125,[1]page!$C$2:$M$3071,11,0)</f>
        <v>286.56</v>
      </c>
      <c r="T2125" s="6">
        <f t="shared" si="33"/>
        <v>0</v>
      </c>
    </row>
    <row r="2126" spans="1:20" x14ac:dyDescent="0.2">
      <c r="A2126" t="s">
        <v>6186</v>
      </c>
      <c r="B2126" t="s">
        <v>7054</v>
      </c>
      <c r="C2126" t="s">
        <v>7055</v>
      </c>
      <c r="D2126" t="s">
        <v>7056</v>
      </c>
      <c r="E2126" t="s">
        <v>6116</v>
      </c>
      <c r="F2126" t="s">
        <v>6060</v>
      </c>
      <c r="G2126" s="1">
        <v>5</v>
      </c>
      <c r="H2126" s="1">
        <v>1</v>
      </c>
      <c r="I2126" t="s">
        <v>5961</v>
      </c>
      <c r="L2126" s="1">
        <v>1</v>
      </c>
      <c r="M2126" s="3">
        <v>131.79</v>
      </c>
      <c r="N2126" s="3">
        <v>6.59</v>
      </c>
      <c r="O2126" s="3">
        <v>0</v>
      </c>
      <c r="P2126" s="3">
        <v>20</v>
      </c>
      <c r="Q2126" s="3">
        <v>158.38</v>
      </c>
      <c r="S2126" s="3">
        <f>VLOOKUP(C2126,[1]page!$C$2:$M$3071,11,0)</f>
        <v>131.79</v>
      </c>
      <c r="T2126" s="6">
        <f t="shared" si="33"/>
        <v>0</v>
      </c>
    </row>
    <row r="2127" spans="1:20" x14ac:dyDescent="0.2">
      <c r="A2127" t="s">
        <v>6186</v>
      </c>
      <c r="B2127" t="s">
        <v>7057</v>
      </c>
      <c r="C2127" t="s">
        <v>7058</v>
      </c>
      <c r="D2127" t="s">
        <v>7059</v>
      </c>
      <c r="E2127" t="s">
        <v>6116</v>
      </c>
      <c r="F2127" t="s">
        <v>6083</v>
      </c>
      <c r="G2127" s="1">
        <v>5</v>
      </c>
      <c r="H2127" s="1">
        <v>1</v>
      </c>
      <c r="I2127" t="s">
        <v>5961</v>
      </c>
      <c r="L2127" s="1">
        <v>1</v>
      </c>
      <c r="M2127" s="3">
        <v>293</v>
      </c>
      <c r="N2127" s="3">
        <v>14.65</v>
      </c>
      <c r="O2127" s="3">
        <v>0</v>
      </c>
      <c r="P2127" s="3">
        <v>20</v>
      </c>
      <c r="Q2127" s="3">
        <v>327.64999999999998</v>
      </c>
      <c r="S2127" s="3">
        <f>VLOOKUP(C2127,[1]page!$C$2:$M$3071,11,0)</f>
        <v>293</v>
      </c>
      <c r="T2127" s="6">
        <f t="shared" si="33"/>
        <v>0</v>
      </c>
    </row>
    <row r="2128" spans="1:20" x14ac:dyDescent="0.2">
      <c r="A2128" t="s">
        <v>6186</v>
      </c>
      <c r="B2128" t="s">
        <v>7060</v>
      </c>
      <c r="C2128" t="s">
        <v>7061</v>
      </c>
      <c r="D2128" t="s">
        <v>7062</v>
      </c>
      <c r="E2128" t="s">
        <v>6357</v>
      </c>
      <c r="F2128" t="s">
        <v>6060</v>
      </c>
      <c r="G2128" s="2">
        <v>4.9000000000000004</v>
      </c>
      <c r="H2128" s="1">
        <v>1</v>
      </c>
      <c r="I2128" t="s">
        <v>6191</v>
      </c>
      <c r="L2128" s="1">
        <v>1</v>
      </c>
      <c r="M2128" s="3">
        <v>101.18</v>
      </c>
      <c r="N2128" s="3">
        <v>5.0599999999999996</v>
      </c>
      <c r="O2128" s="3">
        <v>0</v>
      </c>
      <c r="P2128" s="3">
        <v>20</v>
      </c>
      <c r="Q2128" s="3">
        <v>126.24</v>
      </c>
      <c r="S2128" s="3">
        <f>VLOOKUP(C2128,[1]page!$C$2:$M$3071,11,0)</f>
        <v>101.18</v>
      </c>
      <c r="T2128" s="6">
        <f t="shared" si="33"/>
        <v>0</v>
      </c>
    </row>
    <row r="2129" spans="1:20" x14ac:dyDescent="0.2">
      <c r="A2129" t="s">
        <v>6186</v>
      </c>
      <c r="B2129" t="s">
        <v>7063</v>
      </c>
      <c r="C2129" t="s">
        <v>7064</v>
      </c>
      <c r="D2129" t="s">
        <v>7065</v>
      </c>
      <c r="E2129" t="s">
        <v>6332</v>
      </c>
      <c r="F2129" t="s">
        <v>6045</v>
      </c>
      <c r="G2129" s="2">
        <v>6.2</v>
      </c>
      <c r="H2129" s="1">
        <v>1</v>
      </c>
      <c r="I2129" t="s">
        <v>5961</v>
      </c>
      <c r="L2129" s="1">
        <v>1</v>
      </c>
      <c r="M2129" s="3">
        <v>154.30000000000001</v>
      </c>
      <c r="N2129" s="3">
        <v>7.72</v>
      </c>
      <c r="O2129" s="3">
        <v>0</v>
      </c>
      <c r="P2129" s="3">
        <v>20</v>
      </c>
      <c r="Q2129" s="3">
        <v>182.02</v>
      </c>
      <c r="S2129" s="3">
        <f>VLOOKUP(C2129,[1]page!$C$2:$M$3071,11,0)</f>
        <v>154.30000000000001</v>
      </c>
      <c r="T2129" s="6">
        <f t="shared" si="33"/>
        <v>0</v>
      </c>
    </row>
    <row r="2130" spans="1:20" x14ac:dyDescent="0.2">
      <c r="A2130" t="s">
        <v>6186</v>
      </c>
      <c r="B2130" t="s">
        <v>7066</v>
      </c>
      <c r="C2130" t="s">
        <v>7067</v>
      </c>
      <c r="D2130" t="s">
        <v>7068</v>
      </c>
      <c r="E2130" t="s">
        <v>6284</v>
      </c>
      <c r="F2130" t="s">
        <v>6875</v>
      </c>
      <c r="G2130" s="1">
        <v>5</v>
      </c>
      <c r="H2130" s="1">
        <v>1</v>
      </c>
      <c r="I2130" t="s">
        <v>6285</v>
      </c>
      <c r="L2130" s="1">
        <v>1</v>
      </c>
      <c r="M2130" s="3">
        <v>222.62</v>
      </c>
      <c r="N2130" s="3">
        <v>11.13</v>
      </c>
      <c r="O2130" s="3">
        <v>0</v>
      </c>
      <c r="P2130" s="3">
        <v>20</v>
      </c>
      <c r="Q2130" s="3">
        <v>253.75</v>
      </c>
      <c r="S2130" s="3" t="e">
        <f>VLOOKUP(C2130,[1]page!$C$2:$M$3071,11,0)</f>
        <v>#N/A</v>
      </c>
      <c r="T2130" s="6" t="e">
        <f t="shared" si="33"/>
        <v>#N/A</v>
      </c>
    </row>
    <row r="2131" spans="1:20" x14ac:dyDescent="0.2">
      <c r="A2131" t="s">
        <v>6186</v>
      </c>
      <c r="B2131" t="s">
        <v>7069</v>
      </c>
      <c r="C2131" t="s">
        <v>7070</v>
      </c>
      <c r="D2131" t="s">
        <v>7071</v>
      </c>
      <c r="E2131" t="s">
        <v>6284</v>
      </c>
      <c r="F2131" t="s">
        <v>6875</v>
      </c>
      <c r="G2131" s="2">
        <v>5.5</v>
      </c>
      <c r="H2131" s="1">
        <v>1</v>
      </c>
      <c r="I2131" t="s">
        <v>6285</v>
      </c>
      <c r="L2131" s="1">
        <v>1</v>
      </c>
      <c r="M2131" s="3">
        <v>186.4</v>
      </c>
      <c r="N2131" s="3">
        <v>9.32</v>
      </c>
      <c r="O2131" s="3">
        <v>0</v>
      </c>
      <c r="P2131" s="3">
        <v>20</v>
      </c>
      <c r="Q2131" s="3">
        <v>215.72</v>
      </c>
      <c r="S2131" s="3">
        <f>VLOOKUP(C2131,[1]page!$C$2:$M$3071,11,0)</f>
        <v>186.4</v>
      </c>
      <c r="T2131" s="6">
        <f t="shared" si="33"/>
        <v>0</v>
      </c>
    </row>
    <row r="2132" spans="1:20" x14ac:dyDescent="0.2">
      <c r="A2132" t="s">
        <v>6186</v>
      </c>
      <c r="B2132" t="s">
        <v>7072</v>
      </c>
      <c r="C2132" t="s">
        <v>7073</v>
      </c>
      <c r="D2132" t="s">
        <v>7074</v>
      </c>
      <c r="E2132" t="s">
        <v>6284</v>
      </c>
      <c r="F2132" t="s">
        <v>6875</v>
      </c>
      <c r="G2132" s="1">
        <v>5</v>
      </c>
      <c r="H2132" s="1">
        <v>1</v>
      </c>
      <c r="I2132" t="s">
        <v>6285</v>
      </c>
      <c r="L2132" s="1">
        <v>1</v>
      </c>
      <c r="M2132" s="3">
        <v>215.56</v>
      </c>
      <c r="N2132" s="3">
        <v>10.78</v>
      </c>
      <c r="O2132" s="3">
        <v>0</v>
      </c>
      <c r="P2132" s="3">
        <v>20</v>
      </c>
      <c r="Q2132" s="3">
        <v>246.34</v>
      </c>
      <c r="S2132" s="3">
        <f>VLOOKUP(C2132,[1]page!$C$2:$M$3071,11,0)</f>
        <v>210.3</v>
      </c>
      <c r="T2132" s="6">
        <f t="shared" si="33"/>
        <v>5.2599999999999909</v>
      </c>
    </row>
    <row r="2133" spans="1:20" x14ac:dyDescent="0.2">
      <c r="A2133" t="s">
        <v>6186</v>
      </c>
      <c r="B2133" t="s">
        <v>7075</v>
      </c>
      <c r="C2133" t="s">
        <v>7076</v>
      </c>
      <c r="D2133" t="s">
        <v>7077</v>
      </c>
      <c r="E2133" t="s">
        <v>6284</v>
      </c>
      <c r="F2133" t="s">
        <v>6875</v>
      </c>
      <c r="G2133" s="1">
        <v>5</v>
      </c>
      <c r="H2133" s="1">
        <v>1</v>
      </c>
      <c r="I2133" t="s">
        <v>6285</v>
      </c>
      <c r="L2133" s="1">
        <v>1</v>
      </c>
      <c r="M2133" s="3">
        <v>209.7</v>
      </c>
      <c r="N2133" s="3">
        <v>10.49</v>
      </c>
      <c r="O2133" s="3">
        <v>0</v>
      </c>
      <c r="P2133" s="3">
        <v>20</v>
      </c>
      <c r="Q2133" s="3">
        <v>240.19</v>
      </c>
      <c r="S2133" s="3">
        <f>VLOOKUP(C2133,[1]page!$C$2:$M$3071,11,0)</f>
        <v>204.59</v>
      </c>
      <c r="T2133" s="6">
        <f t="shared" si="33"/>
        <v>5.1099999999999852</v>
      </c>
    </row>
    <row r="2134" spans="1:20" x14ac:dyDescent="0.2">
      <c r="A2134" t="s">
        <v>6186</v>
      </c>
      <c r="B2134" t="s">
        <v>7078</v>
      </c>
      <c r="C2134" t="s">
        <v>7079</v>
      </c>
      <c r="D2134" t="s">
        <v>7080</v>
      </c>
      <c r="E2134" t="s">
        <v>6284</v>
      </c>
      <c r="F2134" t="s">
        <v>6875</v>
      </c>
      <c r="G2134" s="1">
        <v>5</v>
      </c>
      <c r="H2134" s="1">
        <v>1</v>
      </c>
      <c r="I2134" t="s">
        <v>6285</v>
      </c>
      <c r="L2134" s="1">
        <v>1</v>
      </c>
      <c r="M2134" s="3">
        <v>216.62</v>
      </c>
      <c r="N2134" s="3">
        <v>10.83</v>
      </c>
      <c r="O2134" s="3">
        <v>0</v>
      </c>
      <c r="P2134" s="3">
        <v>20</v>
      </c>
      <c r="Q2134" s="3">
        <v>247.45</v>
      </c>
      <c r="S2134" s="3">
        <f>VLOOKUP(C2134,[1]page!$C$2:$M$3071,11,0)</f>
        <v>210.3</v>
      </c>
      <c r="T2134" s="6">
        <f t="shared" si="33"/>
        <v>6.3199999999999932</v>
      </c>
    </row>
    <row r="2135" spans="1:20" x14ac:dyDescent="0.2">
      <c r="A2135" t="s">
        <v>6186</v>
      </c>
      <c r="B2135" t="s">
        <v>7081</v>
      </c>
      <c r="C2135" t="s">
        <v>7082</v>
      </c>
      <c r="D2135" t="s">
        <v>7083</v>
      </c>
      <c r="E2135" t="s">
        <v>6284</v>
      </c>
      <c r="F2135" t="s">
        <v>6975</v>
      </c>
      <c r="G2135" s="1">
        <v>5</v>
      </c>
      <c r="H2135" s="1">
        <v>1</v>
      </c>
      <c r="I2135" t="s">
        <v>6285</v>
      </c>
      <c r="L2135" s="1">
        <v>1</v>
      </c>
      <c r="M2135" s="3">
        <v>222.62</v>
      </c>
      <c r="N2135" s="3">
        <v>11.13</v>
      </c>
      <c r="O2135" s="3">
        <v>0</v>
      </c>
      <c r="P2135" s="3">
        <v>20</v>
      </c>
      <c r="Q2135" s="3">
        <v>253.75</v>
      </c>
      <c r="S2135" s="3">
        <f>VLOOKUP(C2135,[1]page!$C$2:$M$3071,11,0)</f>
        <v>217.18</v>
      </c>
      <c r="T2135" s="6">
        <f t="shared" si="33"/>
        <v>5.4399999999999977</v>
      </c>
    </row>
    <row r="2136" spans="1:20" x14ac:dyDescent="0.2">
      <c r="A2136" t="s">
        <v>6186</v>
      </c>
      <c r="B2136" t="s">
        <v>7084</v>
      </c>
      <c r="C2136" t="s">
        <v>7085</v>
      </c>
      <c r="D2136" t="s">
        <v>7086</v>
      </c>
      <c r="E2136" t="s">
        <v>6747</v>
      </c>
      <c r="F2136" t="s">
        <v>6083</v>
      </c>
      <c r="G2136" s="1">
        <v>5</v>
      </c>
      <c r="H2136" s="1">
        <v>1</v>
      </c>
      <c r="I2136" t="s">
        <v>24</v>
      </c>
      <c r="L2136" s="1">
        <v>1</v>
      </c>
      <c r="M2136" s="3">
        <v>267.99</v>
      </c>
      <c r="N2136" s="3">
        <v>13.4</v>
      </c>
      <c r="O2136" s="3">
        <v>0</v>
      </c>
      <c r="P2136" s="3">
        <v>20</v>
      </c>
      <c r="Q2136" s="3">
        <v>301.39</v>
      </c>
      <c r="S2136" s="3">
        <f>VLOOKUP(C2136,[1]page!$C$2:$M$3071,11,0)</f>
        <v>267.99</v>
      </c>
      <c r="T2136" s="6">
        <f t="shared" si="33"/>
        <v>0</v>
      </c>
    </row>
    <row r="2137" spans="1:20" x14ac:dyDescent="0.2">
      <c r="A2137" t="s">
        <v>6186</v>
      </c>
      <c r="B2137" t="s">
        <v>7087</v>
      </c>
      <c r="C2137" t="s">
        <v>7088</v>
      </c>
      <c r="D2137" t="s">
        <v>7089</v>
      </c>
      <c r="E2137" t="s">
        <v>6190</v>
      </c>
      <c r="F2137" t="s">
        <v>6875</v>
      </c>
      <c r="G2137" s="1">
        <v>5</v>
      </c>
      <c r="H2137" s="1">
        <v>1</v>
      </c>
      <c r="I2137" t="s">
        <v>6191</v>
      </c>
      <c r="L2137" s="1">
        <v>1</v>
      </c>
      <c r="M2137" s="3">
        <v>289.98</v>
      </c>
      <c r="N2137" s="3">
        <v>14.5</v>
      </c>
      <c r="O2137" s="3">
        <v>0</v>
      </c>
      <c r="P2137" s="3">
        <v>20</v>
      </c>
      <c r="Q2137" s="3">
        <v>324.48</v>
      </c>
      <c r="S2137" s="3">
        <f>VLOOKUP(C2137,[1]page!$C$2:$M$3071,11,0)</f>
        <v>289.98</v>
      </c>
      <c r="T2137" s="6">
        <f t="shared" si="33"/>
        <v>0</v>
      </c>
    </row>
    <row r="2138" spans="1:20" x14ac:dyDescent="0.2">
      <c r="A2138" t="s">
        <v>6186</v>
      </c>
      <c r="B2138" t="s">
        <v>7090</v>
      </c>
      <c r="C2138" t="s">
        <v>7091</v>
      </c>
      <c r="D2138" t="s">
        <v>7092</v>
      </c>
      <c r="E2138" t="s">
        <v>6190</v>
      </c>
      <c r="F2138" t="s">
        <v>6875</v>
      </c>
      <c r="G2138" s="2">
        <v>5.3</v>
      </c>
      <c r="H2138" s="1">
        <v>1</v>
      </c>
      <c r="I2138" t="s">
        <v>6191</v>
      </c>
      <c r="L2138" s="1">
        <v>1</v>
      </c>
      <c r="M2138" s="3">
        <v>289.98</v>
      </c>
      <c r="N2138" s="3">
        <v>14.5</v>
      </c>
      <c r="O2138" s="3">
        <v>0</v>
      </c>
      <c r="P2138" s="3">
        <v>20</v>
      </c>
      <c r="Q2138" s="3">
        <v>324.48</v>
      </c>
      <c r="S2138" s="3">
        <f>VLOOKUP(C2138,[1]page!$C$2:$M$3071,11,0)</f>
        <v>289.98</v>
      </c>
      <c r="T2138" s="6">
        <f t="shared" si="33"/>
        <v>0</v>
      </c>
    </row>
    <row r="2139" spans="1:20" x14ac:dyDescent="0.2">
      <c r="A2139" t="s">
        <v>6186</v>
      </c>
      <c r="B2139" t="s">
        <v>7093</v>
      </c>
      <c r="C2139" t="s">
        <v>7094</v>
      </c>
      <c r="D2139" t="s">
        <v>7095</v>
      </c>
      <c r="E2139" t="s">
        <v>6380</v>
      </c>
      <c r="F2139" t="s">
        <v>6083</v>
      </c>
      <c r="G2139" s="2">
        <v>2.8</v>
      </c>
      <c r="H2139" s="1">
        <v>1</v>
      </c>
      <c r="I2139" t="s">
        <v>6381</v>
      </c>
      <c r="L2139" s="1">
        <v>1</v>
      </c>
      <c r="M2139" s="3">
        <v>200.47</v>
      </c>
      <c r="N2139" s="3">
        <v>10.02</v>
      </c>
      <c r="O2139" s="3">
        <v>0</v>
      </c>
      <c r="P2139" s="3">
        <v>20</v>
      </c>
      <c r="Q2139" s="3">
        <v>230.49</v>
      </c>
      <c r="S2139" s="3">
        <f>VLOOKUP(C2139,[1]page!$C$2:$M$3071,11,0)</f>
        <v>200.47</v>
      </c>
      <c r="T2139" s="6">
        <f t="shared" si="33"/>
        <v>0</v>
      </c>
    </row>
    <row r="2140" spans="1:20" x14ac:dyDescent="0.2">
      <c r="A2140" t="s">
        <v>6186</v>
      </c>
      <c r="B2140" t="s">
        <v>7096</v>
      </c>
      <c r="C2140" t="s">
        <v>7097</v>
      </c>
      <c r="D2140" t="s">
        <v>7098</v>
      </c>
      <c r="E2140" t="s">
        <v>6284</v>
      </c>
      <c r="F2140" t="s">
        <v>6875</v>
      </c>
      <c r="G2140" s="2">
        <v>4.5</v>
      </c>
      <c r="H2140" s="1">
        <v>1</v>
      </c>
      <c r="I2140" t="s">
        <v>6285</v>
      </c>
      <c r="L2140" s="1">
        <v>1</v>
      </c>
      <c r="M2140" s="3">
        <v>229.44</v>
      </c>
      <c r="N2140" s="3">
        <v>11.47</v>
      </c>
      <c r="O2140" s="3">
        <v>0</v>
      </c>
      <c r="P2140" s="3">
        <v>20</v>
      </c>
      <c r="Q2140" s="3">
        <v>260.91000000000003</v>
      </c>
      <c r="S2140" s="3" t="e">
        <f>VLOOKUP(C2140,[1]page!$C$2:$M$3071,11,0)</f>
        <v>#N/A</v>
      </c>
      <c r="T2140" s="6" t="e">
        <f t="shared" si="33"/>
        <v>#N/A</v>
      </c>
    </row>
    <row r="2141" spans="1:20" x14ac:dyDescent="0.2">
      <c r="A2141" t="s">
        <v>6186</v>
      </c>
      <c r="B2141" t="s">
        <v>7099</v>
      </c>
      <c r="C2141" t="s">
        <v>7100</v>
      </c>
      <c r="D2141" t="s">
        <v>7101</v>
      </c>
      <c r="E2141" t="s">
        <v>6284</v>
      </c>
      <c r="F2141" t="s">
        <v>6875</v>
      </c>
      <c r="G2141" s="2">
        <v>4.5</v>
      </c>
      <c r="H2141" s="1">
        <v>1</v>
      </c>
      <c r="I2141" t="s">
        <v>6285</v>
      </c>
      <c r="L2141" s="1">
        <v>1</v>
      </c>
      <c r="M2141" s="3">
        <v>211.44</v>
      </c>
      <c r="N2141" s="3">
        <v>10.57</v>
      </c>
      <c r="O2141" s="3">
        <v>0</v>
      </c>
      <c r="P2141" s="3">
        <v>20</v>
      </c>
      <c r="Q2141" s="3">
        <v>242.01</v>
      </c>
      <c r="S2141" s="3">
        <f>VLOOKUP(C2141,[1]page!$C$2:$M$3071,11,0)</f>
        <v>206.28</v>
      </c>
      <c r="T2141" s="6">
        <f t="shared" si="33"/>
        <v>5.1599999999999966</v>
      </c>
    </row>
    <row r="2142" spans="1:20" x14ac:dyDescent="0.2">
      <c r="A2142" t="s">
        <v>6186</v>
      </c>
      <c r="B2142" t="s">
        <v>7102</v>
      </c>
      <c r="C2142" t="s">
        <v>7103</v>
      </c>
      <c r="D2142" t="s">
        <v>7104</v>
      </c>
      <c r="E2142" t="s">
        <v>6195</v>
      </c>
      <c r="F2142" t="s">
        <v>6060</v>
      </c>
      <c r="G2142" s="2">
        <v>4.5999999999999996</v>
      </c>
      <c r="H2142" s="1">
        <v>1</v>
      </c>
      <c r="I2142" t="s">
        <v>5961</v>
      </c>
      <c r="L2142" s="1">
        <v>1</v>
      </c>
      <c r="M2142" s="3">
        <v>117.2</v>
      </c>
      <c r="N2142" s="3">
        <v>5.86</v>
      </c>
      <c r="O2142" s="3">
        <v>0</v>
      </c>
      <c r="P2142" s="3">
        <v>20</v>
      </c>
      <c r="Q2142" s="3">
        <v>143.06</v>
      </c>
      <c r="S2142" s="3">
        <f>VLOOKUP(C2142,[1]page!$C$2:$M$3071,11,0)</f>
        <v>117.2</v>
      </c>
      <c r="T2142" s="6">
        <f t="shared" si="33"/>
        <v>0</v>
      </c>
    </row>
    <row r="2143" spans="1:20" x14ac:dyDescent="0.2">
      <c r="A2143" t="s">
        <v>6186</v>
      </c>
      <c r="B2143" t="s">
        <v>7105</v>
      </c>
      <c r="C2143" t="s">
        <v>7106</v>
      </c>
      <c r="D2143" t="s">
        <v>7104</v>
      </c>
      <c r="E2143" t="s">
        <v>6195</v>
      </c>
      <c r="F2143" t="s">
        <v>6875</v>
      </c>
      <c r="G2143" s="2">
        <v>4.5999999999999996</v>
      </c>
      <c r="H2143" s="1">
        <v>1</v>
      </c>
      <c r="I2143" t="s">
        <v>5961</v>
      </c>
      <c r="L2143" s="1">
        <v>1</v>
      </c>
      <c r="M2143" s="3">
        <v>347.98</v>
      </c>
      <c r="N2143" s="3">
        <v>17.399999999999999</v>
      </c>
      <c r="O2143" s="3">
        <v>0</v>
      </c>
      <c r="P2143" s="3">
        <v>20</v>
      </c>
      <c r="Q2143" s="3">
        <v>385.38</v>
      </c>
      <c r="S2143" s="3" t="e">
        <f>VLOOKUP(C2143,[1]page!$C$2:$M$3071,11,0)</f>
        <v>#N/A</v>
      </c>
      <c r="T2143" s="6" t="e">
        <f t="shared" ref="T2143:T2206" si="34">SUM(M2143-S2143)</f>
        <v>#N/A</v>
      </c>
    </row>
    <row r="2144" spans="1:20" x14ac:dyDescent="0.2">
      <c r="A2144" t="s">
        <v>6186</v>
      </c>
      <c r="B2144" t="s">
        <v>7107</v>
      </c>
      <c r="C2144" t="s">
        <v>7108</v>
      </c>
      <c r="D2144" t="s">
        <v>7109</v>
      </c>
      <c r="E2144" t="s">
        <v>6190</v>
      </c>
      <c r="F2144" t="s">
        <v>6060</v>
      </c>
      <c r="G2144" s="1">
        <v>4</v>
      </c>
      <c r="H2144" s="1">
        <v>1</v>
      </c>
      <c r="I2144" t="s">
        <v>6191</v>
      </c>
      <c r="L2144" s="1">
        <v>1</v>
      </c>
      <c r="M2144" s="3">
        <v>106.98</v>
      </c>
      <c r="N2144" s="3">
        <v>5.35</v>
      </c>
      <c r="O2144" s="3">
        <v>0</v>
      </c>
      <c r="P2144" s="3">
        <v>20</v>
      </c>
      <c r="Q2144" s="3">
        <v>132.33000000000001</v>
      </c>
      <c r="S2144" s="3">
        <f>VLOOKUP(C2144,[1]page!$C$2:$M$3071,11,0)</f>
        <v>106.98</v>
      </c>
      <c r="T2144" s="6">
        <f t="shared" si="34"/>
        <v>0</v>
      </c>
    </row>
    <row r="2145" spans="1:20" x14ac:dyDescent="0.2">
      <c r="A2145" t="s">
        <v>6186</v>
      </c>
      <c r="B2145" t="s">
        <v>7110</v>
      </c>
      <c r="C2145" t="s">
        <v>7111</v>
      </c>
      <c r="D2145" t="s">
        <v>7109</v>
      </c>
      <c r="E2145" t="s">
        <v>6190</v>
      </c>
      <c r="F2145" t="s">
        <v>6875</v>
      </c>
      <c r="G2145" s="1">
        <v>4</v>
      </c>
      <c r="H2145" s="1">
        <v>1</v>
      </c>
      <c r="I2145" t="s">
        <v>6191</v>
      </c>
      <c r="L2145" s="1">
        <v>1</v>
      </c>
      <c r="M2145" s="3">
        <v>307.99</v>
      </c>
      <c r="N2145" s="3">
        <v>15.4</v>
      </c>
      <c r="O2145" s="3">
        <v>0</v>
      </c>
      <c r="P2145" s="3">
        <v>20</v>
      </c>
      <c r="Q2145" s="3">
        <v>343.39</v>
      </c>
      <c r="S2145" s="3">
        <f>VLOOKUP(C2145,[1]page!$C$2:$M$3071,11,0)</f>
        <v>307.99</v>
      </c>
      <c r="T2145" s="6">
        <f t="shared" si="34"/>
        <v>0</v>
      </c>
    </row>
    <row r="2146" spans="1:20" x14ac:dyDescent="0.2">
      <c r="A2146" t="s">
        <v>6186</v>
      </c>
      <c r="B2146" t="s">
        <v>7112</v>
      </c>
      <c r="C2146" t="s">
        <v>7113</v>
      </c>
      <c r="D2146" t="s">
        <v>7114</v>
      </c>
      <c r="E2146" t="s">
        <v>6376</v>
      </c>
      <c r="F2146" t="s">
        <v>6045</v>
      </c>
      <c r="G2146" s="2">
        <v>4.7</v>
      </c>
      <c r="H2146" s="1">
        <v>1</v>
      </c>
      <c r="I2146" t="s">
        <v>6191</v>
      </c>
      <c r="L2146" s="1">
        <v>1</v>
      </c>
      <c r="M2146" s="3">
        <v>171.42</v>
      </c>
      <c r="N2146" s="3">
        <v>8.57</v>
      </c>
      <c r="O2146" s="3">
        <v>0</v>
      </c>
      <c r="P2146" s="3">
        <v>20</v>
      </c>
      <c r="Q2146" s="3">
        <v>199.99</v>
      </c>
      <c r="S2146" s="3">
        <f>VLOOKUP(C2146,[1]page!$C$2:$M$3071,11,0)</f>
        <v>171.42</v>
      </c>
      <c r="T2146" s="6">
        <f t="shared" si="34"/>
        <v>0</v>
      </c>
    </row>
    <row r="2147" spans="1:20" x14ac:dyDescent="0.2">
      <c r="A2147" t="s">
        <v>6186</v>
      </c>
      <c r="B2147" t="s">
        <v>7115</v>
      </c>
      <c r="C2147" t="s">
        <v>7116</v>
      </c>
      <c r="D2147" t="s">
        <v>7117</v>
      </c>
      <c r="E2147" t="s">
        <v>6376</v>
      </c>
      <c r="F2147" t="s">
        <v>6083</v>
      </c>
      <c r="G2147" s="1">
        <v>5</v>
      </c>
      <c r="H2147" s="1">
        <v>1</v>
      </c>
      <c r="I2147" t="s">
        <v>169</v>
      </c>
      <c r="L2147" s="1">
        <v>1</v>
      </c>
      <c r="M2147" s="3">
        <v>232.9</v>
      </c>
      <c r="N2147" s="3">
        <v>11.65</v>
      </c>
      <c r="O2147" s="3">
        <v>0</v>
      </c>
      <c r="P2147" s="3">
        <v>20</v>
      </c>
      <c r="Q2147" s="3">
        <v>264.55</v>
      </c>
      <c r="S2147" s="3">
        <f>VLOOKUP(C2147,[1]page!$C$2:$M$3071,11,0)</f>
        <v>232.9</v>
      </c>
      <c r="T2147" s="6">
        <f t="shared" si="34"/>
        <v>0</v>
      </c>
    </row>
    <row r="2148" spans="1:20" x14ac:dyDescent="0.2">
      <c r="A2148" t="s">
        <v>6186</v>
      </c>
      <c r="B2148" t="s">
        <v>7118</v>
      </c>
      <c r="C2148" t="s">
        <v>7119</v>
      </c>
      <c r="D2148" t="s">
        <v>7120</v>
      </c>
      <c r="E2148" t="s">
        <v>6195</v>
      </c>
      <c r="F2148" t="s">
        <v>6875</v>
      </c>
      <c r="G2148" s="2">
        <v>4.2</v>
      </c>
      <c r="H2148" s="1">
        <v>1</v>
      </c>
      <c r="I2148" t="s">
        <v>5961</v>
      </c>
      <c r="L2148" s="1">
        <v>1</v>
      </c>
      <c r="M2148" s="3">
        <v>288.3</v>
      </c>
      <c r="N2148" s="3">
        <v>14.42</v>
      </c>
      <c r="O2148" s="3">
        <v>0</v>
      </c>
      <c r="P2148" s="3">
        <v>20</v>
      </c>
      <c r="Q2148" s="3">
        <v>322.72000000000003</v>
      </c>
      <c r="S2148" s="3">
        <f>VLOOKUP(C2148,[1]page!$C$2:$M$3071,11,0)</f>
        <v>288.3</v>
      </c>
      <c r="T2148" s="6">
        <f t="shared" si="34"/>
        <v>0</v>
      </c>
    </row>
    <row r="2149" spans="1:20" x14ac:dyDescent="0.2">
      <c r="A2149" t="s">
        <v>6186</v>
      </c>
      <c r="B2149" t="s">
        <v>7121</v>
      </c>
      <c r="C2149" t="s">
        <v>7122</v>
      </c>
      <c r="D2149" t="s">
        <v>7123</v>
      </c>
      <c r="E2149" t="s">
        <v>6190</v>
      </c>
      <c r="F2149" t="s">
        <v>6060</v>
      </c>
      <c r="G2149" s="2">
        <v>4.5</v>
      </c>
      <c r="H2149" s="1">
        <v>1</v>
      </c>
      <c r="I2149" t="s">
        <v>6191</v>
      </c>
      <c r="L2149" s="1">
        <v>1</v>
      </c>
      <c r="M2149" s="3">
        <v>128.99</v>
      </c>
      <c r="N2149" s="3">
        <v>6.45</v>
      </c>
      <c r="O2149" s="3">
        <v>0</v>
      </c>
      <c r="P2149" s="3">
        <v>20</v>
      </c>
      <c r="Q2149" s="3">
        <v>155.44</v>
      </c>
      <c r="S2149" s="3">
        <f>VLOOKUP(C2149,[1]page!$C$2:$M$3071,11,0)</f>
        <v>128.99</v>
      </c>
      <c r="T2149" s="6">
        <f t="shared" si="34"/>
        <v>0</v>
      </c>
    </row>
    <row r="2150" spans="1:20" x14ac:dyDescent="0.2">
      <c r="A2150" t="s">
        <v>6186</v>
      </c>
      <c r="B2150" t="s">
        <v>7124</v>
      </c>
      <c r="C2150" t="s">
        <v>7125</v>
      </c>
      <c r="D2150" t="s">
        <v>7126</v>
      </c>
      <c r="E2150" t="s">
        <v>6195</v>
      </c>
      <c r="F2150" t="s">
        <v>6060</v>
      </c>
      <c r="G2150" s="1">
        <v>3</v>
      </c>
      <c r="H2150" s="1">
        <v>1</v>
      </c>
      <c r="I2150" t="s">
        <v>5961</v>
      </c>
      <c r="L2150" s="1">
        <v>1</v>
      </c>
      <c r="M2150" s="3">
        <v>98.99</v>
      </c>
      <c r="N2150" s="3">
        <v>4.95</v>
      </c>
      <c r="O2150" s="3">
        <v>0</v>
      </c>
      <c r="P2150" s="3">
        <v>20</v>
      </c>
      <c r="Q2150" s="3">
        <v>123.94</v>
      </c>
      <c r="S2150" s="3">
        <f>VLOOKUP(C2150,[1]page!$C$2:$M$3071,11,0)</f>
        <v>98.99</v>
      </c>
      <c r="T2150" s="6">
        <f t="shared" si="34"/>
        <v>0</v>
      </c>
    </row>
    <row r="2151" spans="1:20" x14ac:dyDescent="0.2">
      <c r="A2151" t="s">
        <v>6186</v>
      </c>
      <c r="B2151" t="s">
        <v>7127</v>
      </c>
      <c r="C2151" t="s">
        <v>7128</v>
      </c>
      <c r="D2151" t="s">
        <v>7129</v>
      </c>
      <c r="E2151" t="s">
        <v>7130</v>
      </c>
      <c r="F2151" t="s">
        <v>6060</v>
      </c>
      <c r="G2151" s="2">
        <v>4.5999999999999996</v>
      </c>
      <c r="H2151" s="1">
        <v>1</v>
      </c>
      <c r="I2151" t="s">
        <v>5961</v>
      </c>
      <c r="L2151" s="1">
        <v>1</v>
      </c>
      <c r="M2151" s="3">
        <v>131.79</v>
      </c>
      <c r="N2151" s="3">
        <v>6.59</v>
      </c>
      <c r="O2151" s="3">
        <v>0</v>
      </c>
      <c r="P2151" s="3">
        <v>20</v>
      </c>
      <c r="Q2151" s="3">
        <v>158.38</v>
      </c>
      <c r="S2151" s="3">
        <f>VLOOKUP(C2151,[1]page!$C$2:$M$3071,11,0)</f>
        <v>131.79</v>
      </c>
      <c r="T2151" s="6">
        <f t="shared" si="34"/>
        <v>0</v>
      </c>
    </row>
    <row r="2152" spans="1:20" x14ac:dyDescent="0.2">
      <c r="A2152" t="s">
        <v>6186</v>
      </c>
      <c r="B2152" t="s">
        <v>7131</v>
      </c>
      <c r="C2152" t="s">
        <v>7132</v>
      </c>
      <c r="D2152" t="s">
        <v>7133</v>
      </c>
      <c r="E2152" t="s">
        <v>6332</v>
      </c>
      <c r="F2152" t="s">
        <v>6083</v>
      </c>
      <c r="G2152" s="1">
        <v>5</v>
      </c>
      <c r="H2152" s="1">
        <v>1</v>
      </c>
      <c r="I2152" t="s">
        <v>5961</v>
      </c>
      <c r="L2152" s="1">
        <v>1</v>
      </c>
      <c r="M2152" s="3">
        <v>180.66</v>
      </c>
      <c r="N2152" s="3">
        <v>9.0299999999999994</v>
      </c>
      <c r="O2152" s="3">
        <v>0</v>
      </c>
      <c r="P2152" s="3">
        <v>20</v>
      </c>
      <c r="Q2152" s="3">
        <v>209.69</v>
      </c>
      <c r="S2152" s="3">
        <f>VLOOKUP(C2152,[1]page!$C$2:$M$3071,11,0)</f>
        <v>180.66</v>
      </c>
      <c r="T2152" s="6">
        <f t="shared" si="34"/>
        <v>0</v>
      </c>
    </row>
    <row r="2153" spans="1:20" x14ac:dyDescent="0.2">
      <c r="A2153" t="s">
        <v>6186</v>
      </c>
      <c r="B2153" t="s">
        <v>7134</v>
      </c>
      <c r="C2153" t="s">
        <v>7135</v>
      </c>
      <c r="D2153" t="s">
        <v>7136</v>
      </c>
      <c r="E2153" t="s">
        <v>6332</v>
      </c>
      <c r="F2153" t="s">
        <v>6083</v>
      </c>
      <c r="G2153" s="2">
        <v>5.2</v>
      </c>
      <c r="H2153" s="1">
        <v>1</v>
      </c>
      <c r="I2153" t="s">
        <v>5961</v>
      </c>
      <c r="L2153" s="1">
        <v>1</v>
      </c>
      <c r="M2153" s="3">
        <v>180.66</v>
      </c>
      <c r="N2153" s="3">
        <v>9.0299999999999994</v>
      </c>
      <c r="O2153" s="3">
        <v>0</v>
      </c>
      <c r="P2153" s="3">
        <v>20</v>
      </c>
      <c r="Q2153" s="3">
        <v>209.69</v>
      </c>
      <c r="S2153" s="3">
        <f>VLOOKUP(C2153,[1]page!$C$2:$M$3071,11,0)</f>
        <v>180.66</v>
      </c>
      <c r="T2153" s="6">
        <f t="shared" si="34"/>
        <v>0</v>
      </c>
    </row>
    <row r="2154" spans="1:20" x14ac:dyDescent="0.2">
      <c r="A2154" t="s">
        <v>6186</v>
      </c>
      <c r="B2154" t="s">
        <v>7137</v>
      </c>
      <c r="C2154" t="s">
        <v>7138</v>
      </c>
      <c r="D2154" t="s">
        <v>7139</v>
      </c>
      <c r="E2154" t="s">
        <v>6332</v>
      </c>
      <c r="F2154" t="s">
        <v>6083</v>
      </c>
      <c r="G2154" s="1">
        <v>5</v>
      </c>
      <c r="H2154" s="1">
        <v>1</v>
      </c>
      <c r="I2154" t="s">
        <v>5961</v>
      </c>
      <c r="L2154" s="1">
        <v>1</v>
      </c>
      <c r="M2154" s="3">
        <v>222.37</v>
      </c>
      <c r="N2154" s="3">
        <v>11.12</v>
      </c>
      <c r="O2154" s="3">
        <v>0</v>
      </c>
      <c r="P2154" s="3">
        <v>20</v>
      </c>
      <c r="Q2154" s="3">
        <v>253.49</v>
      </c>
      <c r="S2154" s="3">
        <f>VLOOKUP(C2154,[1]page!$C$2:$M$3071,11,0)</f>
        <v>222.37</v>
      </c>
      <c r="T2154" s="6">
        <f t="shared" si="34"/>
        <v>0</v>
      </c>
    </row>
    <row r="2155" spans="1:20" x14ac:dyDescent="0.2">
      <c r="A2155" t="s">
        <v>6186</v>
      </c>
      <c r="B2155" t="s">
        <v>7140</v>
      </c>
      <c r="C2155" t="s">
        <v>7141</v>
      </c>
      <c r="D2155" t="s">
        <v>7142</v>
      </c>
      <c r="E2155" t="s">
        <v>6332</v>
      </c>
      <c r="F2155" t="s">
        <v>6083</v>
      </c>
      <c r="G2155" s="1">
        <v>5</v>
      </c>
      <c r="H2155" s="1">
        <v>1</v>
      </c>
      <c r="I2155" t="s">
        <v>5961</v>
      </c>
      <c r="L2155" s="1">
        <v>1</v>
      </c>
      <c r="M2155" s="3">
        <v>224.28</v>
      </c>
      <c r="N2155" s="3">
        <v>11.21</v>
      </c>
      <c r="O2155" s="3">
        <v>0</v>
      </c>
      <c r="P2155" s="3">
        <v>20</v>
      </c>
      <c r="Q2155" s="3">
        <v>255.49</v>
      </c>
      <c r="S2155" s="3">
        <f>VLOOKUP(C2155,[1]page!$C$2:$M$3071,11,0)</f>
        <v>224.28</v>
      </c>
      <c r="T2155" s="6">
        <f t="shared" si="34"/>
        <v>0</v>
      </c>
    </row>
    <row r="2156" spans="1:20" x14ac:dyDescent="0.2">
      <c r="A2156" t="s">
        <v>6186</v>
      </c>
      <c r="B2156" t="s">
        <v>7143</v>
      </c>
      <c r="C2156" t="s">
        <v>7144</v>
      </c>
      <c r="D2156" t="s">
        <v>7145</v>
      </c>
      <c r="E2156" t="s">
        <v>6116</v>
      </c>
      <c r="F2156" t="s">
        <v>6045</v>
      </c>
      <c r="G2156" s="1">
        <v>4</v>
      </c>
      <c r="H2156" s="1">
        <v>1</v>
      </c>
      <c r="I2156" t="s">
        <v>5961</v>
      </c>
      <c r="L2156" s="1">
        <v>1</v>
      </c>
      <c r="M2156" s="3">
        <v>160.59</v>
      </c>
      <c r="N2156" s="3">
        <v>8.0299999999999994</v>
      </c>
      <c r="O2156" s="3">
        <v>0</v>
      </c>
      <c r="P2156" s="3">
        <v>20</v>
      </c>
      <c r="Q2156" s="3">
        <v>188.62</v>
      </c>
      <c r="S2156" s="3">
        <f>VLOOKUP(C2156,[1]page!$C$2:$M$3071,11,0)</f>
        <v>160.59</v>
      </c>
      <c r="T2156" s="6">
        <f t="shared" si="34"/>
        <v>0</v>
      </c>
    </row>
    <row r="2157" spans="1:20" x14ac:dyDescent="0.2">
      <c r="A2157" t="s">
        <v>6186</v>
      </c>
      <c r="B2157" t="s">
        <v>7146</v>
      </c>
      <c r="C2157" t="s">
        <v>7147</v>
      </c>
      <c r="D2157" t="s">
        <v>7148</v>
      </c>
      <c r="E2157" t="s">
        <v>6116</v>
      </c>
      <c r="F2157" t="s">
        <v>6083</v>
      </c>
      <c r="G2157" s="2">
        <v>4.7</v>
      </c>
      <c r="H2157" s="1">
        <v>1</v>
      </c>
      <c r="I2157" t="s">
        <v>5961</v>
      </c>
      <c r="L2157" s="1">
        <v>1</v>
      </c>
      <c r="M2157" s="3">
        <v>285.99</v>
      </c>
      <c r="N2157" s="3">
        <v>14.3</v>
      </c>
      <c r="O2157" s="3">
        <v>0</v>
      </c>
      <c r="P2157" s="3">
        <v>20</v>
      </c>
      <c r="Q2157" s="3">
        <v>320.29000000000002</v>
      </c>
      <c r="S2157" s="3">
        <f>VLOOKUP(C2157,[1]page!$C$2:$M$3071,11,0)</f>
        <v>285.99</v>
      </c>
      <c r="T2157" s="6">
        <f t="shared" si="34"/>
        <v>0</v>
      </c>
    </row>
    <row r="2158" spans="1:20" x14ac:dyDescent="0.2">
      <c r="A2158" t="s">
        <v>6186</v>
      </c>
      <c r="B2158" t="s">
        <v>7149</v>
      </c>
      <c r="C2158" t="s">
        <v>7150</v>
      </c>
      <c r="D2158" t="s">
        <v>7151</v>
      </c>
      <c r="E2158" t="s">
        <v>6319</v>
      </c>
      <c r="F2158" t="s">
        <v>6045</v>
      </c>
      <c r="G2158" s="1">
        <v>5</v>
      </c>
      <c r="H2158" s="1">
        <v>1</v>
      </c>
      <c r="I2158" t="s">
        <v>5617</v>
      </c>
      <c r="L2158" s="1">
        <v>1</v>
      </c>
      <c r="M2158" s="3">
        <v>135</v>
      </c>
      <c r="N2158" s="3">
        <v>6.75</v>
      </c>
      <c r="O2158" s="3">
        <v>0</v>
      </c>
      <c r="P2158" s="3">
        <v>20</v>
      </c>
      <c r="Q2158" s="3">
        <v>161.75</v>
      </c>
      <c r="S2158" s="3">
        <f>VLOOKUP(C2158,[1]page!$C$2:$M$3071,11,0)</f>
        <v>135</v>
      </c>
      <c r="T2158" s="6">
        <f t="shared" si="34"/>
        <v>0</v>
      </c>
    </row>
    <row r="2159" spans="1:20" x14ac:dyDescent="0.2">
      <c r="A2159" t="s">
        <v>6186</v>
      </c>
      <c r="B2159" t="s">
        <v>7152</v>
      </c>
      <c r="C2159" t="s">
        <v>7153</v>
      </c>
      <c r="D2159" t="s">
        <v>7154</v>
      </c>
      <c r="E2159" t="s">
        <v>6277</v>
      </c>
      <c r="F2159" t="s">
        <v>6045</v>
      </c>
      <c r="G2159" s="1">
        <v>4</v>
      </c>
      <c r="H2159" s="1">
        <v>1</v>
      </c>
      <c r="I2159" t="s">
        <v>5920</v>
      </c>
      <c r="L2159" s="1">
        <v>1</v>
      </c>
      <c r="M2159" s="3">
        <v>149.99</v>
      </c>
      <c r="N2159" s="3">
        <v>7.5</v>
      </c>
      <c r="O2159" s="3">
        <v>0</v>
      </c>
      <c r="P2159" s="3">
        <v>20</v>
      </c>
      <c r="Q2159" s="3">
        <v>177.49</v>
      </c>
      <c r="S2159" s="3">
        <f>VLOOKUP(C2159,[1]page!$C$2:$M$3071,11,0)</f>
        <v>149.99</v>
      </c>
      <c r="T2159" s="6">
        <f t="shared" si="34"/>
        <v>0</v>
      </c>
    </row>
    <row r="2160" spans="1:20" x14ac:dyDescent="0.2">
      <c r="A2160" t="s">
        <v>6186</v>
      </c>
      <c r="B2160" t="s">
        <v>7155</v>
      </c>
      <c r="C2160" t="s">
        <v>7156</v>
      </c>
      <c r="D2160" t="s">
        <v>7157</v>
      </c>
      <c r="E2160" t="s">
        <v>6277</v>
      </c>
      <c r="F2160" t="s">
        <v>6045</v>
      </c>
      <c r="G2160" s="1">
        <v>5</v>
      </c>
      <c r="H2160" s="1">
        <v>1</v>
      </c>
      <c r="I2160" t="s">
        <v>5920</v>
      </c>
      <c r="L2160" s="1">
        <v>1</v>
      </c>
      <c r="M2160" s="3">
        <v>149.99</v>
      </c>
      <c r="N2160" s="3">
        <v>7.5</v>
      </c>
      <c r="O2160" s="3">
        <v>0</v>
      </c>
      <c r="P2160" s="3">
        <v>20</v>
      </c>
      <c r="Q2160" s="3">
        <v>177.49</v>
      </c>
      <c r="S2160" s="3">
        <f>VLOOKUP(C2160,[1]page!$C$2:$M$3071,11,0)</f>
        <v>149.99</v>
      </c>
      <c r="T2160" s="6">
        <f t="shared" si="34"/>
        <v>0</v>
      </c>
    </row>
    <row r="2161" spans="1:20" x14ac:dyDescent="0.2">
      <c r="A2161" t="s">
        <v>6186</v>
      </c>
      <c r="B2161" t="s">
        <v>7158</v>
      </c>
      <c r="C2161" t="s">
        <v>7159</v>
      </c>
      <c r="D2161" t="s">
        <v>7157</v>
      </c>
      <c r="E2161" t="s">
        <v>6277</v>
      </c>
      <c r="F2161" t="s">
        <v>6875</v>
      </c>
      <c r="G2161" s="1">
        <v>5</v>
      </c>
      <c r="H2161" s="1">
        <v>1</v>
      </c>
      <c r="I2161" t="s">
        <v>5920</v>
      </c>
      <c r="L2161" s="1">
        <v>1</v>
      </c>
      <c r="M2161" s="3">
        <v>289.98</v>
      </c>
      <c r="N2161" s="3">
        <v>14.5</v>
      </c>
      <c r="O2161" s="3">
        <v>0</v>
      </c>
      <c r="P2161" s="3">
        <v>20</v>
      </c>
      <c r="Q2161" s="3">
        <v>324.48</v>
      </c>
      <c r="S2161" s="3">
        <f>VLOOKUP(C2161,[1]page!$C$2:$M$3071,11,0)</f>
        <v>289.98</v>
      </c>
      <c r="T2161" s="6">
        <f t="shared" si="34"/>
        <v>0</v>
      </c>
    </row>
    <row r="2162" spans="1:20" x14ac:dyDescent="0.2">
      <c r="A2162" t="s">
        <v>6186</v>
      </c>
      <c r="B2162" t="s">
        <v>7160</v>
      </c>
      <c r="C2162" t="s">
        <v>7161</v>
      </c>
      <c r="D2162" t="s">
        <v>7162</v>
      </c>
      <c r="E2162" t="s">
        <v>6277</v>
      </c>
      <c r="F2162" t="s">
        <v>6045</v>
      </c>
      <c r="G2162" s="1">
        <v>5</v>
      </c>
      <c r="H2162" s="1">
        <v>1</v>
      </c>
      <c r="I2162" t="s">
        <v>5920</v>
      </c>
      <c r="L2162" s="1">
        <v>1</v>
      </c>
      <c r="M2162" s="3">
        <v>149.99</v>
      </c>
      <c r="N2162" s="3">
        <v>7.5</v>
      </c>
      <c r="O2162" s="3">
        <v>0</v>
      </c>
      <c r="P2162" s="3">
        <v>20</v>
      </c>
      <c r="Q2162" s="3">
        <v>177.49</v>
      </c>
      <c r="S2162" s="3">
        <f>VLOOKUP(C2162,[1]page!$C$2:$M$3071,11,0)</f>
        <v>149.99</v>
      </c>
      <c r="T2162" s="6">
        <f t="shared" si="34"/>
        <v>0</v>
      </c>
    </row>
    <row r="2163" spans="1:20" x14ac:dyDescent="0.2">
      <c r="A2163" t="s">
        <v>6186</v>
      </c>
      <c r="B2163" t="s">
        <v>7163</v>
      </c>
      <c r="C2163" t="s">
        <v>7164</v>
      </c>
      <c r="D2163" t="s">
        <v>7162</v>
      </c>
      <c r="E2163" t="s">
        <v>6277</v>
      </c>
      <c r="F2163" t="s">
        <v>6875</v>
      </c>
      <c r="G2163" s="1">
        <v>5</v>
      </c>
      <c r="H2163" s="1">
        <v>1</v>
      </c>
      <c r="I2163" t="s">
        <v>5920</v>
      </c>
      <c r="L2163" s="1">
        <v>1</v>
      </c>
      <c r="M2163" s="3">
        <v>289.98</v>
      </c>
      <c r="N2163" s="3">
        <v>14.5</v>
      </c>
      <c r="O2163" s="3">
        <v>0</v>
      </c>
      <c r="P2163" s="3">
        <v>20</v>
      </c>
      <c r="Q2163" s="3">
        <v>324.48</v>
      </c>
      <c r="S2163" s="3">
        <f>VLOOKUP(C2163,[1]page!$C$2:$M$3071,11,0)</f>
        <v>289.98</v>
      </c>
      <c r="T2163" s="6">
        <f t="shared" si="34"/>
        <v>0</v>
      </c>
    </row>
    <row r="2164" spans="1:20" x14ac:dyDescent="0.2">
      <c r="A2164" t="s">
        <v>6186</v>
      </c>
      <c r="B2164" t="s">
        <v>7165</v>
      </c>
      <c r="C2164" t="s">
        <v>7166</v>
      </c>
      <c r="D2164" t="s">
        <v>7167</v>
      </c>
      <c r="E2164" t="s">
        <v>6277</v>
      </c>
      <c r="F2164" t="s">
        <v>6045</v>
      </c>
      <c r="G2164" s="2">
        <v>4.8</v>
      </c>
      <c r="H2164" s="1">
        <v>1</v>
      </c>
      <c r="I2164" t="s">
        <v>5920</v>
      </c>
      <c r="L2164" s="1">
        <v>1</v>
      </c>
      <c r="M2164" s="3">
        <v>149.99</v>
      </c>
      <c r="N2164" s="3">
        <v>7.5</v>
      </c>
      <c r="O2164" s="3">
        <v>0</v>
      </c>
      <c r="P2164" s="3">
        <v>20</v>
      </c>
      <c r="Q2164" s="3">
        <v>177.49</v>
      </c>
      <c r="S2164" s="3">
        <f>VLOOKUP(C2164,[1]page!$C$2:$M$3071,11,0)</f>
        <v>149.99</v>
      </c>
      <c r="T2164" s="6">
        <f t="shared" si="34"/>
        <v>0</v>
      </c>
    </row>
    <row r="2165" spans="1:20" x14ac:dyDescent="0.2">
      <c r="A2165" t="s">
        <v>6186</v>
      </c>
      <c r="B2165" t="s">
        <v>7168</v>
      </c>
      <c r="C2165" t="s">
        <v>7169</v>
      </c>
      <c r="D2165" t="s">
        <v>7170</v>
      </c>
      <c r="E2165" t="s">
        <v>6319</v>
      </c>
      <c r="F2165" t="s">
        <v>6083</v>
      </c>
      <c r="G2165" s="1">
        <v>5</v>
      </c>
      <c r="H2165" s="1">
        <v>1</v>
      </c>
      <c r="I2165" t="s">
        <v>5617</v>
      </c>
      <c r="L2165" s="1">
        <v>1</v>
      </c>
      <c r="M2165" s="3">
        <v>202.74</v>
      </c>
      <c r="N2165" s="3">
        <v>10.14</v>
      </c>
      <c r="O2165" s="3">
        <v>0</v>
      </c>
      <c r="P2165" s="3">
        <v>20</v>
      </c>
      <c r="Q2165" s="3">
        <v>232.88</v>
      </c>
      <c r="S2165" s="3">
        <f>VLOOKUP(C2165,[1]page!$C$2:$M$3071,11,0)</f>
        <v>202.74</v>
      </c>
      <c r="T2165" s="6">
        <f t="shared" si="34"/>
        <v>0</v>
      </c>
    </row>
    <row r="2166" spans="1:20" x14ac:dyDescent="0.2">
      <c r="A2166" t="s">
        <v>6186</v>
      </c>
      <c r="B2166" t="s">
        <v>7171</v>
      </c>
      <c r="C2166" t="s">
        <v>7172</v>
      </c>
      <c r="D2166" t="s">
        <v>7173</v>
      </c>
      <c r="E2166" t="s">
        <v>6195</v>
      </c>
      <c r="F2166" t="s">
        <v>6875</v>
      </c>
      <c r="G2166" s="1">
        <v>5</v>
      </c>
      <c r="H2166" s="1">
        <v>1</v>
      </c>
      <c r="I2166" t="s">
        <v>5961</v>
      </c>
      <c r="L2166" s="1">
        <v>1</v>
      </c>
      <c r="M2166" s="3">
        <v>266.69</v>
      </c>
      <c r="N2166" s="3">
        <v>13.33</v>
      </c>
      <c r="O2166" s="3">
        <v>0</v>
      </c>
      <c r="P2166" s="3">
        <v>20</v>
      </c>
      <c r="Q2166" s="3">
        <v>300.02</v>
      </c>
      <c r="S2166" s="3">
        <f>VLOOKUP(C2166,[1]page!$C$2:$M$3071,11,0)</f>
        <v>266.69</v>
      </c>
      <c r="T2166" s="6">
        <f t="shared" si="34"/>
        <v>0</v>
      </c>
    </row>
    <row r="2167" spans="1:20" x14ac:dyDescent="0.2">
      <c r="A2167" t="s">
        <v>6186</v>
      </c>
      <c r="B2167" t="s">
        <v>7174</v>
      </c>
      <c r="C2167" t="s">
        <v>7175</v>
      </c>
      <c r="D2167" t="s">
        <v>7176</v>
      </c>
      <c r="E2167" t="s">
        <v>6380</v>
      </c>
      <c r="F2167" t="s">
        <v>6083</v>
      </c>
      <c r="G2167" s="1">
        <v>5</v>
      </c>
      <c r="H2167" s="1">
        <v>1</v>
      </c>
      <c r="I2167" t="s">
        <v>6381</v>
      </c>
      <c r="L2167" s="1">
        <v>1</v>
      </c>
      <c r="M2167" s="3">
        <v>207.49</v>
      </c>
      <c r="N2167" s="3">
        <v>10.37</v>
      </c>
      <c r="O2167" s="3">
        <v>0</v>
      </c>
      <c r="P2167" s="3">
        <v>20</v>
      </c>
      <c r="Q2167" s="3">
        <v>237.86</v>
      </c>
      <c r="S2167" s="3">
        <f>VLOOKUP(C2167,[1]page!$C$2:$M$3071,11,0)</f>
        <v>207.49</v>
      </c>
      <c r="T2167" s="6">
        <f t="shared" si="34"/>
        <v>0</v>
      </c>
    </row>
    <row r="2168" spans="1:20" x14ac:dyDescent="0.2">
      <c r="A2168" t="s">
        <v>6186</v>
      </c>
      <c r="B2168" t="s">
        <v>7177</v>
      </c>
      <c r="C2168" t="s">
        <v>7178</v>
      </c>
      <c r="D2168" t="s">
        <v>7179</v>
      </c>
      <c r="E2168" t="s">
        <v>6380</v>
      </c>
      <c r="F2168" t="s">
        <v>6083</v>
      </c>
      <c r="G2168" s="1">
        <v>3</v>
      </c>
      <c r="H2168" s="1">
        <v>1</v>
      </c>
      <c r="I2168" t="s">
        <v>6381</v>
      </c>
      <c r="L2168" s="1">
        <v>1</v>
      </c>
      <c r="M2168" s="3">
        <v>227.74</v>
      </c>
      <c r="N2168" s="3">
        <v>11.39</v>
      </c>
      <c r="O2168" s="3">
        <v>0</v>
      </c>
      <c r="P2168" s="3">
        <v>20</v>
      </c>
      <c r="Q2168" s="3">
        <v>259.13</v>
      </c>
      <c r="S2168" s="3">
        <f>VLOOKUP(C2168,[1]page!$C$2:$M$3071,11,0)</f>
        <v>227.74</v>
      </c>
      <c r="T2168" s="6">
        <f t="shared" si="34"/>
        <v>0</v>
      </c>
    </row>
    <row r="2169" spans="1:20" x14ac:dyDescent="0.2">
      <c r="A2169" t="s">
        <v>6186</v>
      </c>
      <c r="B2169" t="s">
        <v>7180</v>
      </c>
      <c r="C2169" t="s">
        <v>7181</v>
      </c>
      <c r="D2169" t="s">
        <v>7182</v>
      </c>
      <c r="E2169" t="s">
        <v>6195</v>
      </c>
      <c r="F2169" t="s">
        <v>6083</v>
      </c>
      <c r="G2169" s="2">
        <v>5.2</v>
      </c>
      <c r="H2169" s="1">
        <v>1</v>
      </c>
      <c r="I2169" t="s">
        <v>5961</v>
      </c>
      <c r="L2169" s="1">
        <v>1</v>
      </c>
      <c r="M2169" s="3">
        <v>247</v>
      </c>
      <c r="N2169" s="3">
        <v>12.35</v>
      </c>
      <c r="O2169" s="3">
        <v>0</v>
      </c>
      <c r="P2169" s="3">
        <v>20</v>
      </c>
      <c r="Q2169" s="3">
        <v>279.35000000000002</v>
      </c>
      <c r="S2169" s="3">
        <f>VLOOKUP(C2169,[1]page!$C$2:$M$3071,11,0)</f>
        <v>247</v>
      </c>
      <c r="T2169" s="6">
        <f t="shared" si="34"/>
        <v>0</v>
      </c>
    </row>
    <row r="2170" spans="1:20" x14ac:dyDescent="0.2">
      <c r="A2170" t="s">
        <v>6186</v>
      </c>
      <c r="B2170" t="s">
        <v>7183</v>
      </c>
      <c r="C2170" t="s">
        <v>7184</v>
      </c>
      <c r="D2170" t="s">
        <v>7185</v>
      </c>
      <c r="E2170" t="s">
        <v>6319</v>
      </c>
      <c r="F2170" t="s">
        <v>6045</v>
      </c>
      <c r="G2170" s="1">
        <v>5</v>
      </c>
      <c r="H2170" s="1">
        <v>1</v>
      </c>
      <c r="I2170" t="s">
        <v>5617</v>
      </c>
      <c r="L2170" s="1">
        <v>1</v>
      </c>
      <c r="M2170" s="3">
        <v>153.76</v>
      </c>
      <c r="N2170" s="3">
        <v>7.69</v>
      </c>
      <c r="O2170" s="3">
        <v>0</v>
      </c>
      <c r="P2170" s="3">
        <v>20</v>
      </c>
      <c r="Q2170" s="3">
        <v>181.45</v>
      </c>
      <c r="S2170" s="3">
        <f>VLOOKUP(C2170,[1]page!$C$2:$M$3071,11,0)</f>
        <v>153.76</v>
      </c>
      <c r="T2170" s="6">
        <f t="shared" si="34"/>
        <v>0</v>
      </c>
    </row>
    <row r="2171" spans="1:20" x14ac:dyDescent="0.2">
      <c r="A2171" t="s">
        <v>6186</v>
      </c>
      <c r="B2171" t="s">
        <v>7186</v>
      </c>
      <c r="C2171" t="s">
        <v>7187</v>
      </c>
      <c r="D2171" t="s">
        <v>7188</v>
      </c>
      <c r="E2171" t="s">
        <v>6319</v>
      </c>
      <c r="F2171" t="s">
        <v>6045</v>
      </c>
      <c r="G2171" s="1">
        <v>4</v>
      </c>
      <c r="H2171" s="1">
        <v>1</v>
      </c>
      <c r="I2171" t="s">
        <v>5617</v>
      </c>
      <c r="L2171" s="1">
        <v>1</v>
      </c>
      <c r="M2171" s="3">
        <v>129</v>
      </c>
      <c r="N2171" s="3">
        <v>6.45</v>
      </c>
      <c r="O2171" s="3">
        <v>0</v>
      </c>
      <c r="P2171" s="3">
        <v>20</v>
      </c>
      <c r="Q2171" s="3">
        <v>155.44999999999999</v>
      </c>
      <c r="S2171" s="3">
        <f>VLOOKUP(C2171,[1]page!$C$2:$M$3071,11,0)</f>
        <v>129</v>
      </c>
      <c r="T2171" s="6">
        <f t="shared" si="34"/>
        <v>0</v>
      </c>
    </row>
    <row r="2172" spans="1:20" x14ac:dyDescent="0.2">
      <c r="A2172" t="s">
        <v>6186</v>
      </c>
      <c r="B2172" t="s">
        <v>7189</v>
      </c>
      <c r="C2172" t="s">
        <v>7190</v>
      </c>
      <c r="D2172" t="s">
        <v>7191</v>
      </c>
      <c r="E2172" t="s">
        <v>6319</v>
      </c>
      <c r="F2172" t="s">
        <v>6045</v>
      </c>
      <c r="G2172" s="2">
        <v>5.2</v>
      </c>
      <c r="H2172" s="1">
        <v>1</v>
      </c>
      <c r="I2172" t="s">
        <v>5617</v>
      </c>
      <c r="L2172" s="1">
        <v>1</v>
      </c>
      <c r="M2172" s="3">
        <v>141.9</v>
      </c>
      <c r="N2172" s="3">
        <v>7.1</v>
      </c>
      <c r="O2172" s="3">
        <v>0</v>
      </c>
      <c r="P2172" s="3">
        <v>20</v>
      </c>
      <c r="Q2172" s="3">
        <v>169</v>
      </c>
      <c r="S2172" s="3">
        <f>VLOOKUP(C2172,[1]page!$C$2:$M$3071,11,0)</f>
        <v>141.9</v>
      </c>
      <c r="T2172" s="6">
        <f t="shared" si="34"/>
        <v>0</v>
      </c>
    </row>
    <row r="2173" spans="1:20" x14ac:dyDescent="0.2">
      <c r="A2173" t="s">
        <v>6186</v>
      </c>
      <c r="B2173" t="s">
        <v>7192</v>
      </c>
      <c r="C2173" t="s">
        <v>7193</v>
      </c>
      <c r="D2173" t="s">
        <v>7194</v>
      </c>
      <c r="E2173" t="s">
        <v>6747</v>
      </c>
      <c r="F2173" t="s">
        <v>6083</v>
      </c>
      <c r="G2173" s="1">
        <v>5</v>
      </c>
      <c r="H2173" s="1">
        <v>1</v>
      </c>
      <c r="I2173" t="s">
        <v>24</v>
      </c>
      <c r="L2173" s="1">
        <v>1</v>
      </c>
      <c r="M2173" s="3">
        <v>267.99</v>
      </c>
      <c r="N2173" s="3">
        <v>13.4</v>
      </c>
      <c r="O2173" s="3">
        <v>0</v>
      </c>
      <c r="P2173" s="3">
        <v>20</v>
      </c>
      <c r="Q2173" s="3">
        <v>301.39</v>
      </c>
      <c r="S2173" s="3">
        <f>VLOOKUP(C2173,[1]page!$C$2:$M$3071,11,0)</f>
        <v>267.99</v>
      </c>
      <c r="T2173" s="6">
        <f t="shared" si="34"/>
        <v>0</v>
      </c>
    </row>
    <row r="2174" spans="1:20" x14ac:dyDescent="0.2">
      <c r="A2174" t="s">
        <v>6186</v>
      </c>
      <c r="B2174" t="s">
        <v>7195</v>
      </c>
      <c r="C2174" t="s">
        <v>7196</v>
      </c>
      <c r="D2174" t="s">
        <v>7197</v>
      </c>
      <c r="E2174" t="s">
        <v>6423</v>
      </c>
      <c r="F2174" t="s">
        <v>6083</v>
      </c>
      <c r="G2174" s="2">
        <v>5.0999999999999996</v>
      </c>
      <c r="H2174" s="1">
        <v>1</v>
      </c>
      <c r="I2174" t="s">
        <v>6191</v>
      </c>
      <c r="L2174" s="1">
        <v>1</v>
      </c>
      <c r="M2174" s="3">
        <v>282.99</v>
      </c>
      <c r="N2174" s="3">
        <v>14.15</v>
      </c>
      <c r="O2174" s="3">
        <v>0</v>
      </c>
      <c r="P2174" s="3">
        <v>20</v>
      </c>
      <c r="Q2174" s="3">
        <v>317.14</v>
      </c>
      <c r="S2174" s="3">
        <f>VLOOKUP(C2174,[1]page!$C$2:$M$3071,11,0)</f>
        <v>282.99</v>
      </c>
      <c r="T2174" s="6">
        <f t="shared" si="34"/>
        <v>0</v>
      </c>
    </row>
    <row r="2175" spans="1:20" x14ac:dyDescent="0.2">
      <c r="A2175" t="s">
        <v>6186</v>
      </c>
      <c r="B2175" t="s">
        <v>7198</v>
      </c>
      <c r="C2175" t="s">
        <v>7199</v>
      </c>
      <c r="D2175" t="s">
        <v>7200</v>
      </c>
      <c r="E2175" t="s">
        <v>6423</v>
      </c>
      <c r="F2175" t="s">
        <v>6083</v>
      </c>
      <c r="G2175" s="2">
        <v>4.4000000000000004</v>
      </c>
      <c r="H2175" s="1">
        <v>1</v>
      </c>
      <c r="I2175" t="s">
        <v>6191</v>
      </c>
      <c r="L2175" s="1">
        <v>1</v>
      </c>
      <c r="M2175" s="3">
        <v>254.99</v>
      </c>
      <c r="N2175" s="3">
        <v>12.75</v>
      </c>
      <c r="O2175" s="3">
        <v>0</v>
      </c>
      <c r="P2175" s="3">
        <v>20</v>
      </c>
      <c r="Q2175" s="3">
        <v>287.74</v>
      </c>
      <c r="S2175" s="3">
        <f>VLOOKUP(C2175,[1]page!$C$2:$M$3071,11,0)</f>
        <v>254.99</v>
      </c>
      <c r="T2175" s="6">
        <f t="shared" si="34"/>
        <v>0</v>
      </c>
    </row>
    <row r="2176" spans="1:20" x14ac:dyDescent="0.2">
      <c r="A2176" t="s">
        <v>6186</v>
      </c>
      <c r="B2176" t="s">
        <v>7201</v>
      </c>
      <c r="C2176" t="s">
        <v>7202</v>
      </c>
      <c r="D2176" t="s">
        <v>7203</v>
      </c>
      <c r="E2176" t="s">
        <v>6423</v>
      </c>
      <c r="F2176" t="s">
        <v>6083</v>
      </c>
      <c r="G2176" s="2">
        <v>4.8</v>
      </c>
      <c r="H2176" s="1">
        <v>1</v>
      </c>
      <c r="I2176" t="s">
        <v>6191</v>
      </c>
      <c r="L2176" s="1">
        <v>1</v>
      </c>
      <c r="M2176" s="3">
        <v>282.99</v>
      </c>
      <c r="N2176" s="3">
        <v>14.15</v>
      </c>
      <c r="O2176" s="3">
        <v>0</v>
      </c>
      <c r="P2176" s="3">
        <v>20</v>
      </c>
      <c r="Q2176" s="3">
        <v>317.14</v>
      </c>
      <c r="S2176" s="3">
        <f>VLOOKUP(C2176,[1]page!$C$2:$M$3071,11,0)</f>
        <v>282.99</v>
      </c>
      <c r="T2176" s="6">
        <f t="shared" si="34"/>
        <v>0</v>
      </c>
    </row>
    <row r="2177" spans="1:20" x14ac:dyDescent="0.2">
      <c r="A2177" t="s">
        <v>6186</v>
      </c>
      <c r="B2177" t="s">
        <v>7204</v>
      </c>
      <c r="C2177" t="s">
        <v>7205</v>
      </c>
      <c r="D2177" t="s">
        <v>7206</v>
      </c>
      <c r="E2177" t="s">
        <v>6190</v>
      </c>
      <c r="F2177" t="s">
        <v>6060</v>
      </c>
      <c r="G2177" s="1">
        <v>5</v>
      </c>
      <c r="H2177" s="1">
        <v>1</v>
      </c>
      <c r="I2177" t="s">
        <v>6191</v>
      </c>
      <c r="L2177" s="1">
        <v>1</v>
      </c>
      <c r="M2177" s="3">
        <v>128.99</v>
      </c>
      <c r="N2177" s="3">
        <v>6.45</v>
      </c>
      <c r="O2177" s="3">
        <v>0</v>
      </c>
      <c r="P2177" s="3">
        <v>20</v>
      </c>
      <c r="Q2177" s="3">
        <v>155.44</v>
      </c>
      <c r="S2177" s="3">
        <f>VLOOKUP(C2177,[1]page!$C$2:$M$3071,11,0)</f>
        <v>128.99</v>
      </c>
      <c r="T2177" s="6">
        <f t="shared" si="34"/>
        <v>0</v>
      </c>
    </row>
    <row r="2178" spans="1:20" x14ac:dyDescent="0.2">
      <c r="A2178" t="s">
        <v>6186</v>
      </c>
      <c r="B2178" t="s">
        <v>7207</v>
      </c>
      <c r="C2178" t="s">
        <v>7208</v>
      </c>
      <c r="D2178" t="s">
        <v>7206</v>
      </c>
      <c r="E2178" t="s">
        <v>6190</v>
      </c>
      <c r="F2178" t="s">
        <v>6975</v>
      </c>
      <c r="G2178" s="1">
        <v>5</v>
      </c>
      <c r="H2178" s="1">
        <v>1</v>
      </c>
      <c r="I2178" t="s">
        <v>6191</v>
      </c>
      <c r="L2178" s="1">
        <v>1</v>
      </c>
      <c r="M2178" s="3">
        <v>343.98</v>
      </c>
      <c r="N2178" s="3">
        <v>17.2</v>
      </c>
      <c r="O2178" s="3">
        <v>0</v>
      </c>
      <c r="P2178" s="3">
        <v>20</v>
      </c>
      <c r="Q2178" s="3">
        <v>381.18</v>
      </c>
      <c r="S2178" s="3">
        <f>VLOOKUP(C2178,[1]page!$C$2:$M$3071,11,0)</f>
        <v>343.98</v>
      </c>
      <c r="T2178" s="6">
        <f t="shared" si="34"/>
        <v>0</v>
      </c>
    </row>
    <row r="2179" spans="1:20" x14ac:dyDescent="0.2">
      <c r="A2179" t="s">
        <v>6186</v>
      </c>
      <c r="B2179" t="s">
        <v>7209</v>
      </c>
      <c r="C2179" t="s">
        <v>7210</v>
      </c>
      <c r="D2179" t="s">
        <v>7211</v>
      </c>
      <c r="E2179" t="s">
        <v>6264</v>
      </c>
      <c r="F2179" t="s">
        <v>6083</v>
      </c>
      <c r="G2179" s="2">
        <v>4.3</v>
      </c>
      <c r="H2179" s="1">
        <v>1</v>
      </c>
      <c r="I2179" t="s">
        <v>6191</v>
      </c>
      <c r="L2179" s="1">
        <v>1</v>
      </c>
      <c r="M2179" s="3">
        <v>267.99</v>
      </c>
      <c r="N2179" s="3">
        <v>13.4</v>
      </c>
      <c r="O2179" s="3">
        <v>0</v>
      </c>
      <c r="P2179" s="3">
        <v>20</v>
      </c>
      <c r="Q2179" s="3">
        <v>301.39</v>
      </c>
      <c r="S2179" s="3">
        <f>VLOOKUP(C2179,[1]page!$C$2:$M$3071,11,0)</f>
        <v>267.99</v>
      </c>
      <c r="T2179" s="6">
        <f t="shared" si="34"/>
        <v>0</v>
      </c>
    </row>
    <row r="2180" spans="1:20" x14ac:dyDescent="0.2">
      <c r="A2180" t="s">
        <v>6186</v>
      </c>
      <c r="B2180" t="s">
        <v>7212</v>
      </c>
      <c r="C2180" t="s">
        <v>7213</v>
      </c>
      <c r="D2180" t="s">
        <v>7214</v>
      </c>
      <c r="E2180" t="s">
        <v>6284</v>
      </c>
      <c r="F2180" t="s">
        <v>6045</v>
      </c>
      <c r="G2180" s="1">
        <v>5</v>
      </c>
      <c r="H2180" s="1">
        <v>1</v>
      </c>
      <c r="I2180" t="s">
        <v>6285</v>
      </c>
      <c r="L2180" s="1">
        <v>1</v>
      </c>
      <c r="M2180" s="3">
        <v>144.52000000000001</v>
      </c>
      <c r="N2180" s="3">
        <v>7.23</v>
      </c>
      <c r="O2180" s="3">
        <v>0</v>
      </c>
      <c r="P2180" s="3">
        <v>20</v>
      </c>
      <c r="Q2180" s="3">
        <v>171.75</v>
      </c>
      <c r="S2180" s="3">
        <f>VLOOKUP(C2180,[1]page!$C$2:$M$3071,11,0)</f>
        <v>144.52000000000001</v>
      </c>
      <c r="T2180" s="6">
        <f t="shared" si="34"/>
        <v>0</v>
      </c>
    </row>
    <row r="2181" spans="1:20" x14ac:dyDescent="0.2">
      <c r="A2181" t="s">
        <v>6186</v>
      </c>
      <c r="B2181" t="s">
        <v>7215</v>
      </c>
      <c r="C2181" t="s">
        <v>7216</v>
      </c>
      <c r="D2181" t="s">
        <v>7217</v>
      </c>
      <c r="E2181" t="s">
        <v>6284</v>
      </c>
      <c r="F2181" t="s">
        <v>6045</v>
      </c>
      <c r="G2181" s="2">
        <v>5.4</v>
      </c>
      <c r="H2181" s="1">
        <v>1</v>
      </c>
      <c r="I2181" t="s">
        <v>6285</v>
      </c>
      <c r="L2181" s="1">
        <v>1</v>
      </c>
      <c r="M2181" s="3">
        <v>144.38</v>
      </c>
      <c r="N2181" s="3">
        <v>7.22</v>
      </c>
      <c r="O2181" s="3">
        <v>0</v>
      </c>
      <c r="P2181" s="3">
        <v>20</v>
      </c>
      <c r="Q2181" s="3">
        <v>171.6</v>
      </c>
      <c r="S2181" s="3">
        <f>VLOOKUP(C2181,[1]page!$C$2:$M$3071,11,0)</f>
        <v>144.38</v>
      </c>
      <c r="T2181" s="6">
        <f t="shared" si="34"/>
        <v>0</v>
      </c>
    </row>
    <row r="2182" spans="1:20" x14ac:dyDescent="0.2">
      <c r="A2182" t="s">
        <v>6186</v>
      </c>
      <c r="B2182" t="s">
        <v>7218</v>
      </c>
      <c r="C2182" t="s">
        <v>7219</v>
      </c>
      <c r="D2182" t="s">
        <v>7220</v>
      </c>
      <c r="E2182" t="s">
        <v>6284</v>
      </c>
      <c r="F2182" t="s">
        <v>6045</v>
      </c>
      <c r="G2182" s="2">
        <v>6.5</v>
      </c>
      <c r="H2182" s="1">
        <v>1</v>
      </c>
      <c r="I2182" t="s">
        <v>6285</v>
      </c>
      <c r="L2182" s="1">
        <v>1</v>
      </c>
      <c r="M2182" s="3">
        <v>144.38</v>
      </c>
      <c r="N2182" s="3">
        <v>7.22</v>
      </c>
      <c r="O2182" s="3">
        <v>0</v>
      </c>
      <c r="P2182" s="3">
        <v>20</v>
      </c>
      <c r="Q2182" s="3">
        <v>171.6</v>
      </c>
      <c r="S2182" s="3">
        <f>VLOOKUP(C2182,[1]page!$C$2:$M$3071,11,0)</f>
        <v>144.38</v>
      </c>
      <c r="T2182" s="6">
        <f t="shared" si="34"/>
        <v>0</v>
      </c>
    </row>
    <row r="2183" spans="1:20" x14ac:dyDescent="0.2">
      <c r="A2183" t="s">
        <v>6186</v>
      </c>
      <c r="B2183" t="s">
        <v>7221</v>
      </c>
      <c r="C2183" t="s">
        <v>7222</v>
      </c>
      <c r="D2183" t="s">
        <v>7223</v>
      </c>
      <c r="E2183" t="s">
        <v>6284</v>
      </c>
      <c r="F2183" t="s">
        <v>6045</v>
      </c>
      <c r="G2183" s="2">
        <v>4.4000000000000004</v>
      </c>
      <c r="H2183" s="1">
        <v>1</v>
      </c>
      <c r="I2183" t="s">
        <v>6285</v>
      </c>
      <c r="L2183" s="1">
        <v>1</v>
      </c>
      <c r="M2183" s="3">
        <v>144.38</v>
      </c>
      <c r="N2183" s="3">
        <v>7.22</v>
      </c>
      <c r="O2183" s="3">
        <v>0</v>
      </c>
      <c r="P2183" s="3">
        <v>20</v>
      </c>
      <c r="Q2183" s="3">
        <v>171.6</v>
      </c>
      <c r="S2183" s="3">
        <f>VLOOKUP(C2183,[1]page!$C$2:$M$3071,11,0)</f>
        <v>144.38</v>
      </c>
      <c r="T2183" s="6">
        <f t="shared" si="34"/>
        <v>0</v>
      </c>
    </row>
    <row r="2184" spans="1:20" x14ac:dyDescent="0.2">
      <c r="A2184" t="s">
        <v>6186</v>
      </c>
      <c r="B2184" t="s">
        <v>7224</v>
      </c>
      <c r="C2184" t="s">
        <v>7225</v>
      </c>
      <c r="D2184" t="s">
        <v>7226</v>
      </c>
      <c r="E2184" t="s">
        <v>6284</v>
      </c>
      <c r="F2184" t="s">
        <v>6045</v>
      </c>
      <c r="G2184" s="2">
        <v>5.3</v>
      </c>
      <c r="H2184" s="1">
        <v>1</v>
      </c>
      <c r="I2184" t="s">
        <v>6285</v>
      </c>
      <c r="L2184" s="1">
        <v>1</v>
      </c>
      <c r="M2184" s="3">
        <v>145.59</v>
      </c>
      <c r="N2184" s="3">
        <v>7.28</v>
      </c>
      <c r="O2184" s="3">
        <v>0</v>
      </c>
      <c r="P2184" s="3">
        <v>20</v>
      </c>
      <c r="Q2184" s="3">
        <v>172.87</v>
      </c>
      <c r="S2184" s="3">
        <f>VLOOKUP(C2184,[1]page!$C$2:$M$3071,11,0)</f>
        <v>145.59</v>
      </c>
      <c r="T2184" s="6">
        <f t="shared" si="34"/>
        <v>0</v>
      </c>
    </row>
    <row r="2185" spans="1:20" x14ac:dyDescent="0.2">
      <c r="A2185" t="s">
        <v>6186</v>
      </c>
      <c r="B2185" t="s">
        <v>7227</v>
      </c>
      <c r="C2185" t="s">
        <v>7228</v>
      </c>
      <c r="D2185" t="s">
        <v>7229</v>
      </c>
      <c r="E2185" t="s">
        <v>6277</v>
      </c>
      <c r="F2185" t="s">
        <v>6045</v>
      </c>
      <c r="G2185" s="2">
        <v>4.2</v>
      </c>
      <c r="H2185" s="1">
        <v>1</v>
      </c>
      <c r="I2185" t="s">
        <v>5920</v>
      </c>
      <c r="L2185" s="1">
        <v>1</v>
      </c>
      <c r="M2185" s="3">
        <v>147.99</v>
      </c>
      <c r="N2185" s="3">
        <v>7.4</v>
      </c>
      <c r="O2185" s="3">
        <v>0</v>
      </c>
      <c r="P2185" s="3">
        <v>20</v>
      </c>
      <c r="Q2185" s="3">
        <v>175.39</v>
      </c>
      <c r="S2185" s="3">
        <f>VLOOKUP(C2185,[1]page!$C$2:$M$3071,11,0)</f>
        <v>147.99</v>
      </c>
      <c r="T2185" s="6">
        <f t="shared" si="34"/>
        <v>0</v>
      </c>
    </row>
    <row r="2186" spans="1:20" x14ac:dyDescent="0.2">
      <c r="A2186" t="s">
        <v>6186</v>
      </c>
      <c r="B2186" t="s">
        <v>7230</v>
      </c>
      <c r="C2186" t="s">
        <v>7231</v>
      </c>
      <c r="D2186" t="s">
        <v>7232</v>
      </c>
      <c r="E2186" t="s">
        <v>6284</v>
      </c>
      <c r="F2186" t="s">
        <v>6045</v>
      </c>
      <c r="G2186" s="2">
        <v>5.3</v>
      </c>
      <c r="H2186" s="1">
        <v>1</v>
      </c>
      <c r="I2186" t="s">
        <v>6285</v>
      </c>
      <c r="L2186" s="1">
        <v>1</v>
      </c>
      <c r="M2186" s="3">
        <v>145.59</v>
      </c>
      <c r="N2186" s="3">
        <v>7.28</v>
      </c>
      <c r="O2186" s="3">
        <v>0</v>
      </c>
      <c r="P2186" s="3">
        <v>20</v>
      </c>
      <c r="Q2186" s="3">
        <v>172.87</v>
      </c>
      <c r="S2186" s="3">
        <f>VLOOKUP(C2186,[1]page!$C$2:$M$3071,11,0)</f>
        <v>145.59</v>
      </c>
      <c r="T2186" s="6">
        <f t="shared" si="34"/>
        <v>0</v>
      </c>
    </row>
    <row r="2187" spans="1:20" x14ac:dyDescent="0.2">
      <c r="A2187" t="s">
        <v>6186</v>
      </c>
      <c r="B2187" t="s">
        <v>7233</v>
      </c>
      <c r="C2187" t="s">
        <v>7234</v>
      </c>
      <c r="D2187" t="s">
        <v>7235</v>
      </c>
      <c r="E2187" t="s">
        <v>6284</v>
      </c>
      <c r="F2187" t="s">
        <v>7236</v>
      </c>
      <c r="G2187" s="2">
        <v>5.5</v>
      </c>
      <c r="H2187" s="1">
        <v>1</v>
      </c>
      <c r="I2187" t="s">
        <v>6285</v>
      </c>
      <c r="L2187" s="1">
        <v>20</v>
      </c>
      <c r="M2187" s="3">
        <v>36.68</v>
      </c>
      <c r="N2187" s="3">
        <v>1.83</v>
      </c>
      <c r="O2187" s="3">
        <v>0</v>
      </c>
      <c r="P2187" s="3">
        <v>2</v>
      </c>
      <c r="Q2187" s="3">
        <v>40.51</v>
      </c>
      <c r="R2187" s="3">
        <v>45</v>
      </c>
      <c r="S2187" s="3">
        <f>VLOOKUP(C2187,[1]page!$C$2:$M$3071,11,0)</f>
        <v>36.68</v>
      </c>
      <c r="T2187" s="6">
        <f t="shared" si="34"/>
        <v>0</v>
      </c>
    </row>
    <row r="2188" spans="1:20" x14ac:dyDescent="0.2">
      <c r="A2188" t="s">
        <v>6186</v>
      </c>
      <c r="B2188" t="s">
        <v>7237</v>
      </c>
      <c r="C2188" t="s">
        <v>7238</v>
      </c>
      <c r="D2188" t="s">
        <v>7239</v>
      </c>
      <c r="E2188" t="s">
        <v>6284</v>
      </c>
      <c r="F2188" t="s">
        <v>7236</v>
      </c>
      <c r="G2188" s="1">
        <v>6</v>
      </c>
      <c r="H2188" s="1">
        <v>1</v>
      </c>
      <c r="I2188" t="s">
        <v>6285</v>
      </c>
      <c r="L2188" s="1">
        <v>20</v>
      </c>
      <c r="M2188" s="3">
        <v>36.68</v>
      </c>
      <c r="N2188" s="3">
        <v>1.83</v>
      </c>
      <c r="O2188" s="3">
        <v>0</v>
      </c>
      <c r="P2188" s="3">
        <v>2</v>
      </c>
      <c r="Q2188" s="3">
        <v>40.51</v>
      </c>
      <c r="R2188" s="3">
        <v>45</v>
      </c>
      <c r="S2188" s="3">
        <f>VLOOKUP(C2188,[1]page!$C$2:$M$3071,11,0)</f>
        <v>36.68</v>
      </c>
      <c r="T2188" s="6">
        <f t="shared" si="34"/>
        <v>0</v>
      </c>
    </row>
    <row r="2189" spans="1:20" x14ac:dyDescent="0.2">
      <c r="A2189" t="s">
        <v>6186</v>
      </c>
      <c r="B2189" t="s">
        <v>7240</v>
      </c>
      <c r="C2189" t="s">
        <v>7241</v>
      </c>
      <c r="D2189" t="s">
        <v>7242</v>
      </c>
      <c r="E2189" t="s">
        <v>6190</v>
      </c>
      <c r="F2189" t="s">
        <v>7243</v>
      </c>
      <c r="G2189" s="1">
        <v>4</v>
      </c>
      <c r="H2189" s="1">
        <v>1</v>
      </c>
      <c r="I2189" t="s">
        <v>6191</v>
      </c>
      <c r="L2189" s="1">
        <v>24</v>
      </c>
      <c r="M2189" s="3">
        <v>49.98</v>
      </c>
      <c r="N2189" s="3">
        <v>2.5</v>
      </c>
      <c r="O2189" s="3">
        <v>0</v>
      </c>
      <c r="P2189" s="3">
        <v>2.4</v>
      </c>
      <c r="Q2189" s="3">
        <v>54.88</v>
      </c>
      <c r="R2189" s="3">
        <v>34.6</v>
      </c>
      <c r="S2189" s="3">
        <f>VLOOKUP(C2189,[1]page!$C$2:$M$3071,11,0)</f>
        <v>49.98</v>
      </c>
      <c r="T2189" s="6">
        <f t="shared" si="34"/>
        <v>0</v>
      </c>
    </row>
    <row r="2190" spans="1:20" x14ac:dyDescent="0.2">
      <c r="A2190" t="s">
        <v>6186</v>
      </c>
      <c r="B2190" t="s">
        <v>7244</v>
      </c>
      <c r="C2190" t="s">
        <v>7245</v>
      </c>
      <c r="D2190" t="s">
        <v>7246</v>
      </c>
      <c r="E2190" t="s">
        <v>6190</v>
      </c>
      <c r="F2190" t="s">
        <v>7243</v>
      </c>
      <c r="G2190" s="1">
        <v>5</v>
      </c>
      <c r="H2190" s="1">
        <v>1</v>
      </c>
      <c r="I2190" t="s">
        <v>6191</v>
      </c>
      <c r="L2190" s="1">
        <v>24</v>
      </c>
      <c r="M2190" s="3">
        <v>49.98</v>
      </c>
      <c r="N2190" s="3">
        <v>2.5</v>
      </c>
      <c r="O2190" s="3">
        <v>0</v>
      </c>
      <c r="P2190" s="3">
        <v>2.4</v>
      </c>
      <c r="Q2190" s="3">
        <v>54.88</v>
      </c>
      <c r="R2190" s="3">
        <v>34.6</v>
      </c>
      <c r="S2190" s="3">
        <f>VLOOKUP(C2190,[1]page!$C$2:$M$3071,11,0)</f>
        <v>49.98</v>
      </c>
      <c r="T2190" s="6">
        <f t="shared" si="34"/>
        <v>0</v>
      </c>
    </row>
    <row r="2191" spans="1:20" x14ac:dyDescent="0.2">
      <c r="A2191" t="s">
        <v>6186</v>
      </c>
      <c r="B2191" t="s">
        <v>7247</v>
      </c>
      <c r="C2191" t="s">
        <v>7248</v>
      </c>
      <c r="D2191" t="s">
        <v>7249</v>
      </c>
      <c r="E2191" t="s">
        <v>6195</v>
      </c>
      <c r="F2191" t="s">
        <v>7243</v>
      </c>
      <c r="G2191" s="1">
        <v>5</v>
      </c>
      <c r="H2191" s="1">
        <v>1</v>
      </c>
      <c r="I2191" t="s">
        <v>5961</v>
      </c>
      <c r="L2191" s="1">
        <v>24</v>
      </c>
      <c r="M2191" s="3">
        <v>50</v>
      </c>
      <c r="N2191" s="3">
        <v>2.5</v>
      </c>
      <c r="O2191" s="3">
        <v>0</v>
      </c>
      <c r="P2191" s="3">
        <v>2.4</v>
      </c>
      <c r="Q2191" s="3">
        <v>54.9</v>
      </c>
      <c r="R2191" s="3">
        <v>34.6</v>
      </c>
      <c r="S2191" s="3">
        <f>VLOOKUP(C2191,[1]page!$C$2:$M$3071,11,0)</f>
        <v>50</v>
      </c>
      <c r="T2191" s="6">
        <f t="shared" si="34"/>
        <v>0</v>
      </c>
    </row>
    <row r="2192" spans="1:20" x14ac:dyDescent="0.2">
      <c r="A2192" t="s">
        <v>6186</v>
      </c>
      <c r="B2192" t="s">
        <v>7250</v>
      </c>
      <c r="C2192" t="s">
        <v>7251</v>
      </c>
      <c r="D2192" t="s">
        <v>7252</v>
      </c>
      <c r="E2192" t="s">
        <v>6195</v>
      </c>
      <c r="F2192" t="s">
        <v>7243</v>
      </c>
      <c r="G2192" s="1">
        <v>4</v>
      </c>
      <c r="H2192" s="1">
        <v>1</v>
      </c>
      <c r="I2192" t="s">
        <v>5961</v>
      </c>
      <c r="L2192" s="1">
        <v>24</v>
      </c>
      <c r="M2192" s="3">
        <v>50</v>
      </c>
      <c r="N2192" s="3">
        <v>2.5</v>
      </c>
      <c r="O2192" s="3">
        <v>0</v>
      </c>
      <c r="P2192" s="3">
        <v>2.4</v>
      </c>
      <c r="Q2192" s="3">
        <v>54.9</v>
      </c>
      <c r="R2192" s="3">
        <v>34.6</v>
      </c>
      <c r="S2192" s="3">
        <f>VLOOKUP(C2192,[1]page!$C$2:$M$3071,11,0)</f>
        <v>50</v>
      </c>
      <c r="T2192" s="6">
        <f t="shared" si="34"/>
        <v>0</v>
      </c>
    </row>
    <row r="2193" spans="1:20" x14ac:dyDescent="0.2">
      <c r="A2193" t="s">
        <v>6186</v>
      </c>
      <c r="B2193" t="s">
        <v>7253</v>
      </c>
      <c r="C2193" t="s">
        <v>7254</v>
      </c>
      <c r="D2193" t="s">
        <v>7255</v>
      </c>
      <c r="E2193" t="s">
        <v>6190</v>
      </c>
      <c r="F2193" t="s">
        <v>7256</v>
      </c>
      <c r="G2193" s="2">
        <v>4.5999999999999996</v>
      </c>
      <c r="H2193" s="1">
        <v>1</v>
      </c>
      <c r="I2193" t="s">
        <v>6191</v>
      </c>
      <c r="L2193" s="1">
        <v>24</v>
      </c>
      <c r="M2193" s="3">
        <v>53.23</v>
      </c>
      <c r="N2193" s="3">
        <v>2.66</v>
      </c>
      <c r="O2193" s="3">
        <v>0</v>
      </c>
      <c r="P2193" s="3">
        <v>4.8</v>
      </c>
      <c r="Q2193" s="3">
        <v>60.69</v>
      </c>
      <c r="R2193" s="3">
        <v>34.6</v>
      </c>
      <c r="S2193" s="3">
        <f>VLOOKUP(C2193,[1]page!$C$2:$M$3071,11,0)</f>
        <v>53.23</v>
      </c>
      <c r="T2193" s="6">
        <f t="shared" si="34"/>
        <v>0</v>
      </c>
    </row>
    <row r="2194" spans="1:20" x14ac:dyDescent="0.2">
      <c r="A2194" t="s">
        <v>6186</v>
      </c>
      <c r="B2194" t="s">
        <v>7257</v>
      </c>
      <c r="C2194" t="s">
        <v>7258</v>
      </c>
      <c r="D2194" t="s">
        <v>7259</v>
      </c>
      <c r="E2194" t="s">
        <v>6116</v>
      </c>
      <c r="F2194" t="s">
        <v>7256</v>
      </c>
      <c r="G2194" s="2">
        <v>4.5999999999999996</v>
      </c>
      <c r="H2194" s="1">
        <v>1</v>
      </c>
      <c r="I2194" t="s">
        <v>5961</v>
      </c>
      <c r="L2194" s="1">
        <v>24</v>
      </c>
      <c r="M2194" s="3">
        <v>51.99</v>
      </c>
      <c r="N2194" s="3">
        <v>2.6</v>
      </c>
      <c r="O2194" s="3">
        <v>0</v>
      </c>
      <c r="P2194" s="3">
        <v>4.8</v>
      </c>
      <c r="Q2194" s="3">
        <v>59.39</v>
      </c>
      <c r="R2194" s="3">
        <v>34.6</v>
      </c>
      <c r="S2194" s="3">
        <f>VLOOKUP(C2194,[1]page!$C$2:$M$3071,11,0)</f>
        <v>51.99</v>
      </c>
      <c r="T2194" s="6">
        <f t="shared" si="34"/>
        <v>0</v>
      </c>
    </row>
    <row r="2195" spans="1:20" x14ac:dyDescent="0.2">
      <c r="A2195" t="s">
        <v>6186</v>
      </c>
      <c r="B2195" t="s">
        <v>7260</v>
      </c>
      <c r="C2195" t="s">
        <v>7261</v>
      </c>
      <c r="D2195" t="s">
        <v>7262</v>
      </c>
      <c r="E2195" t="s">
        <v>6116</v>
      </c>
      <c r="F2195" t="s">
        <v>7256</v>
      </c>
      <c r="G2195" s="1">
        <v>4</v>
      </c>
      <c r="H2195" s="1">
        <v>1</v>
      </c>
      <c r="I2195" t="s">
        <v>5961</v>
      </c>
      <c r="L2195" s="1">
        <v>24</v>
      </c>
      <c r="M2195" s="3">
        <v>52.99</v>
      </c>
      <c r="N2195" s="3">
        <v>2.65</v>
      </c>
      <c r="O2195" s="3">
        <v>0</v>
      </c>
      <c r="P2195" s="3">
        <v>4.8</v>
      </c>
      <c r="Q2195" s="3">
        <v>60.44</v>
      </c>
      <c r="R2195" s="3">
        <v>34.6</v>
      </c>
      <c r="S2195" s="3">
        <f>VLOOKUP(C2195,[1]page!$C$2:$M$3071,11,0)</f>
        <v>52.99</v>
      </c>
      <c r="T2195" s="6">
        <f t="shared" si="34"/>
        <v>0</v>
      </c>
    </row>
    <row r="2196" spans="1:20" x14ac:dyDescent="0.2">
      <c r="A2196" t="s">
        <v>6186</v>
      </c>
      <c r="B2196" t="s">
        <v>7263</v>
      </c>
      <c r="C2196" t="s">
        <v>7264</v>
      </c>
      <c r="D2196" t="s">
        <v>7265</v>
      </c>
      <c r="E2196" t="s">
        <v>6190</v>
      </c>
      <c r="F2196" t="s">
        <v>7243</v>
      </c>
      <c r="G2196" s="1">
        <v>5</v>
      </c>
      <c r="H2196" s="1">
        <v>1</v>
      </c>
      <c r="I2196" t="s">
        <v>6191</v>
      </c>
      <c r="L2196" s="1">
        <v>24</v>
      </c>
      <c r="M2196" s="3">
        <v>49.98</v>
      </c>
      <c r="N2196" s="3">
        <v>2.5</v>
      </c>
      <c r="O2196" s="3">
        <v>0</v>
      </c>
      <c r="P2196" s="3">
        <v>2.4</v>
      </c>
      <c r="Q2196" s="3">
        <v>54.88</v>
      </c>
      <c r="R2196" s="3">
        <v>34.6</v>
      </c>
      <c r="S2196" s="3">
        <f>VLOOKUP(C2196,[1]page!$C$2:$M$3071,11,0)</f>
        <v>49.98</v>
      </c>
      <c r="T2196" s="6">
        <f t="shared" si="34"/>
        <v>0</v>
      </c>
    </row>
    <row r="2197" spans="1:20" x14ac:dyDescent="0.2">
      <c r="A2197" t="s">
        <v>6186</v>
      </c>
      <c r="B2197" t="s">
        <v>7266</v>
      </c>
      <c r="C2197" t="s">
        <v>7267</v>
      </c>
      <c r="D2197" t="s">
        <v>7268</v>
      </c>
      <c r="E2197" t="s">
        <v>6190</v>
      </c>
      <c r="F2197" t="s">
        <v>7243</v>
      </c>
      <c r="G2197" s="1">
        <v>5</v>
      </c>
      <c r="H2197" s="1">
        <v>1</v>
      </c>
      <c r="I2197" t="s">
        <v>6242</v>
      </c>
      <c r="L2197" s="1">
        <v>24</v>
      </c>
      <c r="M2197" s="3">
        <v>49.98</v>
      </c>
      <c r="N2197" s="3">
        <v>2.5</v>
      </c>
      <c r="O2197" s="3">
        <v>0</v>
      </c>
      <c r="P2197" s="3">
        <v>2.4</v>
      </c>
      <c r="Q2197" s="3">
        <v>54.88</v>
      </c>
      <c r="R2197" s="3">
        <v>34.6</v>
      </c>
      <c r="S2197" s="3">
        <f>VLOOKUP(C2197,[1]page!$C$2:$M$3071,11,0)</f>
        <v>49.98</v>
      </c>
      <c r="T2197" s="6">
        <f t="shared" si="34"/>
        <v>0</v>
      </c>
    </row>
    <row r="2198" spans="1:20" x14ac:dyDescent="0.2">
      <c r="A2198" t="s">
        <v>6186</v>
      </c>
      <c r="B2198" t="s">
        <v>7269</v>
      </c>
      <c r="C2198" t="s">
        <v>7270</v>
      </c>
      <c r="D2198" t="s">
        <v>7271</v>
      </c>
      <c r="E2198" t="s">
        <v>6195</v>
      </c>
      <c r="F2198" t="s">
        <v>26</v>
      </c>
      <c r="G2198" s="2">
        <v>4.5999999999999996</v>
      </c>
      <c r="H2198" s="1">
        <v>1</v>
      </c>
      <c r="I2198" t="s">
        <v>5961</v>
      </c>
      <c r="L2198" s="1">
        <v>24</v>
      </c>
      <c r="M2198" s="3">
        <v>50.49</v>
      </c>
      <c r="N2198" s="3">
        <v>2.52</v>
      </c>
      <c r="O2198" s="3">
        <v>0</v>
      </c>
      <c r="P2198" s="3">
        <v>4.8</v>
      </c>
      <c r="Q2198" s="3">
        <v>57.81</v>
      </c>
      <c r="R2198" s="3">
        <v>36</v>
      </c>
      <c r="S2198" s="3">
        <f>VLOOKUP(C2198,[1]page!$C$2:$M$3071,11,0)</f>
        <v>50.49</v>
      </c>
      <c r="T2198" s="6">
        <f t="shared" si="34"/>
        <v>0</v>
      </c>
    </row>
    <row r="2199" spans="1:20" x14ac:dyDescent="0.2">
      <c r="A2199" t="s">
        <v>6186</v>
      </c>
      <c r="B2199" t="s">
        <v>7272</v>
      </c>
      <c r="C2199" t="s">
        <v>7273</v>
      </c>
      <c r="D2199" t="s">
        <v>7274</v>
      </c>
      <c r="E2199" t="s">
        <v>6190</v>
      </c>
      <c r="F2199" t="s">
        <v>7243</v>
      </c>
      <c r="G2199" s="1">
        <v>4</v>
      </c>
      <c r="H2199" s="1">
        <v>1</v>
      </c>
      <c r="I2199" t="s">
        <v>6191</v>
      </c>
      <c r="L2199" s="1">
        <v>24</v>
      </c>
      <c r="M2199" s="3">
        <v>52.98</v>
      </c>
      <c r="N2199" s="3">
        <v>2.65</v>
      </c>
      <c r="O2199" s="3">
        <v>0</v>
      </c>
      <c r="P2199" s="3">
        <v>2.4</v>
      </c>
      <c r="Q2199" s="3">
        <v>58.03</v>
      </c>
      <c r="R2199" s="3">
        <v>34.6</v>
      </c>
      <c r="S2199" s="3">
        <f>VLOOKUP(C2199,[1]page!$C$2:$M$3071,11,0)</f>
        <v>52.98</v>
      </c>
      <c r="T2199" s="6">
        <f t="shared" si="34"/>
        <v>0</v>
      </c>
    </row>
    <row r="2200" spans="1:20" x14ac:dyDescent="0.2">
      <c r="A2200" t="s">
        <v>6186</v>
      </c>
      <c r="B2200" t="s">
        <v>7275</v>
      </c>
      <c r="C2200" t="s">
        <v>7276</v>
      </c>
      <c r="D2200" t="s">
        <v>7277</v>
      </c>
      <c r="E2200" t="s">
        <v>6195</v>
      </c>
      <c r="F2200" t="s">
        <v>26</v>
      </c>
      <c r="G2200" s="2">
        <v>4.7</v>
      </c>
      <c r="H2200" s="1">
        <v>1</v>
      </c>
      <c r="I2200" t="s">
        <v>5961</v>
      </c>
      <c r="L2200" s="1">
        <v>24</v>
      </c>
      <c r="M2200" s="3">
        <v>51.06</v>
      </c>
      <c r="N2200" s="3">
        <v>2.5499999999999998</v>
      </c>
      <c r="O2200" s="3">
        <v>0</v>
      </c>
      <c r="P2200" s="3">
        <v>2.4</v>
      </c>
      <c r="Q2200" s="3">
        <v>56.01</v>
      </c>
      <c r="R2200" s="3">
        <v>36</v>
      </c>
      <c r="S2200" s="3">
        <f>VLOOKUP(C2200,[1]page!$C$2:$M$3071,11,0)</f>
        <v>51.06</v>
      </c>
      <c r="T2200" s="6">
        <f t="shared" si="34"/>
        <v>0</v>
      </c>
    </row>
    <row r="2201" spans="1:20" x14ac:dyDescent="0.2">
      <c r="A2201" t="s">
        <v>6186</v>
      </c>
      <c r="B2201" t="s">
        <v>7278</v>
      </c>
      <c r="C2201" t="s">
        <v>7279</v>
      </c>
      <c r="D2201" t="s">
        <v>7280</v>
      </c>
      <c r="E2201" t="s">
        <v>6195</v>
      </c>
      <c r="F2201" t="s">
        <v>7243</v>
      </c>
      <c r="G2201" s="2">
        <v>4.2</v>
      </c>
      <c r="H2201" s="1">
        <v>1</v>
      </c>
      <c r="I2201" t="s">
        <v>5961</v>
      </c>
      <c r="L2201" s="1">
        <v>24</v>
      </c>
      <c r="M2201" s="3">
        <v>51.5</v>
      </c>
      <c r="N2201" s="3">
        <v>2.58</v>
      </c>
      <c r="O2201" s="3">
        <v>0</v>
      </c>
      <c r="P2201" s="3">
        <v>2.4</v>
      </c>
      <c r="Q2201" s="3">
        <v>56.48</v>
      </c>
      <c r="R2201" s="3">
        <v>34.6</v>
      </c>
      <c r="S2201" s="3">
        <f>VLOOKUP(C2201,[1]page!$C$2:$M$3071,11,0)</f>
        <v>51.5</v>
      </c>
      <c r="T2201" s="6">
        <f t="shared" si="34"/>
        <v>0</v>
      </c>
    </row>
    <row r="2202" spans="1:20" x14ac:dyDescent="0.2">
      <c r="A2202" t="s">
        <v>6186</v>
      </c>
      <c r="B2202" t="s">
        <v>7281</v>
      </c>
      <c r="C2202" t="s">
        <v>7282</v>
      </c>
      <c r="D2202" t="s">
        <v>7283</v>
      </c>
      <c r="E2202" t="s">
        <v>6195</v>
      </c>
      <c r="F2202" t="s">
        <v>7243</v>
      </c>
      <c r="G2202" s="1">
        <v>5</v>
      </c>
      <c r="H2202" s="1">
        <v>1</v>
      </c>
      <c r="I2202" t="s">
        <v>5961</v>
      </c>
      <c r="L2202" s="1">
        <v>24</v>
      </c>
      <c r="M2202" s="3">
        <v>47.99</v>
      </c>
      <c r="N2202" s="3">
        <v>2.4</v>
      </c>
      <c r="O2202" s="3">
        <v>0</v>
      </c>
      <c r="P2202" s="3">
        <v>2.4</v>
      </c>
      <c r="Q2202" s="3">
        <v>52.79</v>
      </c>
      <c r="R2202" s="3">
        <v>34.6</v>
      </c>
      <c r="S2202" s="3">
        <f>VLOOKUP(C2202,[1]page!$C$2:$M$3071,11,0)</f>
        <v>47.99</v>
      </c>
      <c r="T2202" s="6">
        <f t="shared" si="34"/>
        <v>0</v>
      </c>
    </row>
    <row r="2203" spans="1:20" x14ac:dyDescent="0.2">
      <c r="A2203" t="s">
        <v>6186</v>
      </c>
      <c r="B2203" t="s">
        <v>7284</v>
      </c>
      <c r="C2203" t="s">
        <v>7285</v>
      </c>
      <c r="D2203" t="s">
        <v>7286</v>
      </c>
      <c r="E2203" t="s">
        <v>6190</v>
      </c>
      <c r="F2203" t="s">
        <v>7256</v>
      </c>
      <c r="G2203" s="1">
        <v>5</v>
      </c>
      <c r="H2203" s="1">
        <v>1</v>
      </c>
      <c r="I2203" t="s">
        <v>6191</v>
      </c>
      <c r="L2203" s="1">
        <v>24</v>
      </c>
      <c r="M2203" s="3">
        <v>53.23</v>
      </c>
      <c r="N2203" s="3">
        <v>2.66</v>
      </c>
      <c r="O2203" s="3">
        <v>0</v>
      </c>
      <c r="P2203" s="3">
        <v>4.8</v>
      </c>
      <c r="Q2203" s="3">
        <v>60.69</v>
      </c>
      <c r="R2203" s="3">
        <v>34.6</v>
      </c>
      <c r="S2203" s="3">
        <f>VLOOKUP(C2203,[1]page!$C$2:$M$3071,11,0)</f>
        <v>53.23</v>
      </c>
      <c r="T2203" s="6">
        <f t="shared" si="34"/>
        <v>0</v>
      </c>
    </row>
    <row r="2204" spans="1:20" x14ac:dyDescent="0.2">
      <c r="A2204" t="s">
        <v>6186</v>
      </c>
      <c r="B2204" t="s">
        <v>7287</v>
      </c>
      <c r="C2204" t="s">
        <v>7288</v>
      </c>
      <c r="D2204" t="s">
        <v>7289</v>
      </c>
      <c r="E2204" t="s">
        <v>6284</v>
      </c>
      <c r="F2204" t="s">
        <v>26</v>
      </c>
      <c r="G2204" s="1">
        <v>5</v>
      </c>
      <c r="H2204" s="1">
        <v>1</v>
      </c>
      <c r="I2204" t="s">
        <v>6285</v>
      </c>
      <c r="L2204" s="1">
        <v>24</v>
      </c>
      <c r="M2204" s="3">
        <v>37.49</v>
      </c>
      <c r="N2204" s="3">
        <v>1.87</v>
      </c>
      <c r="O2204" s="3">
        <v>0</v>
      </c>
      <c r="P2204" s="3">
        <v>2.4</v>
      </c>
      <c r="Q2204" s="3">
        <v>41.76</v>
      </c>
      <c r="R2204" s="3">
        <v>36</v>
      </c>
      <c r="S2204" s="3">
        <f>VLOOKUP(C2204,[1]page!$C$2:$M$3071,11,0)</f>
        <v>37.49</v>
      </c>
      <c r="T2204" s="6">
        <f t="shared" si="34"/>
        <v>0</v>
      </c>
    </row>
    <row r="2205" spans="1:20" x14ac:dyDescent="0.2">
      <c r="A2205" t="s">
        <v>6186</v>
      </c>
      <c r="B2205" t="s">
        <v>7290</v>
      </c>
      <c r="C2205" t="s">
        <v>7291</v>
      </c>
      <c r="D2205" t="s">
        <v>7292</v>
      </c>
      <c r="E2205" t="s">
        <v>6190</v>
      </c>
      <c r="F2205" t="s">
        <v>26</v>
      </c>
      <c r="G2205" s="1">
        <v>5</v>
      </c>
      <c r="H2205" s="1">
        <v>1</v>
      </c>
      <c r="I2205" t="s">
        <v>6191</v>
      </c>
      <c r="L2205" s="1">
        <v>24</v>
      </c>
      <c r="M2205" s="3">
        <v>47.49</v>
      </c>
      <c r="N2205" s="3">
        <v>2.37</v>
      </c>
      <c r="O2205" s="3">
        <v>0</v>
      </c>
      <c r="P2205" s="3">
        <v>2.4</v>
      </c>
      <c r="Q2205" s="3">
        <v>52.26</v>
      </c>
      <c r="R2205" s="3">
        <v>36</v>
      </c>
      <c r="S2205" s="3">
        <f>VLOOKUP(C2205,[1]page!$C$2:$M$3071,11,0)</f>
        <v>47.49</v>
      </c>
      <c r="T2205" s="6">
        <f t="shared" si="34"/>
        <v>0</v>
      </c>
    </row>
    <row r="2206" spans="1:20" x14ac:dyDescent="0.2">
      <c r="A2206" t="s">
        <v>6186</v>
      </c>
      <c r="B2206" t="s">
        <v>7293</v>
      </c>
      <c r="C2206" t="s">
        <v>7294</v>
      </c>
      <c r="D2206" t="s">
        <v>7295</v>
      </c>
      <c r="E2206" t="s">
        <v>6195</v>
      </c>
      <c r="F2206" t="s">
        <v>26</v>
      </c>
      <c r="G2206" s="1">
        <v>5</v>
      </c>
      <c r="H2206" s="1">
        <v>1</v>
      </c>
      <c r="I2206" t="s">
        <v>5961</v>
      </c>
      <c r="L2206" s="1">
        <v>24</v>
      </c>
      <c r="M2206" s="3">
        <v>39.6</v>
      </c>
      <c r="N2206" s="3">
        <v>1.98</v>
      </c>
      <c r="O2206" s="3">
        <v>0</v>
      </c>
      <c r="P2206" s="3">
        <v>2.4</v>
      </c>
      <c r="Q2206" s="3">
        <v>43.98</v>
      </c>
      <c r="R2206" s="3">
        <v>36</v>
      </c>
      <c r="S2206" s="3">
        <f>VLOOKUP(C2206,[1]page!$C$2:$M$3071,11,0)</f>
        <v>39.6</v>
      </c>
      <c r="T2206" s="6">
        <f t="shared" si="34"/>
        <v>0</v>
      </c>
    </row>
    <row r="2207" spans="1:20" x14ac:dyDescent="0.2">
      <c r="A2207" t="s">
        <v>6186</v>
      </c>
      <c r="B2207" t="s">
        <v>7296</v>
      </c>
      <c r="C2207" t="s">
        <v>7297</v>
      </c>
      <c r="D2207" t="s">
        <v>7298</v>
      </c>
      <c r="E2207" t="s">
        <v>6277</v>
      </c>
      <c r="F2207" t="s">
        <v>26</v>
      </c>
      <c r="G2207" s="1">
        <v>4</v>
      </c>
      <c r="H2207" s="1">
        <v>1</v>
      </c>
      <c r="I2207" t="s">
        <v>5920</v>
      </c>
      <c r="L2207" s="1">
        <v>24</v>
      </c>
      <c r="M2207" s="3">
        <v>37.979999999999997</v>
      </c>
      <c r="N2207" s="3">
        <v>1.9</v>
      </c>
      <c r="O2207" s="3">
        <v>0</v>
      </c>
      <c r="P2207" s="3">
        <v>2.4</v>
      </c>
      <c r="Q2207" s="3">
        <v>42.28</v>
      </c>
      <c r="R2207" s="3">
        <v>36</v>
      </c>
      <c r="S2207" s="3">
        <f>VLOOKUP(C2207,[1]page!$C$2:$M$3071,11,0)</f>
        <v>37.979999999999997</v>
      </c>
      <c r="T2207" s="6">
        <f t="shared" ref="T2207:T2270" si="35">SUM(M2207-S2207)</f>
        <v>0</v>
      </c>
    </row>
    <row r="2208" spans="1:20" x14ac:dyDescent="0.2">
      <c r="A2208" t="s">
        <v>6186</v>
      </c>
      <c r="B2208" t="s">
        <v>7299</v>
      </c>
      <c r="C2208" t="s">
        <v>7300</v>
      </c>
      <c r="D2208" t="s">
        <v>7301</v>
      </c>
      <c r="E2208" t="s">
        <v>6277</v>
      </c>
      <c r="F2208" t="s">
        <v>26</v>
      </c>
      <c r="G2208" s="1">
        <v>5</v>
      </c>
      <c r="H2208" s="1">
        <v>1</v>
      </c>
      <c r="I2208" t="s">
        <v>5920</v>
      </c>
      <c r="L2208" s="1">
        <v>24</v>
      </c>
      <c r="M2208" s="3">
        <v>37.979999999999997</v>
      </c>
      <c r="N2208" s="3">
        <v>1.9</v>
      </c>
      <c r="O2208" s="3">
        <v>0</v>
      </c>
      <c r="P2208" s="3">
        <v>2.4</v>
      </c>
      <c r="Q2208" s="3">
        <v>42.28</v>
      </c>
      <c r="R2208" s="3">
        <v>36</v>
      </c>
      <c r="S2208" s="3">
        <f>VLOOKUP(C2208,[1]page!$C$2:$M$3071,11,0)</f>
        <v>37.979999999999997</v>
      </c>
      <c r="T2208" s="6">
        <f t="shared" si="35"/>
        <v>0</v>
      </c>
    </row>
    <row r="2209" spans="1:20" x14ac:dyDescent="0.2">
      <c r="A2209" t="s">
        <v>6186</v>
      </c>
      <c r="B2209" t="s">
        <v>7302</v>
      </c>
      <c r="C2209" t="s">
        <v>7303</v>
      </c>
      <c r="D2209" t="s">
        <v>7304</v>
      </c>
      <c r="E2209" t="s">
        <v>6277</v>
      </c>
      <c r="F2209" t="s">
        <v>26</v>
      </c>
      <c r="G2209" s="1">
        <v>4</v>
      </c>
      <c r="H2209" s="1">
        <v>1</v>
      </c>
      <c r="I2209" t="s">
        <v>5920</v>
      </c>
      <c r="L2209" s="1">
        <v>24</v>
      </c>
      <c r="M2209" s="3">
        <v>37.979999999999997</v>
      </c>
      <c r="N2209" s="3">
        <v>1.9</v>
      </c>
      <c r="O2209" s="3">
        <v>0</v>
      </c>
      <c r="P2209" s="3">
        <v>2.4</v>
      </c>
      <c r="Q2209" s="3">
        <v>42.28</v>
      </c>
      <c r="R2209" s="3">
        <v>36</v>
      </c>
      <c r="S2209" s="3">
        <f>VLOOKUP(C2209,[1]page!$C$2:$M$3071,11,0)</f>
        <v>37.979999999999997</v>
      </c>
      <c r="T2209" s="6">
        <f t="shared" si="35"/>
        <v>0</v>
      </c>
    </row>
    <row r="2210" spans="1:20" x14ac:dyDescent="0.2">
      <c r="A2210" t="s">
        <v>6186</v>
      </c>
      <c r="B2210" t="s">
        <v>7305</v>
      </c>
      <c r="C2210" t="s">
        <v>7306</v>
      </c>
      <c r="D2210" t="s">
        <v>7307</v>
      </c>
      <c r="E2210" t="s">
        <v>6190</v>
      </c>
      <c r="F2210" t="s">
        <v>26</v>
      </c>
      <c r="G2210" s="1">
        <v>4</v>
      </c>
      <c r="H2210" s="1">
        <v>1</v>
      </c>
      <c r="I2210" t="s">
        <v>6191</v>
      </c>
      <c r="L2210" s="1">
        <v>24</v>
      </c>
      <c r="M2210" s="3">
        <v>48.79</v>
      </c>
      <c r="N2210" s="3">
        <v>2.44</v>
      </c>
      <c r="O2210" s="3">
        <v>0</v>
      </c>
      <c r="P2210" s="3">
        <v>2.4</v>
      </c>
      <c r="Q2210" s="3">
        <v>53.63</v>
      </c>
      <c r="R2210" s="3">
        <v>36</v>
      </c>
      <c r="S2210" s="3">
        <f>VLOOKUP(C2210,[1]page!$C$2:$M$3071,11,0)</f>
        <v>48.79</v>
      </c>
      <c r="T2210" s="6">
        <f t="shared" si="35"/>
        <v>0</v>
      </c>
    </row>
    <row r="2211" spans="1:20" x14ac:dyDescent="0.2">
      <c r="A2211" t="s">
        <v>6186</v>
      </c>
      <c r="B2211" t="s">
        <v>7308</v>
      </c>
      <c r="C2211" t="s">
        <v>7309</v>
      </c>
      <c r="D2211" t="s">
        <v>7310</v>
      </c>
      <c r="E2211" t="s">
        <v>6190</v>
      </c>
      <c r="F2211" t="s">
        <v>26</v>
      </c>
      <c r="G2211" s="1">
        <v>4</v>
      </c>
      <c r="H2211" s="1">
        <v>1</v>
      </c>
      <c r="I2211" t="s">
        <v>6242</v>
      </c>
      <c r="L2211" s="1">
        <v>24</v>
      </c>
      <c r="M2211" s="3">
        <v>47.99</v>
      </c>
      <c r="N2211" s="3">
        <v>2.4</v>
      </c>
      <c r="O2211" s="3">
        <v>0</v>
      </c>
      <c r="P2211" s="3">
        <v>2.4</v>
      </c>
      <c r="Q2211" s="3">
        <v>52.79</v>
      </c>
      <c r="R2211" s="3">
        <v>36</v>
      </c>
      <c r="S2211" s="3">
        <f>VLOOKUP(C2211,[1]page!$C$2:$M$3071,11,0)</f>
        <v>47.99</v>
      </c>
      <c r="T2211" s="6">
        <f t="shared" si="35"/>
        <v>0</v>
      </c>
    </row>
    <row r="2212" spans="1:20" x14ac:dyDescent="0.2">
      <c r="A2212" t="s">
        <v>6186</v>
      </c>
      <c r="B2212" t="s">
        <v>7311</v>
      </c>
      <c r="C2212" t="s">
        <v>7312</v>
      </c>
      <c r="D2212" t="s">
        <v>7313</v>
      </c>
      <c r="E2212" t="s">
        <v>6190</v>
      </c>
      <c r="F2212" t="s">
        <v>26</v>
      </c>
      <c r="G2212" s="1">
        <v>5</v>
      </c>
      <c r="H2212" s="1">
        <v>1</v>
      </c>
      <c r="I2212" t="s">
        <v>6191</v>
      </c>
      <c r="L2212" s="1">
        <v>24</v>
      </c>
      <c r="M2212" s="3">
        <v>48.79</v>
      </c>
      <c r="N2212" s="3">
        <v>2.44</v>
      </c>
      <c r="O2212" s="3">
        <v>0</v>
      </c>
      <c r="P2212" s="3">
        <v>2.4</v>
      </c>
      <c r="Q2212" s="3">
        <v>53.63</v>
      </c>
      <c r="R2212" s="3">
        <v>36</v>
      </c>
      <c r="S2212" s="3">
        <f>VLOOKUP(C2212,[1]page!$C$2:$M$3071,11,0)</f>
        <v>48.79</v>
      </c>
      <c r="T2212" s="6">
        <f t="shared" si="35"/>
        <v>0</v>
      </c>
    </row>
    <row r="2213" spans="1:20" x14ac:dyDescent="0.2">
      <c r="A2213" t="s">
        <v>6186</v>
      </c>
      <c r="B2213" t="s">
        <v>7314</v>
      </c>
      <c r="C2213" t="s">
        <v>7315</v>
      </c>
      <c r="D2213" t="s">
        <v>7316</v>
      </c>
      <c r="E2213" t="s">
        <v>6190</v>
      </c>
      <c r="F2213" t="s">
        <v>26</v>
      </c>
      <c r="G2213" s="2">
        <v>4.7</v>
      </c>
      <c r="H2213" s="1">
        <v>1</v>
      </c>
      <c r="I2213" t="s">
        <v>6191</v>
      </c>
      <c r="L2213" s="1">
        <v>24</v>
      </c>
      <c r="M2213" s="3">
        <v>41.49</v>
      </c>
      <c r="N2213" s="3">
        <v>2.0699999999999998</v>
      </c>
      <c r="O2213" s="3">
        <v>0</v>
      </c>
      <c r="P2213" s="3">
        <v>2.4</v>
      </c>
      <c r="Q2213" s="3">
        <v>45.96</v>
      </c>
      <c r="R2213" s="3">
        <v>36</v>
      </c>
      <c r="S2213" s="3">
        <f>VLOOKUP(C2213,[1]page!$C$2:$M$3071,11,0)</f>
        <v>41.49</v>
      </c>
      <c r="T2213" s="6">
        <f t="shared" si="35"/>
        <v>0</v>
      </c>
    </row>
    <row r="2214" spans="1:20" x14ac:dyDescent="0.2">
      <c r="A2214" t="s">
        <v>6186</v>
      </c>
      <c r="B2214" t="s">
        <v>7317</v>
      </c>
      <c r="C2214" t="s">
        <v>7318</v>
      </c>
      <c r="D2214" t="s">
        <v>7319</v>
      </c>
      <c r="E2214" t="s">
        <v>6190</v>
      </c>
      <c r="F2214" t="s">
        <v>26</v>
      </c>
      <c r="G2214" s="1">
        <v>4</v>
      </c>
      <c r="H2214" s="1">
        <v>1</v>
      </c>
      <c r="I2214" t="s">
        <v>6191</v>
      </c>
      <c r="L2214" s="1">
        <v>24</v>
      </c>
      <c r="M2214" s="3">
        <v>41.49</v>
      </c>
      <c r="N2214" s="3">
        <v>2.0699999999999998</v>
      </c>
      <c r="O2214" s="3">
        <v>0</v>
      </c>
      <c r="P2214" s="3">
        <v>2.4</v>
      </c>
      <c r="Q2214" s="3">
        <v>45.96</v>
      </c>
      <c r="R2214" s="3">
        <v>36</v>
      </c>
      <c r="S2214" s="3">
        <f>VLOOKUP(C2214,[1]page!$C$2:$M$3071,11,0)</f>
        <v>41.49</v>
      </c>
      <c r="T2214" s="6">
        <f t="shared" si="35"/>
        <v>0</v>
      </c>
    </row>
    <row r="2215" spans="1:20" x14ac:dyDescent="0.2">
      <c r="A2215" t="s">
        <v>6186</v>
      </c>
      <c r="B2215" t="s">
        <v>7320</v>
      </c>
      <c r="C2215" t="s">
        <v>7321</v>
      </c>
      <c r="D2215" t="s">
        <v>7322</v>
      </c>
      <c r="E2215" t="s">
        <v>6195</v>
      </c>
      <c r="F2215" t="s">
        <v>26</v>
      </c>
      <c r="G2215" s="1">
        <v>5</v>
      </c>
      <c r="H2215" s="1">
        <v>1</v>
      </c>
      <c r="I2215" t="s">
        <v>5961</v>
      </c>
      <c r="L2215" s="1">
        <v>24</v>
      </c>
      <c r="M2215" s="3">
        <v>48.79</v>
      </c>
      <c r="N2215" s="3">
        <v>2.44</v>
      </c>
      <c r="O2215" s="3">
        <v>0</v>
      </c>
      <c r="P2215" s="3">
        <v>2.4</v>
      </c>
      <c r="Q2215" s="3">
        <v>53.63</v>
      </c>
      <c r="R2215" s="3">
        <v>36</v>
      </c>
      <c r="S2215" s="3">
        <f>VLOOKUP(C2215,[1]page!$C$2:$M$3071,11,0)</f>
        <v>48.79</v>
      </c>
      <c r="T2215" s="6">
        <f t="shared" si="35"/>
        <v>0</v>
      </c>
    </row>
    <row r="2216" spans="1:20" x14ac:dyDescent="0.2">
      <c r="A2216" t="s">
        <v>6186</v>
      </c>
      <c r="B2216" t="s">
        <v>7323</v>
      </c>
      <c r="C2216" t="s">
        <v>7324</v>
      </c>
      <c r="D2216" t="s">
        <v>7325</v>
      </c>
      <c r="E2216" t="s">
        <v>6195</v>
      </c>
      <c r="F2216" t="s">
        <v>26</v>
      </c>
      <c r="G2216" s="1">
        <v>4</v>
      </c>
      <c r="H2216" s="1">
        <v>1</v>
      </c>
      <c r="I2216" t="s">
        <v>5961</v>
      </c>
      <c r="L2216" s="1">
        <v>24</v>
      </c>
      <c r="M2216" s="3">
        <v>48.79</v>
      </c>
      <c r="N2216" s="3">
        <v>2.44</v>
      </c>
      <c r="O2216" s="3">
        <v>0</v>
      </c>
      <c r="P2216" s="3">
        <v>2.4</v>
      </c>
      <c r="Q2216" s="3">
        <v>53.63</v>
      </c>
      <c r="R2216" s="3">
        <v>36</v>
      </c>
      <c r="S2216" s="3">
        <f>VLOOKUP(C2216,[1]page!$C$2:$M$3071,11,0)</f>
        <v>48.79</v>
      </c>
      <c r="T2216" s="6">
        <f t="shared" si="35"/>
        <v>0</v>
      </c>
    </row>
    <row r="2217" spans="1:20" x14ac:dyDescent="0.2">
      <c r="A2217" t="s">
        <v>6186</v>
      </c>
      <c r="B2217" t="s">
        <v>7326</v>
      </c>
      <c r="C2217" t="s">
        <v>7327</v>
      </c>
      <c r="D2217" t="s">
        <v>7328</v>
      </c>
      <c r="E2217" t="s">
        <v>6195</v>
      </c>
      <c r="F2217" t="s">
        <v>26</v>
      </c>
      <c r="G2217" s="1">
        <v>5</v>
      </c>
      <c r="H2217" s="1">
        <v>1</v>
      </c>
      <c r="I2217" t="s">
        <v>5961</v>
      </c>
      <c r="L2217" s="1">
        <v>24</v>
      </c>
      <c r="M2217" s="3">
        <v>51.48</v>
      </c>
      <c r="N2217" s="3">
        <v>2.57</v>
      </c>
      <c r="O2217" s="3">
        <v>0</v>
      </c>
      <c r="P2217" s="3">
        <v>2.4</v>
      </c>
      <c r="Q2217" s="3">
        <v>56.45</v>
      </c>
      <c r="R2217" s="3">
        <v>36</v>
      </c>
      <c r="S2217" s="3">
        <f>VLOOKUP(C2217,[1]page!$C$2:$M$3071,11,0)</f>
        <v>51.48</v>
      </c>
      <c r="T2217" s="6">
        <f t="shared" si="35"/>
        <v>0</v>
      </c>
    </row>
    <row r="2218" spans="1:20" x14ac:dyDescent="0.2">
      <c r="A2218" t="s">
        <v>6186</v>
      </c>
      <c r="B2218" t="s">
        <v>7329</v>
      </c>
      <c r="C2218" t="s">
        <v>7330</v>
      </c>
      <c r="D2218" t="s">
        <v>7331</v>
      </c>
      <c r="E2218" t="s">
        <v>6277</v>
      </c>
      <c r="F2218" t="s">
        <v>26</v>
      </c>
      <c r="G2218" s="1">
        <v>5</v>
      </c>
      <c r="H2218" s="1">
        <v>1</v>
      </c>
      <c r="I2218" t="s">
        <v>5920</v>
      </c>
      <c r="L2218" s="1">
        <v>24</v>
      </c>
      <c r="M2218" s="3">
        <v>41.99</v>
      </c>
      <c r="N2218" s="3">
        <v>2.1</v>
      </c>
      <c r="O2218" s="3">
        <v>0</v>
      </c>
      <c r="P2218" s="3">
        <v>2.4</v>
      </c>
      <c r="Q2218" s="3">
        <v>46.49</v>
      </c>
      <c r="R2218" s="3">
        <v>36</v>
      </c>
      <c r="S2218" s="3">
        <f>VLOOKUP(C2218,[1]page!$C$2:$M$3071,11,0)</f>
        <v>41.99</v>
      </c>
      <c r="T2218" s="6">
        <f t="shared" si="35"/>
        <v>0</v>
      </c>
    </row>
    <row r="2219" spans="1:20" x14ac:dyDescent="0.2">
      <c r="A2219" t="s">
        <v>6186</v>
      </c>
      <c r="B2219" t="s">
        <v>7332</v>
      </c>
      <c r="C2219" t="s">
        <v>7333</v>
      </c>
      <c r="D2219" t="s">
        <v>7334</v>
      </c>
      <c r="E2219" t="s">
        <v>6277</v>
      </c>
      <c r="F2219" t="s">
        <v>26</v>
      </c>
      <c r="G2219" s="1">
        <v>5</v>
      </c>
      <c r="H2219" s="1">
        <v>1</v>
      </c>
      <c r="I2219" t="s">
        <v>5920</v>
      </c>
      <c r="L2219" s="1">
        <v>24</v>
      </c>
      <c r="M2219" s="3">
        <v>41.99</v>
      </c>
      <c r="N2219" s="3">
        <v>2.1</v>
      </c>
      <c r="O2219" s="3">
        <v>0</v>
      </c>
      <c r="P2219" s="3">
        <v>2.4</v>
      </c>
      <c r="Q2219" s="3">
        <v>46.49</v>
      </c>
      <c r="R2219" s="3">
        <v>36</v>
      </c>
      <c r="S2219" s="3">
        <f>VLOOKUP(C2219,[1]page!$C$2:$M$3071,11,0)</f>
        <v>41.99</v>
      </c>
      <c r="T2219" s="6">
        <f t="shared" si="35"/>
        <v>0</v>
      </c>
    </row>
    <row r="2220" spans="1:20" x14ac:dyDescent="0.2">
      <c r="A2220" t="s">
        <v>6186</v>
      </c>
      <c r="B2220" t="s">
        <v>7335</v>
      </c>
      <c r="C2220" t="s">
        <v>7336</v>
      </c>
      <c r="D2220" t="s">
        <v>7337</v>
      </c>
      <c r="E2220" t="s">
        <v>6277</v>
      </c>
      <c r="F2220" t="s">
        <v>26</v>
      </c>
      <c r="G2220" s="1">
        <v>4</v>
      </c>
      <c r="H2220" s="1">
        <v>1</v>
      </c>
      <c r="I2220" t="s">
        <v>5920</v>
      </c>
      <c r="L2220" s="1">
        <v>24</v>
      </c>
      <c r="M2220" s="3">
        <v>41.99</v>
      </c>
      <c r="N2220" s="3">
        <v>2.1</v>
      </c>
      <c r="O2220" s="3">
        <v>0</v>
      </c>
      <c r="P2220" s="3">
        <v>2.4</v>
      </c>
      <c r="Q2220" s="3">
        <v>46.49</v>
      </c>
      <c r="R2220" s="3">
        <v>36</v>
      </c>
      <c r="S2220" s="3">
        <f>VLOOKUP(C2220,[1]page!$C$2:$M$3071,11,0)</f>
        <v>41.99</v>
      </c>
      <c r="T2220" s="6">
        <f t="shared" si="35"/>
        <v>0</v>
      </c>
    </row>
    <row r="2221" spans="1:20" x14ac:dyDescent="0.2">
      <c r="A2221" t="s">
        <v>6186</v>
      </c>
      <c r="B2221" t="s">
        <v>7338</v>
      </c>
      <c r="C2221" t="s">
        <v>7339</v>
      </c>
      <c r="D2221" t="s">
        <v>7340</v>
      </c>
      <c r="E2221" t="s">
        <v>6277</v>
      </c>
      <c r="F2221" t="s">
        <v>26</v>
      </c>
      <c r="G2221" s="1">
        <v>5</v>
      </c>
      <c r="H2221" s="1">
        <v>1</v>
      </c>
      <c r="I2221" t="s">
        <v>5920</v>
      </c>
      <c r="L2221" s="1">
        <v>24</v>
      </c>
      <c r="M2221" s="3">
        <v>40.5</v>
      </c>
      <c r="N2221" s="3">
        <v>2.0299999999999998</v>
      </c>
      <c r="O2221" s="3">
        <v>0</v>
      </c>
      <c r="P2221" s="3">
        <v>2.4</v>
      </c>
      <c r="Q2221" s="3">
        <v>44.93</v>
      </c>
      <c r="R2221" s="3">
        <v>36</v>
      </c>
      <c r="S2221" s="3">
        <f>VLOOKUP(C2221,[1]page!$C$2:$M$3071,11,0)</f>
        <v>40.5</v>
      </c>
      <c r="T2221" s="6">
        <f t="shared" si="35"/>
        <v>0</v>
      </c>
    </row>
    <row r="2222" spans="1:20" x14ac:dyDescent="0.2">
      <c r="A2222" t="s">
        <v>6186</v>
      </c>
      <c r="B2222" t="s">
        <v>7341</v>
      </c>
      <c r="C2222" t="s">
        <v>7342</v>
      </c>
      <c r="D2222" t="s">
        <v>7343</v>
      </c>
      <c r="E2222" t="s">
        <v>6277</v>
      </c>
      <c r="F2222" t="s">
        <v>26</v>
      </c>
      <c r="G2222" s="2">
        <v>2.5</v>
      </c>
      <c r="H2222" s="1">
        <v>1</v>
      </c>
      <c r="I2222" t="s">
        <v>5920</v>
      </c>
      <c r="L2222" s="1">
        <v>24</v>
      </c>
      <c r="M2222" s="3">
        <v>49.98</v>
      </c>
      <c r="N2222" s="3">
        <v>2.5</v>
      </c>
      <c r="O2222" s="3">
        <v>0</v>
      </c>
      <c r="P2222" s="3">
        <v>2.4</v>
      </c>
      <c r="Q2222" s="3">
        <v>54.88</v>
      </c>
      <c r="R2222" s="3">
        <v>36</v>
      </c>
      <c r="S2222" s="3">
        <f>VLOOKUP(C2222,[1]page!$C$2:$M$3071,11,0)</f>
        <v>49.98</v>
      </c>
      <c r="T2222" s="6">
        <f t="shared" si="35"/>
        <v>0</v>
      </c>
    </row>
    <row r="2223" spans="1:20" x14ac:dyDescent="0.2">
      <c r="A2223" t="s">
        <v>6186</v>
      </c>
      <c r="B2223" t="s">
        <v>7344</v>
      </c>
      <c r="C2223" t="s">
        <v>7345</v>
      </c>
      <c r="D2223" t="s">
        <v>7346</v>
      </c>
      <c r="E2223" t="s">
        <v>6277</v>
      </c>
      <c r="F2223" t="s">
        <v>26</v>
      </c>
      <c r="G2223" s="1">
        <v>4</v>
      </c>
      <c r="H2223" s="1">
        <v>1</v>
      </c>
      <c r="I2223" t="s">
        <v>5920</v>
      </c>
      <c r="L2223" s="1">
        <v>24</v>
      </c>
      <c r="M2223" s="3">
        <v>41.99</v>
      </c>
      <c r="N2223" s="3">
        <v>2.1</v>
      </c>
      <c r="O2223" s="3">
        <v>0</v>
      </c>
      <c r="P2223" s="3">
        <v>2.4</v>
      </c>
      <c r="Q2223" s="3">
        <v>46.49</v>
      </c>
      <c r="R2223" s="3">
        <v>36</v>
      </c>
      <c r="S2223" s="3">
        <f>VLOOKUP(C2223,[1]page!$C$2:$M$3071,11,0)</f>
        <v>41.99</v>
      </c>
      <c r="T2223" s="6">
        <f t="shared" si="35"/>
        <v>0</v>
      </c>
    </row>
    <row r="2224" spans="1:20" x14ac:dyDescent="0.2">
      <c r="A2224" t="s">
        <v>6186</v>
      </c>
      <c r="B2224" t="s">
        <v>7347</v>
      </c>
      <c r="C2224" t="s">
        <v>7348</v>
      </c>
      <c r="D2224" t="s">
        <v>7349</v>
      </c>
      <c r="E2224" t="s">
        <v>6195</v>
      </c>
      <c r="F2224" t="s">
        <v>26</v>
      </c>
      <c r="G2224" s="1">
        <v>4</v>
      </c>
      <c r="H2224" s="1">
        <v>1</v>
      </c>
      <c r="I2224" t="s">
        <v>5961</v>
      </c>
      <c r="L2224" s="1">
        <v>24</v>
      </c>
      <c r="M2224" s="3">
        <v>41.99</v>
      </c>
      <c r="N2224" s="3">
        <v>2.1</v>
      </c>
      <c r="O2224" s="3">
        <v>0</v>
      </c>
      <c r="P2224" s="3">
        <v>2.4</v>
      </c>
      <c r="Q2224" s="3">
        <v>46.49</v>
      </c>
      <c r="R2224" s="3">
        <v>36</v>
      </c>
      <c r="S2224" s="3">
        <f>VLOOKUP(C2224,[1]page!$C$2:$M$3071,11,0)</f>
        <v>41.99</v>
      </c>
      <c r="T2224" s="6">
        <f t="shared" si="35"/>
        <v>0</v>
      </c>
    </row>
    <row r="2225" spans="1:20" x14ac:dyDescent="0.2">
      <c r="A2225" t="s">
        <v>6186</v>
      </c>
      <c r="B2225" t="s">
        <v>7350</v>
      </c>
      <c r="C2225" t="s">
        <v>7351</v>
      </c>
      <c r="D2225" t="s">
        <v>7352</v>
      </c>
      <c r="E2225" t="s">
        <v>6190</v>
      </c>
      <c r="F2225" t="s">
        <v>26</v>
      </c>
      <c r="G2225" s="1">
        <v>5</v>
      </c>
      <c r="H2225" s="1">
        <v>1</v>
      </c>
      <c r="I2225" t="s">
        <v>6242</v>
      </c>
      <c r="L2225" s="1">
        <v>24</v>
      </c>
      <c r="M2225" s="3">
        <v>44.78</v>
      </c>
      <c r="N2225" s="3">
        <v>2.2400000000000002</v>
      </c>
      <c r="O2225" s="3">
        <v>0</v>
      </c>
      <c r="P2225" s="3">
        <v>2.4</v>
      </c>
      <c r="Q2225" s="3">
        <v>49.42</v>
      </c>
      <c r="R2225" s="3">
        <v>36</v>
      </c>
      <c r="S2225" s="3">
        <f>VLOOKUP(C2225,[1]page!$C$2:$M$3071,11,0)</f>
        <v>44.78</v>
      </c>
      <c r="T2225" s="6">
        <f t="shared" si="35"/>
        <v>0</v>
      </c>
    </row>
    <row r="2226" spans="1:20" x14ac:dyDescent="0.2">
      <c r="A2226" t="s">
        <v>6186</v>
      </c>
      <c r="B2226" t="s">
        <v>7353</v>
      </c>
      <c r="C2226" t="s">
        <v>7354</v>
      </c>
      <c r="D2226" t="s">
        <v>7355</v>
      </c>
      <c r="E2226" t="s">
        <v>6190</v>
      </c>
      <c r="F2226" t="s">
        <v>26</v>
      </c>
      <c r="G2226" s="1">
        <v>5</v>
      </c>
      <c r="H2226" s="1">
        <v>1</v>
      </c>
      <c r="I2226" t="s">
        <v>6191</v>
      </c>
      <c r="L2226" s="1">
        <v>24</v>
      </c>
      <c r="M2226" s="3">
        <v>37.99</v>
      </c>
      <c r="N2226" s="3">
        <v>1.9</v>
      </c>
      <c r="O2226" s="3">
        <v>0</v>
      </c>
      <c r="P2226" s="3">
        <v>2.4</v>
      </c>
      <c r="Q2226" s="3">
        <v>42.29</v>
      </c>
      <c r="R2226" s="3">
        <v>36</v>
      </c>
      <c r="S2226" s="3">
        <f>VLOOKUP(C2226,[1]page!$C$2:$M$3071,11,0)</f>
        <v>39.29</v>
      </c>
      <c r="T2226" s="6">
        <f t="shared" si="35"/>
        <v>-1.2999999999999972</v>
      </c>
    </row>
    <row r="2227" spans="1:20" x14ac:dyDescent="0.2">
      <c r="A2227" t="s">
        <v>6186</v>
      </c>
      <c r="B2227" t="s">
        <v>7356</v>
      </c>
      <c r="C2227" t="s">
        <v>7357</v>
      </c>
      <c r="D2227" t="s">
        <v>7358</v>
      </c>
      <c r="E2227" t="s">
        <v>6190</v>
      </c>
      <c r="F2227" t="s">
        <v>26</v>
      </c>
      <c r="G2227" s="1">
        <v>4</v>
      </c>
      <c r="H2227" s="1">
        <v>1</v>
      </c>
      <c r="I2227" t="s">
        <v>6191</v>
      </c>
      <c r="L2227" s="1">
        <v>24</v>
      </c>
      <c r="M2227" s="3">
        <v>41.49</v>
      </c>
      <c r="N2227" s="3">
        <v>2.0699999999999998</v>
      </c>
      <c r="O2227" s="3">
        <v>0</v>
      </c>
      <c r="P2227" s="3">
        <v>2.4</v>
      </c>
      <c r="Q2227" s="3">
        <v>45.96</v>
      </c>
      <c r="R2227" s="3">
        <v>36</v>
      </c>
      <c r="S2227" s="3">
        <f>VLOOKUP(C2227,[1]page!$C$2:$M$3071,11,0)</f>
        <v>41.49</v>
      </c>
      <c r="T2227" s="6">
        <f t="shared" si="35"/>
        <v>0</v>
      </c>
    </row>
    <row r="2228" spans="1:20" x14ac:dyDescent="0.2">
      <c r="A2228" t="s">
        <v>6186</v>
      </c>
      <c r="B2228" t="s">
        <v>7359</v>
      </c>
      <c r="C2228" t="s">
        <v>7360</v>
      </c>
      <c r="D2228" t="s">
        <v>7361</v>
      </c>
      <c r="E2228" t="s">
        <v>6190</v>
      </c>
      <c r="F2228" t="s">
        <v>26</v>
      </c>
      <c r="G2228" s="1">
        <v>5</v>
      </c>
      <c r="H2228" s="1">
        <v>1</v>
      </c>
      <c r="I2228" t="s">
        <v>6191</v>
      </c>
      <c r="L2228" s="1">
        <v>24</v>
      </c>
      <c r="M2228" s="3">
        <v>41.99</v>
      </c>
      <c r="N2228" s="3">
        <v>2.1</v>
      </c>
      <c r="O2228" s="3">
        <v>0</v>
      </c>
      <c r="P2228" s="3">
        <v>2.4</v>
      </c>
      <c r="Q2228" s="3">
        <v>46.49</v>
      </c>
      <c r="R2228" s="3">
        <v>36</v>
      </c>
      <c r="S2228" s="3">
        <f>VLOOKUP(C2228,[1]page!$C$2:$M$3071,11,0)</f>
        <v>41.99</v>
      </c>
      <c r="T2228" s="6">
        <f t="shared" si="35"/>
        <v>0</v>
      </c>
    </row>
    <row r="2229" spans="1:20" x14ac:dyDescent="0.2">
      <c r="A2229" t="s">
        <v>6186</v>
      </c>
      <c r="B2229" t="s">
        <v>7362</v>
      </c>
      <c r="C2229" t="s">
        <v>7363</v>
      </c>
      <c r="D2229" t="s">
        <v>7364</v>
      </c>
      <c r="E2229" t="s">
        <v>6190</v>
      </c>
      <c r="F2229" t="s">
        <v>26</v>
      </c>
      <c r="G2229" s="1">
        <v>4</v>
      </c>
      <c r="H2229" s="1">
        <v>1</v>
      </c>
      <c r="I2229" t="s">
        <v>6191</v>
      </c>
      <c r="L2229" s="1">
        <v>24</v>
      </c>
      <c r="M2229" s="3">
        <v>52.17</v>
      </c>
      <c r="N2229" s="3">
        <v>2.61</v>
      </c>
      <c r="O2229" s="3">
        <v>0</v>
      </c>
      <c r="P2229" s="3">
        <v>2.4</v>
      </c>
      <c r="Q2229" s="3">
        <v>57.18</v>
      </c>
      <c r="R2229" s="3">
        <v>36</v>
      </c>
      <c r="S2229" s="3">
        <f>VLOOKUP(C2229,[1]page!$C$2:$M$3071,11,0)</f>
        <v>52.17</v>
      </c>
      <c r="T2229" s="6">
        <f t="shared" si="35"/>
        <v>0</v>
      </c>
    </row>
    <row r="2230" spans="1:20" x14ac:dyDescent="0.2">
      <c r="A2230" t="s">
        <v>6186</v>
      </c>
      <c r="B2230" t="s">
        <v>7365</v>
      </c>
      <c r="C2230" t="s">
        <v>7366</v>
      </c>
      <c r="D2230" t="s">
        <v>7367</v>
      </c>
      <c r="E2230" t="s">
        <v>6195</v>
      </c>
      <c r="F2230" t="s">
        <v>26</v>
      </c>
      <c r="G2230" s="2">
        <v>4.7</v>
      </c>
      <c r="H2230" s="1">
        <v>1</v>
      </c>
      <c r="I2230" t="s">
        <v>5961</v>
      </c>
      <c r="L2230" s="1">
        <v>24</v>
      </c>
      <c r="M2230" s="3">
        <v>51.48</v>
      </c>
      <c r="N2230" s="3">
        <v>2.57</v>
      </c>
      <c r="O2230" s="3">
        <v>0</v>
      </c>
      <c r="P2230" s="3">
        <v>2.4</v>
      </c>
      <c r="Q2230" s="3">
        <v>56.45</v>
      </c>
      <c r="R2230" s="3">
        <v>36</v>
      </c>
      <c r="S2230" s="3">
        <f>VLOOKUP(C2230,[1]page!$C$2:$M$3071,11,0)</f>
        <v>51.48</v>
      </c>
      <c r="T2230" s="6">
        <f t="shared" si="35"/>
        <v>0</v>
      </c>
    </row>
    <row r="2231" spans="1:20" x14ac:dyDescent="0.2">
      <c r="A2231" t="s">
        <v>6186</v>
      </c>
      <c r="B2231" t="s">
        <v>7368</v>
      </c>
      <c r="C2231" t="s">
        <v>7369</v>
      </c>
      <c r="D2231" t="s">
        <v>7370</v>
      </c>
      <c r="E2231" t="s">
        <v>6195</v>
      </c>
      <c r="F2231" t="s">
        <v>26</v>
      </c>
      <c r="G2231" s="2">
        <v>4.5999999999999996</v>
      </c>
      <c r="H2231" s="1">
        <v>1</v>
      </c>
      <c r="I2231" t="s">
        <v>5961</v>
      </c>
      <c r="L2231" s="1">
        <v>24</v>
      </c>
      <c r="M2231" s="3">
        <v>41.99</v>
      </c>
      <c r="N2231" s="3">
        <v>2.1</v>
      </c>
      <c r="O2231" s="3">
        <v>0</v>
      </c>
      <c r="P2231" s="3">
        <v>2.4</v>
      </c>
      <c r="Q2231" s="3">
        <v>46.49</v>
      </c>
      <c r="R2231" s="3">
        <v>36</v>
      </c>
      <c r="S2231" s="3">
        <f>VLOOKUP(C2231,[1]page!$C$2:$M$3071,11,0)</f>
        <v>41.99</v>
      </c>
      <c r="T2231" s="6">
        <f t="shared" si="35"/>
        <v>0</v>
      </c>
    </row>
    <row r="2232" spans="1:20" x14ac:dyDescent="0.2">
      <c r="A2232" t="s">
        <v>6186</v>
      </c>
      <c r="B2232" t="s">
        <v>7371</v>
      </c>
      <c r="C2232" t="s">
        <v>7372</v>
      </c>
      <c r="D2232" t="s">
        <v>7373</v>
      </c>
      <c r="E2232" t="s">
        <v>6195</v>
      </c>
      <c r="F2232" t="s">
        <v>26</v>
      </c>
      <c r="G2232" s="2">
        <v>4.2</v>
      </c>
      <c r="H2232" s="1">
        <v>1</v>
      </c>
      <c r="I2232" t="s">
        <v>5961</v>
      </c>
      <c r="L2232" s="1">
        <v>24</v>
      </c>
      <c r="M2232" s="3">
        <v>51.48</v>
      </c>
      <c r="N2232" s="3">
        <v>2.57</v>
      </c>
      <c r="O2232" s="3">
        <v>0</v>
      </c>
      <c r="P2232" s="3">
        <v>2.4</v>
      </c>
      <c r="Q2232" s="3">
        <v>56.45</v>
      </c>
      <c r="R2232" s="3">
        <v>36</v>
      </c>
      <c r="S2232" s="3">
        <f>VLOOKUP(C2232,[1]page!$C$2:$M$3071,11,0)</f>
        <v>51.48</v>
      </c>
      <c r="T2232" s="6">
        <f t="shared" si="35"/>
        <v>0</v>
      </c>
    </row>
    <row r="2233" spans="1:20" x14ac:dyDescent="0.2">
      <c r="A2233" t="s">
        <v>6186</v>
      </c>
      <c r="B2233" t="s">
        <v>7374</v>
      </c>
      <c r="C2233" t="s">
        <v>7375</v>
      </c>
      <c r="D2233" t="s">
        <v>7376</v>
      </c>
      <c r="E2233" t="s">
        <v>6195</v>
      </c>
      <c r="F2233" t="s">
        <v>26</v>
      </c>
      <c r="G2233" s="1">
        <v>3</v>
      </c>
      <c r="H2233" s="1">
        <v>1</v>
      </c>
      <c r="I2233" t="s">
        <v>5961</v>
      </c>
      <c r="L2233" s="1">
        <v>24</v>
      </c>
      <c r="M2233" s="3">
        <v>51.48</v>
      </c>
      <c r="N2233" s="3">
        <v>2.57</v>
      </c>
      <c r="O2233" s="3">
        <v>0</v>
      </c>
      <c r="P2233" s="3">
        <v>2.4</v>
      </c>
      <c r="Q2233" s="3">
        <v>56.45</v>
      </c>
      <c r="R2233" s="3">
        <v>36</v>
      </c>
      <c r="S2233" s="3">
        <f>VLOOKUP(C2233,[1]page!$C$2:$M$3071,11,0)</f>
        <v>51.48</v>
      </c>
      <c r="T2233" s="6">
        <f t="shared" si="35"/>
        <v>0</v>
      </c>
    </row>
    <row r="2234" spans="1:20" x14ac:dyDescent="0.2">
      <c r="A2234" t="s">
        <v>6186</v>
      </c>
      <c r="B2234" t="s">
        <v>7377</v>
      </c>
      <c r="C2234" t="s">
        <v>7378</v>
      </c>
      <c r="D2234" t="s">
        <v>7379</v>
      </c>
      <c r="E2234" t="s">
        <v>6284</v>
      </c>
      <c r="F2234" t="s">
        <v>26</v>
      </c>
      <c r="G2234" s="1">
        <v>5</v>
      </c>
      <c r="H2234" s="1">
        <v>1</v>
      </c>
      <c r="I2234" t="s">
        <v>6285</v>
      </c>
      <c r="L2234" s="1">
        <v>24</v>
      </c>
      <c r="M2234" s="3">
        <v>30.2</v>
      </c>
      <c r="N2234" s="3">
        <v>1.51</v>
      </c>
      <c r="O2234" s="3">
        <v>0</v>
      </c>
      <c r="P2234" s="3">
        <v>2.4</v>
      </c>
      <c r="Q2234" s="3">
        <v>34.11</v>
      </c>
      <c r="R2234" s="3">
        <v>36</v>
      </c>
      <c r="S2234" s="3">
        <f>VLOOKUP(C2234,[1]page!$C$2:$M$3071,11,0)</f>
        <v>29.9</v>
      </c>
      <c r="T2234" s="6">
        <f t="shared" si="35"/>
        <v>0.30000000000000071</v>
      </c>
    </row>
    <row r="2235" spans="1:20" x14ac:dyDescent="0.2">
      <c r="A2235" t="s">
        <v>6186</v>
      </c>
      <c r="B2235" t="s">
        <v>7380</v>
      </c>
      <c r="C2235" t="s">
        <v>7381</v>
      </c>
      <c r="D2235" t="s">
        <v>7382</v>
      </c>
      <c r="E2235" t="s">
        <v>6284</v>
      </c>
      <c r="F2235" t="s">
        <v>26</v>
      </c>
      <c r="G2235" s="1">
        <v>4</v>
      </c>
      <c r="H2235" s="1">
        <v>1</v>
      </c>
      <c r="I2235" t="s">
        <v>6285</v>
      </c>
      <c r="L2235" s="1">
        <v>24</v>
      </c>
      <c r="M2235" s="3">
        <v>30.2</v>
      </c>
      <c r="N2235" s="3">
        <v>1.51</v>
      </c>
      <c r="O2235" s="3">
        <v>0</v>
      </c>
      <c r="P2235" s="3">
        <v>2.4</v>
      </c>
      <c r="Q2235" s="3">
        <v>34.11</v>
      </c>
      <c r="R2235" s="3">
        <v>36</v>
      </c>
      <c r="S2235" s="3">
        <f>VLOOKUP(C2235,[1]page!$C$2:$M$3071,11,0)</f>
        <v>29.9</v>
      </c>
      <c r="T2235" s="6">
        <f t="shared" si="35"/>
        <v>0.30000000000000071</v>
      </c>
    </row>
    <row r="2236" spans="1:20" x14ac:dyDescent="0.2">
      <c r="A2236" t="s">
        <v>6186</v>
      </c>
      <c r="B2236" t="s">
        <v>7383</v>
      </c>
      <c r="C2236" t="s">
        <v>7384</v>
      </c>
      <c r="D2236" t="s">
        <v>7385</v>
      </c>
      <c r="E2236" t="s">
        <v>6319</v>
      </c>
      <c r="F2236" t="s">
        <v>26</v>
      </c>
      <c r="G2236" s="2">
        <v>4.9000000000000004</v>
      </c>
      <c r="H2236" s="1">
        <v>1</v>
      </c>
      <c r="I2236" t="s">
        <v>5617</v>
      </c>
      <c r="L2236" s="1">
        <v>24</v>
      </c>
      <c r="M2236" s="3">
        <v>39.6</v>
      </c>
      <c r="N2236" s="3">
        <v>1.98</v>
      </c>
      <c r="O2236" s="3">
        <v>0</v>
      </c>
      <c r="P2236" s="3">
        <v>2.4</v>
      </c>
      <c r="Q2236" s="3">
        <v>43.98</v>
      </c>
      <c r="R2236" s="3">
        <v>36</v>
      </c>
      <c r="S2236" s="3">
        <f>VLOOKUP(C2236,[1]page!$C$2:$M$3071,11,0)</f>
        <v>39.6</v>
      </c>
      <c r="T2236" s="6">
        <f t="shared" si="35"/>
        <v>0</v>
      </c>
    </row>
    <row r="2237" spans="1:20" x14ac:dyDescent="0.2">
      <c r="A2237" t="s">
        <v>6186</v>
      </c>
      <c r="B2237" t="s">
        <v>7386</v>
      </c>
      <c r="C2237" t="s">
        <v>7387</v>
      </c>
      <c r="D2237" t="s">
        <v>7388</v>
      </c>
      <c r="E2237" t="s">
        <v>6277</v>
      </c>
      <c r="F2237" t="s">
        <v>26</v>
      </c>
      <c r="G2237" s="1">
        <v>5</v>
      </c>
      <c r="H2237" s="1">
        <v>1</v>
      </c>
      <c r="I2237" t="s">
        <v>5920</v>
      </c>
      <c r="L2237" s="1">
        <v>24</v>
      </c>
      <c r="M2237" s="3">
        <v>24.35</v>
      </c>
      <c r="N2237" s="3">
        <v>1.22</v>
      </c>
      <c r="O2237" s="3">
        <v>0</v>
      </c>
      <c r="P2237" s="3">
        <v>2.4</v>
      </c>
      <c r="Q2237" s="3">
        <v>27.97</v>
      </c>
      <c r="R2237" s="3">
        <v>36</v>
      </c>
      <c r="S2237" s="3">
        <f>VLOOKUP(C2237,[1]page!$C$2:$M$3071,11,0)</f>
        <v>24.35</v>
      </c>
      <c r="T2237" s="6">
        <f t="shared" si="35"/>
        <v>0</v>
      </c>
    </row>
    <row r="2238" spans="1:20" x14ac:dyDescent="0.2">
      <c r="A2238" t="s">
        <v>6186</v>
      </c>
      <c r="B2238" t="s">
        <v>7389</v>
      </c>
      <c r="C2238" t="s">
        <v>7390</v>
      </c>
      <c r="D2238" t="s">
        <v>7391</v>
      </c>
      <c r="E2238" t="s">
        <v>6277</v>
      </c>
      <c r="F2238" t="s">
        <v>26</v>
      </c>
      <c r="G2238" s="2">
        <v>5.2</v>
      </c>
      <c r="H2238" s="1">
        <v>1</v>
      </c>
      <c r="I2238" t="s">
        <v>5920</v>
      </c>
      <c r="L2238" s="1">
        <v>24</v>
      </c>
      <c r="M2238" s="3">
        <v>50.8</v>
      </c>
      <c r="N2238" s="3">
        <v>2.54</v>
      </c>
      <c r="O2238" s="3">
        <v>0</v>
      </c>
      <c r="P2238" s="3">
        <v>2.4</v>
      </c>
      <c r="Q2238" s="3">
        <v>55.74</v>
      </c>
      <c r="R2238" s="3">
        <v>36</v>
      </c>
      <c r="S2238" s="3">
        <f>VLOOKUP(C2238,[1]page!$C$2:$M$3071,11,0)</f>
        <v>50.8</v>
      </c>
      <c r="T2238" s="6">
        <f t="shared" si="35"/>
        <v>0</v>
      </c>
    </row>
    <row r="2239" spans="1:20" x14ac:dyDescent="0.2">
      <c r="A2239" t="s">
        <v>6186</v>
      </c>
      <c r="B2239" t="s">
        <v>7392</v>
      </c>
      <c r="C2239" t="s">
        <v>7393</v>
      </c>
      <c r="D2239" t="s">
        <v>7394</v>
      </c>
      <c r="E2239" t="s">
        <v>6277</v>
      </c>
      <c r="F2239" t="s">
        <v>26</v>
      </c>
      <c r="G2239" s="2">
        <v>5.5</v>
      </c>
      <c r="H2239" s="1">
        <v>1</v>
      </c>
      <c r="I2239" t="s">
        <v>5920</v>
      </c>
      <c r="L2239" s="1">
        <v>24</v>
      </c>
      <c r="M2239" s="3">
        <v>50.8</v>
      </c>
      <c r="N2239" s="3">
        <v>2.54</v>
      </c>
      <c r="O2239" s="3">
        <v>0</v>
      </c>
      <c r="P2239" s="3">
        <v>2.4</v>
      </c>
      <c r="Q2239" s="3">
        <v>55.74</v>
      </c>
      <c r="R2239" s="3">
        <v>36</v>
      </c>
      <c r="S2239" s="3">
        <f>VLOOKUP(C2239,[1]page!$C$2:$M$3071,11,0)</f>
        <v>50.8</v>
      </c>
      <c r="T2239" s="6">
        <f t="shared" si="35"/>
        <v>0</v>
      </c>
    </row>
    <row r="2240" spans="1:20" x14ac:dyDescent="0.2">
      <c r="A2240" t="s">
        <v>6186</v>
      </c>
      <c r="B2240" t="s">
        <v>7395</v>
      </c>
      <c r="C2240" t="s">
        <v>7396</v>
      </c>
      <c r="D2240" t="s">
        <v>7397</v>
      </c>
      <c r="E2240" t="s">
        <v>6319</v>
      </c>
      <c r="F2240" t="s">
        <v>26</v>
      </c>
      <c r="G2240" s="2">
        <v>4.9000000000000004</v>
      </c>
      <c r="H2240" s="1">
        <v>1</v>
      </c>
      <c r="I2240" t="s">
        <v>5617</v>
      </c>
      <c r="L2240" s="1">
        <v>24</v>
      </c>
      <c r="M2240" s="3">
        <v>41.49</v>
      </c>
      <c r="N2240" s="3">
        <v>2.0699999999999998</v>
      </c>
      <c r="O2240" s="3">
        <v>0</v>
      </c>
      <c r="P2240" s="3">
        <v>2.4</v>
      </c>
      <c r="Q2240" s="3">
        <v>45.96</v>
      </c>
      <c r="R2240" s="3">
        <v>36</v>
      </c>
      <c r="S2240" s="3">
        <f>VLOOKUP(C2240,[1]page!$C$2:$M$3071,11,0)</f>
        <v>41.49</v>
      </c>
      <c r="T2240" s="6">
        <f t="shared" si="35"/>
        <v>0</v>
      </c>
    </row>
    <row r="2241" spans="1:20" x14ac:dyDescent="0.2">
      <c r="A2241" t="s">
        <v>6186</v>
      </c>
      <c r="B2241" t="s">
        <v>7398</v>
      </c>
      <c r="C2241" t="s">
        <v>7399</v>
      </c>
      <c r="D2241" t="s">
        <v>7400</v>
      </c>
      <c r="E2241" t="s">
        <v>6319</v>
      </c>
      <c r="F2241" t="s">
        <v>26</v>
      </c>
      <c r="G2241" s="1">
        <v>4</v>
      </c>
      <c r="H2241" s="1">
        <v>1</v>
      </c>
      <c r="I2241" t="s">
        <v>5617</v>
      </c>
      <c r="L2241" s="1">
        <v>24</v>
      </c>
      <c r="M2241" s="3">
        <v>41.49</v>
      </c>
      <c r="N2241" s="3">
        <v>2.0699999999999998</v>
      </c>
      <c r="O2241" s="3">
        <v>0</v>
      </c>
      <c r="P2241" s="3">
        <v>2.4</v>
      </c>
      <c r="Q2241" s="3">
        <v>45.96</v>
      </c>
      <c r="R2241" s="3">
        <v>36</v>
      </c>
      <c r="S2241" s="3">
        <f>VLOOKUP(C2241,[1]page!$C$2:$M$3071,11,0)</f>
        <v>41.49</v>
      </c>
      <c r="T2241" s="6">
        <f t="shared" si="35"/>
        <v>0</v>
      </c>
    </row>
    <row r="2242" spans="1:20" x14ac:dyDescent="0.2">
      <c r="A2242" t="s">
        <v>6186</v>
      </c>
      <c r="B2242" t="s">
        <v>7401</v>
      </c>
      <c r="C2242" t="s">
        <v>7402</v>
      </c>
      <c r="D2242" t="s">
        <v>7403</v>
      </c>
      <c r="E2242" t="s">
        <v>6195</v>
      </c>
      <c r="F2242" t="s">
        <v>26</v>
      </c>
      <c r="G2242" s="1">
        <v>5</v>
      </c>
      <c r="H2242" s="1">
        <v>1</v>
      </c>
      <c r="I2242" t="s">
        <v>5961</v>
      </c>
      <c r="L2242" s="1">
        <v>24</v>
      </c>
      <c r="M2242" s="3">
        <v>41.49</v>
      </c>
      <c r="N2242" s="3">
        <v>2.0699999999999998</v>
      </c>
      <c r="O2242" s="3">
        <v>0</v>
      </c>
      <c r="P2242" s="3">
        <v>2.4</v>
      </c>
      <c r="Q2242" s="3">
        <v>45.96</v>
      </c>
      <c r="R2242" s="3">
        <v>36</v>
      </c>
      <c r="S2242" s="3">
        <f>VLOOKUP(C2242,[1]page!$C$2:$M$3071,11,0)</f>
        <v>41.49</v>
      </c>
      <c r="T2242" s="6">
        <f t="shared" si="35"/>
        <v>0</v>
      </c>
    </row>
    <row r="2243" spans="1:20" x14ac:dyDescent="0.2">
      <c r="A2243" t="s">
        <v>6186</v>
      </c>
      <c r="B2243" t="s">
        <v>7404</v>
      </c>
      <c r="C2243" t="s">
        <v>7405</v>
      </c>
      <c r="D2243" t="s">
        <v>7406</v>
      </c>
      <c r="E2243" t="s">
        <v>6190</v>
      </c>
      <c r="F2243" t="s">
        <v>26</v>
      </c>
      <c r="G2243" s="2">
        <v>4.5</v>
      </c>
      <c r="H2243" s="1">
        <v>1</v>
      </c>
      <c r="I2243" t="s">
        <v>6191</v>
      </c>
      <c r="L2243" s="1">
        <v>24</v>
      </c>
      <c r="M2243" s="3">
        <v>41.99</v>
      </c>
      <c r="N2243" s="3">
        <v>2.1</v>
      </c>
      <c r="O2243" s="3">
        <v>0</v>
      </c>
      <c r="P2243" s="3">
        <v>2.4</v>
      </c>
      <c r="Q2243" s="3">
        <v>46.49</v>
      </c>
      <c r="R2243" s="3">
        <v>36</v>
      </c>
      <c r="S2243" s="3">
        <f>VLOOKUP(C2243,[1]page!$C$2:$M$3071,11,0)</f>
        <v>41.99</v>
      </c>
      <c r="T2243" s="6">
        <f t="shared" si="35"/>
        <v>0</v>
      </c>
    </row>
    <row r="2244" spans="1:20" x14ac:dyDescent="0.2">
      <c r="A2244" t="s">
        <v>6186</v>
      </c>
      <c r="B2244" t="s">
        <v>7407</v>
      </c>
      <c r="C2244" t="s">
        <v>7408</v>
      </c>
      <c r="D2244" t="s">
        <v>7409</v>
      </c>
      <c r="E2244" t="s">
        <v>6319</v>
      </c>
      <c r="F2244" t="s">
        <v>26</v>
      </c>
      <c r="G2244" s="1">
        <v>5</v>
      </c>
      <c r="H2244" s="1">
        <v>1</v>
      </c>
      <c r="I2244" t="s">
        <v>5617</v>
      </c>
      <c r="L2244" s="1">
        <v>24</v>
      </c>
      <c r="M2244" s="3">
        <v>44.37</v>
      </c>
      <c r="N2244" s="3">
        <v>2.2200000000000002</v>
      </c>
      <c r="O2244" s="3">
        <v>0</v>
      </c>
      <c r="P2244" s="3">
        <v>2.4</v>
      </c>
      <c r="Q2244" s="3">
        <v>48.99</v>
      </c>
      <c r="R2244" s="3">
        <v>36</v>
      </c>
      <c r="S2244" s="3">
        <f>VLOOKUP(C2244,[1]page!$C$2:$M$3071,11,0)</f>
        <v>44.37</v>
      </c>
      <c r="T2244" s="6">
        <f t="shared" si="35"/>
        <v>0</v>
      </c>
    </row>
    <row r="2245" spans="1:20" x14ac:dyDescent="0.2">
      <c r="A2245" t="s">
        <v>6186</v>
      </c>
      <c r="B2245" t="s">
        <v>7410</v>
      </c>
      <c r="C2245" t="s">
        <v>7411</v>
      </c>
      <c r="D2245" t="s">
        <v>7412</v>
      </c>
      <c r="E2245" t="s">
        <v>6319</v>
      </c>
      <c r="F2245" t="s">
        <v>26</v>
      </c>
      <c r="G2245" s="1">
        <v>4</v>
      </c>
      <c r="H2245" s="1">
        <v>1</v>
      </c>
      <c r="I2245" t="s">
        <v>5617</v>
      </c>
      <c r="L2245" s="1">
        <v>24</v>
      </c>
      <c r="M2245" s="3">
        <v>48.79</v>
      </c>
      <c r="N2245" s="3">
        <v>2.44</v>
      </c>
      <c r="O2245" s="3">
        <v>0</v>
      </c>
      <c r="P2245" s="3">
        <v>2.4</v>
      </c>
      <c r="Q2245" s="3">
        <v>53.63</v>
      </c>
      <c r="R2245" s="3">
        <v>36</v>
      </c>
      <c r="S2245" s="3">
        <f>VLOOKUP(C2245,[1]page!$C$2:$M$3071,11,0)</f>
        <v>48.79</v>
      </c>
      <c r="T2245" s="6">
        <f t="shared" si="35"/>
        <v>0</v>
      </c>
    </row>
    <row r="2246" spans="1:20" x14ac:dyDescent="0.2">
      <c r="A2246" t="s">
        <v>6186</v>
      </c>
      <c r="B2246" t="s">
        <v>7413</v>
      </c>
      <c r="C2246" t="s">
        <v>7414</v>
      </c>
      <c r="D2246" t="s">
        <v>7415</v>
      </c>
      <c r="E2246" t="s">
        <v>6195</v>
      </c>
      <c r="F2246" t="s">
        <v>7416</v>
      </c>
      <c r="G2246" s="2">
        <v>4.5999999999999996</v>
      </c>
      <c r="H2246" s="1">
        <v>1</v>
      </c>
      <c r="I2246" t="s">
        <v>6191</v>
      </c>
      <c r="L2246" s="1">
        <v>28</v>
      </c>
      <c r="M2246" s="3">
        <v>56.28</v>
      </c>
      <c r="N2246" s="3">
        <v>2.81</v>
      </c>
      <c r="O2246" s="3">
        <v>0</v>
      </c>
      <c r="P2246" s="3">
        <v>5.6</v>
      </c>
      <c r="Q2246" s="3">
        <v>64.69</v>
      </c>
      <c r="R2246" s="3">
        <v>45</v>
      </c>
      <c r="S2246" s="3">
        <f>VLOOKUP(C2246,[1]page!$C$2:$M$3071,11,0)</f>
        <v>56.28</v>
      </c>
      <c r="T2246" s="6">
        <f t="shared" si="35"/>
        <v>0</v>
      </c>
    </row>
    <row r="2247" spans="1:20" x14ac:dyDescent="0.2">
      <c r="A2247" t="s">
        <v>6186</v>
      </c>
      <c r="B2247" t="s">
        <v>7417</v>
      </c>
      <c r="C2247" t="s">
        <v>7418</v>
      </c>
      <c r="D2247" t="s">
        <v>7419</v>
      </c>
      <c r="E2247" t="s">
        <v>6116</v>
      </c>
      <c r="F2247" t="s">
        <v>7420</v>
      </c>
      <c r="G2247" s="1">
        <v>5</v>
      </c>
      <c r="H2247" s="1">
        <v>1</v>
      </c>
      <c r="I2247" t="s">
        <v>5961</v>
      </c>
      <c r="L2247" s="1">
        <v>28</v>
      </c>
      <c r="M2247" s="3">
        <v>60.83</v>
      </c>
      <c r="N2247" s="3">
        <v>3.04</v>
      </c>
      <c r="O2247" s="3">
        <v>0</v>
      </c>
      <c r="P2247" s="3">
        <v>5.6</v>
      </c>
      <c r="Q2247" s="3">
        <v>69.47</v>
      </c>
      <c r="R2247" s="3">
        <v>45</v>
      </c>
      <c r="S2247" s="3">
        <f>VLOOKUP(C2247,[1]page!$C$2:$M$3071,11,0)</f>
        <v>60.83</v>
      </c>
      <c r="T2247" s="6">
        <f t="shared" si="35"/>
        <v>0</v>
      </c>
    </row>
    <row r="2248" spans="1:20" x14ac:dyDescent="0.2">
      <c r="A2248" t="s">
        <v>6186</v>
      </c>
      <c r="B2248" t="s">
        <v>7421</v>
      </c>
      <c r="C2248" t="s">
        <v>7422</v>
      </c>
      <c r="D2248" t="s">
        <v>7423</v>
      </c>
      <c r="E2248" t="s">
        <v>6195</v>
      </c>
      <c r="F2248" t="s">
        <v>7420</v>
      </c>
      <c r="G2248" s="2">
        <v>4.7</v>
      </c>
      <c r="H2248" s="1">
        <v>1</v>
      </c>
      <c r="I2248" t="s">
        <v>5961</v>
      </c>
      <c r="L2248" s="1">
        <v>28</v>
      </c>
      <c r="M2248" s="3">
        <v>58.29</v>
      </c>
      <c r="N2248" s="3">
        <v>2.91</v>
      </c>
      <c r="O2248" s="3">
        <v>0</v>
      </c>
      <c r="P2248" s="3">
        <v>2.8</v>
      </c>
      <c r="Q2248" s="3">
        <v>64</v>
      </c>
      <c r="R2248" s="3">
        <v>45</v>
      </c>
      <c r="S2248" s="3">
        <f>VLOOKUP(C2248,[1]page!$C$2:$M$3071,11,0)</f>
        <v>58.29</v>
      </c>
      <c r="T2248" s="6">
        <f t="shared" si="35"/>
        <v>0</v>
      </c>
    </row>
    <row r="2249" spans="1:20" x14ac:dyDescent="0.2">
      <c r="A2249" t="s">
        <v>6186</v>
      </c>
      <c r="B2249" t="s">
        <v>7424</v>
      </c>
      <c r="C2249" t="s">
        <v>7425</v>
      </c>
      <c r="D2249" t="s">
        <v>7426</v>
      </c>
      <c r="E2249" t="s">
        <v>6357</v>
      </c>
      <c r="F2249" t="s">
        <v>7416</v>
      </c>
      <c r="G2249" s="1">
        <v>5</v>
      </c>
      <c r="H2249" s="1">
        <v>1</v>
      </c>
      <c r="I2249" t="s">
        <v>6191</v>
      </c>
      <c r="L2249" s="1">
        <v>28</v>
      </c>
      <c r="M2249" s="3">
        <v>56.28</v>
      </c>
      <c r="N2249" s="3">
        <v>2.81</v>
      </c>
      <c r="O2249" s="3">
        <v>0</v>
      </c>
      <c r="P2249" s="3">
        <v>5.6</v>
      </c>
      <c r="Q2249" s="3">
        <v>64.69</v>
      </c>
      <c r="R2249" s="3">
        <v>45</v>
      </c>
      <c r="S2249" s="3">
        <f>VLOOKUP(C2249,[1]page!$C$2:$M$3071,11,0)</f>
        <v>56.28</v>
      </c>
      <c r="T2249" s="6">
        <f t="shared" si="35"/>
        <v>0</v>
      </c>
    </row>
    <row r="2250" spans="1:20" x14ac:dyDescent="0.2">
      <c r="A2250" t="s">
        <v>6186</v>
      </c>
      <c r="B2250" t="s">
        <v>7427</v>
      </c>
      <c r="C2250" t="s">
        <v>7428</v>
      </c>
      <c r="D2250" t="s">
        <v>7429</v>
      </c>
      <c r="E2250" t="s">
        <v>6190</v>
      </c>
      <c r="F2250" t="s">
        <v>7430</v>
      </c>
      <c r="G2250" s="1">
        <v>4</v>
      </c>
      <c r="H2250" s="1">
        <v>1</v>
      </c>
      <c r="I2250" t="s">
        <v>6191</v>
      </c>
      <c r="L2250" s="1">
        <v>30</v>
      </c>
      <c r="M2250" s="3">
        <v>59.99</v>
      </c>
      <c r="N2250" s="3">
        <v>3</v>
      </c>
      <c r="O2250" s="3">
        <v>0</v>
      </c>
      <c r="P2250" s="3">
        <v>3</v>
      </c>
      <c r="Q2250" s="3">
        <v>65.989999999999995</v>
      </c>
      <c r="R2250" s="3">
        <v>45</v>
      </c>
      <c r="S2250" s="3">
        <f>VLOOKUP(C2250,[1]page!$C$2:$M$3071,11,0)</f>
        <v>59.99</v>
      </c>
      <c r="T2250" s="6">
        <f t="shared" si="35"/>
        <v>0</v>
      </c>
    </row>
    <row r="2251" spans="1:20" x14ac:dyDescent="0.2">
      <c r="A2251" t="s">
        <v>6186</v>
      </c>
      <c r="B2251" t="s">
        <v>7431</v>
      </c>
      <c r="C2251" t="s">
        <v>7432</v>
      </c>
      <c r="D2251" t="s">
        <v>7433</v>
      </c>
      <c r="E2251" t="s">
        <v>6190</v>
      </c>
      <c r="F2251" t="s">
        <v>7430</v>
      </c>
      <c r="G2251" s="1">
        <v>5</v>
      </c>
      <c r="H2251" s="1">
        <v>1</v>
      </c>
      <c r="I2251" t="s">
        <v>6191</v>
      </c>
      <c r="L2251" s="1">
        <v>30</v>
      </c>
      <c r="M2251" s="3">
        <v>59.99</v>
      </c>
      <c r="N2251" s="3">
        <v>3</v>
      </c>
      <c r="O2251" s="3">
        <v>0</v>
      </c>
      <c r="P2251" s="3">
        <v>3</v>
      </c>
      <c r="Q2251" s="3">
        <v>65.989999999999995</v>
      </c>
      <c r="R2251" s="3">
        <v>45</v>
      </c>
      <c r="S2251" s="3">
        <f>VLOOKUP(C2251,[1]page!$C$2:$M$3071,11,0)</f>
        <v>59.99</v>
      </c>
      <c r="T2251" s="6">
        <f t="shared" si="35"/>
        <v>0</v>
      </c>
    </row>
    <row r="2252" spans="1:20" x14ac:dyDescent="0.2">
      <c r="A2252" t="s">
        <v>6186</v>
      </c>
      <c r="B2252" t="s">
        <v>7434</v>
      </c>
      <c r="C2252" t="s">
        <v>7435</v>
      </c>
      <c r="D2252" t="s">
        <v>7436</v>
      </c>
      <c r="E2252" t="s">
        <v>6190</v>
      </c>
      <c r="F2252" t="s">
        <v>7430</v>
      </c>
      <c r="G2252" s="2">
        <v>4.7</v>
      </c>
      <c r="H2252" s="1">
        <v>1</v>
      </c>
      <c r="I2252" t="s">
        <v>6191</v>
      </c>
      <c r="L2252" s="1">
        <v>30</v>
      </c>
      <c r="M2252" s="3">
        <v>48.49</v>
      </c>
      <c r="N2252" s="3">
        <v>2.42</v>
      </c>
      <c r="O2252" s="3">
        <v>0</v>
      </c>
      <c r="P2252" s="3">
        <v>3</v>
      </c>
      <c r="Q2252" s="3">
        <v>53.91</v>
      </c>
      <c r="R2252" s="3">
        <v>45</v>
      </c>
      <c r="S2252" s="3">
        <f>VLOOKUP(C2252,[1]page!$C$2:$M$3071,11,0)</f>
        <v>48.49</v>
      </c>
      <c r="T2252" s="6">
        <f t="shared" si="35"/>
        <v>0</v>
      </c>
    </row>
    <row r="2253" spans="1:20" x14ac:dyDescent="0.2">
      <c r="A2253" t="s">
        <v>6186</v>
      </c>
      <c r="B2253" t="s">
        <v>7437</v>
      </c>
      <c r="C2253" t="s">
        <v>7438</v>
      </c>
      <c r="D2253" t="s">
        <v>7439</v>
      </c>
      <c r="E2253" t="s">
        <v>6190</v>
      </c>
      <c r="F2253" t="s">
        <v>7430</v>
      </c>
      <c r="G2253" s="1">
        <v>4</v>
      </c>
      <c r="H2253" s="1">
        <v>1</v>
      </c>
      <c r="I2253" t="s">
        <v>6191</v>
      </c>
      <c r="L2253" s="1">
        <v>30</v>
      </c>
      <c r="M2253" s="3">
        <v>48.49</v>
      </c>
      <c r="N2253" s="3">
        <v>2.42</v>
      </c>
      <c r="O2253" s="3">
        <v>0</v>
      </c>
      <c r="P2253" s="3">
        <v>3</v>
      </c>
      <c r="Q2253" s="3">
        <v>53.91</v>
      </c>
      <c r="R2253" s="3">
        <v>45</v>
      </c>
      <c r="S2253" s="3">
        <f>VLOOKUP(C2253,[1]page!$C$2:$M$3071,11,0)</f>
        <v>48.49</v>
      </c>
      <c r="T2253" s="6">
        <f t="shared" si="35"/>
        <v>0</v>
      </c>
    </row>
    <row r="2254" spans="1:20" x14ac:dyDescent="0.2">
      <c r="A2254" t="s">
        <v>6186</v>
      </c>
      <c r="B2254" t="s">
        <v>7440</v>
      </c>
      <c r="C2254" t="s">
        <v>7441</v>
      </c>
      <c r="D2254" t="s">
        <v>7442</v>
      </c>
      <c r="E2254" t="s">
        <v>6195</v>
      </c>
      <c r="F2254" t="s">
        <v>7430</v>
      </c>
      <c r="G2254" s="1">
        <v>4</v>
      </c>
      <c r="H2254" s="1">
        <v>1</v>
      </c>
      <c r="I2254" t="s">
        <v>5961</v>
      </c>
      <c r="L2254" s="1">
        <v>30</v>
      </c>
      <c r="M2254" s="3">
        <v>50.99</v>
      </c>
      <c r="N2254" s="3">
        <v>2.5499999999999998</v>
      </c>
      <c r="O2254" s="3">
        <v>0</v>
      </c>
      <c r="P2254" s="3">
        <v>3</v>
      </c>
      <c r="Q2254" s="3">
        <v>56.54</v>
      </c>
      <c r="R2254" s="3">
        <v>45</v>
      </c>
      <c r="S2254" s="3">
        <f>VLOOKUP(C2254,[1]page!$C$2:$M$3071,11,0)</f>
        <v>50.99</v>
      </c>
      <c r="T2254" s="6">
        <f t="shared" si="35"/>
        <v>0</v>
      </c>
    </row>
    <row r="2255" spans="1:20" x14ac:dyDescent="0.2">
      <c r="A2255" t="s">
        <v>6186</v>
      </c>
      <c r="B2255" t="s">
        <v>7443</v>
      </c>
      <c r="C2255" t="s">
        <v>7444</v>
      </c>
      <c r="D2255" t="s">
        <v>7445</v>
      </c>
      <c r="E2255" t="s">
        <v>6190</v>
      </c>
      <c r="F2255" t="s">
        <v>7430</v>
      </c>
      <c r="G2255" s="1">
        <v>5</v>
      </c>
      <c r="H2255" s="1">
        <v>1</v>
      </c>
      <c r="I2255" t="s">
        <v>6191</v>
      </c>
      <c r="L2255" s="1">
        <v>30</v>
      </c>
      <c r="M2255" s="3">
        <v>54.79</v>
      </c>
      <c r="N2255" s="3">
        <v>2.74</v>
      </c>
      <c r="O2255" s="3">
        <v>0</v>
      </c>
      <c r="P2255" s="3">
        <v>3</v>
      </c>
      <c r="Q2255" s="3">
        <v>60.53</v>
      </c>
      <c r="R2255" s="3">
        <v>45</v>
      </c>
      <c r="S2255" s="3">
        <f>VLOOKUP(C2255,[1]page!$C$2:$M$3071,11,0)</f>
        <v>54.79</v>
      </c>
      <c r="T2255" s="6">
        <f t="shared" si="35"/>
        <v>0</v>
      </c>
    </row>
    <row r="2256" spans="1:20" x14ac:dyDescent="0.2">
      <c r="A2256" t="s">
        <v>6186</v>
      </c>
      <c r="B2256" t="s">
        <v>7446</v>
      </c>
      <c r="C2256" t="s">
        <v>7447</v>
      </c>
      <c r="D2256" t="s">
        <v>7448</v>
      </c>
      <c r="E2256" t="s">
        <v>6190</v>
      </c>
      <c r="F2256" t="s">
        <v>7430</v>
      </c>
      <c r="G2256" s="1">
        <v>5</v>
      </c>
      <c r="H2256" s="1">
        <v>1</v>
      </c>
      <c r="I2256" t="s">
        <v>6191</v>
      </c>
      <c r="L2256" s="1">
        <v>30</v>
      </c>
      <c r="M2256" s="3">
        <v>44.48</v>
      </c>
      <c r="N2256" s="3">
        <v>2.2200000000000002</v>
      </c>
      <c r="O2256" s="3">
        <v>0</v>
      </c>
      <c r="P2256" s="3">
        <v>3</v>
      </c>
      <c r="Q2256" s="3">
        <v>49.7</v>
      </c>
      <c r="R2256" s="3">
        <v>45</v>
      </c>
      <c r="S2256" s="3">
        <f>VLOOKUP(C2256,[1]page!$C$2:$M$3071,11,0)</f>
        <v>44.48</v>
      </c>
      <c r="T2256" s="6">
        <f t="shared" si="35"/>
        <v>0</v>
      </c>
    </row>
    <row r="2257" spans="1:20" x14ac:dyDescent="0.2">
      <c r="A2257" t="s">
        <v>6186</v>
      </c>
      <c r="B2257" t="s">
        <v>7449</v>
      </c>
      <c r="C2257" t="s">
        <v>7450</v>
      </c>
      <c r="D2257" t="s">
        <v>7451</v>
      </c>
      <c r="E2257" t="s">
        <v>6190</v>
      </c>
      <c r="F2257" t="s">
        <v>7430</v>
      </c>
      <c r="G2257" s="1">
        <v>4</v>
      </c>
      <c r="H2257" s="1">
        <v>1</v>
      </c>
      <c r="I2257" t="s">
        <v>6191</v>
      </c>
      <c r="L2257" s="1">
        <v>30</v>
      </c>
      <c r="M2257" s="3">
        <v>64.489999999999995</v>
      </c>
      <c r="N2257" s="3">
        <v>3.22</v>
      </c>
      <c r="O2257" s="3">
        <v>0</v>
      </c>
      <c r="P2257" s="3">
        <v>3</v>
      </c>
      <c r="Q2257" s="3">
        <v>70.709999999999994</v>
      </c>
      <c r="R2257" s="3">
        <v>45</v>
      </c>
      <c r="S2257" s="3">
        <f>VLOOKUP(C2257,[1]page!$C$2:$M$3071,11,0)</f>
        <v>64.489999999999995</v>
      </c>
      <c r="T2257" s="6">
        <f t="shared" si="35"/>
        <v>0</v>
      </c>
    </row>
    <row r="2258" spans="1:20" x14ac:dyDescent="0.2">
      <c r="A2258" t="s">
        <v>6186</v>
      </c>
      <c r="B2258" t="s">
        <v>7452</v>
      </c>
      <c r="C2258" t="s">
        <v>7453</v>
      </c>
      <c r="D2258" t="s">
        <v>7454</v>
      </c>
      <c r="E2258" t="s">
        <v>6277</v>
      </c>
      <c r="F2258" t="s">
        <v>7430</v>
      </c>
      <c r="G2258" s="1">
        <v>5</v>
      </c>
      <c r="H2258" s="1">
        <v>1</v>
      </c>
      <c r="I2258" t="s">
        <v>5920</v>
      </c>
      <c r="L2258" s="1">
        <v>30</v>
      </c>
      <c r="M2258" s="3">
        <v>54.14</v>
      </c>
      <c r="N2258" s="3">
        <v>2.71</v>
      </c>
      <c r="O2258" s="3">
        <v>0</v>
      </c>
      <c r="P2258" s="3">
        <v>3</v>
      </c>
      <c r="Q2258" s="3">
        <v>59.85</v>
      </c>
      <c r="R2258" s="3">
        <v>45</v>
      </c>
      <c r="S2258" s="3">
        <f>VLOOKUP(C2258,[1]page!$C$2:$M$3071,11,0)</f>
        <v>54.14</v>
      </c>
      <c r="T2258" s="6">
        <f t="shared" si="35"/>
        <v>0</v>
      </c>
    </row>
    <row r="2259" spans="1:20" x14ac:dyDescent="0.2">
      <c r="A2259" t="s">
        <v>6186</v>
      </c>
      <c r="B2259" t="s">
        <v>7455</v>
      </c>
      <c r="C2259" t="s">
        <v>7456</v>
      </c>
      <c r="D2259" t="s">
        <v>7457</v>
      </c>
      <c r="E2259" t="s">
        <v>6284</v>
      </c>
      <c r="F2259" t="s">
        <v>7458</v>
      </c>
      <c r="G2259" s="1">
        <v>5</v>
      </c>
      <c r="H2259" s="1">
        <v>1</v>
      </c>
      <c r="I2259" t="s">
        <v>6285</v>
      </c>
      <c r="L2259" s="1">
        <v>36</v>
      </c>
      <c r="M2259" s="3">
        <v>52.11</v>
      </c>
      <c r="N2259" s="3">
        <v>2.61</v>
      </c>
      <c r="O2259" s="3">
        <v>0</v>
      </c>
      <c r="P2259" s="3">
        <v>3.6</v>
      </c>
      <c r="Q2259" s="3">
        <v>58.32</v>
      </c>
      <c r="R2259" s="3">
        <f>SUM(F2259*0.0042)</f>
        <v>53.675999999999995</v>
      </c>
      <c r="S2259" s="3">
        <f>VLOOKUP(C2259,[1]page!$C$2:$M$3071,11,0)</f>
        <v>52.11</v>
      </c>
      <c r="T2259" s="6">
        <f t="shared" si="35"/>
        <v>0</v>
      </c>
    </row>
    <row r="2260" spans="1:20" x14ac:dyDescent="0.2">
      <c r="A2260" t="s">
        <v>6186</v>
      </c>
      <c r="B2260" t="s">
        <v>7459</v>
      </c>
      <c r="C2260" t="s">
        <v>7460</v>
      </c>
      <c r="D2260" t="s">
        <v>7461</v>
      </c>
      <c r="E2260" t="s">
        <v>6277</v>
      </c>
      <c r="F2260" t="s">
        <v>7458</v>
      </c>
      <c r="G2260" s="1">
        <v>5</v>
      </c>
      <c r="H2260" s="1">
        <v>1</v>
      </c>
      <c r="I2260" t="s">
        <v>5920</v>
      </c>
      <c r="L2260" s="1">
        <v>36</v>
      </c>
      <c r="M2260" s="3">
        <v>49.1</v>
      </c>
      <c r="N2260" s="3">
        <v>2.46</v>
      </c>
      <c r="O2260" s="3">
        <v>0</v>
      </c>
      <c r="P2260" s="3">
        <v>3.6</v>
      </c>
      <c r="Q2260" s="3">
        <v>55.16</v>
      </c>
      <c r="R2260" s="3">
        <f t="shared" ref="R2260:R2284" si="36">SUM(F2260*0.0042)</f>
        <v>53.675999999999995</v>
      </c>
      <c r="S2260" s="3">
        <f>VLOOKUP(C2260,[1]page!$C$2:$M$3071,11,0)</f>
        <v>49.1</v>
      </c>
      <c r="T2260" s="6">
        <f t="shared" si="35"/>
        <v>0</v>
      </c>
    </row>
    <row r="2261" spans="1:20" x14ac:dyDescent="0.2">
      <c r="A2261" t="s">
        <v>6186</v>
      </c>
      <c r="B2261" t="s">
        <v>7462</v>
      </c>
      <c r="C2261" t="s">
        <v>7463</v>
      </c>
      <c r="D2261" t="s">
        <v>7464</v>
      </c>
      <c r="E2261" t="s">
        <v>6277</v>
      </c>
      <c r="F2261" t="s">
        <v>7458</v>
      </c>
      <c r="G2261" s="1">
        <v>4</v>
      </c>
      <c r="H2261" s="1">
        <v>1</v>
      </c>
      <c r="I2261" t="s">
        <v>5920</v>
      </c>
      <c r="L2261" s="1">
        <v>36</v>
      </c>
      <c r="M2261" s="3">
        <v>49.1</v>
      </c>
      <c r="N2261" s="3">
        <v>2.46</v>
      </c>
      <c r="O2261" s="3">
        <v>0</v>
      </c>
      <c r="P2261" s="3">
        <v>3.6</v>
      </c>
      <c r="Q2261" s="3">
        <v>55.16</v>
      </c>
      <c r="R2261" s="3">
        <f t="shared" si="36"/>
        <v>53.675999999999995</v>
      </c>
      <c r="S2261" s="3">
        <f>VLOOKUP(C2261,[1]page!$C$2:$M$3071,11,0)</f>
        <v>49.1</v>
      </c>
      <c r="T2261" s="6">
        <f t="shared" si="35"/>
        <v>0</v>
      </c>
    </row>
    <row r="2262" spans="1:20" x14ac:dyDescent="0.2">
      <c r="A2262" t="s">
        <v>6186</v>
      </c>
      <c r="B2262" t="s">
        <v>7465</v>
      </c>
      <c r="C2262" t="s">
        <v>7466</v>
      </c>
      <c r="D2262" t="s">
        <v>7467</v>
      </c>
      <c r="E2262" t="s">
        <v>6190</v>
      </c>
      <c r="F2262" t="s">
        <v>7458</v>
      </c>
      <c r="G2262" s="1">
        <v>5</v>
      </c>
      <c r="H2262" s="1">
        <v>1</v>
      </c>
      <c r="I2262" t="s">
        <v>6191</v>
      </c>
      <c r="L2262" s="1">
        <v>36</v>
      </c>
      <c r="M2262" s="3">
        <v>71.489999999999995</v>
      </c>
      <c r="N2262" s="3">
        <v>3.57</v>
      </c>
      <c r="O2262" s="3">
        <v>0</v>
      </c>
      <c r="P2262" s="3">
        <v>3.6</v>
      </c>
      <c r="Q2262" s="3">
        <v>78.66</v>
      </c>
      <c r="R2262" s="3">
        <f t="shared" si="36"/>
        <v>53.675999999999995</v>
      </c>
      <c r="S2262" s="3">
        <f>VLOOKUP(C2262,[1]page!$C$2:$M$3071,11,0)</f>
        <v>71.489999999999995</v>
      </c>
      <c r="T2262" s="6">
        <f t="shared" si="35"/>
        <v>0</v>
      </c>
    </row>
    <row r="2263" spans="1:20" x14ac:dyDescent="0.2">
      <c r="A2263" t="s">
        <v>6186</v>
      </c>
      <c r="B2263" t="s">
        <v>7468</v>
      </c>
      <c r="C2263" t="s">
        <v>7469</v>
      </c>
      <c r="D2263" t="s">
        <v>7470</v>
      </c>
      <c r="E2263" t="s">
        <v>6195</v>
      </c>
      <c r="F2263" t="s">
        <v>7458</v>
      </c>
      <c r="G2263" s="1">
        <v>5</v>
      </c>
      <c r="H2263" s="1">
        <v>1</v>
      </c>
      <c r="I2263" t="s">
        <v>5961</v>
      </c>
      <c r="L2263" s="1">
        <v>36</v>
      </c>
      <c r="M2263" s="3">
        <v>71.489999999999995</v>
      </c>
      <c r="N2263" s="3">
        <v>3.57</v>
      </c>
      <c r="O2263" s="3">
        <v>0</v>
      </c>
      <c r="P2263" s="3">
        <v>3.6</v>
      </c>
      <c r="Q2263" s="3">
        <v>78.66</v>
      </c>
      <c r="R2263" s="3">
        <f t="shared" si="36"/>
        <v>53.675999999999995</v>
      </c>
      <c r="S2263" s="3">
        <f>VLOOKUP(C2263,[1]page!$C$2:$M$3071,11,0)</f>
        <v>71.489999999999995</v>
      </c>
      <c r="T2263" s="6">
        <f t="shared" si="35"/>
        <v>0</v>
      </c>
    </row>
    <row r="2264" spans="1:20" x14ac:dyDescent="0.2">
      <c r="A2264" t="s">
        <v>6186</v>
      </c>
      <c r="B2264" t="s">
        <v>7471</v>
      </c>
      <c r="C2264" t="s">
        <v>7472</v>
      </c>
      <c r="D2264" t="s">
        <v>7473</v>
      </c>
      <c r="E2264" t="s">
        <v>6195</v>
      </c>
      <c r="F2264" t="s">
        <v>7458</v>
      </c>
      <c r="G2264" s="1">
        <v>4</v>
      </c>
      <c r="H2264" s="1">
        <v>1</v>
      </c>
      <c r="I2264" t="s">
        <v>5961</v>
      </c>
      <c r="L2264" s="1">
        <v>36</v>
      </c>
      <c r="M2264" s="3">
        <v>71.489999999999995</v>
      </c>
      <c r="N2264" s="3">
        <v>3.57</v>
      </c>
      <c r="O2264" s="3">
        <v>0</v>
      </c>
      <c r="P2264" s="3">
        <v>3.6</v>
      </c>
      <c r="Q2264" s="3">
        <v>78.66</v>
      </c>
      <c r="R2264" s="3">
        <f t="shared" si="36"/>
        <v>53.675999999999995</v>
      </c>
      <c r="S2264" s="3">
        <f>VLOOKUP(C2264,[1]page!$C$2:$M$3071,11,0)</f>
        <v>71.489999999999995</v>
      </c>
      <c r="T2264" s="6">
        <f t="shared" si="35"/>
        <v>0</v>
      </c>
    </row>
    <row r="2265" spans="1:20" x14ac:dyDescent="0.2">
      <c r="A2265" t="s">
        <v>6186</v>
      </c>
      <c r="B2265" t="s">
        <v>7474</v>
      </c>
      <c r="C2265" t="s">
        <v>7475</v>
      </c>
      <c r="D2265" t="s">
        <v>7476</v>
      </c>
      <c r="E2265" t="s">
        <v>6195</v>
      </c>
      <c r="F2265" t="s">
        <v>7458</v>
      </c>
      <c r="G2265" s="1">
        <v>5</v>
      </c>
      <c r="H2265" s="1">
        <v>1</v>
      </c>
      <c r="I2265" t="s">
        <v>5961</v>
      </c>
      <c r="L2265" s="1">
        <v>36</v>
      </c>
      <c r="M2265" s="3">
        <v>77.2</v>
      </c>
      <c r="N2265" s="3">
        <v>3.86</v>
      </c>
      <c r="O2265" s="3">
        <v>0</v>
      </c>
      <c r="P2265" s="3">
        <v>3.6</v>
      </c>
      <c r="Q2265" s="3">
        <v>84.66</v>
      </c>
      <c r="R2265" s="3">
        <f t="shared" si="36"/>
        <v>53.675999999999995</v>
      </c>
      <c r="S2265" s="3">
        <f>VLOOKUP(C2265,[1]page!$C$2:$M$3071,11,0)</f>
        <v>77.2</v>
      </c>
      <c r="T2265" s="6">
        <f t="shared" si="35"/>
        <v>0</v>
      </c>
    </row>
    <row r="2266" spans="1:20" x14ac:dyDescent="0.2">
      <c r="A2266" t="s">
        <v>6186</v>
      </c>
      <c r="B2266" t="s">
        <v>7477</v>
      </c>
      <c r="C2266" t="s">
        <v>7478</v>
      </c>
      <c r="D2266" t="s">
        <v>7479</v>
      </c>
      <c r="E2266" t="s">
        <v>6277</v>
      </c>
      <c r="F2266" t="s">
        <v>7458</v>
      </c>
      <c r="G2266" s="1">
        <v>5</v>
      </c>
      <c r="H2266" s="1">
        <v>1</v>
      </c>
      <c r="I2266" t="s">
        <v>5920</v>
      </c>
      <c r="L2266" s="1">
        <v>36</v>
      </c>
      <c r="M2266" s="3">
        <v>53.45</v>
      </c>
      <c r="N2266" s="3">
        <v>2.67</v>
      </c>
      <c r="O2266" s="3">
        <v>0</v>
      </c>
      <c r="P2266" s="3">
        <v>3.6</v>
      </c>
      <c r="Q2266" s="3">
        <v>59.72</v>
      </c>
      <c r="R2266" s="3">
        <f t="shared" si="36"/>
        <v>53.675999999999995</v>
      </c>
      <c r="S2266" s="3">
        <f>VLOOKUP(C2266,[1]page!$C$2:$M$3071,11,0)</f>
        <v>53.45</v>
      </c>
      <c r="T2266" s="6">
        <f t="shared" si="35"/>
        <v>0</v>
      </c>
    </row>
    <row r="2267" spans="1:20" x14ac:dyDescent="0.2">
      <c r="A2267" t="s">
        <v>6186</v>
      </c>
      <c r="B2267" t="s">
        <v>7480</v>
      </c>
      <c r="C2267" t="s">
        <v>7481</v>
      </c>
      <c r="D2267" t="s">
        <v>7482</v>
      </c>
      <c r="E2267" t="s">
        <v>6277</v>
      </c>
      <c r="F2267" t="s">
        <v>7458</v>
      </c>
      <c r="G2267" s="1">
        <v>4</v>
      </c>
      <c r="H2267" s="1">
        <v>1</v>
      </c>
      <c r="I2267" t="s">
        <v>5920</v>
      </c>
      <c r="L2267" s="1">
        <v>36</v>
      </c>
      <c r="M2267" s="3">
        <v>53.45</v>
      </c>
      <c r="N2267" s="3">
        <v>2.67</v>
      </c>
      <c r="O2267" s="3">
        <v>0</v>
      </c>
      <c r="P2267" s="3">
        <v>3.6</v>
      </c>
      <c r="Q2267" s="3">
        <v>59.72</v>
      </c>
      <c r="R2267" s="3">
        <f t="shared" si="36"/>
        <v>53.675999999999995</v>
      </c>
      <c r="S2267" s="3">
        <f>VLOOKUP(C2267,[1]page!$C$2:$M$3071,11,0)</f>
        <v>53.45</v>
      </c>
      <c r="T2267" s="6">
        <f t="shared" si="35"/>
        <v>0</v>
      </c>
    </row>
    <row r="2268" spans="1:20" x14ac:dyDescent="0.2">
      <c r="A2268" t="s">
        <v>6186</v>
      </c>
      <c r="B2268" t="s">
        <v>7483</v>
      </c>
      <c r="C2268" t="s">
        <v>7484</v>
      </c>
      <c r="D2268" t="s">
        <v>7485</v>
      </c>
      <c r="E2268" t="s">
        <v>6277</v>
      </c>
      <c r="F2268" t="s">
        <v>7458</v>
      </c>
      <c r="G2268" s="1">
        <v>5</v>
      </c>
      <c r="H2268" s="1">
        <v>1</v>
      </c>
      <c r="I2268" t="s">
        <v>5920</v>
      </c>
      <c r="L2268" s="1">
        <v>36</v>
      </c>
      <c r="M2268" s="3">
        <v>51.95</v>
      </c>
      <c r="N2268" s="3">
        <v>2.6</v>
      </c>
      <c r="O2268" s="3">
        <v>0</v>
      </c>
      <c r="P2268" s="3">
        <v>3.6</v>
      </c>
      <c r="Q2268" s="3">
        <v>58.15</v>
      </c>
      <c r="R2268" s="3">
        <f t="shared" si="36"/>
        <v>53.675999999999995</v>
      </c>
      <c r="S2268" s="3">
        <f>VLOOKUP(C2268,[1]page!$C$2:$M$3071,11,0)</f>
        <v>51.95</v>
      </c>
      <c r="T2268" s="6">
        <f t="shared" si="35"/>
        <v>0</v>
      </c>
    </row>
    <row r="2269" spans="1:20" x14ac:dyDescent="0.2">
      <c r="A2269" t="s">
        <v>6186</v>
      </c>
      <c r="B2269" t="s">
        <v>7486</v>
      </c>
      <c r="C2269" t="s">
        <v>7487</v>
      </c>
      <c r="D2269" t="s">
        <v>7488</v>
      </c>
      <c r="E2269" t="s">
        <v>6190</v>
      </c>
      <c r="F2269" t="s">
        <v>7458</v>
      </c>
      <c r="G2269" s="1">
        <v>5</v>
      </c>
      <c r="H2269" s="1">
        <v>1</v>
      </c>
      <c r="I2269" t="s">
        <v>6191</v>
      </c>
      <c r="L2269" s="1">
        <v>36</v>
      </c>
      <c r="M2269" s="3">
        <v>64.790000000000006</v>
      </c>
      <c r="N2269" s="3">
        <v>3.24</v>
      </c>
      <c r="O2269" s="3">
        <v>0</v>
      </c>
      <c r="P2269" s="3">
        <v>3.6</v>
      </c>
      <c r="Q2269" s="3">
        <v>71.63</v>
      </c>
      <c r="R2269" s="3">
        <f t="shared" si="36"/>
        <v>53.675999999999995</v>
      </c>
      <c r="S2269" s="3">
        <f>VLOOKUP(C2269,[1]page!$C$2:$M$3071,11,0)</f>
        <v>64.790000000000006</v>
      </c>
      <c r="T2269" s="6">
        <f t="shared" si="35"/>
        <v>0</v>
      </c>
    </row>
    <row r="2270" spans="1:20" x14ac:dyDescent="0.2">
      <c r="A2270" t="s">
        <v>6186</v>
      </c>
      <c r="B2270" t="s">
        <v>7489</v>
      </c>
      <c r="C2270" t="s">
        <v>7490</v>
      </c>
      <c r="D2270" t="s">
        <v>7491</v>
      </c>
      <c r="E2270" t="s">
        <v>6190</v>
      </c>
      <c r="F2270" t="s">
        <v>7458</v>
      </c>
      <c r="G2270" s="1">
        <v>5</v>
      </c>
      <c r="H2270" s="1">
        <v>1</v>
      </c>
      <c r="I2270" t="s">
        <v>6191</v>
      </c>
      <c r="L2270" s="1">
        <v>36</v>
      </c>
      <c r="M2270" s="3">
        <v>57.29</v>
      </c>
      <c r="N2270" s="3">
        <v>2.86</v>
      </c>
      <c r="O2270" s="3">
        <v>0</v>
      </c>
      <c r="P2270" s="3">
        <v>3.6</v>
      </c>
      <c r="Q2270" s="3">
        <v>63.75</v>
      </c>
      <c r="R2270" s="3">
        <f t="shared" si="36"/>
        <v>53.675999999999995</v>
      </c>
      <c r="S2270" s="3">
        <f>VLOOKUP(C2270,[1]page!$C$2:$M$3071,11,0)</f>
        <v>57.29</v>
      </c>
      <c r="T2270" s="6">
        <f t="shared" si="35"/>
        <v>0</v>
      </c>
    </row>
    <row r="2271" spans="1:20" x14ac:dyDescent="0.2">
      <c r="A2271" t="s">
        <v>6186</v>
      </c>
      <c r="B2271" t="s">
        <v>7492</v>
      </c>
      <c r="C2271" t="s">
        <v>7493</v>
      </c>
      <c r="D2271" t="s">
        <v>7494</v>
      </c>
      <c r="E2271" t="s">
        <v>6195</v>
      </c>
      <c r="F2271" t="s">
        <v>7458</v>
      </c>
      <c r="G2271" s="1">
        <v>5</v>
      </c>
      <c r="H2271" s="1">
        <v>1</v>
      </c>
      <c r="I2271" t="s">
        <v>5961</v>
      </c>
      <c r="L2271" s="1">
        <v>36</v>
      </c>
      <c r="M2271" s="3">
        <v>59.79</v>
      </c>
      <c r="N2271" s="3">
        <v>2.99</v>
      </c>
      <c r="O2271" s="3">
        <v>0</v>
      </c>
      <c r="P2271" s="3">
        <v>3.6</v>
      </c>
      <c r="Q2271" s="3">
        <v>66.38</v>
      </c>
      <c r="R2271" s="3">
        <f t="shared" si="36"/>
        <v>53.675999999999995</v>
      </c>
      <c r="S2271" s="3">
        <f>VLOOKUP(C2271,[1]page!$C$2:$M$3071,11,0)</f>
        <v>59.79</v>
      </c>
      <c r="T2271" s="6">
        <f t="shared" ref="T2271:T2334" si="37">SUM(M2271-S2271)</f>
        <v>0</v>
      </c>
    </row>
    <row r="2272" spans="1:20" x14ac:dyDescent="0.2">
      <c r="A2272" t="s">
        <v>6186</v>
      </c>
      <c r="B2272" t="s">
        <v>7495</v>
      </c>
      <c r="C2272" t="s">
        <v>7496</v>
      </c>
      <c r="D2272" t="s">
        <v>7497</v>
      </c>
      <c r="E2272" t="s">
        <v>6277</v>
      </c>
      <c r="F2272" t="s">
        <v>7498</v>
      </c>
      <c r="G2272" s="1">
        <v>5</v>
      </c>
      <c r="H2272" s="1">
        <v>1</v>
      </c>
      <c r="I2272" t="s">
        <v>5920</v>
      </c>
      <c r="L2272" s="1">
        <v>48</v>
      </c>
      <c r="M2272" s="3">
        <v>63.04</v>
      </c>
      <c r="N2272" s="3">
        <v>3.15</v>
      </c>
      <c r="O2272" s="3">
        <v>0</v>
      </c>
      <c r="P2272" s="3">
        <v>4.8</v>
      </c>
      <c r="Q2272" s="3">
        <v>70.989999999999995</v>
      </c>
      <c r="R2272" s="3">
        <f t="shared" si="36"/>
        <v>71.567999999999998</v>
      </c>
      <c r="S2272" s="3">
        <f>VLOOKUP(C2272,[1]page!$C$2:$M$3071,11,0)</f>
        <v>63.04</v>
      </c>
      <c r="T2272" s="6">
        <f t="shared" si="37"/>
        <v>0</v>
      </c>
    </row>
    <row r="2273" spans="1:20" x14ac:dyDescent="0.2">
      <c r="A2273" t="s">
        <v>6186</v>
      </c>
      <c r="B2273" t="s">
        <v>7499</v>
      </c>
      <c r="C2273" t="s">
        <v>7500</v>
      </c>
      <c r="D2273" t="s">
        <v>7501</v>
      </c>
      <c r="E2273" t="s">
        <v>6190</v>
      </c>
      <c r="F2273" t="s">
        <v>7498</v>
      </c>
      <c r="G2273" s="1">
        <v>4</v>
      </c>
      <c r="H2273" s="1">
        <v>1</v>
      </c>
      <c r="I2273" t="s">
        <v>6191</v>
      </c>
      <c r="L2273" s="1">
        <v>48</v>
      </c>
      <c r="M2273" s="3">
        <v>93.49</v>
      </c>
      <c r="N2273" s="3">
        <v>4.67</v>
      </c>
      <c r="O2273" s="3">
        <v>0</v>
      </c>
      <c r="P2273" s="3">
        <v>4.8</v>
      </c>
      <c r="Q2273" s="3">
        <v>102.96</v>
      </c>
      <c r="R2273" s="3">
        <f t="shared" si="36"/>
        <v>71.567999999999998</v>
      </c>
      <c r="S2273" s="3">
        <f>VLOOKUP(C2273,[1]page!$C$2:$M$3071,11,0)</f>
        <v>93.49</v>
      </c>
      <c r="T2273" s="6">
        <f t="shared" si="37"/>
        <v>0</v>
      </c>
    </row>
    <row r="2274" spans="1:20" x14ac:dyDescent="0.2">
      <c r="A2274" t="s">
        <v>6186</v>
      </c>
      <c r="B2274" t="s">
        <v>7502</v>
      </c>
      <c r="C2274" t="s">
        <v>7503</v>
      </c>
      <c r="D2274" t="s">
        <v>7504</v>
      </c>
      <c r="E2274" t="s">
        <v>6190</v>
      </c>
      <c r="F2274" t="s">
        <v>7498</v>
      </c>
      <c r="G2274" s="1">
        <v>5</v>
      </c>
      <c r="H2274" s="1">
        <v>1</v>
      </c>
      <c r="I2274" t="s">
        <v>6191</v>
      </c>
      <c r="L2274" s="1">
        <v>48</v>
      </c>
      <c r="M2274" s="3">
        <v>93.49</v>
      </c>
      <c r="N2274" s="3">
        <v>4.67</v>
      </c>
      <c r="O2274" s="3">
        <v>0</v>
      </c>
      <c r="P2274" s="3">
        <v>4.8</v>
      </c>
      <c r="Q2274" s="3">
        <v>102.96</v>
      </c>
      <c r="R2274" s="3">
        <f t="shared" si="36"/>
        <v>71.567999999999998</v>
      </c>
      <c r="S2274" s="3">
        <f>VLOOKUP(C2274,[1]page!$C$2:$M$3071,11,0)</f>
        <v>93.49</v>
      </c>
      <c r="T2274" s="6">
        <f t="shared" si="37"/>
        <v>0</v>
      </c>
    </row>
    <row r="2275" spans="1:20" x14ac:dyDescent="0.2">
      <c r="A2275" t="s">
        <v>6186</v>
      </c>
      <c r="B2275" t="s">
        <v>7505</v>
      </c>
      <c r="C2275" t="s">
        <v>7506</v>
      </c>
      <c r="D2275" t="s">
        <v>7507</v>
      </c>
      <c r="E2275" t="s">
        <v>6195</v>
      </c>
      <c r="F2275" t="s">
        <v>7498</v>
      </c>
      <c r="G2275" s="1">
        <v>5</v>
      </c>
      <c r="H2275" s="1">
        <v>1</v>
      </c>
      <c r="I2275" t="s">
        <v>5961</v>
      </c>
      <c r="L2275" s="1">
        <v>48</v>
      </c>
      <c r="M2275" s="3">
        <v>93</v>
      </c>
      <c r="N2275" s="3">
        <v>4.6500000000000004</v>
      </c>
      <c r="O2275" s="3">
        <v>0</v>
      </c>
      <c r="P2275" s="3">
        <v>4.8</v>
      </c>
      <c r="Q2275" s="3">
        <v>102.45</v>
      </c>
      <c r="R2275" s="3">
        <f t="shared" si="36"/>
        <v>71.567999999999998</v>
      </c>
      <c r="S2275" s="3">
        <f>VLOOKUP(C2275,[1]page!$C$2:$M$3071,11,0)</f>
        <v>93</v>
      </c>
      <c r="T2275" s="6">
        <f t="shared" si="37"/>
        <v>0</v>
      </c>
    </row>
    <row r="2276" spans="1:20" x14ac:dyDescent="0.2">
      <c r="A2276" t="s">
        <v>6186</v>
      </c>
      <c r="B2276" t="s">
        <v>7508</v>
      </c>
      <c r="C2276" t="s">
        <v>7509</v>
      </c>
      <c r="D2276" t="s">
        <v>7510</v>
      </c>
      <c r="E2276" t="s">
        <v>6195</v>
      </c>
      <c r="F2276" t="s">
        <v>7498</v>
      </c>
      <c r="G2276" s="1">
        <v>4</v>
      </c>
      <c r="H2276" s="1">
        <v>1</v>
      </c>
      <c r="I2276" t="s">
        <v>5961</v>
      </c>
      <c r="L2276" s="1">
        <v>48</v>
      </c>
      <c r="M2276" s="3">
        <v>93</v>
      </c>
      <c r="N2276" s="3">
        <v>4.6500000000000004</v>
      </c>
      <c r="O2276" s="3">
        <v>0</v>
      </c>
      <c r="P2276" s="3">
        <v>4.8</v>
      </c>
      <c r="Q2276" s="3">
        <v>102.45</v>
      </c>
      <c r="R2276" s="3">
        <f t="shared" si="36"/>
        <v>71.567999999999998</v>
      </c>
      <c r="S2276" s="3">
        <f>VLOOKUP(C2276,[1]page!$C$2:$M$3071,11,0)</f>
        <v>93</v>
      </c>
      <c r="T2276" s="6">
        <f t="shared" si="37"/>
        <v>0</v>
      </c>
    </row>
    <row r="2277" spans="1:20" x14ac:dyDescent="0.2">
      <c r="A2277" t="s">
        <v>6186</v>
      </c>
      <c r="B2277" t="s">
        <v>7511</v>
      </c>
      <c r="C2277" t="s">
        <v>7512</v>
      </c>
      <c r="D2277" t="s">
        <v>7513</v>
      </c>
      <c r="E2277" t="s">
        <v>6195</v>
      </c>
      <c r="F2277" t="s">
        <v>7498</v>
      </c>
      <c r="G2277" s="1">
        <v>5</v>
      </c>
      <c r="H2277" s="1">
        <v>1</v>
      </c>
      <c r="I2277" t="s">
        <v>5961</v>
      </c>
      <c r="L2277" s="1">
        <v>48</v>
      </c>
      <c r="M2277" s="3">
        <v>99.86</v>
      </c>
      <c r="N2277" s="3">
        <v>4.99</v>
      </c>
      <c r="O2277" s="3">
        <v>0</v>
      </c>
      <c r="P2277" s="3">
        <v>4.8</v>
      </c>
      <c r="Q2277" s="3">
        <v>109.65</v>
      </c>
      <c r="R2277" s="3">
        <f t="shared" si="36"/>
        <v>71.567999999999998</v>
      </c>
      <c r="S2277" s="3">
        <f>VLOOKUP(C2277,[1]page!$C$2:$M$3071,11,0)</f>
        <v>99.86</v>
      </c>
      <c r="T2277" s="6">
        <f t="shared" si="37"/>
        <v>0</v>
      </c>
    </row>
    <row r="2278" spans="1:20" x14ac:dyDescent="0.2">
      <c r="A2278" t="s">
        <v>6186</v>
      </c>
      <c r="B2278" t="s">
        <v>7514</v>
      </c>
      <c r="C2278" t="s">
        <v>7515</v>
      </c>
      <c r="D2278" t="s">
        <v>7516</v>
      </c>
      <c r="E2278" t="s">
        <v>6277</v>
      </c>
      <c r="F2278" t="s">
        <v>7498</v>
      </c>
      <c r="G2278" s="2">
        <v>5.0999999999999996</v>
      </c>
      <c r="H2278" s="1">
        <v>1</v>
      </c>
      <c r="I2278" t="s">
        <v>5920</v>
      </c>
      <c r="L2278" s="1">
        <v>48</v>
      </c>
      <c r="M2278" s="3">
        <v>67.89</v>
      </c>
      <c r="N2278" s="3">
        <v>3.39</v>
      </c>
      <c r="O2278" s="3">
        <v>0</v>
      </c>
      <c r="P2278" s="3">
        <v>4.8</v>
      </c>
      <c r="Q2278" s="3">
        <v>76.08</v>
      </c>
      <c r="R2278" s="3">
        <f t="shared" si="36"/>
        <v>71.567999999999998</v>
      </c>
      <c r="S2278" s="3">
        <f>VLOOKUP(C2278,[1]page!$C$2:$M$3071,11,0)</f>
        <v>67.89</v>
      </c>
      <c r="T2278" s="6">
        <f t="shared" si="37"/>
        <v>0</v>
      </c>
    </row>
    <row r="2279" spans="1:20" x14ac:dyDescent="0.2">
      <c r="A2279" t="s">
        <v>6186</v>
      </c>
      <c r="B2279" t="s">
        <v>7517</v>
      </c>
      <c r="C2279" t="s">
        <v>7518</v>
      </c>
      <c r="D2279" t="s">
        <v>7519</v>
      </c>
      <c r="E2279" t="s">
        <v>6277</v>
      </c>
      <c r="F2279" t="s">
        <v>7498</v>
      </c>
      <c r="G2279" s="1">
        <v>5</v>
      </c>
      <c r="H2279" s="1">
        <v>1</v>
      </c>
      <c r="I2279" t="s">
        <v>5920</v>
      </c>
      <c r="L2279" s="1">
        <v>48</v>
      </c>
      <c r="M2279" s="3">
        <v>65.66</v>
      </c>
      <c r="N2279" s="3">
        <v>3.28</v>
      </c>
      <c r="O2279" s="3">
        <v>0</v>
      </c>
      <c r="P2279" s="3">
        <v>4.8</v>
      </c>
      <c r="Q2279" s="3">
        <v>73.739999999999995</v>
      </c>
      <c r="R2279" s="3">
        <f t="shared" si="36"/>
        <v>71.567999999999998</v>
      </c>
      <c r="S2279" s="3">
        <f>VLOOKUP(C2279,[1]page!$C$2:$M$3071,11,0)</f>
        <v>65.66</v>
      </c>
      <c r="T2279" s="6">
        <f t="shared" si="37"/>
        <v>0</v>
      </c>
    </row>
    <row r="2280" spans="1:20" x14ac:dyDescent="0.2">
      <c r="A2280" t="s">
        <v>6186</v>
      </c>
      <c r="B2280" t="s">
        <v>7520</v>
      </c>
      <c r="C2280" t="s">
        <v>7521</v>
      </c>
      <c r="D2280" t="s">
        <v>7522</v>
      </c>
      <c r="E2280" t="s">
        <v>6190</v>
      </c>
      <c r="F2280" t="s">
        <v>7498</v>
      </c>
      <c r="G2280" s="1">
        <v>5</v>
      </c>
      <c r="H2280" s="1">
        <v>1</v>
      </c>
      <c r="I2280" t="s">
        <v>6191</v>
      </c>
      <c r="L2280" s="1">
        <v>48</v>
      </c>
      <c r="M2280" s="3">
        <v>84.78</v>
      </c>
      <c r="N2280" s="3">
        <v>4.24</v>
      </c>
      <c r="O2280" s="3">
        <v>0</v>
      </c>
      <c r="P2280" s="3">
        <v>4.8</v>
      </c>
      <c r="Q2280" s="3">
        <v>93.82</v>
      </c>
      <c r="R2280" s="3">
        <f t="shared" si="36"/>
        <v>71.567999999999998</v>
      </c>
      <c r="S2280" s="3">
        <f>VLOOKUP(C2280,[1]page!$C$2:$M$3071,11,0)</f>
        <v>84.78</v>
      </c>
      <c r="T2280" s="6">
        <f t="shared" si="37"/>
        <v>0</v>
      </c>
    </row>
    <row r="2281" spans="1:20" x14ac:dyDescent="0.2">
      <c r="A2281" t="s">
        <v>6186</v>
      </c>
      <c r="B2281" t="s">
        <v>7523</v>
      </c>
      <c r="C2281" t="s">
        <v>7524</v>
      </c>
      <c r="D2281" t="s">
        <v>7525</v>
      </c>
      <c r="E2281" t="s">
        <v>6190</v>
      </c>
      <c r="F2281" t="s">
        <v>7498</v>
      </c>
      <c r="G2281" s="1">
        <v>5</v>
      </c>
      <c r="H2281" s="1">
        <v>1</v>
      </c>
      <c r="I2281" t="s">
        <v>6191</v>
      </c>
      <c r="L2281" s="1">
        <v>48</v>
      </c>
      <c r="M2281" s="3">
        <v>71.989999999999995</v>
      </c>
      <c r="N2281" s="3">
        <v>3.6</v>
      </c>
      <c r="O2281" s="3">
        <v>0</v>
      </c>
      <c r="P2281" s="3">
        <v>4.8</v>
      </c>
      <c r="Q2281" s="3">
        <v>80.39</v>
      </c>
      <c r="R2281" s="3">
        <f t="shared" si="36"/>
        <v>71.567999999999998</v>
      </c>
      <c r="S2281" s="3">
        <f>VLOOKUP(C2281,[1]page!$C$2:$M$3071,11,0)</f>
        <v>71.989999999999995</v>
      </c>
      <c r="T2281" s="6">
        <f t="shared" si="37"/>
        <v>0</v>
      </c>
    </row>
    <row r="2282" spans="1:20" x14ac:dyDescent="0.2">
      <c r="A2282" t="s">
        <v>6186</v>
      </c>
      <c r="B2282" t="s">
        <v>7526</v>
      </c>
      <c r="C2282" t="s">
        <v>7527</v>
      </c>
      <c r="D2282" t="s">
        <v>7528</v>
      </c>
      <c r="E2282" t="s">
        <v>6277</v>
      </c>
      <c r="F2282" t="s">
        <v>7498</v>
      </c>
      <c r="G2282" s="1">
        <v>5</v>
      </c>
      <c r="H2282" s="1">
        <v>1</v>
      </c>
      <c r="I2282" t="s">
        <v>5920</v>
      </c>
      <c r="L2282" s="1">
        <v>48</v>
      </c>
      <c r="M2282" s="3">
        <v>82.98</v>
      </c>
      <c r="N2282" s="3">
        <v>4.1500000000000004</v>
      </c>
      <c r="O2282" s="3">
        <v>0</v>
      </c>
      <c r="P2282" s="3">
        <v>4.8</v>
      </c>
      <c r="Q2282" s="3">
        <v>91.93</v>
      </c>
      <c r="R2282" s="3">
        <f t="shared" si="36"/>
        <v>71.567999999999998</v>
      </c>
      <c r="S2282" s="3">
        <f>VLOOKUP(C2282,[1]page!$C$2:$M$3071,11,0)</f>
        <v>82.98</v>
      </c>
      <c r="T2282" s="6">
        <f t="shared" si="37"/>
        <v>0</v>
      </c>
    </row>
    <row r="2283" spans="1:20" x14ac:dyDescent="0.2">
      <c r="A2283" t="s">
        <v>6186</v>
      </c>
      <c r="B2283" t="s">
        <v>7529</v>
      </c>
      <c r="C2283" t="s">
        <v>7530</v>
      </c>
      <c r="D2283" t="s">
        <v>7531</v>
      </c>
      <c r="E2283" t="s">
        <v>6319</v>
      </c>
      <c r="F2283" t="s">
        <v>7498</v>
      </c>
      <c r="G2283" s="2">
        <v>4.9000000000000004</v>
      </c>
      <c r="H2283" s="1">
        <v>1</v>
      </c>
      <c r="I2283" t="s">
        <v>5617</v>
      </c>
      <c r="L2283" s="1">
        <v>48</v>
      </c>
      <c r="M2283" s="3">
        <v>71.989999999999995</v>
      </c>
      <c r="N2283" s="3">
        <v>3.6</v>
      </c>
      <c r="O2283" s="3">
        <v>0</v>
      </c>
      <c r="P2283" s="3">
        <v>4.8</v>
      </c>
      <c r="Q2283" s="3">
        <v>80.39</v>
      </c>
      <c r="R2283" s="3">
        <f t="shared" si="36"/>
        <v>71.567999999999998</v>
      </c>
      <c r="S2283" s="3">
        <f>VLOOKUP(C2283,[1]page!$C$2:$M$3071,11,0)</f>
        <v>71.989999999999995</v>
      </c>
      <c r="T2283" s="6">
        <f t="shared" si="37"/>
        <v>0</v>
      </c>
    </row>
    <row r="2284" spans="1:20" x14ac:dyDescent="0.2">
      <c r="A2284" t="s">
        <v>6186</v>
      </c>
      <c r="B2284" t="s">
        <v>7532</v>
      </c>
      <c r="C2284" t="s">
        <v>7533</v>
      </c>
      <c r="D2284" t="s">
        <v>7534</v>
      </c>
      <c r="E2284" t="s">
        <v>6195</v>
      </c>
      <c r="F2284" t="s">
        <v>7498</v>
      </c>
      <c r="G2284" s="1">
        <v>5</v>
      </c>
      <c r="H2284" s="1">
        <v>1</v>
      </c>
      <c r="I2284" t="s">
        <v>5961</v>
      </c>
      <c r="L2284" s="1">
        <v>48</v>
      </c>
      <c r="M2284" s="3">
        <v>78.3</v>
      </c>
      <c r="N2284" s="3">
        <v>3.92</v>
      </c>
      <c r="O2284" s="3">
        <v>0</v>
      </c>
      <c r="P2284" s="3">
        <v>4.8</v>
      </c>
      <c r="Q2284" s="3">
        <v>87.02</v>
      </c>
      <c r="R2284" s="3">
        <f t="shared" si="36"/>
        <v>71.567999999999998</v>
      </c>
      <c r="S2284" s="3">
        <f>VLOOKUP(C2284,[1]page!$C$2:$M$3071,11,0)</f>
        <v>78.3</v>
      </c>
      <c r="T2284" s="6">
        <f t="shared" si="37"/>
        <v>0</v>
      </c>
    </row>
    <row r="2285" spans="1:20" x14ac:dyDescent="0.2">
      <c r="A2285" t="s">
        <v>6186</v>
      </c>
      <c r="B2285" t="s">
        <v>7535</v>
      </c>
      <c r="C2285" t="s">
        <v>7536</v>
      </c>
      <c r="D2285" t="s">
        <v>7537</v>
      </c>
      <c r="E2285" t="s">
        <v>6264</v>
      </c>
      <c r="F2285" t="s">
        <v>5872</v>
      </c>
      <c r="G2285" s="2">
        <v>4.4000000000000004</v>
      </c>
      <c r="H2285" s="1">
        <v>1</v>
      </c>
      <c r="I2285" t="s">
        <v>6191</v>
      </c>
      <c r="L2285" s="1">
        <v>4</v>
      </c>
      <c r="M2285" s="3">
        <v>14.38</v>
      </c>
      <c r="N2285" s="3">
        <v>0.72</v>
      </c>
      <c r="O2285" s="3">
        <v>0</v>
      </c>
      <c r="P2285" s="3">
        <v>0.4</v>
      </c>
      <c r="Q2285" s="3">
        <v>15.5</v>
      </c>
      <c r="R2285" s="3">
        <v>9.35</v>
      </c>
      <c r="S2285" s="3">
        <f>VLOOKUP(C2285,[1]page!$C$2:$M$3071,11,0)</f>
        <v>14.38</v>
      </c>
      <c r="T2285" s="6">
        <f t="shared" si="37"/>
        <v>0</v>
      </c>
    </row>
    <row r="2286" spans="1:20" x14ac:dyDescent="0.2">
      <c r="A2286" t="s">
        <v>6186</v>
      </c>
      <c r="B2286" t="s">
        <v>7538</v>
      </c>
      <c r="C2286" t="s">
        <v>7539</v>
      </c>
      <c r="D2286" t="s">
        <v>7540</v>
      </c>
      <c r="E2286" t="s">
        <v>6264</v>
      </c>
      <c r="F2286" t="s">
        <v>5872</v>
      </c>
      <c r="G2286" s="2">
        <v>4.4000000000000004</v>
      </c>
      <c r="H2286" s="1">
        <v>1</v>
      </c>
      <c r="I2286" t="s">
        <v>6191</v>
      </c>
      <c r="L2286" s="1">
        <v>4</v>
      </c>
      <c r="M2286" s="3">
        <v>12.98</v>
      </c>
      <c r="N2286" s="3">
        <v>0.65</v>
      </c>
      <c r="O2286" s="3">
        <v>0</v>
      </c>
      <c r="P2286" s="3">
        <v>0.4</v>
      </c>
      <c r="Q2286" s="3">
        <v>14.03</v>
      </c>
      <c r="R2286" s="3">
        <v>9.35</v>
      </c>
      <c r="S2286" s="3">
        <f>VLOOKUP(C2286,[1]page!$C$2:$M$3071,11,0)</f>
        <v>12.98</v>
      </c>
      <c r="T2286" s="6">
        <f t="shared" si="37"/>
        <v>0</v>
      </c>
    </row>
    <row r="2287" spans="1:20" x14ac:dyDescent="0.2">
      <c r="A2287" t="s">
        <v>6186</v>
      </c>
      <c r="B2287" t="s">
        <v>7541</v>
      </c>
      <c r="C2287" t="s">
        <v>7542</v>
      </c>
      <c r="D2287" t="s">
        <v>7543</v>
      </c>
      <c r="E2287" t="s">
        <v>6264</v>
      </c>
      <c r="F2287" t="s">
        <v>5872</v>
      </c>
      <c r="G2287" s="2">
        <v>6.8</v>
      </c>
      <c r="H2287" s="1">
        <v>1</v>
      </c>
      <c r="I2287" t="s">
        <v>6191</v>
      </c>
      <c r="L2287" s="1">
        <v>4</v>
      </c>
      <c r="M2287" s="3">
        <v>13.39</v>
      </c>
      <c r="N2287" s="3">
        <v>0.67</v>
      </c>
      <c r="O2287" s="3">
        <v>0</v>
      </c>
      <c r="P2287" s="3">
        <v>0.4</v>
      </c>
      <c r="Q2287" s="3">
        <v>14.46</v>
      </c>
      <c r="R2287" s="3">
        <v>11.9</v>
      </c>
      <c r="S2287" s="3">
        <f>VLOOKUP(C2287,[1]page!$C$2:$M$3071,11,0)</f>
        <v>13.39</v>
      </c>
      <c r="T2287" s="6">
        <f t="shared" si="37"/>
        <v>0</v>
      </c>
    </row>
    <row r="2288" spans="1:20" x14ac:dyDescent="0.2">
      <c r="A2288" t="s">
        <v>6186</v>
      </c>
      <c r="B2288" t="s">
        <v>7544</v>
      </c>
      <c r="C2288" t="s">
        <v>7545</v>
      </c>
      <c r="D2288" t="s">
        <v>7546</v>
      </c>
      <c r="E2288" t="s">
        <v>6264</v>
      </c>
      <c r="F2288" t="s">
        <v>5872</v>
      </c>
      <c r="G2288" s="2">
        <v>6.1</v>
      </c>
      <c r="H2288" s="1">
        <v>1</v>
      </c>
      <c r="I2288" t="s">
        <v>6191</v>
      </c>
      <c r="L2288" s="1">
        <v>4</v>
      </c>
      <c r="M2288" s="3">
        <v>14.69</v>
      </c>
      <c r="N2288" s="3">
        <v>0.73</v>
      </c>
      <c r="O2288" s="3">
        <v>0</v>
      </c>
      <c r="P2288" s="3">
        <v>0.4</v>
      </c>
      <c r="Q2288" s="3">
        <v>15.82</v>
      </c>
      <c r="R2288" s="3">
        <v>9.35</v>
      </c>
      <c r="S2288" s="3">
        <f>VLOOKUP(C2288,[1]page!$C$2:$M$3071,11,0)</f>
        <v>14.69</v>
      </c>
      <c r="T2288" s="6">
        <f t="shared" si="37"/>
        <v>0</v>
      </c>
    </row>
    <row r="2289" spans="1:20" x14ac:dyDescent="0.2">
      <c r="A2289" t="s">
        <v>6186</v>
      </c>
      <c r="B2289" t="s">
        <v>7547</v>
      </c>
      <c r="C2289" t="s">
        <v>7548</v>
      </c>
      <c r="D2289" t="s">
        <v>7549</v>
      </c>
      <c r="E2289" t="s">
        <v>6264</v>
      </c>
      <c r="F2289" t="s">
        <v>5872</v>
      </c>
      <c r="G2289" s="2">
        <v>7.1</v>
      </c>
      <c r="H2289" s="1">
        <v>1</v>
      </c>
      <c r="I2289" t="s">
        <v>6191</v>
      </c>
      <c r="L2289" s="1">
        <v>4</v>
      </c>
      <c r="M2289" s="3">
        <v>14.68</v>
      </c>
      <c r="N2289" s="3">
        <v>0.73</v>
      </c>
      <c r="O2289" s="3">
        <v>0</v>
      </c>
      <c r="P2289" s="3">
        <v>0.4</v>
      </c>
      <c r="Q2289" s="3">
        <v>15.81</v>
      </c>
      <c r="R2289" s="3">
        <v>11.9</v>
      </c>
      <c r="S2289" s="3">
        <f>VLOOKUP(C2289,[1]page!$C$2:$M$3071,11,0)</f>
        <v>14.68</v>
      </c>
      <c r="T2289" s="6">
        <f t="shared" si="37"/>
        <v>0</v>
      </c>
    </row>
    <row r="2290" spans="1:20" x14ac:dyDescent="0.2">
      <c r="A2290" t="s">
        <v>6186</v>
      </c>
      <c r="B2290" t="s">
        <v>7550</v>
      </c>
      <c r="C2290" t="s">
        <v>7551</v>
      </c>
      <c r="D2290" t="s">
        <v>7552</v>
      </c>
      <c r="E2290" t="s">
        <v>6195</v>
      </c>
      <c r="F2290" t="s">
        <v>5872</v>
      </c>
      <c r="G2290" s="1">
        <v>5</v>
      </c>
      <c r="H2290" s="1">
        <v>1</v>
      </c>
      <c r="I2290" t="s">
        <v>5961</v>
      </c>
      <c r="L2290" s="1">
        <v>4</v>
      </c>
      <c r="M2290" s="3">
        <v>12.95</v>
      </c>
      <c r="N2290" s="3">
        <v>0.65</v>
      </c>
      <c r="O2290" s="3">
        <v>0</v>
      </c>
      <c r="P2290" s="3">
        <v>0.4</v>
      </c>
      <c r="Q2290" s="3">
        <v>14</v>
      </c>
      <c r="R2290" s="3">
        <v>9.35</v>
      </c>
      <c r="S2290" s="3">
        <f>VLOOKUP(C2290,[1]page!$C$2:$M$3071,11,0)</f>
        <v>12.95</v>
      </c>
      <c r="T2290" s="6">
        <f t="shared" si="37"/>
        <v>0</v>
      </c>
    </row>
    <row r="2291" spans="1:20" x14ac:dyDescent="0.2">
      <c r="A2291" t="s">
        <v>6186</v>
      </c>
      <c r="B2291" t="s">
        <v>7553</v>
      </c>
      <c r="C2291" t="s">
        <v>7554</v>
      </c>
      <c r="D2291" t="s">
        <v>7555</v>
      </c>
      <c r="E2291" t="s">
        <v>6264</v>
      </c>
      <c r="F2291" t="s">
        <v>5872</v>
      </c>
      <c r="G2291" s="2">
        <v>4.8</v>
      </c>
      <c r="H2291" s="1">
        <v>1</v>
      </c>
      <c r="I2291" t="s">
        <v>6191</v>
      </c>
      <c r="L2291" s="1">
        <v>4</v>
      </c>
      <c r="M2291" s="3">
        <v>11.04</v>
      </c>
      <c r="N2291" s="3">
        <v>0.55000000000000004</v>
      </c>
      <c r="O2291" s="3">
        <v>0</v>
      </c>
      <c r="P2291" s="3">
        <v>0.4</v>
      </c>
      <c r="Q2291" s="3">
        <v>11.99</v>
      </c>
      <c r="R2291" s="3">
        <v>9.35</v>
      </c>
      <c r="S2291" s="3">
        <f>VLOOKUP(C2291,[1]page!$C$2:$M$3071,11,0)</f>
        <v>11.04</v>
      </c>
      <c r="T2291" s="6">
        <f t="shared" si="37"/>
        <v>0</v>
      </c>
    </row>
    <row r="2292" spans="1:20" x14ac:dyDescent="0.2">
      <c r="A2292" t="s">
        <v>6186</v>
      </c>
      <c r="B2292" t="s">
        <v>7556</v>
      </c>
      <c r="C2292" t="s">
        <v>7557</v>
      </c>
      <c r="D2292" t="s">
        <v>7558</v>
      </c>
      <c r="E2292" t="s">
        <v>6264</v>
      </c>
      <c r="F2292" t="s">
        <v>5872</v>
      </c>
      <c r="G2292" s="2">
        <v>5.0999999999999996</v>
      </c>
      <c r="H2292" s="1">
        <v>1</v>
      </c>
      <c r="I2292" t="s">
        <v>6191</v>
      </c>
      <c r="L2292" s="1">
        <v>4</v>
      </c>
      <c r="M2292" s="3">
        <v>14.21</v>
      </c>
      <c r="N2292" s="3">
        <v>0.71</v>
      </c>
      <c r="O2292" s="3">
        <v>0</v>
      </c>
      <c r="P2292" s="3">
        <v>0.4</v>
      </c>
      <c r="Q2292" s="3">
        <v>15.32</v>
      </c>
      <c r="R2292" s="3">
        <v>9.35</v>
      </c>
      <c r="S2292" s="3">
        <f>VLOOKUP(C2292,[1]page!$C$2:$M$3071,11,0)</f>
        <v>14.21</v>
      </c>
      <c r="T2292" s="6">
        <f t="shared" si="37"/>
        <v>0</v>
      </c>
    </row>
    <row r="2293" spans="1:20" x14ac:dyDescent="0.2">
      <c r="A2293" t="s">
        <v>6186</v>
      </c>
      <c r="B2293" t="s">
        <v>7559</v>
      </c>
      <c r="C2293" t="s">
        <v>7560</v>
      </c>
      <c r="D2293" t="s">
        <v>7561</v>
      </c>
      <c r="E2293" t="s">
        <v>6264</v>
      </c>
      <c r="F2293" t="s">
        <v>5872</v>
      </c>
      <c r="G2293" s="2">
        <v>5.7</v>
      </c>
      <c r="H2293" s="1">
        <v>1</v>
      </c>
      <c r="I2293" t="s">
        <v>6191</v>
      </c>
      <c r="L2293" s="1">
        <v>4</v>
      </c>
      <c r="M2293" s="3">
        <v>14.21</v>
      </c>
      <c r="N2293" s="3">
        <v>0.71</v>
      </c>
      <c r="O2293" s="3">
        <v>0</v>
      </c>
      <c r="P2293" s="3">
        <v>0.4</v>
      </c>
      <c r="Q2293" s="3">
        <v>15.32</v>
      </c>
      <c r="R2293" s="3">
        <v>9.35</v>
      </c>
      <c r="S2293" s="3">
        <f>VLOOKUP(C2293,[1]page!$C$2:$M$3071,11,0)</f>
        <v>14.21</v>
      </c>
      <c r="T2293" s="6">
        <f t="shared" si="37"/>
        <v>0</v>
      </c>
    </row>
    <row r="2294" spans="1:20" x14ac:dyDescent="0.2">
      <c r="A2294" t="s">
        <v>6186</v>
      </c>
      <c r="B2294" t="s">
        <v>7562</v>
      </c>
      <c r="C2294" t="s">
        <v>7563</v>
      </c>
      <c r="D2294" t="s">
        <v>7564</v>
      </c>
      <c r="E2294" t="s">
        <v>6264</v>
      </c>
      <c r="F2294" t="s">
        <v>5872</v>
      </c>
      <c r="G2294" s="2">
        <v>4.7</v>
      </c>
      <c r="H2294" s="1">
        <v>1</v>
      </c>
      <c r="I2294" t="s">
        <v>6191</v>
      </c>
      <c r="L2294" s="1">
        <v>4</v>
      </c>
      <c r="M2294" s="3">
        <v>14.38</v>
      </c>
      <c r="N2294" s="3">
        <v>0.72</v>
      </c>
      <c r="O2294" s="3">
        <v>0</v>
      </c>
      <c r="P2294" s="3">
        <v>0.4</v>
      </c>
      <c r="Q2294" s="3">
        <v>15.5</v>
      </c>
      <c r="R2294" s="3">
        <v>9.35</v>
      </c>
      <c r="S2294" s="3">
        <f>VLOOKUP(C2294,[1]page!$C$2:$M$3071,11,0)</f>
        <v>14.38</v>
      </c>
      <c r="T2294" s="6">
        <f t="shared" si="37"/>
        <v>0</v>
      </c>
    </row>
    <row r="2295" spans="1:20" x14ac:dyDescent="0.2">
      <c r="A2295" t="s">
        <v>6186</v>
      </c>
      <c r="B2295" t="s">
        <v>7565</v>
      </c>
      <c r="C2295" t="s">
        <v>7566</v>
      </c>
      <c r="D2295" t="s">
        <v>7567</v>
      </c>
      <c r="E2295" t="s">
        <v>6264</v>
      </c>
      <c r="F2295" t="s">
        <v>1041</v>
      </c>
      <c r="G2295" s="2">
        <v>0.3</v>
      </c>
      <c r="H2295" s="1">
        <v>1</v>
      </c>
      <c r="I2295" t="s">
        <v>6191</v>
      </c>
      <c r="L2295" s="1">
        <v>4</v>
      </c>
      <c r="M2295" s="3">
        <v>7.95</v>
      </c>
      <c r="N2295" s="3">
        <v>0.4</v>
      </c>
      <c r="O2295" s="3">
        <v>0.48</v>
      </c>
      <c r="P2295" s="3">
        <v>0.4</v>
      </c>
      <c r="Q2295" s="3">
        <v>9.23</v>
      </c>
      <c r="R2295" s="3">
        <v>6.7</v>
      </c>
      <c r="S2295" s="3">
        <f>VLOOKUP(C2295,[1]page!$C$2:$M$3071,11,0)</f>
        <v>7.95</v>
      </c>
      <c r="T2295" s="6">
        <f t="shared" si="37"/>
        <v>0</v>
      </c>
    </row>
    <row r="2296" spans="1:20" x14ac:dyDescent="0.2">
      <c r="A2296" t="s">
        <v>6186</v>
      </c>
      <c r="B2296" t="s">
        <v>7568</v>
      </c>
      <c r="C2296" t="s">
        <v>7569</v>
      </c>
      <c r="D2296" t="s">
        <v>7570</v>
      </c>
      <c r="E2296" t="s">
        <v>6264</v>
      </c>
      <c r="F2296" t="s">
        <v>1041</v>
      </c>
      <c r="G2296" s="2">
        <v>0.3</v>
      </c>
      <c r="H2296" s="1">
        <v>1</v>
      </c>
      <c r="I2296" t="s">
        <v>6191</v>
      </c>
      <c r="L2296" s="1">
        <v>4</v>
      </c>
      <c r="M2296" s="3">
        <v>7.95</v>
      </c>
      <c r="N2296" s="3">
        <v>0.4</v>
      </c>
      <c r="O2296" s="3">
        <v>0.48</v>
      </c>
      <c r="P2296" s="3">
        <v>0.4</v>
      </c>
      <c r="Q2296" s="3">
        <v>9.23</v>
      </c>
      <c r="R2296" s="3">
        <v>6.7</v>
      </c>
      <c r="S2296" s="3">
        <f>VLOOKUP(C2296,[1]page!$C$2:$M$3071,11,0)</f>
        <v>7.95</v>
      </c>
      <c r="T2296" s="6">
        <f t="shared" si="37"/>
        <v>0</v>
      </c>
    </row>
    <row r="2297" spans="1:20" x14ac:dyDescent="0.2">
      <c r="A2297" t="s">
        <v>6186</v>
      </c>
      <c r="B2297" t="s">
        <v>7571</v>
      </c>
      <c r="C2297" t="s">
        <v>7572</v>
      </c>
      <c r="D2297" t="s">
        <v>7573</v>
      </c>
      <c r="E2297" t="s">
        <v>6264</v>
      </c>
      <c r="F2297" t="s">
        <v>5872</v>
      </c>
      <c r="G2297" s="1">
        <v>5</v>
      </c>
      <c r="H2297" s="1">
        <v>1</v>
      </c>
      <c r="I2297" t="s">
        <v>6191</v>
      </c>
      <c r="L2297" s="1">
        <v>4</v>
      </c>
      <c r="M2297" s="3">
        <v>14.38</v>
      </c>
      <c r="N2297" s="3">
        <v>0.72</v>
      </c>
      <c r="O2297" s="3">
        <v>0</v>
      </c>
      <c r="P2297" s="3">
        <v>0.4</v>
      </c>
      <c r="Q2297" s="3">
        <v>15.5</v>
      </c>
      <c r="R2297" s="3">
        <v>9.35</v>
      </c>
      <c r="S2297" s="3" t="e">
        <f>VLOOKUP(C2297,[1]page!$C$2:$M$3071,11,0)</f>
        <v>#N/A</v>
      </c>
      <c r="T2297" s="6" t="e">
        <f t="shared" si="37"/>
        <v>#N/A</v>
      </c>
    </row>
    <row r="2298" spans="1:20" x14ac:dyDescent="0.2">
      <c r="A2298" t="s">
        <v>6186</v>
      </c>
      <c r="B2298" t="s">
        <v>7574</v>
      </c>
      <c r="C2298" t="s">
        <v>7575</v>
      </c>
      <c r="D2298" t="s">
        <v>7576</v>
      </c>
      <c r="E2298" t="s">
        <v>6190</v>
      </c>
      <c r="F2298" t="s">
        <v>7577</v>
      </c>
      <c r="G2298" s="1">
        <v>7</v>
      </c>
      <c r="H2298" s="1">
        <v>1</v>
      </c>
      <c r="I2298" t="s">
        <v>6191</v>
      </c>
      <c r="L2298" s="1">
        <v>4</v>
      </c>
      <c r="M2298" s="3">
        <v>4.4800000000000004</v>
      </c>
      <c r="N2298" s="3">
        <v>0.22</v>
      </c>
      <c r="O2298" s="3">
        <v>0</v>
      </c>
      <c r="P2298" s="3">
        <v>0.4</v>
      </c>
      <c r="Q2298" s="3">
        <v>5.0999999999999996</v>
      </c>
      <c r="R2298" s="3">
        <v>7.35</v>
      </c>
      <c r="S2298" s="3">
        <f>VLOOKUP(C2298,[1]page!$C$2:$M$3071,11,0)</f>
        <v>4.4800000000000004</v>
      </c>
      <c r="T2298" s="6">
        <f t="shared" si="37"/>
        <v>0</v>
      </c>
    </row>
    <row r="2299" spans="1:20" x14ac:dyDescent="0.2">
      <c r="A2299" t="s">
        <v>6186</v>
      </c>
      <c r="B2299" t="s">
        <v>7578</v>
      </c>
      <c r="C2299" t="s">
        <v>7579</v>
      </c>
      <c r="D2299" t="s">
        <v>7580</v>
      </c>
      <c r="E2299" t="s">
        <v>6284</v>
      </c>
      <c r="F2299" t="s">
        <v>5872</v>
      </c>
      <c r="G2299" s="1">
        <v>5</v>
      </c>
      <c r="H2299" s="1">
        <v>1</v>
      </c>
      <c r="I2299" t="s">
        <v>6285</v>
      </c>
      <c r="L2299" s="1">
        <v>4</v>
      </c>
      <c r="M2299" s="3">
        <v>13</v>
      </c>
      <c r="N2299" s="3">
        <v>0.65</v>
      </c>
      <c r="O2299" s="3">
        <v>0</v>
      </c>
      <c r="P2299" s="3">
        <v>0.4</v>
      </c>
      <c r="Q2299" s="3">
        <v>14.05</v>
      </c>
      <c r="R2299" s="3">
        <v>9.35</v>
      </c>
      <c r="S2299" s="3">
        <f>VLOOKUP(C2299,[1]page!$C$2:$M$3071,11,0)</f>
        <v>13</v>
      </c>
      <c r="T2299" s="6">
        <f t="shared" si="37"/>
        <v>0</v>
      </c>
    </row>
    <row r="2300" spans="1:20" x14ac:dyDescent="0.2">
      <c r="A2300" t="s">
        <v>6186</v>
      </c>
      <c r="B2300" t="s">
        <v>7581</v>
      </c>
      <c r="C2300" t="s">
        <v>7582</v>
      </c>
      <c r="D2300" t="s">
        <v>7583</v>
      </c>
      <c r="E2300" t="s">
        <v>6277</v>
      </c>
      <c r="F2300" t="s">
        <v>5872</v>
      </c>
      <c r="G2300" s="1">
        <v>4</v>
      </c>
      <c r="H2300" s="1">
        <v>1</v>
      </c>
      <c r="I2300" t="s">
        <v>5920</v>
      </c>
      <c r="L2300" s="1">
        <v>4</v>
      </c>
      <c r="M2300" s="3">
        <v>12.99</v>
      </c>
      <c r="N2300" s="3">
        <v>0.65</v>
      </c>
      <c r="O2300" s="3">
        <v>0</v>
      </c>
      <c r="P2300" s="3">
        <v>0.4</v>
      </c>
      <c r="Q2300" s="3">
        <v>14.04</v>
      </c>
      <c r="R2300" s="3">
        <v>9.35</v>
      </c>
      <c r="S2300" s="3">
        <f>VLOOKUP(C2300,[1]page!$C$2:$M$3071,11,0)</f>
        <v>12.99</v>
      </c>
      <c r="T2300" s="6">
        <f t="shared" si="37"/>
        <v>0</v>
      </c>
    </row>
    <row r="2301" spans="1:20" x14ac:dyDescent="0.2">
      <c r="A2301" t="s">
        <v>6186</v>
      </c>
      <c r="B2301" t="s">
        <v>7584</v>
      </c>
      <c r="C2301" t="s">
        <v>7585</v>
      </c>
      <c r="D2301" t="s">
        <v>7586</v>
      </c>
      <c r="E2301" t="s">
        <v>6747</v>
      </c>
      <c r="F2301" t="s">
        <v>7587</v>
      </c>
      <c r="G2301" s="1">
        <v>4</v>
      </c>
      <c r="H2301" s="1">
        <v>1</v>
      </c>
      <c r="I2301" t="s">
        <v>24</v>
      </c>
      <c r="L2301" s="1">
        <v>4</v>
      </c>
      <c r="M2301" s="3">
        <v>13.68</v>
      </c>
      <c r="N2301" s="3">
        <v>0.68</v>
      </c>
      <c r="O2301" s="3">
        <v>0</v>
      </c>
      <c r="P2301" s="3">
        <v>0.4</v>
      </c>
      <c r="Q2301" s="3">
        <v>14.76</v>
      </c>
      <c r="R2301" s="3">
        <v>9.35</v>
      </c>
      <c r="S2301" s="3">
        <f>VLOOKUP(C2301,[1]page!$C$2:$M$3071,11,0)</f>
        <v>13.68</v>
      </c>
      <c r="T2301" s="6">
        <f t="shared" si="37"/>
        <v>0</v>
      </c>
    </row>
    <row r="2302" spans="1:20" x14ac:dyDescent="0.2">
      <c r="A2302" t="s">
        <v>6186</v>
      </c>
      <c r="B2302" t="s">
        <v>7588</v>
      </c>
      <c r="C2302" t="s">
        <v>7589</v>
      </c>
      <c r="D2302" t="s">
        <v>7590</v>
      </c>
      <c r="E2302" t="s">
        <v>6747</v>
      </c>
      <c r="F2302" t="s">
        <v>7587</v>
      </c>
      <c r="G2302" s="2">
        <v>4.0999999999999996</v>
      </c>
      <c r="H2302" s="1">
        <v>1</v>
      </c>
      <c r="I2302" t="s">
        <v>24</v>
      </c>
      <c r="L2302" s="1">
        <v>4</v>
      </c>
      <c r="M2302" s="3">
        <v>13.49</v>
      </c>
      <c r="N2302" s="3">
        <v>0.67</v>
      </c>
      <c r="O2302" s="3">
        <v>0</v>
      </c>
      <c r="P2302" s="3">
        <v>0.4</v>
      </c>
      <c r="Q2302" s="3">
        <v>14.56</v>
      </c>
      <c r="R2302" s="3">
        <v>9.35</v>
      </c>
      <c r="S2302" s="3">
        <f>VLOOKUP(C2302,[1]page!$C$2:$M$3071,11,0)</f>
        <v>12.48</v>
      </c>
      <c r="T2302" s="6">
        <f t="shared" si="37"/>
        <v>1.0099999999999998</v>
      </c>
    </row>
    <row r="2303" spans="1:20" x14ac:dyDescent="0.2">
      <c r="A2303" t="s">
        <v>6186</v>
      </c>
      <c r="B2303" t="s">
        <v>7591</v>
      </c>
      <c r="C2303" t="s">
        <v>7592</v>
      </c>
      <c r="D2303" t="s">
        <v>7593</v>
      </c>
      <c r="E2303" t="s">
        <v>6747</v>
      </c>
      <c r="F2303" t="s">
        <v>7587</v>
      </c>
      <c r="G2303" s="2">
        <v>0.05</v>
      </c>
      <c r="H2303" s="1">
        <v>1</v>
      </c>
      <c r="I2303" t="s">
        <v>24</v>
      </c>
      <c r="L2303" s="1">
        <v>4</v>
      </c>
      <c r="M2303" s="3">
        <v>9.99</v>
      </c>
      <c r="N2303" s="3">
        <v>0.5</v>
      </c>
      <c r="O2303" s="3">
        <v>0.6</v>
      </c>
      <c r="P2303" s="3">
        <v>0.4</v>
      </c>
      <c r="Q2303" s="3">
        <v>11.49</v>
      </c>
      <c r="R2303" s="3">
        <v>9.35</v>
      </c>
      <c r="S2303" s="3">
        <f>VLOOKUP(C2303,[1]page!$C$2:$M$3071,11,0)</f>
        <v>9.99</v>
      </c>
      <c r="T2303" s="6">
        <f t="shared" si="37"/>
        <v>0</v>
      </c>
    </row>
    <row r="2304" spans="1:20" x14ac:dyDescent="0.2">
      <c r="A2304" t="s">
        <v>6186</v>
      </c>
      <c r="B2304" t="s">
        <v>7594</v>
      </c>
      <c r="C2304" t="s">
        <v>7595</v>
      </c>
      <c r="D2304" t="s">
        <v>7596</v>
      </c>
      <c r="E2304" t="s">
        <v>6284</v>
      </c>
      <c r="F2304" t="s">
        <v>5872</v>
      </c>
      <c r="G2304" s="1">
        <v>5</v>
      </c>
      <c r="H2304" s="1">
        <v>1</v>
      </c>
      <c r="I2304" t="s">
        <v>6285</v>
      </c>
      <c r="L2304" s="1">
        <v>4</v>
      </c>
      <c r="M2304" s="3">
        <v>13</v>
      </c>
      <c r="N2304" s="3">
        <v>0.65</v>
      </c>
      <c r="O2304" s="3">
        <v>0</v>
      </c>
      <c r="P2304" s="3">
        <v>0.4</v>
      </c>
      <c r="Q2304" s="3">
        <v>14.05</v>
      </c>
      <c r="R2304" s="3">
        <v>9.35</v>
      </c>
      <c r="S2304" s="3">
        <f>VLOOKUP(C2304,[1]page!$C$2:$M$3071,11,0)</f>
        <v>13</v>
      </c>
      <c r="T2304" s="6">
        <f t="shared" si="37"/>
        <v>0</v>
      </c>
    </row>
    <row r="2305" spans="1:20" x14ac:dyDescent="0.2">
      <c r="A2305" t="s">
        <v>6186</v>
      </c>
      <c r="B2305" t="s">
        <v>7597</v>
      </c>
      <c r="C2305" t="s">
        <v>7598</v>
      </c>
      <c r="D2305" t="s">
        <v>7599</v>
      </c>
      <c r="E2305" t="s">
        <v>6747</v>
      </c>
      <c r="F2305" t="s">
        <v>3080</v>
      </c>
      <c r="G2305" s="2">
        <v>4.3</v>
      </c>
      <c r="H2305" s="1">
        <v>1</v>
      </c>
      <c r="I2305" t="s">
        <v>24</v>
      </c>
      <c r="L2305" s="1">
        <v>4</v>
      </c>
      <c r="M2305" s="3">
        <v>13.49</v>
      </c>
      <c r="N2305" s="3">
        <v>0.67</v>
      </c>
      <c r="O2305" s="3">
        <v>0</v>
      </c>
      <c r="P2305" s="3">
        <v>0.4</v>
      </c>
      <c r="Q2305" s="3">
        <v>14.56</v>
      </c>
      <c r="R2305" s="3">
        <v>9.4499999999999993</v>
      </c>
      <c r="S2305" s="3">
        <f>VLOOKUP(C2305,[1]page!$C$2:$M$3071,11,0)</f>
        <v>12.28</v>
      </c>
      <c r="T2305" s="6">
        <f t="shared" si="37"/>
        <v>1.2100000000000009</v>
      </c>
    </row>
    <row r="2306" spans="1:20" x14ac:dyDescent="0.2">
      <c r="A2306" t="s">
        <v>6186</v>
      </c>
      <c r="B2306" t="s">
        <v>7600</v>
      </c>
      <c r="C2306" t="s">
        <v>7601</v>
      </c>
      <c r="D2306" t="s">
        <v>7602</v>
      </c>
      <c r="E2306" t="s">
        <v>6376</v>
      </c>
      <c r="F2306" t="s">
        <v>5872</v>
      </c>
      <c r="G2306" s="2">
        <v>4.7</v>
      </c>
      <c r="H2306" s="1">
        <v>1</v>
      </c>
      <c r="I2306" t="s">
        <v>6191</v>
      </c>
      <c r="L2306" s="1">
        <v>4</v>
      </c>
      <c r="M2306" s="3">
        <v>11.99</v>
      </c>
      <c r="N2306" s="3">
        <v>0.6</v>
      </c>
      <c r="O2306" s="3">
        <v>0</v>
      </c>
      <c r="P2306" s="3">
        <v>0.4</v>
      </c>
      <c r="Q2306" s="3">
        <v>12.99</v>
      </c>
      <c r="R2306" s="3">
        <v>9.35</v>
      </c>
      <c r="S2306" s="3">
        <f>VLOOKUP(C2306,[1]page!$C$2:$M$3071,11,0)</f>
        <v>11.99</v>
      </c>
      <c r="T2306" s="6">
        <f t="shared" si="37"/>
        <v>0</v>
      </c>
    </row>
    <row r="2307" spans="1:20" x14ac:dyDescent="0.2">
      <c r="A2307" t="s">
        <v>6186</v>
      </c>
      <c r="B2307" t="s">
        <v>7603</v>
      </c>
      <c r="C2307" t="s">
        <v>7604</v>
      </c>
      <c r="D2307" t="s">
        <v>7605</v>
      </c>
      <c r="E2307" t="s">
        <v>6376</v>
      </c>
      <c r="F2307" t="s">
        <v>5872</v>
      </c>
      <c r="G2307" s="1">
        <v>6</v>
      </c>
      <c r="H2307" s="1">
        <v>1</v>
      </c>
      <c r="I2307" t="s">
        <v>6191</v>
      </c>
      <c r="L2307" s="1">
        <v>4</v>
      </c>
      <c r="M2307" s="3">
        <v>11.99</v>
      </c>
      <c r="N2307" s="3">
        <v>0.6</v>
      </c>
      <c r="O2307" s="3">
        <v>0</v>
      </c>
      <c r="P2307" s="3">
        <v>0.4</v>
      </c>
      <c r="Q2307" s="3">
        <v>12.99</v>
      </c>
      <c r="R2307" s="3">
        <v>9.35</v>
      </c>
      <c r="S2307" s="3">
        <f>VLOOKUP(C2307,[1]page!$C$2:$M$3071,11,0)</f>
        <v>11.99</v>
      </c>
      <c r="T2307" s="6">
        <f t="shared" si="37"/>
        <v>0</v>
      </c>
    </row>
    <row r="2308" spans="1:20" x14ac:dyDescent="0.2">
      <c r="A2308" t="s">
        <v>6186</v>
      </c>
      <c r="B2308" t="s">
        <v>7606</v>
      </c>
      <c r="C2308" t="s">
        <v>7607</v>
      </c>
      <c r="D2308" t="s">
        <v>7608</v>
      </c>
      <c r="E2308" t="s">
        <v>6376</v>
      </c>
      <c r="F2308" t="s">
        <v>5872</v>
      </c>
      <c r="G2308" s="1">
        <v>5</v>
      </c>
      <c r="H2308" s="1">
        <v>1</v>
      </c>
      <c r="I2308" t="s">
        <v>6191</v>
      </c>
      <c r="L2308" s="1">
        <v>4</v>
      </c>
      <c r="M2308" s="3">
        <v>11.99</v>
      </c>
      <c r="N2308" s="3">
        <v>0.6</v>
      </c>
      <c r="O2308" s="3">
        <v>0</v>
      </c>
      <c r="P2308" s="3">
        <v>0.4</v>
      </c>
      <c r="Q2308" s="3">
        <v>12.99</v>
      </c>
      <c r="R2308" s="3">
        <v>9.35</v>
      </c>
      <c r="S2308" s="3">
        <f>VLOOKUP(C2308,[1]page!$C$2:$M$3071,11,0)</f>
        <v>11.99</v>
      </c>
      <c r="T2308" s="6">
        <f t="shared" si="37"/>
        <v>0</v>
      </c>
    </row>
    <row r="2309" spans="1:20" x14ac:dyDescent="0.2">
      <c r="A2309" t="s">
        <v>6186</v>
      </c>
      <c r="B2309" t="s">
        <v>7609</v>
      </c>
      <c r="C2309" t="s">
        <v>7610</v>
      </c>
      <c r="D2309" t="s">
        <v>7611</v>
      </c>
      <c r="E2309" t="s">
        <v>6195</v>
      </c>
      <c r="F2309" t="s">
        <v>5872</v>
      </c>
      <c r="G2309" s="2">
        <v>8.5</v>
      </c>
      <c r="H2309" s="1">
        <v>1</v>
      </c>
      <c r="I2309" t="s">
        <v>5961</v>
      </c>
      <c r="L2309" s="1">
        <v>4</v>
      </c>
      <c r="M2309" s="3">
        <v>9.49</v>
      </c>
      <c r="N2309" s="3">
        <v>0.47</v>
      </c>
      <c r="O2309" s="3">
        <v>0</v>
      </c>
      <c r="P2309" s="3">
        <v>0.4</v>
      </c>
      <c r="Q2309" s="3">
        <v>10.36</v>
      </c>
      <c r="R2309" s="3">
        <v>13.55</v>
      </c>
      <c r="S2309" s="3">
        <f>VLOOKUP(C2309,[1]page!$C$2:$M$3071,11,0)</f>
        <v>9.49</v>
      </c>
      <c r="T2309" s="6">
        <f t="shared" si="37"/>
        <v>0</v>
      </c>
    </row>
    <row r="2310" spans="1:20" x14ac:dyDescent="0.2">
      <c r="A2310" t="s">
        <v>6186</v>
      </c>
      <c r="B2310" t="s">
        <v>7612</v>
      </c>
      <c r="C2310" t="s">
        <v>7613</v>
      </c>
      <c r="D2310" t="s">
        <v>7614</v>
      </c>
      <c r="E2310" t="s">
        <v>6277</v>
      </c>
      <c r="F2310" t="s">
        <v>5872</v>
      </c>
      <c r="G2310" s="1">
        <v>5</v>
      </c>
      <c r="H2310" s="1">
        <v>1</v>
      </c>
      <c r="I2310" t="s">
        <v>5920</v>
      </c>
      <c r="L2310" s="1">
        <v>4</v>
      </c>
      <c r="M2310" s="3">
        <v>12.99</v>
      </c>
      <c r="N2310" s="3">
        <v>0.65</v>
      </c>
      <c r="O2310" s="3">
        <v>0</v>
      </c>
      <c r="P2310" s="3">
        <v>0.4</v>
      </c>
      <c r="Q2310" s="3">
        <v>14.04</v>
      </c>
      <c r="R2310" s="3">
        <v>9.35</v>
      </c>
      <c r="S2310" s="3">
        <f>VLOOKUP(C2310,[1]page!$C$2:$M$3071,11,0)</f>
        <v>12.99</v>
      </c>
      <c r="T2310" s="6">
        <f t="shared" si="37"/>
        <v>0</v>
      </c>
    </row>
    <row r="2311" spans="1:20" x14ac:dyDescent="0.2">
      <c r="A2311" t="s">
        <v>6186</v>
      </c>
      <c r="B2311" t="s">
        <v>7615</v>
      </c>
      <c r="C2311" t="s">
        <v>7616</v>
      </c>
      <c r="D2311" t="s">
        <v>7617</v>
      </c>
      <c r="E2311" t="s">
        <v>6277</v>
      </c>
      <c r="F2311" t="s">
        <v>5872</v>
      </c>
      <c r="G2311" s="1">
        <v>5</v>
      </c>
      <c r="H2311" s="1">
        <v>1</v>
      </c>
      <c r="I2311" t="s">
        <v>5920</v>
      </c>
      <c r="L2311" s="1">
        <v>4</v>
      </c>
      <c r="M2311" s="3">
        <v>12.99</v>
      </c>
      <c r="N2311" s="3">
        <v>0.65</v>
      </c>
      <c r="O2311" s="3">
        <v>0</v>
      </c>
      <c r="P2311" s="3">
        <v>0.4</v>
      </c>
      <c r="Q2311" s="3">
        <v>14.04</v>
      </c>
      <c r="R2311" s="3">
        <v>9.35</v>
      </c>
      <c r="S2311" s="3">
        <f>VLOOKUP(C2311,[1]page!$C$2:$M$3071,11,0)</f>
        <v>12.99</v>
      </c>
      <c r="T2311" s="6">
        <f t="shared" si="37"/>
        <v>0</v>
      </c>
    </row>
    <row r="2312" spans="1:20" x14ac:dyDescent="0.2">
      <c r="A2312" t="s">
        <v>6186</v>
      </c>
      <c r="B2312" t="s">
        <v>7618</v>
      </c>
      <c r="C2312" t="s">
        <v>7619</v>
      </c>
      <c r="D2312" t="s">
        <v>7620</v>
      </c>
      <c r="E2312" t="s">
        <v>6423</v>
      </c>
      <c r="F2312" t="s">
        <v>1041</v>
      </c>
      <c r="G2312" s="2">
        <v>0.5</v>
      </c>
      <c r="H2312" s="1">
        <v>1</v>
      </c>
      <c r="I2312" t="s">
        <v>6191</v>
      </c>
      <c r="L2312" s="1">
        <v>4</v>
      </c>
      <c r="M2312" s="3">
        <v>6.75</v>
      </c>
      <c r="N2312" s="3">
        <v>0.34</v>
      </c>
      <c r="O2312" s="3">
        <v>0.41</v>
      </c>
      <c r="P2312" s="3">
        <v>0.4</v>
      </c>
      <c r="Q2312" s="3">
        <v>7.9</v>
      </c>
      <c r="R2312" s="3">
        <v>6.7</v>
      </c>
      <c r="S2312" s="3">
        <f>VLOOKUP(C2312,[1]page!$C$2:$M$3071,11,0)</f>
        <v>6.75</v>
      </c>
      <c r="T2312" s="6">
        <f t="shared" si="37"/>
        <v>0</v>
      </c>
    </row>
    <row r="2313" spans="1:20" x14ac:dyDescent="0.2">
      <c r="A2313" t="s">
        <v>6186</v>
      </c>
      <c r="B2313" t="s">
        <v>7621</v>
      </c>
      <c r="C2313" t="s">
        <v>7622</v>
      </c>
      <c r="D2313" t="s">
        <v>7623</v>
      </c>
      <c r="E2313" t="s">
        <v>6423</v>
      </c>
      <c r="F2313" t="s">
        <v>1041</v>
      </c>
      <c r="G2313" s="2">
        <v>0.5</v>
      </c>
      <c r="H2313" s="1">
        <v>1</v>
      </c>
      <c r="I2313" t="s">
        <v>6191</v>
      </c>
      <c r="L2313" s="1">
        <v>4</v>
      </c>
      <c r="M2313" s="3">
        <v>6.75</v>
      </c>
      <c r="N2313" s="3">
        <v>0.34</v>
      </c>
      <c r="O2313" s="3">
        <v>0.41</v>
      </c>
      <c r="P2313" s="3">
        <v>0.4</v>
      </c>
      <c r="Q2313" s="3">
        <v>7.9</v>
      </c>
      <c r="R2313" s="3">
        <v>6.7</v>
      </c>
      <c r="S2313" s="3">
        <f>VLOOKUP(C2313,[1]page!$C$2:$M$3071,11,0)</f>
        <v>6.75</v>
      </c>
      <c r="T2313" s="6">
        <f t="shared" si="37"/>
        <v>0</v>
      </c>
    </row>
    <row r="2314" spans="1:20" x14ac:dyDescent="0.2">
      <c r="A2314" t="s">
        <v>6186</v>
      </c>
      <c r="B2314" t="s">
        <v>7624</v>
      </c>
      <c r="C2314" t="s">
        <v>7625</v>
      </c>
      <c r="D2314" t="s">
        <v>7626</v>
      </c>
      <c r="E2314" t="s">
        <v>6264</v>
      </c>
      <c r="F2314" t="s">
        <v>5872</v>
      </c>
      <c r="G2314" s="2">
        <v>4.3</v>
      </c>
      <c r="H2314" s="1">
        <v>1</v>
      </c>
      <c r="I2314" t="s">
        <v>6191</v>
      </c>
      <c r="L2314" s="1">
        <v>4</v>
      </c>
      <c r="M2314" s="3">
        <v>14.21</v>
      </c>
      <c r="N2314" s="3">
        <v>0.71</v>
      </c>
      <c r="O2314" s="3">
        <v>0</v>
      </c>
      <c r="P2314" s="3">
        <v>0.4</v>
      </c>
      <c r="Q2314" s="3">
        <v>15.32</v>
      </c>
      <c r="R2314" s="3">
        <v>9.35</v>
      </c>
      <c r="S2314" s="3">
        <f>VLOOKUP(C2314,[1]page!$C$2:$M$3071,11,0)</f>
        <v>14.21</v>
      </c>
      <c r="T2314" s="6">
        <f t="shared" si="37"/>
        <v>0</v>
      </c>
    </row>
    <row r="2315" spans="1:20" x14ac:dyDescent="0.2">
      <c r="A2315" t="s">
        <v>6186</v>
      </c>
      <c r="B2315" t="s">
        <v>7627</v>
      </c>
      <c r="C2315" t="s">
        <v>7628</v>
      </c>
      <c r="D2315" t="s">
        <v>7629</v>
      </c>
      <c r="E2315" t="s">
        <v>6284</v>
      </c>
      <c r="F2315" t="s">
        <v>5872</v>
      </c>
      <c r="G2315" s="1">
        <v>5</v>
      </c>
      <c r="H2315" s="1">
        <v>1</v>
      </c>
      <c r="I2315" t="s">
        <v>6285</v>
      </c>
      <c r="L2315" s="1">
        <v>4</v>
      </c>
      <c r="M2315" s="3">
        <v>13</v>
      </c>
      <c r="N2315" s="3">
        <v>0.65</v>
      </c>
      <c r="O2315" s="3">
        <v>0</v>
      </c>
      <c r="P2315" s="3">
        <v>0.4</v>
      </c>
      <c r="Q2315" s="3">
        <v>14.05</v>
      </c>
      <c r="R2315" s="3">
        <v>9.35</v>
      </c>
      <c r="S2315" s="3">
        <f>VLOOKUP(C2315,[1]page!$C$2:$M$3071,11,0)</f>
        <v>13</v>
      </c>
      <c r="T2315" s="6">
        <f t="shared" si="37"/>
        <v>0</v>
      </c>
    </row>
    <row r="2316" spans="1:20" x14ac:dyDescent="0.2">
      <c r="A2316" t="s">
        <v>6186</v>
      </c>
      <c r="B2316" t="s">
        <v>7630</v>
      </c>
      <c r="C2316" t="s">
        <v>7631</v>
      </c>
      <c r="D2316" t="s">
        <v>7632</v>
      </c>
      <c r="E2316" t="s">
        <v>6284</v>
      </c>
      <c r="F2316" t="s">
        <v>5872</v>
      </c>
      <c r="G2316" s="2">
        <v>5.3</v>
      </c>
      <c r="H2316" s="1">
        <v>1</v>
      </c>
      <c r="I2316" t="s">
        <v>6285</v>
      </c>
      <c r="L2316" s="1">
        <v>4</v>
      </c>
      <c r="M2316" s="3">
        <v>13.3</v>
      </c>
      <c r="N2316" s="3">
        <v>0.67</v>
      </c>
      <c r="O2316" s="3">
        <v>0</v>
      </c>
      <c r="P2316" s="3">
        <v>0.4</v>
      </c>
      <c r="Q2316" s="3">
        <v>14.37</v>
      </c>
      <c r="R2316" s="3">
        <v>9.35</v>
      </c>
      <c r="S2316" s="3">
        <f>VLOOKUP(C2316,[1]page!$C$2:$M$3071,11,0)</f>
        <v>13.3</v>
      </c>
      <c r="T2316" s="6">
        <f t="shared" si="37"/>
        <v>0</v>
      </c>
    </row>
    <row r="2317" spans="1:20" x14ac:dyDescent="0.2">
      <c r="A2317" t="s">
        <v>6186</v>
      </c>
      <c r="B2317" t="s">
        <v>7633</v>
      </c>
      <c r="C2317" t="s">
        <v>7634</v>
      </c>
      <c r="D2317" t="s">
        <v>7635</v>
      </c>
      <c r="E2317" t="s">
        <v>6277</v>
      </c>
      <c r="F2317" t="s">
        <v>5872</v>
      </c>
      <c r="G2317" s="2">
        <v>4.2</v>
      </c>
      <c r="H2317" s="1">
        <v>1</v>
      </c>
      <c r="I2317" t="s">
        <v>5920</v>
      </c>
      <c r="L2317" s="1">
        <v>4</v>
      </c>
      <c r="M2317" s="3">
        <v>12.78</v>
      </c>
      <c r="N2317" s="3">
        <v>0.64</v>
      </c>
      <c r="O2317" s="3">
        <v>0</v>
      </c>
      <c r="P2317" s="3">
        <v>0.4</v>
      </c>
      <c r="Q2317" s="3">
        <v>13.82</v>
      </c>
      <c r="R2317" s="3">
        <v>9.35</v>
      </c>
      <c r="S2317" s="3">
        <f>VLOOKUP(C2317,[1]page!$C$2:$M$3071,11,0)</f>
        <v>12.78</v>
      </c>
      <c r="T2317" s="6">
        <f t="shared" si="37"/>
        <v>0</v>
      </c>
    </row>
    <row r="2318" spans="1:20" x14ac:dyDescent="0.2">
      <c r="A2318" t="s">
        <v>6186</v>
      </c>
      <c r="B2318" t="s">
        <v>7636</v>
      </c>
      <c r="C2318" t="s">
        <v>7637</v>
      </c>
      <c r="D2318" t="s">
        <v>7638</v>
      </c>
      <c r="E2318" t="s">
        <v>6284</v>
      </c>
      <c r="F2318" t="s">
        <v>5872</v>
      </c>
      <c r="G2318" s="2">
        <v>6.2</v>
      </c>
      <c r="H2318" s="1">
        <v>1</v>
      </c>
      <c r="I2318" t="s">
        <v>6285</v>
      </c>
      <c r="L2318" s="1">
        <v>4</v>
      </c>
      <c r="M2318" s="3">
        <v>13.3</v>
      </c>
      <c r="N2318" s="3">
        <v>0.67</v>
      </c>
      <c r="O2318" s="3">
        <v>0</v>
      </c>
      <c r="P2318" s="3">
        <v>0.4</v>
      </c>
      <c r="Q2318" s="3">
        <v>14.37</v>
      </c>
      <c r="R2318" s="3">
        <v>9.35</v>
      </c>
      <c r="S2318" s="3">
        <f>VLOOKUP(C2318,[1]page!$C$2:$M$3071,11,0)</f>
        <v>13.3</v>
      </c>
      <c r="T2318" s="6">
        <f t="shared" si="37"/>
        <v>0</v>
      </c>
    </row>
    <row r="2319" spans="1:20" x14ac:dyDescent="0.2">
      <c r="A2319" t="s">
        <v>6186</v>
      </c>
      <c r="B2319" t="s">
        <v>7639</v>
      </c>
      <c r="C2319" t="s">
        <v>7640</v>
      </c>
      <c r="D2319" t="s">
        <v>7641</v>
      </c>
      <c r="E2319" t="s">
        <v>6195</v>
      </c>
      <c r="F2319" t="s">
        <v>5984</v>
      </c>
      <c r="G2319" s="2">
        <v>0.5</v>
      </c>
      <c r="H2319" s="1">
        <v>1</v>
      </c>
      <c r="I2319" t="s">
        <v>5961</v>
      </c>
      <c r="L2319" s="1">
        <v>6</v>
      </c>
      <c r="M2319" s="3">
        <v>10.18</v>
      </c>
      <c r="N2319" s="3">
        <v>0.51</v>
      </c>
      <c r="O2319" s="3">
        <v>0.61</v>
      </c>
      <c r="P2319" s="3">
        <v>0.6</v>
      </c>
      <c r="Q2319" s="3">
        <v>11.9</v>
      </c>
      <c r="R2319" s="3">
        <v>10.050000000000001</v>
      </c>
      <c r="S2319" s="3">
        <f>VLOOKUP(C2319,[1]page!$C$2:$M$3071,11,0)</f>
        <v>10.18</v>
      </c>
      <c r="T2319" s="6">
        <f t="shared" si="37"/>
        <v>0</v>
      </c>
    </row>
    <row r="2320" spans="1:20" x14ac:dyDescent="0.2">
      <c r="A2320" t="s">
        <v>6186</v>
      </c>
      <c r="B2320" t="s">
        <v>7642</v>
      </c>
      <c r="C2320" t="s">
        <v>7643</v>
      </c>
      <c r="D2320" t="s">
        <v>7644</v>
      </c>
      <c r="E2320" t="s">
        <v>6190</v>
      </c>
      <c r="F2320" t="s">
        <v>719</v>
      </c>
      <c r="G2320" s="1">
        <v>5</v>
      </c>
      <c r="H2320" s="1">
        <v>1</v>
      </c>
      <c r="I2320" t="s">
        <v>6191</v>
      </c>
      <c r="L2320" s="1">
        <v>6</v>
      </c>
      <c r="M2320" s="3">
        <v>13.49</v>
      </c>
      <c r="N2320" s="3">
        <v>0.67</v>
      </c>
      <c r="O2320" s="3">
        <v>0</v>
      </c>
      <c r="P2320" s="3">
        <v>0.6</v>
      </c>
      <c r="Q2320" s="3">
        <v>14.76</v>
      </c>
      <c r="R2320" s="3">
        <v>9.65</v>
      </c>
      <c r="S2320" s="3">
        <f>VLOOKUP(C2320,[1]page!$C$2:$M$3071,11,0)</f>
        <v>13.49</v>
      </c>
      <c r="T2320" s="6">
        <f t="shared" si="37"/>
        <v>0</v>
      </c>
    </row>
    <row r="2321" spans="1:20" x14ac:dyDescent="0.2">
      <c r="A2321" t="s">
        <v>6186</v>
      </c>
      <c r="B2321" t="s">
        <v>7645</v>
      </c>
      <c r="C2321" t="s">
        <v>7646</v>
      </c>
      <c r="D2321" t="s">
        <v>7647</v>
      </c>
      <c r="E2321" t="s">
        <v>6195</v>
      </c>
      <c r="F2321" t="s">
        <v>719</v>
      </c>
      <c r="G2321" s="1">
        <v>5</v>
      </c>
      <c r="H2321" s="1">
        <v>1</v>
      </c>
      <c r="I2321" t="s">
        <v>5961</v>
      </c>
      <c r="L2321" s="1">
        <v>6</v>
      </c>
      <c r="M2321" s="3">
        <v>13.19</v>
      </c>
      <c r="N2321" s="3">
        <v>0.66</v>
      </c>
      <c r="O2321" s="3">
        <v>0</v>
      </c>
      <c r="P2321" s="3">
        <v>0.6</v>
      </c>
      <c r="Q2321" s="3">
        <v>14.45</v>
      </c>
      <c r="R2321" s="3">
        <v>9.65</v>
      </c>
      <c r="S2321" s="3">
        <f>VLOOKUP(C2321,[1]page!$C$2:$M$3071,11,0)</f>
        <v>13.19</v>
      </c>
      <c r="T2321" s="6">
        <f t="shared" si="37"/>
        <v>0</v>
      </c>
    </row>
    <row r="2322" spans="1:20" x14ac:dyDescent="0.2">
      <c r="A2322" t="s">
        <v>6186</v>
      </c>
      <c r="B2322" t="s">
        <v>7648</v>
      </c>
      <c r="C2322" t="s">
        <v>7649</v>
      </c>
      <c r="D2322" t="s">
        <v>7650</v>
      </c>
      <c r="E2322" t="s">
        <v>6195</v>
      </c>
      <c r="F2322" t="s">
        <v>719</v>
      </c>
      <c r="G2322" s="1">
        <v>4</v>
      </c>
      <c r="H2322" s="1">
        <v>1</v>
      </c>
      <c r="I2322" t="s">
        <v>5627</v>
      </c>
      <c r="L2322" s="1">
        <v>6</v>
      </c>
      <c r="M2322" s="3">
        <v>13.5</v>
      </c>
      <c r="N2322" s="3">
        <v>0.68</v>
      </c>
      <c r="O2322" s="3">
        <v>0</v>
      </c>
      <c r="P2322" s="3">
        <v>0.6</v>
      </c>
      <c r="Q2322" s="3">
        <v>14.78</v>
      </c>
      <c r="R2322" s="3">
        <v>9.65</v>
      </c>
      <c r="S2322" s="3">
        <f>VLOOKUP(C2322,[1]page!$C$2:$M$3071,11,0)</f>
        <v>13.5</v>
      </c>
      <c r="T2322" s="6">
        <f t="shared" si="37"/>
        <v>0</v>
      </c>
    </row>
    <row r="2323" spans="1:20" x14ac:dyDescent="0.2">
      <c r="A2323" t="s">
        <v>6186</v>
      </c>
      <c r="B2323" t="s">
        <v>7651</v>
      </c>
      <c r="C2323" t="s">
        <v>7652</v>
      </c>
      <c r="D2323" t="s">
        <v>7653</v>
      </c>
      <c r="E2323" t="s">
        <v>6190</v>
      </c>
      <c r="F2323" t="s">
        <v>5866</v>
      </c>
      <c r="G2323" s="1">
        <v>0</v>
      </c>
      <c r="H2323" s="1">
        <v>1</v>
      </c>
      <c r="I2323" t="s">
        <v>6191</v>
      </c>
      <c r="L2323" s="1">
        <v>6</v>
      </c>
      <c r="M2323" s="3">
        <v>8.9</v>
      </c>
      <c r="N2323" s="3">
        <v>0.45</v>
      </c>
      <c r="O2323" s="3">
        <v>0.53</v>
      </c>
      <c r="P2323" s="3">
        <v>1.2</v>
      </c>
      <c r="Q2323" s="3">
        <v>11.08</v>
      </c>
      <c r="R2323" s="3">
        <v>9.35</v>
      </c>
      <c r="S2323" s="3">
        <f>VLOOKUP(C2323,[1]page!$C$2:$M$3071,11,0)</f>
        <v>8.9</v>
      </c>
      <c r="T2323" s="6">
        <f t="shared" si="37"/>
        <v>0</v>
      </c>
    </row>
    <row r="2324" spans="1:20" x14ac:dyDescent="0.2">
      <c r="A2324" t="s">
        <v>6186</v>
      </c>
      <c r="B2324" t="s">
        <v>7654</v>
      </c>
      <c r="C2324" t="s">
        <v>7655</v>
      </c>
      <c r="D2324" t="s">
        <v>7656</v>
      </c>
      <c r="E2324" t="s">
        <v>6190</v>
      </c>
      <c r="F2324" t="s">
        <v>5866</v>
      </c>
      <c r="G2324" s="2">
        <v>4.5999999999999996</v>
      </c>
      <c r="H2324" s="1">
        <v>1</v>
      </c>
      <c r="I2324" t="s">
        <v>6191</v>
      </c>
      <c r="L2324" s="1">
        <v>6</v>
      </c>
      <c r="M2324" s="3">
        <v>15.79</v>
      </c>
      <c r="N2324" s="3">
        <v>0.79</v>
      </c>
      <c r="O2324" s="3">
        <v>0</v>
      </c>
      <c r="P2324" s="3">
        <v>1.2</v>
      </c>
      <c r="Q2324" s="3">
        <v>17.78</v>
      </c>
      <c r="R2324" s="3">
        <v>9.35</v>
      </c>
      <c r="S2324" s="3">
        <f>VLOOKUP(C2324,[1]page!$C$2:$M$3071,11,0)</f>
        <v>15.79</v>
      </c>
      <c r="T2324" s="6">
        <f t="shared" si="37"/>
        <v>0</v>
      </c>
    </row>
    <row r="2325" spans="1:20" x14ac:dyDescent="0.2">
      <c r="A2325" t="s">
        <v>6186</v>
      </c>
      <c r="B2325" t="s">
        <v>7657</v>
      </c>
      <c r="C2325" t="s">
        <v>7658</v>
      </c>
      <c r="D2325" t="s">
        <v>7659</v>
      </c>
      <c r="E2325" t="s">
        <v>6241</v>
      </c>
      <c r="F2325" t="s">
        <v>5866</v>
      </c>
      <c r="G2325" s="2">
        <v>3.7</v>
      </c>
      <c r="H2325" s="1">
        <v>1</v>
      </c>
      <c r="I2325" t="s">
        <v>6191</v>
      </c>
      <c r="L2325" s="1">
        <v>6</v>
      </c>
      <c r="M2325" s="3">
        <v>15.79</v>
      </c>
      <c r="N2325" s="3">
        <v>0.79</v>
      </c>
      <c r="O2325" s="3">
        <v>0</v>
      </c>
      <c r="P2325" s="3">
        <v>1.2</v>
      </c>
      <c r="Q2325" s="3">
        <v>17.78</v>
      </c>
      <c r="R2325" s="3">
        <v>9.35</v>
      </c>
      <c r="S2325" s="3">
        <f>VLOOKUP(C2325,[1]page!$C$2:$M$3071,11,0)</f>
        <v>15.79</v>
      </c>
      <c r="T2325" s="6">
        <f t="shared" si="37"/>
        <v>0</v>
      </c>
    </row>
    <row r="2326" spans="1:20" x14ac:dyDescent="0.2">
      <c r="A2326" t="s">
        <v>6186</v>
      </c>
      <c r="B2326" t="s">
        <v>7660</v>
      </c>
      <c r="C2326" t="s">
        <v>7661</v>
      </c>
      <c r="D2326" t="s">
        <v>7662</v>
      </c>
      <c r="E2326" t="s">
        <v>6190</v>
      </c>
      <c r="F2326" t="s">
        <v>5866</v>
      </c>
      <c r="G2326" s="2">
        <v>3.4</v>
      </c>
      <c r="H2326" s="1">
        <v>1</v>
      </c>
      <c r="I2326" t="s">
        <v>6191</v>
      </c>
      <c r="L2326" s="1">
        <v>6</v>
      </c>
      <c r="M2326" s="3">
        <v>15.79</v>
      </c>
      <c r="N2326" s="3">
        <v>0.79</v>
      </c>
      <c r="O2326" s="3">
        <v>0</v>
      </c>
      <c r="P2326" s="3">
        <v>1.2</v>
      </c>
      <c r="Q2326" s="3">
        <v>17.78</v>
      </c>
      <c r="R2326" s="3">
        <v>9.35</v>
      </c>
      <c r="S2326" s="3">
        <f>VLOOKUP(C2326,[1]page!$C$2:$M$3071,11,0)</f>
        <v>15.79</v>
      </c>
      <c r="T2326" s="6">
        <f t="shared" si="37"/>
        <v>0</v>
      </c>
    </row>
    <row r="2327" spans="1:20" x14ac:dyDescent="0.2">
      <c r="A2327" t="s">
        <v>6186</v>
      </c>
      <c r="B2327" t="s">
        <v>7663</v>
      </c>
      <c r="C2327" t="s">
        <v>7664</v>
      </c>
      <c r="D2327" t="s">
        <v>7665</v>
      </c>
      <c r="E2327" t="s">
        <v>6190</v>
      </c>
      <c r="F2327" t="s">
        <v>5866</v>
      </c>
      <c r="G2327" s="1">
        <v>0</v>
      </c>
      <c r="H2327" s="1">
        <v>1</v>
      </c>
      <c r="I2327" t="s">
        <v>6191</v>
      </c>
      <c r="L2327" s="1">
        <v>6</v>
      </c>
      <c r="M2327" s="3">
        <v>8.9</v>
      </c>
      <c r="N2327" s="3">
        <v>0.45</v>
      </c>
      <c r="O2327" s="3">
        <v>0.53</v>
      </c>
      <c r="P2327" s="3">
        <v>1.2</v>
      </c>
      <c r="Q2327" s="3">
        <v>11.08</v>
      </c>
      <c r="R2327" s="3">
        <v>9.35</v>
      </c>
      <c r="S2327" s="3">
        <f>VLOOKUP(C2327,[1]page!$C$2:$M$3071,11,0)</f>
        <v>8.9</v>
      </c>
      <c r="T2327" s="6">
        <f t="shared" si="37"/>
        <v>0</v>
      </c>
    </row>
    <row r="2328" spans="1:20" x14ac:dyDescent="0.2">
      <c r="A2328" t="s">
        <v>6186</v>
      </c>
      <c r="B2328" t="s">
        <v>7666</v>
      </c>
      <c r="C2328" t="s">
        <v>7667</v>
      </c>
      <c r="D2328" t="s">
        <v>7668</v>
      </c>
      <c r="E2328" t="s">
        <v>6241</v>
      </c>
      <c r="F2328" t="s">
        <v>7669</v>
      </c>
      <c r="G2328" s="2">
        <v>4.5999999999999996</v>
      </c>
      <c r="H2328" s="1">
        <v>1</v>
      </c>
      <c r="I2328" t="s">
        <v>6191</v>
      </c>
      <c r="L2328" s="1">
        <v>6</v>
      </c>
      <c r="M2328" s="3">
        <v>9.2799999999999994</v>
      </c>
      <c r="N2328" s="3">
        <v>0.46</v>
      </c>
      <c r="O2328" s="3">
        <v>0</v>
      </c>
      <c r="P2328" s="3">
        <v>0.6</v>
      </c>
      <c r="Q2328" s="3">
        <v>10.34</v>
      </c>
      <c r="R2328" s="3">
        <v>6.2</v>
      </c>
      <c r="S2328" s="3">
        <f>VLOOKUP(C2328,[1]page!$C$2:$M$3071,11,0)</f>
        <v>9.2799999999999994</v>
      </c>
      <c r="T2328" s="6">
        <f t="shared" si="37"/>
        <v>0</v>
      </c>
    </row>
    <row r="2329" spans="1:20" x14ac:dyDescent="0.2">
      <c r="A2329" t="s">
        <v>6186</v>
      </c>
      <c r="B2329" t="s">
        <v>7670</v>
      </c>
      <c r="C2329" t="s">
        <v>7671</v>
      </c>
      <c r="D2329" t="s">
        <v>7672</v>
      </c>
      <c r="E2329" t="s">
        <v>6979</v>
      </c>
      <c r="F2329" t="s">
        <v>5984</v>
      </c>
      <c r="G2329" s="2">
        <v>4.5999999999999996</v>
      </c>
      <c r="H2329" s="1">
        <v>1</v>
      </c>
      <c r="I2329" t="s">
        <v>5961</v>
      </c>
      <c r="L2329" s="1">
        <v>6</v>
      </c>
      <c r="M2329" s="3">
        <v>16.989999999999998</v>
      </c>
      <c r="N2329" s="3">
        <v>0.85</v>
      </c>
      <c r="O2329" s="3">
        <v>0</v>
      </c>
      <c r="P2329" s="3">
        <v>1.2</v>
      </c>
      <c r="Q2329" s="3">
        <v>19.04</v>
      </c>
      <c r="R2329" s="3">
        <v>10.050000000000001</v>
      </c>
      <c r="S2329" s="3">
        <f>VLOOKUP(C2329,[1]page!$C$2:$M$3071,11,0)</f>
        <v>16.989999999999998</v>
      </c>
      <c r="T2329" s="6">
        <f t="shared" si="37"/>
        <v>0</v>
      </c>
    </row>
    <row r="2330" spans="1:20" x14ac:dyDescent="0.2">
      <c r="A2330" t="s">
        <v>6186</v>
      </c>
      <c r="B2330" t="s">
        <v>7673</v>
      </c>
      <c r="C2330" t="s">
        <v>7674</v>
      </c>
      <c r="D2330" t="s">
        <v>7675</v>
      </c>
      <c r="E2330" t="s">
        <v>6747</v>
      </c>
      <c r="F2330" t="s">
        <v>5866</v>
      </c>
      <c r="G2330" s="1">
        <v>5</v>
      </c>
      <c r="H2330" s="1">
        <v>1</v>
      </c>
      <c r="I2330" t="s">
        <v>24</v>
      </c>
      <c r="L2330" s="1">
        <v>6</v>
      </c>
      <c r="M2330" s="3">
        <v>15.49</v>
      </c>
      <c r="N2330" s="3">
        <v>0.77</v>
      </c>
      <c r="O2330" s="3">
        <v>0</v>
      </c>
      <c r="P2330" s="3">
        <v>1.2</v>
      </c>
      <c r="Q2330" s="3">
        <v>17.46</v>
      </c>
      <c r="R2330" s="3">
        <v>9.35</v>
      </c>
      <c r="S2330" s="3">
        <f>VLOOKUP(C2330,[1]page!$C$2:$M$3071,11,0)</f>
        <v>15.49</v>
      </c>
      <c r="T2330" s="6">
        <f t="shared" si="37"/>
        <v>0</v>
      </c>
    </row>
    <row r="2331" spans="1:20" x14ac:dyDescent="0.2">
      <c r="A2331" t="s">
        <v>6186</v>
      </c>
      <c r="B2331" t="s">
        <v>7676</v>
      </c>
      <c r="C2331" t="s">
        <v>7677</v>
      </c>
      <c r="D2331" t="s">
        <v>7678</v>
      </c>
      <c r="E2331" t="s">
        <v>6747</v>
      </c>
      <c r="F2331" t="s">
        <v>5866</v>
      </c>
      <c r="G2331" s="2">
        <v>4.2</v>
      </c>
      <c r="H2331" s="1">
        <v>1</v>
      </c>
      <c r="I2331" t="s">
        <v>24</v>
      </c>
      <c r="L2331" s="1">
        <v>6</v>
      </c>
      <c r="M2331" s="3">
        <v>15.69</v>
      </c>
      <c r="N2331" s="3">
        <v>0.78</v>
      </c>
      <c r="O2331" s="3">
        <v>0</v>
      </c>
      <c r="P2331" s="3">
        <v>1.2</v>
      </c>
      <c r="Q2331" s="3">
        <v>17.670000000000002</v>
      </c>
      <c r="R2331" s="3">
        <v>9.35</v>
      </c>
      <c r="S2331" s="3">
        <f>VLOOKUP(C2331,[1]page!$C$2:$M$3071,11,0)</f>
        <v>15.69</v>
      </c>
      <c r="T2331" s="6">
        <f t="shared" si="37"/>
        <v>0</v>
      </c>
    </row>
    <row r="2332" spans="1:20" x14ac:dyDescent="0.2">
      <c r="A2332" t="s">
        <v>6186</v>
      </c>
      <c r="B2332" t="s">
        <v>7679</v>
      </c>
      <c r="C2332" t="s">
        <v>7680</v>
      </c>
      <c r="D2332" t="s">
        <v>7681</v>
      </c>
      <c r="E2332" t="s">
        <v>6116</v>
      </c>
      <c r="F2332" t="s">
        <v>5866</v>
      </c>
      <c r="G2332" s="1">
        <v>0</v>
      </c>
      <c r="H2332" s="1">
        <v>1</v>
      </c>
      <c r="I2332" t="s">
        <v>5961</v>
      </c>
      <c r="L2332" s="1">
        <v>6</v>
      </c>
      <c r="M2332" s="3">
        <v>10.49</v>
      </c>
      <c r="N2332" s="3">
        <v>0.52</v>
      </c>
      <c r="O2332" s="3">
        <v>0.63</v>
      </c>
      <c r="P2332" s="3">
        <v>1.2</v>
      </c>
      <c r="Q2332" s="3">
        <v>12.84</v>
      </c>
      <c r="R2332" s="3">
        <v>9.35</v>
      </c>
      <c r="S2332" s="3">
        <f>VLOOKUP(C2332,[1]page!$C$2:$M$3071,11,0)</f>
        <v>10.49</v>
      </c>
      <c r="T2332" s="6">
        <f t="shared" si="37"/>
        <v>0</v>
      </c>
    </row>
    <row r="2333" spans="1:20" x14ac:dyDescent="0.2">
      <c r="A2333" t="s">
        <v>6186</v>
      </c>
      <c r="B2333" t="s">
        <v>7682</v>
      </c>
      <c r="C2333" t="s">
        <v>7683</v>
      </c>
      <c r="D2333" t="s">
        <v>7684</v>
      </c>
      <c r="E2333" t="s">
        <v>6116</v>
      </c>
      <c r="F2333" t="s">
        <v>5866</v>
      </c>
      <c r="G2333" s="1">
        <v>5</v>
      </c>
      <c r="H2333" s="1">
        <v>1</v>
      </c>
      <c r="I2333" t="s">
        <v>5961</v>
      </c>
      <c r="L2333" s="1">
        <v>6</v>
      </c>
      <c r="M2333" s="3">
        <v>15.8</v>
      </c>
      <c r="N2333" s="3">
        <v>0.79</v>
      </c>
      <c r="O2333" s="3">
        <v>0</v>
      </c>
      <c r="P2333" s="3">
        <v>1.2</v>
      </c>
      <c r="Q2333" s="3">
        <v>17.79</v>
      </c>
      <c r="R2333" s="3">
        <v>9.35</v>
      </c>
      <c r="S2333" s="3">
        <f>VLOOKUP(C2333,[1]page!$C$2:$M$3071,11,0)</f>
        <v>15.8</v>
      </c>
      <c r="T2333" s="6">
        <f t="shared" si="37"/>
        <v>0</v>
      </c>
    </row>
    <row r="2334" spans="1:20" x14ac:dyDescent="0.2">
      <c r="A2334" t="s">
        <v>6186</v>
      </c>
      <c r="B2334" t="s">
        <v>7685</v>
      </c>
      <c r="C2334" t="s">
        <v>7686</v>
      </c>
      <c r="D2334" t="s">
        <v>7687</v>
      </c>
      <c r="E2334" t="s">
        <v>6116</v>
      </c>
      <c r="F2334" t="s">
        <v>5866</v>
      </c>
      <c r="G2334" s="1">
        <v>4</v>
      </c>
      <c r="H2334" s="1">
        <v>1</v>
      </c>
      <c r="I2334" t="s">
        <v>5961</v>
      </c>
      <c r="L2334" s="1">
        <v>6</v>
      </c>
      <c r="M2334" s="3">
        <v>15.8</v>
      </c>
      <c r="N2334" s="3">
        <v>0.79</v>
      </c>
      <c r="O2334" s="3">
        <v>0</v>
      </c>
      <c r="P2334" s="3">
        <v>1.2</v>
      </c>
      <c r="Q2334" s="3">
        <v>17.79</v>
      </c>
      <c r="R2334" s="3">
        <v>9.35</v>
      </c>
      <c r="S2334" s="3">
        <f>VLOOKUP(C2334,[1]page!$C$2:$M$3071,11,0)</f>
        <v>15.8</v>
      </c>
      <c r="T2334" s="6">
        <f t="shared" si="37"/>
        <v>0</v>
      </c>
    </row>
    <row r="2335" spans="1:20" x14ac:dyDescent="0.2">
      <c r="A2335" t="s">
        <v>6186</v>
      </c>
      <c r="B2335" t="s">
        <v>7688</v>
      </c>
      <c r="C2335" t="s">
        <v>7689</v>
      </c>
      <c r="D2335" t="s">
        <v>7690</v>
      </c>
      <c r="E2335" t="s">
        <v>6357</v>
      </c>
      <c r="F2335" t="s">
        <v>5866</v>
      </c>
      <c r="G2335" s="1">
        <v>5</v>
      </c>
      <c r="H2335" s="1">
        <v>1</v>
      </c>
      <c r="I2335" t="s">
        <v>6191</v>
      </c>
      <c r="L2335" s="1">
        <v>6</v>
      </c>
      <c r="M2335" s="3">
        <v>15.79</v>
      </c>
      <c r="N2335" s="3">
        <v>0.79</v>
      </c>
      <c r="O2335" s="3">
        <v>0</v>
      </c>
      <c r="P2335" s="3">
        <v>1.2</v>
      </c>
      <c r="Q2335" s="3">
        <v>17.78</v>
      </c>
      <c r="R2335" s="3">
        <v>9.35</v>
      </c>
      <c r="S2335" s="3">
        <f>VLOOKUP(C2335,[1]page!$C$2:$M$3071,11,0)</f>
        <v>15.79</v>
      </c>
      <c r="T2335" s="6">
        <f t="shared" ref="T2335:T2398" si="38">SUM(M2335-S2335)</f>
        <v>0</v>
      </c>
    </row>
    <row r="2336" spans="1:20" x14ac:dyDescent="0.2">
      <c r="A2336" t="s">
        <v>6186</v>
      </c>
      <c r="B2336" t="s">
        <v>7691</v>
      </c>
      <c r="C2336" t="s">
        <v>7692</v>
      </c>
      <c r="D2336" t="s">
        <v>7693</v>
      </c>
      <c r="E2336" t="s">
        <v>6195</v>
      </c>
      <c r="F2336" t="s">
        <v>5984</v>
      </c>
      <c r="G2336" s="2">
        <v>4.5999999999999996</v>
      </c>
      <c r="H2336" s="1">
        <v>1</v>
      </c>
      <c r="I2336" t="s">
        <v>5961</v>
      </c>
      <c r="L2336" s="1">
        <v>6</v>
      </c>
      <c r="M2336" s="3">
        <v>14.74</v>
      </c>
      <c r="N2336" s="3">
        <v>0.74</v>
      </c>
      <c r="O2336" s="3">
        <v>0</v>
      </c>
      <c r="P2336" s="3">
        <v>1.2</v>
      </c>
      <c r="Q2336" s="3">
        <v>16.68</v>
      </c>
      <c r="R2336" s="3">
        <v>10.050000000000001</v>
      </c>
      <c r="S2336" s="3">
        <f>VLOOKUP(C2336,[1]page!$C$2:$M$3071,11,0)</f>
        <v>14.74</v>
      </c>
      <c r="T2336" s="6">
        <f t="shared" si="38"/>
        <v>0</v>
      </c>
    </row>
    <row r="2337" spans="1:20" x14ac:dyDescent="0.2">
      <c r="A2337" t="s">
        <v>6186</v>
      </c>
      <c r="B2337" t="s">
        <v>7694</v>
      </c>
      <c r="C2337" t="s">
        <v>7695</v>
      </c>
      <c r="D2337" t="s">
        <v>7696</v>
      </c>
      <c r="E2337" t="s">
        <v>6195</v>
      </c>
      <c r="F2337" t="s">
        <v>5984</v>
      </c>
      <c r="G2337" s="2">
        <v>4.7</v>
      </c>
      <c r="H2337" s="1">
        <v>1</v>
      </c>
      <c r="I2337" t="s">
        <v>5961</v>
      </c>
      <c r="L2337" s="1">
        <v>6</v>
      </c>
      <c r="M2337" s="3">
        <v>14.4</v>
      </c>
      <c r="N2337" s="3">
        <v>0.72</v>
      </c>
      <c r="O2337" s="3">
        <v>0</v>
      </c>
      <c r="P2337" s="3">
        <v>0.6</v>
      </c>
      <c r="Q2337" s="3">
        <v>15.72</v>
      </c>
      <c r="R2337" s="3">
        <v>10.050000000000001</v>
      </c>
      <c r="S2337" s="3">
        <f>VLOOKUP(C2337,[1]page!$C$2:$M$3071,11,0)</f>
        <v>14.4</v>
      </c>
      <c r="T2337" s="6">
        <f t="shared" si="38"/>
        <v>0</v>
      </c>
    </row>
    <row r="2338" spans="1:20" x14ac:dyDescent="0.2">
      <c r="A2338" t="s">
        <v>6186</v>
      </c>
      <c r="B2338" t="s">
        <v>7697</v>
      </c>
      <c r="C2338" t="s">
        <v>7698</v>
      </c>
      <c r="D2338" t="s">
        <v>7699</v>
      </c>
      <c r="E2338" t="s">
        <v>6241</v>
      </c>
      <c r="F2338" t="s">
        <v>5984</v>
      </c>
      <c r="G2338" s="2">
        <v>4.5</v>
      </c>
      <c r="H2338" s="1">
        <v>1</v>
      </c>
      <c r="I2338" t="s">
        <v>6191</v>
      </c>
      <c r="L2338" s="1">
        <v>6</v>
      </c>
      <c r="M2338" s="3">
        <v>16.78</v>
      </c>
      <c r="N2338" s="3">
        <v>0.84</v>
      </c>
      <c r="O2338" s="3">
        <v>0</v>
      </c>
      <c r="P2338" s="3">
        <v>1.2</v>
      </c>
      <c r="Q2338" s="3">
        <v>18.82</v>
      </c>
      <c r="R2338" s="3">
        <v>10.050000000000001</v>
      </c>
      <c r="S2338" s="3">
        <f>VLOOKUP(C2338,[1]page!$C$2:$M$3071,11,0)</f>
        <v>16.78</v>
      </c>
      <c r="T2338" s="6">
        <f t="shared" si="38"/>
        <v>0</v>
      </c>
    </row>
    <row r="2339" spans="1:20" x14ac:dyDescent="0.2">
      <c r="A2339" t="s">
        <v>6186</v>
      </c>
      <c r="B2339" t="s">
        <v>7700</v>
      </c>
      <c r="C2339" t="s">
        <v>7701</v>
      </c>
      <c r="D2339" t="s">
        <v>7702</v>
      </c>
      <c r="E2339" t="s">
        <v>6241</v>
      </c>
      <c r="F2339" t="s">
        <v>5984</v>
      </c>
      <c r="G2339" s="2">
        <v>4.5999999999999996</v>
      </c>
      <c r="H2339" s="1">
        <v>1</v>
      </c>
      <c r="I2339" t="s">
        <v>6191</v>
      </c>
      <c r="L2339" s="1">
        <v>6</v>
      </c>
      <c r="M2339" s="3">
        <v>16.78</v>
      </c>
      <c r="N2339" s="3">
        <v>0.84</v>
      </c>
      <c r="O2339" s="3">
        <v>0</v>
      </c>
      <c r="P2339" s="3">
        <v>1.2</v>
      </c>
      <c r="Q2339" s="3">
        <v>18.82</v>
      </c>
      <c r="R2339" s="3">
        <v>10.050000000000001</v>
      </c>
      <c r="S2339" s="3">
        <f>VLOOKUP(C2339,[1]page!$C$2:$M$3071,11,0)</f>
        <v>16.78</v>
      </c>
      <c r="T2339" s="6">
        <f t="shared" si="38"/>
        <v>0</v>
      </c>
    </row>
    <row r="2340" spans="1:20" x14ac:dyDescent="0.2">
      <c r="A2340" t="s">
        <v>6186</v>
      </c>
      <c r="B2340" t="s">
        <v>7703</v>
      </c>
      <c r="C2340" t="s">
        <v>7704</v>
      </c>
      <c r="D2340" t="s">
        <v>7705</v>
      </c>
      <c r="E2340" t="s">
        <v>6195</v>
      </c>
      <c r="F2340" t="s">
        <v>719</v>
      </c>
      <c r="G2340" s="2">
        <v>5.2</v>
      </c>
      <c r="H2340" s="1">
        <v>1</v>
      </c>
      <c r="I2340" t="s">
        <v>5961</v>
      </c>
      <c r="L2340" s="1">
        <v>6</v>
      </c>
      <c r="M2340" s="3">
        <v>14.2</v>
      </c>
      <c r="N2340" s="3">
        <v>0.71</v>
      </c>
      <c r="O2340" s="3">
        <v>0</v>
      </c>
      <c r="P2340" s="3">
        <v>0.6</v>
      </c>
      <c r="Q2340" s="3">
        <v>15.51</v>
      </c>
      <c r="R2340" s="3">
        <v>9.65</v>
      </c>
      <c r="S2340" s="3">
        <f>VLOOKUP(C2340,[1]page!$C$2:$M$3071,11,0)</f>
        <v>14.2</v>
      </c>
      <c r="T2340" s="6">
        <f t="shared" si="38"/>
        <v>0</v>
      </c>
    </row>
    <row r="2341" spans="1:20" x14ac:dyDescent="0.2">
      <c r="A2341" t="s">
        <v>6186</v>
      </c>
      <c r="B2341" t="s">
        <v>7706</v>
      </c>
      <c r="C2341" t="s">
        <v>7707</v>
      </c>
      <c r="D2341" t="s">
        <v>7708</v>
      </c>
      <c r="E2341" t="s">
        <v>6319</v>
      </c>
      <c r="F2341" t="s">
        <v>5984</v>
      </c>
      <c r="G2341" s="1">
        <v>5</v>
      </c>
      <c r="H2341" s="1">
        <v>1</v>
      </c>
      <c r="I2341" t="s">
        <v>5617</v>
      </c>
      <c r="L2341" s="1">
        <v>6</v>
      </c>
      <c r="M2341" s="3">
        <v>15.31</v>
      </c>
      <c r="N2341" s="3">
        <v>0.77</v>
      </c>
      <c r="O2341" s="3">
        <v>0</v>
      </c>
      <c r="P2341" s="3">
        <v>1.2</v>
      </c>
      <c r="Q2341" s="3">
        <v>17.28</v>
      </c>
      <c r="R2341" s="3">
        <v>10.050000000000001</v>
      </c>
      <c r="S2341" s="3">
        <f>VLOOKUP(C2341,[1]page!$C$2:$M$3071,11,0)</f>
        <v>15.31</v>
      </c>
      <c r="T2341" s="6">
        <f t="shared" si="38"/>
        <v>0</v>
      </c>
    </row>
    <row r="2342" spans="1:20" x14ac:dyDescent="0.2">
      <c r="A2342" t="s">
        <v>6186</v>
      </c>
      <c r="B2342" t="s">
        <v>7709</v>
      </c>
      <c r="C2342" t="s">
        <v>7710</v>
      </c>
      <c r="D2342" t="s">
        <v>7711</v>
      </c>
      <c r="E2342" t="s">
        <v>6195</v>
      </c>
      <c r="F2342" t="s">
        <v>5866</v>
      </c>
      <c r="G2342" s="2">
        <v>4.5</v>
      </c>
      <c r="H2342" s="1">
        <v>1</v>
      </c>
      <c r="I2342" t="s">
        <v>5961</v>
      </c>
      <c r="L2342" s="1">
        <v>6</v>
      </c>
      <c r="M2342" s="3">
        <v>15.46</v>
      </c>
      <c r="N2342" s="3">
        <v>0.77</v>
      </c>
      <c r="O2342" s="3">
        <v>0</v>
      </c>
      <c r="P2342" s="3">
        <v>1.2</v>
      </c>
      <c r="Q2342" s="3">
        <v>17.43</v>
      </c>
      <c r="R2342" s="3">
        <v>9.35</v>
      </c>
      <c r="S2342" s="3">
        <f>VLOOKUP(C2342,[1]page!$C$2:$M$3071,11,0)</f>
        <v>15.46</v>
      </c>
      <c r="T2342" s="6">
        <f t="shared" si="38"/>
        <v>0</v>
      </c>
    </row>
    <row r="2343" spans="1:20" x14ac:dyDescent="0.2">
      <c r="A2343" t="s">
        <v>6186</v>
      </c>
      <c r="B2343" t="s">
        <v>7712</v>
      </c>
      <c r="C2343" t="s">
        <v>7713</v>
      </c>
      <c r="D2343" t="s">
        <v>7714</v>
      </c>
      <c r="E2343" t="s">
        <v>6190</v>
      </c>
      <c r="F2343" t="s">
        <v>5866</v>
      </c>
      <c r="G2343" s="1">
        <v>5</v>
      </c>
      <c r="H2343" s="1">
        <v>1</v>
      </c>
      <c r="I2343" t="s">
        <v>6191</v>
      </c>
      <c r="L2343" s="1">
        <v>6</v>
      </c>
      <c r="M2343" s="3">
        <v>15.79</v>
      </c>
      <c r="N2343" s="3">
        <v>0.79</v>
      </c>
      <c r="O2343" s="3">
        <v>0</v>
      </c>
      <c r="P2343" s="3">
        <v>1.2</v>
      </c>
      <c r="Q2343" s="3">
        <v>17.78</v>
      </c>
      <c r="R2343" s="3">
        <v>9.35</v>
      </c>
      <c r="S2343" s="3">
        <f>VLOOKUP(C2343,[1]page!$C$2:$M$3071,11,0)</f>
        <v>15.79</v>
      </c>
      <c r="T2343" s="6">
        <f t="shared" si="38"/>
        <v>0</v>
      </c>
    </row>
    <row r="2344" spans="1:20" x14ac:dyDescent="0.2">
      <c r="A2344" t="s">
        <v>6186</v>
      </c>
      <c r="B2344" t="s">
        <v>7715</v>
      </c>
      <c r="C2344" t="s">
        <v>7716</v>
      </c>
      <c r="D2344" t="s">
        <v>7717</v>
      </c>
      <c r="E2344" t="s">
        <v>6277</v>
      </c>
      <c r="F2344" t="s">
        <v>5984</v>
      </c>
      <c r="G2344" s="1">
        <v>5</v>
      </c>
      <c r="H2344" s="1">
        <v>1</v>
      </c>
      <c r="I2344" t="s">
        <v>5920</v>
      </c>
      <c r="L2344" s="1">
        <v>6</v>
      </c>
      <c r="M2344" s="3">
        <v>13.95</v>
      </c>
      <c r="N2344" s="3">
        <v>0.7</v>
      </c>
      <c r="O2344" s="3">
        <v>0</v>
      </c>
      <c r="P2344" s="3">
        <v>0.6</v>
      </c>
      <c r="Q2344" s="3">
        <v>15.25</v>
      </c>
      <c r="R2344" s="3">
        <v>10.050000000000001</v>
      </c>
      <c r="S2344" s="3">
        <f>VLOOKUP(C2344,[1]page!$C$2:$M$3071,11,0)</f>
        <v>13.95</v>
      </c>
      <c r="T2344" s="6">
        <f t="shared" si="38"/>
        <v>0</v>
      </c>
    </row>
    <row r="2345" spans="1:20" x14ac:dyDescent="0.2">
      <c r="A2345" t="s">
        <v>6186</v>
      </c>
      <c r="B2345" t="s">
        <v>7718</v>
      </c>
      <c r="C2345" t="s">
        <v>7719</v>
      </c>
      <c r="D2345" t="s">
        <v>7720</v>
      </c>
      <c r="E2345" t="s">
        <v>6195</v>
      </c>
      <c r="F2345" t="s">
        <v>5984</v>
      </c>
      <c r="G2345" s="1">
        <v>4</v>
      </c>
      <c r="H2345" s="1">
        <v>1</v>
      </c>
      <c r="I2345" t="s">
        <v>5961</v>
      </c>
      <c r="L2345" s="1">
        <v>6</v>
      </c>
      <c r="M2345" s="3">
        <v>14.95</v>
      </c>
      <c r="N2345" s="3">
        <v>0.75</v>
      </c>
      <c r="O2345" s="3">
        <v>0</v>
      </c>
      <c r="P2345" s="3">
        <v>0.6</v>
      </c>
      <c r="Q2345" s="3">
        <v>16.3</v>
      </c>
      <c r="R2345" s="3">
        <v>10.050000000000001</v>
      </c>
      <c r="S2345" s="3">
        <f>VLOOKUP(C2345,[1]page!$C$2:$M$3071,11,0)</f>
        <v>14.95</v>
      </c>
      <c r="T2345" s="6">
        <f t="shared" si="38"/>
        <v>0</v>
      </c>
    </row>
    <row r="2346" spans="1:20" x14ac:dyDescent="0.2">
      <c r="A2346" t="s">
        <v>6186</v>
      </c>
      <c r="B2346" t="s">
        <v>7721</v>
      </c>
      <c r="C2346" t="s">
        <v>7722</v>
      </c>
      <c r="D2346" t="s">
        <v>7723</v>
      </c>
      <c r="E2346" t="s">
        <v>6284</v>
      </c>
      <c r="F2346" t="s">
        <v>5984</v>
      </c>
      <c r="G2346" s="1">
        <v>5</v>
      </c>
      <c r="H2346" s="1">
        <v>1</v>
      </c>
      <c r="I2346" t="s">
        <v>6285</v>
      </c>
      <c r="L2346" s="1">
        <v>6</v>
      </c>
      <c r="M2346" s="3">
        <v>8.4</v>
      </c>
      <c r="N2346" s="3">
        <v>0.42</v>
      </c>
      <c r="O2346" s="3">
        <v>0</v>
      </c>
      <c r="P2346" s="3">
        <v>0.6</v>
      </c>
      <c r="Q2346" s="3">
        <v>9.42</v>
      </c>
      <c r="R2346" s="3">
        <v>10.050000000000001</v>
      </c>
      <c r="S2346" s="3">
        <f>VLOOKUP(C2346,[1]page!$C$2:$M$3071,11,0)</f>
        <v>8.4</v>
      </c>
      <c r="T2346" s="6">
        <f t="shared" si="38"/>
        <v>0</v>
      </c>
    </row>
    <row r="2347" spans="1:20" x14ac:dyDescent="0.2">
      <c r="A2347" t="s">
        <v>6186</v>
      </c>
      <c r="B2347" t="s">
        <v>7724</v>
      </c>
      <c r="C2347" t="s">
        <v>7725</v>
      </c>
      <c r="D2347" t="s">
        <v>7726</v>
      </c>
      <c r="E2347" t="s">
        <v>6284</v>
      </c>
      <c r="F2347" t="s">
        <v>5984</v>
      </c>
      <c r="G2347" s="1">
        <v>7</v>
      </c>
      <c r="H2347" s="1">
        <v>1</v>
      </c>
      <c r="I2347" t="s">
        <v>6285</v>
      </c>
      <c r="L2347" s="1">
        <v>6</v>
      </c>
      <c r="M2347" s="3">
        <v>8.4</v>
      </c>
      <c r="N2347" s="3">
        <v>0.42</v>
      </c>
      <c r="O2347" s="3">
        <v>0</v>
      </c>
      <c r="P2347" s="3">
        <v>0.6</v>
      </c>
      <c r="Q2347" s="3">
        <v>9.42</v>
      </c>
      <c r="R2347" s="3">
        <v>12.8</v>
      </c>
      <c r="S2347" s="3">
        <f>VLOOKUP(C2347,[1]page!$C$2:$M$3071,11,0)</f>
        <v>8.4</v>
      </c>
      <c r="T2347" s="6">
        <f t="shared" si="38"/>
        <v>0</v>
      </c>
    </row>
    <row r="2348" spans="1:20" x14ac:dyDescent="0.2">
      <c r="A2348" t="s">
        <v>6186</v>
      </c>
      <c r="B2348" t="s">
        <v>7727</v>
      </c>
      <c r="C2348" t="s">
        <v>7728</v>
      </c>
      <c r="D2348" t="s">
        <v>7729</v>
      </c>
      <c r="E2348" t="s">
        <v>6284</v>
      </c>
      <c r="F2348" t="s">
        <v>5984</v>
      </c>
      <c r="G2348" s="1">
        <v>5</v>
      </c>
      <c r="H2348" s="1">
        <v>1</v>
      </c>
      <c r="I2348" t="s">
        <v>6285</v>
      </c>
      <c r="L2348" s="1">
        <v>6</v>
      </c>
      <c r="M2348" s="3">
        <v>10</v>
      </c>
      <c r="N2348" s="3">
        <v>0.5</v>
      </c>
      <c r="O2348" s="3">
        <v>0</v>
      </c>
      <c r="P2348" s="3">
        <v>0.6</v>
      </c>
      <c r="Q2348" s="3">
        <v>11.1</v>
      </c>
      <c r="R2348" s="3">
        <v>10.050000000000001</v>
      </c>
      <c r="S2348" s="3">
        <f>VLOOKUP(C2348,[1]page!$C$2:$M$3071,11,0)</f>
        <v>10</v>
      </c>
      <c r="T2348" s="6">
        <f t="shared" si="38"/>
        <v>0</v>
      </c>
    </row>
    <row r="2349" spans="1:20" x14ac:dyDescent="0.2">
      <c r="A2349" t="s">
        <v>6186</v>
      </c>
      <c r="B2349" t="s">
        <v>7730</v>
      </c>
      <c r="C2349" t="s">
        <v>7731</v>
      </c>
      <c r="D2349" t="s">
        <v>7732</v>
      </c>
      <c r="E2349" t="s">
        <v>6190</v>
      </c>
      <c r="F2349" t="s">
        <v>5984</v>
      </c>
      <c r="G2349" s="1">
        <v>4</v>
      </c>
      <c r="H2349" s="1">
        <v>1</v>
      </c>
      <c r="I2349" t="s">
        <v>6191</v>
      </c>
      <c r="L2349" s="1">
        <v>6</v>
      </c>
      <c r="M2349" s="3">
        <v>16.48</v>
      </c>
      <c r="N2349" s="3">
        <v>0.82</v>
      </c>
      <c r="O2349" s="3">
        <v>0</v>
      </c>
      <c r="P2349" s="3">
        <v>0.6</v>
      </c>
      <c r="Q2349" s="3">
        <v>17.899999999999999</v>
      </c>
      <c r="R2349" s="3">
        <v>10.050000000000001</v>
      </c>
      <c r="S2349" s="3">
        <f>VLOOKUP(C2349,[1]page!$C$2:$M$3071,11,0)</f>
        <v>16.48</v>
      </c>
      <c r="T2349" s="6">
        <f t="shared" si="38"/>
        <v>0</v>
      </c>
    </row>
    <row r="2350" spans="1:20" x14ac:dyDescent="0.2">
      <c r="A2350" t="s">
        <v>6186</v>
      </c>
      <c r="B2350" t="s">
        <v>7733</v>
      </c>
      <c r="C2350" t="s">
        <v>7734</v>
      </c>
      <c r="D2350" t="s">
        <v>7735</v>
      </c>
      <c r="E2350" t="s">
        <v>6190</v>
      </c>
      <c r="F2350" t="s">
        <v>5984</v>
      </c>
      <c r="G2350" s="1">
        <v>4</v>
      </c>
      <c r="H2350" s="1">
        <v>1</v>
      </c>
      <c r="I2350" t="s">
        <v>6191</v>
      </c>
      <c r="L2350" s="1">
        <v>6</v>
      </c>
      <c r="M2350" s="3">
        <v>16.48</v>
      </c>
      <c r="N2350" s="3">
        <v>0.82</v>
      </c>
      <c r="O2350" s="3">
        <v>0</v>
      </c>
      <c r="P2350" s="3">
        <v>0.6</v>
      </c>
      <c r="Q2350" s="3">
        <v>17.899999999999999</v>
      </c>
      <c r="R2350" s="3">
        <v>10.050000000000001</v>
      </c>
      <c r="S2350" s="3">
        <f>VLOOKUP(C2350,[1]page!$C$2:$M$3071,11,0)</f>
        <v>16.48</v>
      </c>
      <c r="T2350" s="6">
        <f t="shared" si="38"/>
        <v>0</v>
      </c>
    </row>
    <row r="2351" spans="1:20" x14ac:dyDescent="0.2">
      <c r="A2351" t="s">
        <v>6186</v>
      </c>
      <c r="B2351" t="s">
        <v>7736</v>
      </c>
      <c r="C2351" t="s">
        <v>7737</v>
      </c>
      <c r="D2351" t="s">
        <v>7738</v>
      </c>
      <c r="E2351" t="s">
        <v>6190</v>
      </c>
      <c r="F2351" t="s">
        <v>5984</v>
      </c>
      <c r="G2351" s="1">
        <v>0</v>
      </c>
      <c r="H2351" s="1">
        <v>1</v>
      </c>
      <c r="I2351" t="s">
        <v>6191</v>
      </c>
      <c r="L2351" s="1">
        <v>6</v>
      </c>
      <c r="M2351" s="3">
        <v>10.19</v>
      </c>
      <c r="N2351" s="3">
        <v>0.51</v>
      </c>
      <c r="O2351" s="3">
        <v>0.61</v>
      </c>
      <c r="P2351" s="3">
        <v>0.6</v>
      </c>
      <c r="Q2351" s="3">
        <v>11.91</v>
      </c>
      <c r="R2351" s="3">
        <v>10.050000000000001</v>
      </c>
      <c r="S2351" s="3">
        <f>VLOOKUP(C2351,[1]page!$C$2:$M$3071,11,0)</f>
        <v>10.19</v>
      </c>
      <c r="T2351" s="6">
        <f t="shared" si="38"/>
        <v>0</v>
      </c>
    </row>
    <row r="2352" spans="1:20" x14ac:dyDescent="0.2">
      <c r="A2352" t="s">
        <v>6186</v>
      </c>
      <c r="B2352" t="s">
        <v>7739</v>
      </c>
      <c r="C2352" t="s">
        <v>7740</v>
      </c>
      <c r="D2352" t="s">
        <v>7741</v>
      </c>
      <c r="E2352" t="s">
        <v>6195</v>
      </c>
      <c r="F2352" t="s">
        <v>6012</v>
      </c>
      <c r="G2352" s="1">
        <v>5</v>
      </c>
      <c r="H2352" s="1">
        <v>1</v>
      </c>
      <c r="I2352" t="s">
        <v>5961</v>
      </c>
      <c r="L2352" s="1">
        <v>6</v>
      </c>
      <c r="M2352" s="3">
        <v>18</v>
      </c>
      <c r="N2352" s="3">
        <v>0.9</v>
      </c>
      <c r="O2352" s="3">
        <v>0</v>
      </c>
      <c r="P2352" s="3">
        <v>0.6</v>
      </c>
      <c r="Q2352" s="3">
        <v>19.5</v>
      </c>
      <c r="R2352" s="3">
        <v>13.4</v>
      </c>
      <c r="S2352" s="3">
        <f>VLOOKUP(C2352,[1]page!$C$2:$M$3071,11,0)</f>
        <v>18</v>
      </c>
      <c r="T2352" s="6">
        <f t="shared" si="38"/>
        <v>0</v>
      </c>
    </row>
    <row r="2353" spans="1:20" x14ac:dyDescent="0.2">
      <c r="A2353" t="s">
        <v>6186</v>
      </c>
      <c r="B2353" t="s">
        <v>7742</v>
      </c>
      <c r="C2353" t="s">
        <v>7743</v>
      </c>
      <c r="D2353" t="s">
        <v>7744</v>
      </c>
      <c r="E2353" t="s">
        <v>6380</v>
      </c>
      <c r="F2353" t="s">
        <v>5984</v>
      </c>
      <c r="G2353" s="1">
        <v>5</v>
      </c>
      <c r="H2353" s="1">
        <v>1</v>
      </c>
      <c r="I2353" t="s">
        <v>6381</v>
      </c>
      <c r="L2353" s="1">
        <v>6</v>
      </c>
      <c r="M2353" s="3">
        <v>12.19</v>
      </c>
      <c r="N2353" s="3">
        <v>0.61</v>
      </c>
      <c r="O2353" s="3">
        <v>0</v>
      </c>
      <c r="P2353" s="3">
        <v>0.6</v>
      </c>
      <c r="Q2353" s="3">
        <v>13.4</v>
      </c>
      <c r="R2353" s="3">
        <v>10.050000000000001</v>
      </c>
      <c r="S2353" s="3">
        <f>VLOOKUP(C2353,[1]page!$C$2:$M$3071,11,0)</f>
        <v>12.19</v>
      </c>
      <c r="T2353" s="6">
        <f t="shared" si="38"/>
        <v>0</v>
      </c>
    </row>
    <row r="2354" spans="1:20" x14ac:dyDescent="0.2">
      <c r="A2354" t="s">
        <v>6186</v>
      </c>
      <c r="B2354" t="s">
        <v>7745</v>
      </c>
      <c r="C2354" t="s">
        <v>7746</v>
      </c>
      <c r="D2354" t="s">
        <v>7747</v>
      </c>
      <c r="E2354" t="s">
        <v>6380</v>
      </c>
      <c r="F2354" t="s">
        <v>5984</v>
      </c>
      <c r="G2354" s="1">
        <v>5</v>
      </c>
      <c r="H2354" s="1">
        <v>1</v>
      </c>
      <c r="I2354" t="s">
        <v>6381</v>
      </c>
      <c r="L2354" s="1">
        <v>6</v>
      </c>
      <c r="M2354" s="3">
        <v>13.7</v>
      </c>
      <c r="N2354" s="3">
        <v>0.69</v>
      </c>
      <c r="O2354" s="3">
        <v>0</v>
      </c>
      <c r="P2354" s="3">
        <v>0.6</v>
      </c>
      <c r="Q2354" s="3">
        <v>14.99</v>
      </c>
      <c r="R2354" s="3">
        <v>10.050000000000001</v>
      </c>
      <c r="S2354" s="3">
        <f>VLOOKUP(C2354,[1]page!$C$2:$M$3071,11,0)</f>
        <v>13.7</v>
      </c>
      <c r="T2354" s="6">
        <f t="shared" si="38"/>
        <v>0</v>
      </c>
    </row>
    <row r="2355" spans="1:20" x14ac:dyDescent="0.2">
      <c r="A2355" t="s">
        <v>6186</v>
      </c>
      <c r="B2355" t="s">
        <v>7748</v>
      </c>
      <c r="C2355" t="s">
        <v>7749</v>
      </c>
      <c r="D2355" t="s">
        <v>7750</v>
      </c>
      <c r="E2355" t="s">
        <v>6380</v>
      </c>
      <c r="F2355" t="s">
        <v>5984</v>
      </c>
      <c r="G2355" s="1">
        <v>5</v>
      </c>
      <c r="H2355" s="1">
        <v>1</v>
      </c>
      <c r="I2355" t="s">
        <v>6381</v>
      </c>
      <c r="L2355" s="1">
        <v>6</v>
      </c>
      <c r="M2355" s="3">
        <v>11.24</v>
      </c>
      <c r="N2355" s="3">
        <v>0.56000000000000005</v>
      </c>
      <c r="O2355" s="3">
        <v>0</v>
      </c>
      <c r="P2355" s="3">
        <v>0.6</v>
      </c>
      <c r="Q2355" s="3">
        <v>12.4</v>
      </c>
      <c r="R2355" s="3">
        <v>10.050000000000001</v>
      </c>
      <c r="S2355" s="3">
        <f>VLOOKUP(C2355,[1]page!$C$2:$M$3071,11,0)</f>
        <v>11.24</v>
      </c>
      <c r="T2355" s="6">
        <f t="shared" si="38"/>
        <v>0</v>
      </c>
    </row>
    <row r="2356" spans="1:20" x14ac:dyDescent="0.2">
      <c r="A2356" t="s">
        <v>6186</v>
      </c>
      <c r="B2356" t="s">
        <v>7751</v>
      </c>
      <c r="C2356" t="s">
        <v>7752</v>
      </c>
      <c r="D2356" t="s">
        <v>7753</v>
      </c>
      <c r="E2356" t="s">
        <v>6380</v>
      </c>
      <c r="F2356" t="s">
        <v>5984</v>
      </c>
      <c r="G2356" s="1">
        <v>5</v>
      </c>
      <c r="H2356" s="1">
        <v>1</v>
      </c>
      <c r="I2356" t="s">
        <v>6381</v>
      </c>
      <c r="L2356" s="1">
        <v>6</v>
      </c>
      <c r="M2356" s="3">
        <v>12.19</v>
      </c>
      <c r="N2356" s="3">
        <v>0.61</v>
      </c>
      <c r="O2356" s="3">
        <v>0</v>
      </c>
      <c r="P2356" s="3">
        <v>0.6</v>
      </c>
      <c r="Q2356" s="3">
        <v>13.4</v>
      </c>
      <c r="R2356" s="3">
        <v>10.050000000000001</v>
      </c>
      <c r="S2356" s="3">
        <f>VLOOKUP(C2356,[1]page!$C$2:$M$3071,11,0)</f>
        <v>12.19</v>
      </c>
      <c r="T2356" s="6">
        <f t="shared" si="38"/>
        <v>0</v>
      </c>
    </row>
    <row r="2357" spans="1:20" x14ac:dyDescent="0.2">
      <c r="A2357" t="s">
        <v>6186</v>
      </c>
      <c r="B2357" t="s">
        <v>7754</v>
      </c>
      <c r="C2357" t="s">
        <v>7755</v>
      </c>
      <c r="D2357" t="s">
        <v>7756</v>
      </c>
      <c r="E2357" t="s">
        <v>6380</v>
      </c>
      <c r="F2357" t="s">
        <v>5984</v>
      </c>
      <c r="G2357" s="1">
        <v>5</v>
      </c>
      <c r="H2357" s="1">
        <v>1</v>
      </c>
      <c r="I2357" t="s">
        <v>6381</v>
      </c>
      <c r="L2357" s="1">
        <v>6</v>
      </c>
      <c r="M2357" s="3">
        <v>12.19</v>
      </c>
      <c r="N2357" s="3">
        <v>0.61</v>
      </c>
      <c r="O2357" s="3">
        <v>0</v>
      </c>
      <c r="P2357" s="3">
        <v>0.6</v>
      </c>
      <c r="Q2357" s="3">
        <v>13.4</v>
      </c>
      <c r="R2357" s="3">
        <v>10.050000000000001</v>
      </c>
      <c r="S2357" s="3">
        <f>VLOOKUP(C2357,[1]page!$C$2:$M$3071,11,0)</f>
        <v>12.19</v>
      </c>
      <c r="T2357" s="6">
        <f t="shared" si="38"/>
        <v>0</v>
      </c>
    </row>
    <row r="2358" spans="1:20" x14ac:dyDescent="0.2">
      <c r="A2358" t="s">
        <v>6186</v>
      </c>
      <c r="B2358" t="s">
        <v>7757</v>
      </c>
      <c r="C2358" t="s">
        <v>7758</v>
      </c>
      <c r="D2358" t="s">
        <v>7759</v>
      </c>
      <c r="E2358" t="s">
        <v>6319</v>
      </c>
      <c r="F2358" t="s">
        <v>5984</v>
      </c>
      <c r="G2358" s="1">
        <v>8</v>
      </c>
      <c r="H2358" s="1">
        <v>1</v>
      </c>
      <c r="I2358" t="s">
        <v>5617</v>
      </c>
      <c r="L2358" s="1">
        <v>6</v>
      </c>
      <c r="M2358" s="3">
        <v>10.130000000000001</v>
      </c>
      <c r="N2358" s="3">
        <v>0.51</v>
      </c>
      <c r="O2358" s="3">
        <v>0</v>
      </c>
      <c r="P2358" s="3">
        <v>0.6</v>
      </c>
      <c r="Q2358" s="3">
        <v>11.24</v>
      </c>
      <c r="R2358" s="3">
        <v>14.6</v>
      </c>
      <c r="S2358" s="3">
        <f>VLOOKUP(C2358,[1]page!$C$2:$M$3071,11,0)</f>
        <v>10.130000000000001</v>
      </c>
      <c r="T2358" s="6">
        <f t="shared" si="38"/>
        <v>0</v>
      </c>
    </row>
    <row r="2359" spans="1:20" x14ac:dyDescent="0.2">
      <c r="A2359" t="s">
        <v>6186</v>
      </c>
      <c r="B2359" t="s">
        <v>7760</v>
      </c>
      <c r="C2359" t="s">
        <v>7761</v>
      </c>
      <c r="D2359" t="s">
        <v>7762</v>
      </c>
      <c r="E2359" t="s">
        <v>6195</v>
      </c>
      <c r="F2359" t="s">
        <v>6012</v>
      </c>
      <c r="G2359" s="1">
        <v>4</v>
      </c>
      <c r="H2359" s="1">
        <v>1</v>
      </c>
      <c r="I2359" t="s">
        <v>5961</v>
      </c>
      <c r="L2359" s="1">
        <v>6</v>
      </c>
      <c r="M2359" s="3">
        <v>18</v>
      </c>
      <c r="N2359" s="3">
        <v>0.9</v>
      </c>
      <c r="O2359" s="3">
        <v>0</v>
      </c>
      <c r="P2359" s="3">
        <v>0.6</v>
      </c>
      <c r="Q2359" s="3">
        <v>19.5</v>
      </c>
      <c r="R2359" s="3">
        <v>13.4</v>
      </c>
      <c r="S2359" s="3">
        <f>VLOOKUP(C2359,[1]page!$C$2:$M$3071,11,0)</f>
        <v>18</v>
      </c>
      <c r="T2359" s="6">
        <f t="shared" si="38"/>
        <v>0</v>
      </c>
    </row>
    <row r="2360" spans="1:20" x14ac:dyDescent="0.2">
      <c r="A2360" t="s">
        <v>6186</v>
      </c>
      <c r="B2360" t="s">
        <v>7763</v>
      </c>
      <c r="C2360" t="s">
        <v>7764</v>
      </c>
      <c r="D2360" t="s">
        <v>7765</v>
      </c>
      <c r="E2360" t="s">
        <v>6277</v>
      </c>
      <c r="F2360" t="s">
        <v>5984</v>
      </c>
      <c r="G2360" s="1">
        <v>0</v>
      </c>
      <c r="H2360" s="1">
        <v>1</v>
      </c>
      <c r="I2360" t="s">
        <v>5920</v>
      </c>
      <c r="L2360" s="1">
        <v>6</v>
      </c>
      <c r="M2360" s="3">
        <v>8.9</v>
      </c>
      <c r="N2360" s="3">
        <v>0.45</v>
      </c>
      <c r="O2360" s="3">
        <v>0.53</v>
      </c>
      <c r="P2360" s="3">
        <v>0.6</v>
      </c>
      <c r="Q2360" s="3">
        <v>10.48</v>
      </c>
      <c r="R2360" s="3">
        <v>10.050000000000001</v>
      </c>
      <c r="S2360" s="3">
        <f>VLOOKUP(C2360,[1]page!$C$2:$M$3071,11,0)</f>
        <v>8.9</v>
      </c>
      <c r="T2360" s="6">
        <f t="shared" si="38"/>
        <v>0</v>
      </c>
    </row>
    <row r="2361" spans="1:20" x14ac:dyDescent="0.2">
      <c r="A2361" t="s">
        <v>6186</v>
      </c>
      <c r="B2361" t="s">
        <v>7766</v>
      </c>
      <c r="C2361" t="s">
        <v>7767</v>
      </c>
      <c r="D2361" t="s">
        <v>7768</v>
      </c>
      <c r="E2361" t="s">
        <v>6190</v>
      </c>
      <c r="F2361" t="s">
        <v>5984</v>
      </c>
      <c r="G2361" s="2">
        <v>4.5999999999999996</v>
      </c>
      <c r="H2361" s="1">
        <v>1</v>
      </c>
      <c r="I2361" t="s">
        <v>6191</v>
      </c>
      <c r="L2361" s="1">
        <v>6</v>
      </c>
      <c r="M2361" s="3">
        <v>15.58</v>
      </c>
      <c r="N2361" s="3">
        <v>0.78</v>
      </c>
      <c r="O2361" s="3">
        <v>0</v>
      </c>
      <c r="P2361" s="3">
        <v>0.6</v>
      </c>
      <c r="Q2361" s="3">
        <v>16.96</v>
      </c>
      <c r="R2361" s="3">
        <v>10.050000000000001</v>
      </c>
      <c r="S2361" s="3">
        <f>VLOOKUP(C2361,[1]page!$C$2:$M$3071,11,0)</f>
        <v>15.58</v>
      </c>
      <c r="T2361" s="6">
        <f t="shared" si="38"/>
        <v>0</v>
      </c>
    </row>
    <row r="2362" spans="1:20" x14ac:dyDescent="0.2">
      <c r="A2362" t="s">
        <v>6186</v>
      </c>
      <c r="B2362" t="s">
        <v>7769</v>
      </c>
      <c r="C2362" t="s">
        <v>7770</v>
      </c>
      <c r="D2362" t="s">
        <v>7771</v>
      </c>
      <c r="E2362" t="s">
        <v>6332</v>
      </c>
      <c r="F2362" t="s">
        <v>5984</v>
      </c>
      <c r="G2362" s="2">
        <v>6.5</v>
      </c>
      <c r="H2362" s="1">
        <v>1</v>
      </c>
      <c r="I2362" t="s">
        <v>5961</v>
      </c>
      <c r="L2362" s="1">
        <v>6</v>
      </c>
      <c r="M2362" s="3">
        <v>14.39</v>
      </c>
      <c r="N2362" s="3">
        <v>0.72</v>
      </c>
      <c r="O2362" s="3">
        <v>0</v>
      </c>
      <c r="P2362" s="3">
        <v>0.6</v>
      </c>
      <c r="Q2362" s="3">
        <v>15.71</v>
      </c>
      <c r="R2362" s="3">
        <v>10.050000000000001</v>
      </c>
      <c r="S2362" s="3">
        <f>VLOOKUP(C2362,[1]page!$C$2:$M$3071,11,0)</f>
        <v>14.39</v>
      </c>
      <c r="T2362" s="6">
        <f t="shared" si="38"/>
        <v>0</v>
      </c>
    </row>
    <row r="2363" spans="1:20" x14ac:dyDescent="0.2">
      <c r="A2363" t="s">
        <v>6186</v>
      </c>
      <c r="B2363" t="s">
        <v>7772</v>
      </c>
      <c r="C2363" t="s">
        <v>7773</v>
      </c>
      <c r="D2363" t="s">
        <v>7774</v>
      </c>
      <c r="E2363" t="s">
        <v>6332</v>
      </c>
      <c r="F2363" t="s">
        <v>5984</v>
      </c>
      <c r="G2363" s="2">
        <v>4.5</v>
      </c>
      <c r="H2363" s="1">
        <v>1</v>
      </c>
      <c r="I2363" t="s">
        <v>5961</v>
      </c>
      <c r="L2363" s="1">
        <v>6</v>
      </c>
      <c r="M2363" s="3">
        <v>14</v>
      </c>
      <c r="N2363" s="3">
        <v>0.7</v>
      </c>
      <c r="O2363" s="3">
        <v>0</v>
      </c>
      <c r="P2363" s="3">
        <v>0.6</v>
      </c>
      <c r="Q2363" s="3">
        <v>15.3</v>
      </c>
      <c r="R2363" s="3">
        <v>10.050000000000001</v>
      </c>
      <c r="S2363" s="3">
        <f>VLOOKUP(C2363,[1]page!$C$2:$M$3071,11,0)</f>
        <v>14</v>
      </c>
      <c r="T2363" s="6">
        <f t="shared" si="38"/>
        <v>0</v>
      </c>
    </row>
    <row r="2364" spans="1:20" x14ac:dyDescent="0.2">
      <c r="A2364" t="s">
        <v>6186</v>
      </c>
      <c r="B2364" t="s">
        <v>7775</v>
      </c>
      <c r="C2364" t="s">
        <v>7776</v>
      </c>
      <c r="D2364" t="s">
        <v>7777</v>
      </c>
      <c r="E2364" t="s">
        <v>6332</v>
      </c>
      <c r="F2364" t="s">
        <v>5984</v>
      </c>
      <c r="G2364" s="2">
        <v>4.7</v>
      </c>
      <c r="H2364" s="1">
        <v>1</v>
      </c>
      <c r="I2364" t="s">
        <v>5961</v>
      </c>
      <c r="L2364" s="1">
        <v>6</v>
      </c>
      <c r="M2364" s="3">
        <v>14.39</v>
      </c>
      <c r="N2364" s="3">
        <v>0.72</v>
      </c>
      <c r="O2364" s="3">
        <v>0</v>
      </c>
      <c r="P2364" s="3">
        <v>0.6</v>
      </c>
      <c r="Q2364" s="3">
        <v>15.71</v>
      </c>
      <c r="R2364" s="3">
        <v>10.050000000000001</v>
      </c>
      <c r="S2364" s="3">
        <f>VLOOKUP(C2364,[1]page!$C$2:$M$3071,11,0)</f>
        <v>14.39</v>
      </c>
      <c r="T2364" s="6">
        <f t="shared" si="38"/>
        <v>0</v>
      </c>
    </row>
    <row r="2365" spans="1:20" x14ac:dyDescent="0.2">
      <c r="A2365" t="s">
        <v>6186</v>
      </c>
      <c r="B2365" t="s">
        <v>7778</v>
      </c>
      <c r="C2365" t="s">
        <v>7779</v>
      </c>
      <c r="D2365" t="s">
        <v>7780</v>
      </c>
      <c r="E2365" t="s">
        <v>6332</v>
      </c>
      <c r="F2365" t="s">
        <v>5984</v>
      </c>
      <c r="G2365" s="1">
        <v>5</v>
      </c>
      <c r="H2365" s="1">
        <v>1</v>
      </c>
      <c r="I2365" t="s">
        <v>5961</v>
      </c>
      <c r="L2365" s="1">
        <v>6</v>
      </c>
      <c r="M2365" s="3">
        <v>14.39</v>
      </c>
      <c r="N2365" s="3">
        <v>0.72</v>
      </c>
      <c r="O2365" s="3">
        <v>0</v>
      </c>
      <c r="P2365" s="3">
        <v>0.6</v>
      </c>
      <c r="Q2365" s="3">
        <v>15.71</v>
      </c>
      <c r="R2365" s="3">
        <v>10.050000000000001</v>
      </c>
      <c r="S2365" s="3">
        <f>VLOOKUP(C2365,[1]page!$C$2:$M$3071,11,0)</f>
        <v>14.39</v>
      </c>
      <c r="T2365" s="6">
        <f t="shared" si="38"/>
        <v>0</v>
      </c>
    </row>
    <row r="2366" spans="1:20" x14ac:dyDescent="0.2">
      <c r="A2366" t="s">
        <v>6186</v>
      </c>
      <c r="B2366" t="s">
        <v>7781</v>
      </c>
      <c r="C2366" t="s">
        <v>7782</v>
      </c>
      <c r="D2366" t="s">
        <v>7783</v>
      </c>
      <c r="E2366" t="s">
        <v>6332</v>
      </c>
      <c r="F2366" t="s">
        <v>5984</v>
      </c>
      <c r="G2366" s="2">
        <v>5.5</v>
      </c>
      <c r="H2366" s="1">
        <v>1</v>
      </c>
      <c r="I2366" t="s">
        <v>5961</v>
      </c>
      <c r="L2366" s="1">
        <v>6</v>
      </c>
      <c r="M2366" s="3">
        <v>14.39</v>
      </c>
      <c r="N2366" s="3">
        <v>0.72</v>
      </c>
      <c r="O2366" s="3">
        <v>0</v>
      </c>
      <c r="P2366" s="3">
        <v>0.6</v>
      </c>
      <c r="Q2366" s="3">
        <v>15.71</v>
      </c>
      <c r="R2366" s="3">
        <v>10.050000000000001</v>
      </c>
      <c r="S2366" s="3">
        <f>VLOOKUP(C2366,[1]page!$C$2:$M$3071,11,0)</f>
        <v>14.39</v>
      </c>
      <c r="T2366" s="6">
        <f t="shared" si="38"/>
        <v>0</v>
      </c>
    </row>
    <row r="2367" spans="1:20" x14ac:dyDescent="0.2">
      <c r="A2367" t="s">
        <v>6186</v>
      </c>
      <c r="B2367" t="s">
        <v>7784</v>
      </c>
      <c r="C2367" t="s">
        <v>7785</v>
      </c>
      <c r="D2367" t="s">
        <v>7786</v>
      </c>
      <c r="E2367" t="s">
        <v>6277</v>
      </c>
      <c r="F2367" t="s">
        <v>5984</v>
      </c>
      <c r="G2367" s="2">
        <v>6.5</v>
      </c>
      <c r="H2367" s="1">
        <v>1</v>
      </c>
      <c r="I2367" t="s">
        <v>5920</v>
      </c>
      <c r="L2367" s="1">
        <v>6</v>
      </c>
      <c r="M2367" s="3">
        <v>10.98</v>
      </c>
      <c r="N2367" s="3">
        <v>0.55000000000000004</v>
      </c>
      <c r="O2367" s="3">
        <v>0</v>
      </c>
      <c r="P2367" s="3">
        <v>0.6</v>
      </c>
      <c r="Q2367" s="3">
        <v>12.13</v>
      </c>
      <c r="R2367" s="3">
        <v>10.050000000000001</v>
      </c>
      <c r="S2367" s="3">
        <f>VLOOKUP(C2367,[1]page!$C$2:$M$3071,11,0)</f>
        <v>10.98</v>
      </c>
      <c r="T2367" s="6">
        <f t="shared" si="38"/>
        <v>0</v>
      </c>
    </row>
    <row r="2368" spans="1:20" x14ac:dyDescent="0.2">
      <c r="A2368" t="s">
        <v>6186</v>
      </c>
      <c r="B2368" t="s">
        <v>7787</v>
      </c>
      <c r="C2368" t="s">
        <v>7788</v>
      </c>
      <c r="D2368" t="s">
        <v>7789</v>
      </c>
      <c r="E2368" t="s">
        <v>6332</v>
      </c>
      <c r="F2368" t="s">
        <v>5984</v>
      </c>
      <c r="G2368" s="1">
        <v>5</v>
      </c>
      <c r="H2368" s="1">
        <v>1</v>
      </c>
      <c r="I2368" t="s">
        <v>5961</v>
      </c>
      <c r="L2368" s="1">
        <v>6</v>
      </c>
      <c r="M2368" s="3">
        <v>14.39</v>
      </c>
      <c r="N2368" s="3">
        <v>0.72</v>
      </c>
      <c r="O2368" s="3">
        <v>0</v>
      </c>
      <c r="P2368" s="3">
        <v>0.6</v>
      </c>
      <c r="Q2368" s="3">
        <v>15.71</v>
      </c>
      <c r="R2368" s="3">
        <v>10.050000000000001</v>
      </c>
      <c r="S2368" s="3">
        <f>VLOOKUP(C2368,[1]page!$C$2:$M$3071,11,0)</f>
        <v>14.39</v>
      </c>
      <c r="T2368" s="6">
        <f t="shared" si="38"/>
        <v>0</v>
      </c>
    </row>
    <row r="2369" spans="1:20" x14ac:dyDescent="0.2">
      <c r="A2369" t="s">
        <v>6186</v>
      </c>
      <c r="B2369" t="s">
        <v>7790</v>
      </c>
      <c r="C2369" t="s">
        <v>7791</v>
      </c>
      <c r="D2369" t="s">
        <v>7792</v>
      </c>
      <c r="E2369" t="s">
        <v>6277</v>
      </c>
      <c r="F2369" t="s">
        <v>5984</v>
      </c>
      <c r="G2369" s="1">
        <v>5</v>
      </c>
      <c r="H2369" s="1">
        <v>1</v>
      </c>
      <c r="I2369" t="s">
        <v>5920</v>
      </c>
      <c r="L2369" s="1">
        <v>6</v>
      </c>
      <c r="M2369" s="3">
        <v>13.95</v>
      </c>
      <c r="N2369" s="3">
        <v>0.7</v>
      </c>
      <c r="O2369" s="3">
        <v>0</v>
      </c>
      <c r="P2369" s="3">
        <v>0.6</v>
      </c>
      <c r="Q2369" s="3">
        <v>15.25</v>
      </c>
      <c r="R2369" s="3">
        <v>10.050000000000001</v>
      </c>
      <c r="S2369" s="3">
        <f>VLOOKUP(C2369,[1]page!$C$2:$M$3071,11,0)</f>
        <v>13.95</v>
      </c>
      <c r="T2369" s="6">
        <f t="shared" si="38"/>
        <v>0</v>
      </c>
    </row>
    <row r="2370" spans="1:20" x14ac:dyDescent="0.2">
      <c r="A2370" t="s">
        <v>6186</v>
      </c>
      <c r="B2370" t="s">
        <v>7793</v>
      </c>
      <c r="C2370" t="s">
        <v>7794</v>
      </c>
      <c r="D2370" t="s">
        <v>7795</v>
      </c>
      <c r="E2370" t="s">
        <v>6116</v>
      </c>
      <c r="F2370" t="s">
        <v>5866</v>
      </c>
      <c r="G2370" s="1">
        <v>0</v>
      </c>
      <c r="H2370" s="1">
        <v>1</v>
      </c>
      <c r="I2370" t="s">
        <v>5961</v>
      </c>
      <c r="L2370" s="1">
        <v>6</v>
      </c>
      <c r="M2370" s="3">
        <v>10.49</v>
      </c>
      <c r="N2370" s="3">
        <v>0.52</v>
      </c>
      <c r="O2370" s="3">
        <v>0.63</v>
      </c>
      <c r="P2370" s="3">
        <v>0.6</v>
      </c>
      <c r="Q2370" s="3">
        <v>12.24</v>
      </c>
      <c r="R2370" s="3">
        <v>9.35</v>
      </c>
      <c r="S2370" s="3">
        <f>VLOOKUP(C2370,[1]page!$C$2:$M$3071,11,0)</f>
        <v>10.49</v>
      </c>
      <c r="T2370" s="6">
        <f t="shared" si="38"/>
        <v>0</v>
      </c>
    </row>
    <row r="2371" spans="1:20" x14ac:dyDescent="0.2">
      <c r="A2371" t="s">
        <v>6186</v>
      </c>
      <c r="B2371" t="s">
        <v>7796</v>
      </c>
      <c r="C2371" t="s">
        <v>7797</v>
      </c>
      <c r="D2371" t="s">
        <v>7798</v>
      </c>
      <c r="E2371" t="s">
        <v>6116</v>
      </c>
      <c r="F2371" t="s">
        <v>5866</v>
      </c>
      <c r="G2371" s="1">
        <v>5</v>
      </c>
      <c r="H2371" s="1">
        <v>1</v>
      </c>
      <c r="I2371" t="s">
        <v>5961</v>
      </c>
      <c r="L2371" s="1">
        <v>6</v>
      </c>
      <c r="M2371" s="3">
        <v>15.8</v>
      </c>
      <c r="N2371" s="3">
        <v>0.79</v>
      </c>
      <c r="O2371" s="3">
        <v>0</v>
      </c>
      <c r="P2371" s="3">
        <v>0.6</v>
      </c>
      <c r="Q2371" s="3">
        <v>17.190000000000001</v>
      </c>
      <c r="R2371" s="3">
        <v>9.35</v>
      </c>
      <c r="S2371" s="3">
        <f>VLOOKUP(C2371,[1]page!$C$2:$M$3071,11,0)</f>
        <v>15.8</v>
      </c>
      <c r="T2371" s="6">
        <f t="shared" si="38"/>
        <v>0</v>
      </c>
    </row>
    <row r="2372" spans="1:20" x14ac:dyDescent="0.2">
      <c r="A2372" t="s">
        <v>6186</v>
      </c>
      <c r="B2372" t="s">
        <v>7799</v>
      </c>
      <c r="C2372" t="s">
        <v>7800</v>
      </c>
      <c r="D2372" t="s">
        <v>7801</v>
      </c>
      <c r="E2372" t="s">
        <v>6357</v>
      </c>
      <c r="F2372" t="s">
        <v>5866</v>
      </c>
      <c r="G2372" s="1">
        <v>0</v>
      </c>
      <c r="H2372" s="1">
        <v>1</v>
      </c>
      <c r="I2372" t="s">
        <v>6191</v>
      </c>
      <c r="L2372" s="1">
        <v>6</v>
      </c>
      <c r="M2372" s="3">
        <v>9.48</v>
      </c>
      <c r="N2372" s="3">
        <v>0.47</v>
      </c>
      <c r="O2372" s="3">
        <v>0.56999999999999995</v>
      </c>
      <c r="P2372" s="3">
        <v>0.6</v>
      </c>
      <c r="Q2372" s="3">
        <v>11.12</v>
      </c>
      <c r="R2372" s="3">
        <v>9.35</v>
      </c>
      <c r="S2372" s="3">
        <f>VLOOKUP(C2372,[1]page!$C$2:$M$3071,11,0)</f>
        <v>9.48</v>
      </c>
      <c r="T2372" s="6">
        <f t="shared" si="38"/>
        <v>0</v>
      </c>
    </row>
    <row r="2373" spans="1:20" x14ac:dyDescent="0.2">
      <c r="A2373" t="s">
        <v>6186</v>
      </c>
      <c r="B2373" t="s">
        <v>7802</v>
      </c>
      <c r="C2373" t="s">
        <v>7803</v>
      </c>
      <c r="D2373" t="s">
        <v>7804</v>
      </c>
      <c r="E2373" t="s">
        <v>6380</v>
      </c>
      <c r="F2373" t="s">
        <v>5984</v>
      </c>
      <c r="G2373" s="2">
        <v>6.5</v>
      </c>
      <c r="H2373" s="1">
        <v>1</v>
      </c>
      <c r="I2373" t="s">
        <v>6381</v>
      </c>
      <c r="L2373" s="1">
        <v>6</v>
      </c>
      <c r="M2373" s="3">
        <v>13.7</v>
      </c>
      <c r="N2373" s="3">
        <v>0.69</v>
      </c>
      <c r="O2373" s="3">
        <v>0</v>
      </c>
      <c r="P2373" s="3">
        <v>0.6</v>
      </c>
      <c r="Q2373" s="3">
        <v>14.99</v>
      </c>
      <c r="R2373" s="3">
        <v>10.050000000000001</v>
      </c>
      <c r="S2373" s="3">
        <f>VLOOKUP(C2373,[1]page!$C$2:$M$3071,11,0)</f>
        <v>13.7</v>
      </c>
      <c r="T2373" s="6">
        <f t="shared" si="38"/>
        <v>0</v>
      </c>
    </row>
    <row r="2374" spans="1:20" x14ac:dyDescent="0.2">
      <c r="A2374" t="s">
        <v>6186</v>
      </c>
      <c r="B2374" t="s">
        <v>7805</v>
      </c>
      <c r="C2374" t="s">
        <v>7806</v>
      </c>
      <c r="D2374" t="s">
        <v>7807</v>
      </c>
      <c r="E2374" t="s">
        <v>6380</v>
      </c>
      <c r="F2374" t="s">
        <v>5984</v>
      </c>
      <c r="G2374" s="2">
        <v>2.8</v>
      </c>
      <c r="H2374" s="1">
        <v>1</v>
      </c>
      <c r="I2374" t="s">
        <v>6381</v>
      </c>
      <c r="L2374" s="1">
        <v>6</v>
      </c>
      <c r="M2374" s="3">
        <v>11.24</v>
      </c>
      <c r="N2374" s="3">
        <v>0.56000000000000005</v>
      </c>
      <c r="O2374" s="3">
        <v>0</v>
      </c>
      <c r="P2374" s="3">
        <v>0.6</v>
      </c>
      <c r="Q2374" s="3">
        <v>12.4</v>
      </c>
      <c r="R2374" s="3">
        <v>10.050000000000001</v>
      </c>
      <c r="S2374" s="3">
        <f>VLOOKUP(C2374,[1]page!$C$2:$M$3071,11,0)</f>
        <v>11.24</v>
      </c>
      <c r="T2374" s="6">
        <f t="shared" si="38"/>
        <v>0</v>
      </c>
    </row>
    <row r="2375" spans="1:20" x14ac:dyDescent="0.2">
      <c r="A2375" t="s">
        <v>6186</v>
      </c>
      <c r="B2375" t="s">
        <v>7808</v>
      </c>
      <c r="C2375" t="s">
        <v>7809</v>
      </c>
      <c r="D2375" t="s">
        <v>7810</v>
      </c>
      <c r="E2375" t="s">
        <v>6423</v>
      </c>
      <c r="F2375" t="s">
        <v>5984</v>
      </c>
      <c r="G2375" s="2">
        <v>5.2</v>
      </c>
      <c r="H2375" s="1">
        <v>1</v>
      </c>
      <c r="I2375" t="s">
        <v>6191</v>
      </c>
      <c r="L2375" s="1">
        <v>6</v>
      </c>
      <c r="M2375" s="3">
        <v>13.48</v>
      </c>
      <c r="N2375" s="3">
        <v>0.67</v>
      </c>
      <c r="O2375" s="3">
        <v>0</v>
      </c>
      <c r="P2375" s="3">
        <v>0.6</v>
      </c>
      <c r="Q2375" s="3">
        <v>14.75</v>
      </c>
      <c r="R2375" s="3">
        <v>10.050000000000001</v>
      </c>
      <c r="S2375" s="3">
        <f>VLOOKUP(C2375,[1]page!$C$2:$M$3071,11,0)</f>
        <v>13.48</v>
      </c>
      <c r="T2375" s="6">
        <f t="shared" si="38"/>
        <v>0</v>
      </c>
    </row>
    <row r="2376" spans="1:20" x14ac:dyDescent="0.2">
      <c r="A2376" t="s">
        <v>6186</v>
      </c>
      <c r="B2376" t="s">
        <v>7811</v>
      </c>
      <c r="C2376" t="s">
        <v>7812</v>
      </c>
      <c r="D2376" t="s">
        <v>7813</v>
      </c>
      <c r="E2376" t="s">
        <v>6190</v>
      </c>
      <c r="F2376" t="s">
        <v>5984</v>
      </c>
      <c r="G2376" s="2">
        <v>0.01</v>
      </c>
      <c r="H2376" s="1">
        <v>1</v>
      </c>
      <c r="I2376" t="s">
        <v>6191</v>
      </c>
      <c r="L2376" s="1">
        <v>6</v>
      </c>
      <c r="M2376" s="3">
        <v>11.29</v>
      </c>
      <c r="N2376" s="3">
        <v>0.56000000000000005</v>
      </c>
      <c r="O2376" s="3">
        <v>0.68</v>
      </c>
      <c r="P2376" s="3">
        <v>0.6</v>
      </c>
      <c r="Q2376" s="3">
        <v>13.13</v>
      </c>
      <c r="R2376" s="3">
        <v>10.050000000000001</v>
      </c>
      <c r="S2376" s="3" t="e">
        <f>VLOOKUP(C2376,[1]page!$C$2:$M$3071,11,0)</f>
        <v>#N/A</v>
      </c>
      <c r="T2376" s="6" t="e">
        <f t="shared" si="38"/>
        <v>#N/A</v>
      </c>
    </row>
    <row r="2377" spans="1:20" x14ac:dyDescent="0.2">
      <c r="A2377" t="s">
        <v>6186</v>
      </c>
      <c r="B2377" t="s">
        <v>7814</v>
      </c>
      <c r="C2377" t="s">
        <v>7815</v>
      </c>
      <c r="D2377" t="s">
        <v>7816</v>
      </c>
      <c r="E2377" t="s">
        <v>6376</v>
      </c>
      <c r="F2377" t="s">
        <v>5984</v>
      </c>
      <c r="G2377" s="1">
        <v>5</v>
      </c>
      <c r="H2377" s="1">
        <v>1</v>
      </c>
      <c r="I2377" t="s">
        <v>6191</v>
      </c>
      <c r="L2377" s="1">
        <v>6</v>
      </c>
      <c r="M2377" s="3">
        <v>13.14</v>
      </c>
      <c r="N2377" s="3">
        <v>0.66</v>
      </c>
      <c r="O2377" s="3">
        <v>0</v>
      </c>
      <c r="P2377" s="3">
        <v>0.6</v>
      </c>
      <c r="Q2377" s="3">
        <v>14.4</v>
      </c>
      <c r="R2377" s="3">
        <v>10.050000000000001</v>
      </c>
      <c r="S2377" s="3">
        <f>VLOOKUP(C2377,[1]page!$C$2:$M$3071,11,0)</f>
        <v>13.14</v>
      </c>
      <c r="T2377" s="6">
        <f t="shared" si="38"/>
        <v>0</v>
      </c>
    </row>
    <row r="2378" spans="1:20" x14ac:dyDescent="0.2">
      <c r="A2378" t="s">
        <v>6186</v>
      </c>
      <c r="B2378" t="s">
        <v>7817</v>
      </c>
      <c r="C2378" t="s">
        <v>7818</v>
      </c>
      <c r="D2378" t="s">
        <v>7819</v>
      </c>
      <c r="E2378" t="s">
        <v>6376</v>
      </c>
      <c r="F2378" t="s">
        <v>5984</v>
      </c>
      <c r="G2378" s="2">
        <v>4.2</v>
      </c>
      <c r="H2378" s="1">
        <v>1</v>
      </c>
      <c r="I2378" t="s">
        <v>6191</v>
      </c>
      <c r="L2378" s="1">
        <v>6</v>
      </c>
      <c r="M2378" s="3">
        <v>13.14</v>
      </c>
      <c r="N2378" s="3">
        <v>0.66</v>
      </c>
      <c r="O2378" s="3">
        <v>0</v>
      </c>
      <c r="P2378" s="3">
        <v>0.6</v>
      </c>
      <c r="Q2378" s="3">
        <v>14.4</v>
      </c>
      <c r="R2378" s="3">
        <v>10.050000000000001</v>
      </c>
      <c r="S2378" s="3">
        <f>VLOOKUP(C2378,[1]page!$C$2:$M$3071,11,0)</f>
        <v>13.14</v>
      </c>
      <c r="T2378" s="6">
        <f t="shared" si="38"/>
        <v>0</v>
      </c>
    </row>
    <row r="2379" spans="1:20" x14ac:dyDescent="0.2">
      <c r="A2379" t="s">
        <v>6186</v>
      </c>
      <c r="B2379" t="s">
        <v>7820</v>
      </c>
      <c r="C2379" t="s">
        <v>7821</v>
      </c>
      <c r="D2379" t="s">
        <v>7822</v>
      </c>
      <c r="E2379" t="s">
        <v>6376</v>
      </c>
      <c r="F2379" t="s">
        <v>5984</v>
      </c>
      <c r="G2379" s="2">
        <v>5.2</v>
      </c>
      <c r="H2379" s="1">
        <v>1</v>
      </c>
      <c r="I2379" t="s">
        <v>6191</v>
      </c>
      <c r="L2379" s="1">
        <v>6</v>
      </c>
      <c r="M2379" s="3">
        <v>13.14</v>
      </c>
      <c r="N2379" s="3">
        <v>0.66</v>
      </c>
      <c r="O2379" s="3">
        <v>0</v>
      </c>
      <c r="P2379" s="3">
        <v>0.6</v>
      </c>
      <c r="Q2379" s="3">
        <v>14.4</v>
      </c>
      <c r="R2379" s="3">
        <v>10.050000000000001</v>
      </c>
      <c r="S2379" s="3">
        <f>VLOOKUP(C2379,[1]page!$C$2:$M$3071,11,0)</f>
        <v>13.14</v>
      </c>
      <c r="T2379" s="6">
        <f t="shared" si="38"/>
        <v>0</v>
      </c>
    </row>
    <row r="2380" spans="1:20" x14ac:dyDescent="0.2">
      <c r="A2380" t="s">
        <v>6186</v>
      </c>
      <c r="B2380" t="s">
        <v>7823</v>
      </c>
      <c r="C2380" t="s">
        <v>7824</v>
      </c>
      <c r="D2380" t="s">
        <v>7825</v>
      </c>
      <c r="E2380" t="s">
        <v>6190</v>
      </c>
      <c r="F2380" t="s">
        <v>5984</v>
      </c>
      <c r="G2380" s="2">
        <v>4.5</v>
      </c>
      <c r="H2380" s="1">
        <v>1</v>
      </c>
      <c r="I2380" t="s">
        <v>6191</v>
      </c>
      <c r="L2380" s="1">
        <v>6</v>
      </c>
      <c r="M2380" s="3">
        <v>16.79</v>
      </c>
      <c r="N2380" s="3">
        <v>0.84</v>
      </c>
      <c r="O2380" s="3">
        <v>0</v>
      </c>
      <c r="P2380" s="3">
        <v>0.6</v>
      </c>
      <c r="Q2380" s="3">
        <v>18.23</v>
      </c>
      <c r="R2380" s="3">
        <v>10.050000000000001</v>
      </c>
      <c r="S2380" s="3">
        <f>VLOOKUP(C2380,[1]page!$C$2:$M$3071,11,0)</f>
        <v>16.79</v>
      </c>
      <c r="T2380" s="6">
        <f t="shared" si="38"/>
        <v>0</v>
      </c>
    </row>
    <row r="2381" spans="1:20" x14ac:dyDescent="0.2">
      <c r="A2381" t="s">
        <v>6186</v>
      </c>
      <c r="B2381" t="s">
        <v>7826</v>
      </c>
      <c r="C2381" t="s">
        <v>7827</v>
      </c>
      <c r="D2381" t="s">
        <v>7828</v>
      </c>
      <c r="E2381" t="s">
        <v>6319</v>
      </c>
      <c r="F2381" t="s">
        <v>6012</v>
      </c>
      <c r="G2381" s="1">
        <v>5</v>
      </c>
      <c r="H2381" s="1">
        <v>1</v>
      </c>
      <c r="I2381" t="s">
        <v>5617</v>
      </c>
      <c r="L2381" s="1">
        <v>6</v>
      </c>
      <c r="M2381" s="3">
        <v>13.4</v>
      </c>
      <c r="N2381" s="3">
        <v>0.67</v>
      </c>
      <c r="O2381" s="3">
        <v>0</v>
      </c>
      <c r="P2381" s="3">
        <v>0.6</v>
      </c>
      <c r="Q2381" s="3">
        <v>14.67</v>
      </c>
      <c r="R2381" s="3">
        <v>13.4</v>
      </c>
      <c r="S2381" s="3">
        <f>VLOOKUP(C2381,[1]page!$C$2:$M$3071,11,0)</f>
        <v>13.4</v>
      </c>
      <c r="T2381" s="6">
        <f t="shared" si="38"/>
        <v>0</v>
      </c>
    </row>
    <row r="2382" spans="1:20" x14ac:dyDescent="0.2">
      <c r="A2382" t="s">
        <v>6186</v>
      </c>
      <c r="B2382" t="s">
        <v>7829</v>
      </c>
      <c r="C2382" t="s">
        <v>7830</v>
      </c>
      <c r="D2382" t="s">
        <v>7831</v>
      </c>
      <c r="E2382" t="s">
        <v>6284</v>
      </c>
      <c r="F2382" t="s">
        <v>5984</v>
      </c>
      <c r="G2382" s="2">
        <v>0.5</v>
      </c>
      <c r="H2382" s="1">
        <v>1</v>
      </c>
      <c r="I2382" t="s">
        <v>6285</v>
      </c>
      <c r="L2382" s="1">
        <v>6</v>
      </c>
      <c r="M2382" s="3">
        <v>9.49</v>
      </c>
      <c r="N2382" s="3">
        <v>0.47</v>
      </c>
      <c r="O2382" s="3">
        <v>0.56999999999999995</v>
      </c>
      <c r="P2382" s="3">
        <v>0.6</v>
      </c>
      <c r="Q2382" s="3">
        <v>11.13</v>
      </c>
      <c r="R2382" s="3">
        <v>10.050000000000001</v>
      </c>
      <c r="S2382" s="3">
        <f>VLOOKUP(C2382,[1]page!$C$2:$M$3071,11,0)</f>
        <v>9.49</v>
      </c>
      <c r="T2382" s="6">
        <f t="shared" si="38"/>
        <v>0</v>
      </c>
    </row>
    <row r="2383" spans="1:20" x14ac:dyDescent="0.2">
      <c r="A2383" t="s">
        <v>6186</v>
      </c>
      <c r="B2383" t="s">
        <v>7832</v>
      </c>
      <c r="C2383" t="s">
        <v>7833</v>
      </c>
      <c r="D2383" t="s">
        <v>7834</v>
      </c>
      <c r="E2383" t="s">
        <v>6284</v>
      </c>
      <c r="F2383" t="s">
        <v>5984</v>
      </c>
      <c r="G2383" s="2">
        <v>0.5</v>
      </c>
      <c r="H2383" s="1">
        <v>1</v>
      </c>
      <c r="I2383" t="s">
        <v>6285</v>
      </c>
      <c r="L2383" s="1">
        <v>6</v>
      </c>
      <c r="M2383" s="3">
        <v>9.49</v>
      </c>
      <c r="N2383" s="3">
        <v>0.47</v>
      </c>
      <c r="O2383" s="3">
        <v>0.56999999999999995</v>
      </c>
      <c r="P2383" s="3">
        <v>0.6</v>
      </c>
      <c r="Q2383" s="3">
        <v>11.13</v>
      </c>
      <c r="R2383" s="3">
        <v>10.050000000000001</v>
      </c>
      <c r="S2383" s="3">
        <f>VLOOKUP(C2383,[1]page!$C$2:$M$3071,11,0)</f>
        <v>9.49</v>
      </c>
      <c r="T2383" s="6">
        <f t="shared" si="38"/>
        <v>0</v>
      </c>
    </row>
    <row r="2384" spans="1:20" x14ac:dyDescent="0.2">
      <c r="A2384" t="s">
        <v>6186</v>
      </c>
      <c r="B2384" t="s">
        <v>7835</v>
      </c>
      <c r="C2384" t="s">
        <v>7836</v>
      </c>
      <c r="D2384" t="s">
        <v>7837</v>
      </c>
      <c r="E2384" t="s">
        <v>6195</v>
      </c>
      <c r="F2384" t="s">
        <v>6012</v>
      </c>
      <c r="G2384" s="1">
        <v>5</v>
      </c>
      <c r="H2384" s="1">
        <v>1</v>
      </c>
      <c r="I2384" t="s">
        <v>5961</v>
      </c>
      <c r="L2384" s="1">
        <v>6</v>
      </c>
      <c r="M2384" s="3">
        <v>13.4</v>
      </c>
      <c r="N2384" s="3">
        <v>0.67</v>
      </c>
      <c r="O2384" s="3">
        <v>0</v>
      </c>
      <c r="P2384" s="3">
        <v>0.6</v>
      </c>
      <c r="Q2384" s="3">
        <v>14.67</v>
      </c>
      <c r="R2384" s="3">
        <v>13.4</v>
      </c>
      <c r="S2384" s="3">
        <f>VLOOKUP(C2384,[1]page!$C$2:$M$3071,11,0)</f>
        <v>13.4</v>
      </c>
      <c r="T2384" s="6">
        <f t="shared" si="38"/>
        <v>0</v>
      </c>
    </row>
    <row r="2385" spans="1:20" x14ac:dyDescent="0.2">
      <c r="A2385" t="s">
        <v>6186</v>
      </c>
      <c r="B2385" t="s">
        <v>7838</v>
      </c>
      <c r="C2385" t="s">
        <v>7839</v>
      </c>
      <c r="D2385" t="s">
        <v>7840</v>
      </c>
      <c r="E2385" t="s">
        <v>6380</v>
      </c>
      <c r="F2385" t="s">
        <v>5984</v>
      </c>
      <c r="G2385" s="1">
        <v>3</v>
      </c>
      <c r="H2385" s="1">
        <v>1</v>
      </c>
      <c r="I2385" t="s">
        <v>6381</v>
      </c>
      <c r="L2385" s="1">
        <v>6</v>
      </c>
      <c r="M2385" s="3">
        <v>13.7</v>
      </c>
      <c r="N2385" s="3">
        <v>0.69</v>
      </c>
      <c r="O2385" s="3">
        <v>0</v>
      </c>
      <c r="P2385" s="3">
        <v>0.6</v>
      </c>
      <c r="Q2385" s="3">
        <v>14.99</v>
      </c>
      <c r="R2385" s="3">
        <v>10.050000000000001</v>
      </c>
      <c r="S2385" s="3">
        <f>VLOOKUP(C2385,[1]page!$C$2:$M$3071,11,0)</f>
        <v>13.7</v>
      </c>
      <c r="T2385" s="6">
        <f t="shared" si="38"/>
        <v>0</v>
      </c>
    </row>
    <row r="2386" spans="1:20" x14ac:dyDescent="0.2">
      <c r="A2386" t="s">
        <v>6186</v>
      </c>
      <c r="B2386" t="s">
        <v>7841</v>
      </c>
      <c r="C2386" t="s">
        <v>7842</v>
      </c>
      <c r="D2386" t="s">
        <v>7843</v>
      </c>
      <c r="E2386" t="s">
        <v>6319</v>
      </c>
      <c r="F2386" t="s">
        <v>87</v>
      </c>
      <c r="G2386" s="1">
        <v>5</v>
      </c>
      <c r="H2386" s="1">
        <v>1</v>
      </c>
      <c r="I2386" t="s">
        <v>5617</v>
      </c>
      <c r="L2386" s="1">
        <v>6</v>
      </c>
      <c r="M2386" s="3">
        <v>20.62</v>
      </c>
      <c r="N2386" s="3">
        <v>1.03</v>
      </c>
      <c r="O2386" s="3">
        <v>0</v>
      </c>
      <c r="P2386" s="3">
        <v>0.6</v>
      </c>
      <c r="Q2386" s="3">
        <v>22.25</v>
      </c>
      <c r="R2386" s="3">
        <v>18.2</v>
      </c>
      <c r="S2386" s="3">
        <f>VLOOKUP(C2386,[1]page!$C$2:$M$3071,11,0)</f>
        <v>20.62</v>
      </c>
      <c r="T2386" s="6">
        <f t="shared" si="38"/>
        <v>0</v>
      </c>
    </row>
    <row r="2387" spans="1:20" x14ac:dyDescent="0.2">
      <c r="A2387" t="s">
        <v>6186</v>
      </c>
      <c r="B2387" t="s">
        <v>7844</v>
      </c>
      <c r="C2387" t="s">
        <v>7845</v>
      </c>
      <c r="D2387" t="s">
        <v>7846</v>
      </c>
      <c r="E2387" t="s">
        <v>7847</v>
      </c>
      <c r="F2387" t="s">
        <v>5984</v>
      </c>
      <c r="G2387" s="1">
        <v>0</v>
      </c>
      <c r="H2387" s="1">
        <v>1</v>
      </c>
      <c r="I2387" t="s">
        <v>5617</v>
      </c>
      <c r="L2387" s="1">
        <v>6</v>
      </c>
      <c r="M2387" s="3">
        <v>9.44</v>
      </c>
      <c r="N2387" s="3">
        <v>0.47</v>
      </c>
      <c r="O2387" s="3">
        <v>0.56999999999999995</v>
      </c>
      <c r="P2387" s="3">
        <v>0.6</v>
      </c>
      <c r="Q2387" s="3">
        <v>11.08</v>
      </c>
      <c r="R2387" s="3">
        <v>10.050000000000001</v>
      </c>
      <c r="S2387" s="3">
        <f>VLOOKUP(C2387,[1]page!$C$2:$M$3071,11,0)</f>
        <v>9.44</v>
      </c>
      <c r="T2387" s="6">
        <f t="shared" si="38"/>
        <v>0</v>
      </c>
    </row>
    <row r="2388" spans="1:20" x14ac:dyDescent="0.2">
      <c r="A2388" t="s">
        <v>6186</v>
      </c>
      <c r="B2388" t="s">
        <v>7848</v>
      </c>
      <c r="C2388" t="s">
        <v>7849</v>
      </c>
      <c r="D2388" t="s">
        <v>7850</v>
      </c>
      <c r="E2388" t="s">
        <v>6423</v>
      </c>
      <c r="F2388" t="s">
        <v>5984</v>
      </c>
      <c r="G2388" s="2">
        <v>4.4000000000000004</v>
      </c>
      <c r="H2388" s="1">
        <v>1</v>
      </c>
      <c r="I2388" t="s">
        <v>6242</v>
      </c>
      <c r="L2388" s="1">
        <v>6</v>
      </c>
      <c r="M2388" s="3">
        <v>13.48</v>
      </c>
      <c r="N2388" s="3">
        <v>0.67</v>
      </c>
      <c r="O2388" s="3">
        <v>0</v>
      </c>
      <c r="P2388" s="3">
        <v>0.6</v>
      </c>
      <c r="Q2388" s="3">
        <v>14.75</v>
      </c>
      <c r="R2388" s="3">
        <v>10.050000000000001</v>
      </c>
      <c r="S2388" s="3">
        <f>VLOOKUP(C2388,[1]page!$C$2:$M$3071,11,0)</f>
        <v>13.48</v>
      </c>
      <c r="T2388" s="6">
        <f t="shared" si="38"/>
        <v>0</v>
      </c>
    </row>
    <row r="2389" spans="1:20" x14ac:dyDescent="0.2">
      <c r="A2389" t="s">
        <v>6186</v>
      </c>
      <c r="B2389" t="s">
        <v>7851</v>
      </c>
      <c r="C2389" t="s">
        <v>7852</v>
      </c>
      <c r="D2389" t="s">
        <v>7853</v>
      </c>
      <c r="E2389" t="s">
        <v>6423</v>
      </c>
      <c r="F2389" t="s">
        <v>5984</v>
      </c>
      <c r="G2389" s="1">
        <v>4</v>
      </c>
      <c r="H2389" s="1">
        <v>1</v>
      </c>
      <c r="I2389" t="s">
        <v>6191</v>
      </c>
      <c r="L2389" s="1">
        <v>6</v>
      </c>
      <c r="M2389" s="3">
        <v>13.48</v>
      </c>
      <c r="N2389" s="3">
        <v>0.67</v>
      </c>
      <c r="O2389" s="3">
        <v>0</v>
      </c>
      <c r="P2389" s="3">
        <v>0.6</v>
      </c>
      <c r="Q2389" s="3">
        <v>14.75</v>
      </c>
      <c r="R2389" s="3">
        <v>10.050000000000001</v>
      </c>
      <c r="S2389" s="3">
        <f>VLOOKUP(C2389,[1]page!$C$2:$M$3071,11,0)</f>
        <v>13.48</v>
      </c>
      <c r="T2389" s="6">
        <f t="shared" si="38"/>
        <v>0</v>
      </c>
    </row>
    <row r="2390" spans="1:20" x14ac:dyDescent="0.2">
      <c r="A2390" t="s">
        <v>6186</v>
      </c>
      <c r="B2390" t="s">
        <v>7854</v>
      </c>
      <c r="C2390" t="s">
        <v>7855</v>
      </c>
      <c r="D2390" t="s">
        <v>7856</v>
      </c>
      <c r="E2390" t="s">
        <v>6423</v>
      </c>
      <c r="F2390" t="s">
        <v>5984</v>
      </c>
      <c r="G2390" s="2">
        <v>4.8</v>
      </c>
      <c r="H2390" s="1">
        <v>1</v>
      </c>
      <c r="I2390" t="s">
        <v>6191</v>
      </c>
      <c r="L2390" s="1">
        <v>6</v>
      </c>
      <c r="M2390" s="3">
        <v>14.49</v>
      </c>
      <c r="N2390" s="3">
        <v>0.72</v>
      </c>
      <c r="O2390" s="3">
        <v>0</v>
      </c>
      <c r="P2390" s="3">
        <v>0.6</v>
      </c>
      <c r="Q2390" s="3">
        <v>15.81</v>
      </c>
      <c r="R2390" s="3">
        <v>10.050000000000001</v>
      </c>
      <c r="S2390" s="3">
        <f>VLOOKUP(C2390,[1]page!$C$2:$M$3071,11,0)</f>
        <v>14.49</v>
      </c>
      <c r="T2390" s="6">
        <f t="shared" si="38"/>
        <v>0</v>
      </c>
    </row>
    <row r="2391" spans="1:20" x14ac:dyDescent="0.2">
      <c r="A2391" t="s">
        <v>6186</v>
      </c>
      <c r="B2391" t="s">
        <v>7857</v>
      </c>
      <c r="C2391" t="s">
        <v>7858</v>
      </c>
      <c r="D2391" t="s">
        <v>7859</v>
      </c>
      <c r="E2391" t="s">
        <v>6423</v>
      </c>
      <c r="F2391" t="s">
        <v>5984</v>
      </c>
      <c r="G2391" s="2">
        <v>6.8</v>
      </c>
      <c r="H2391" s="1">
        <v>1</v>
      </c>
      <c r="I2391" t="s">
        <v>6191</v>
      </c>
      <c r="L2391" s="1">
        <v>6</v>
      </c>
      <c r="M2391" s="3">
        <v>13.69</v>
      </c>
      <c r="N2391" s="3">
        <v>0.68</v>
      </c>
      <c r="O2391" s="3">
        <v>0</v>
      </c>
      <c r="P2391" s="3">
        <v>0.6</v>
      </c>
      <c r="Q2391" s="3">
        <v>14.97</v>
      </c>
      <c r="R2391" s="3">
        <v>12.8</v>
      </c>
      <c r="S2391" s="3">
        <f>VLOOKUP(C2391,[1]page!$C$2:$M$3071,11,0)</f>
        <v>13.69</v>
      </c>
      <c r="T2391" s="6">
        <f t="shared" si="38"/>
        <v>0</v>
      </c>
    </row>
    <row r="2392" spans="1:20" x14ac:dyDescent="0.2">
      <c r="A2392" t="s">
        <v>6186</v>
      </c>
      <c r="B2392" t="s">
        <v>7860</v>
      </c>
      <c r="C2392" t="s">
        <v>7861</v>
      </c>
      <c r="D2392" t="s">
        <v>7862</v>
      </c>
      <c r="E2392" t="s">
        <v>6190</v>
      </c>
      <c r="F2392" t="s">
        <v>5984</v>
      </c>
      <c r="G2392" s="1">
        <v>5</v>
      </c>
      <c r="H2392" s="1">
        <v>1</v>
      </c>
      <c r="I2392" t="s">
        <v>6191</v>
      </c>
      <c r="L2392" s="1">
        <v>6</v>
      </c>
      <c r="M2392" s="3">
        <v>15.58</v>
      </c>
      <c r="N2392" s="3">
        <v>0.78</v>
      </c>
      <c r="O2392" s="3">
        <v>0</v>
      </c>
      <c r="P2392" s="3">
        <v>0.6</v>
      </c>
      <c r="Q2392" s="3">
        <v>16.96</v>
      </c>
      <c r="R2392" s="3">
        <v>10.050000000000001</v>
      </c>
      <c r="S2392" s="3">
        <f>VLOOKUP(C2392,[1]page!$C$2:$M$3071,11,0)</f>
        <v>15.58</v>
      </c>
      <c r="T2392" s="6">
        <f t="shared" si="38"/>
        <v>0</v>
      </c>
    </row>
    <row r="2393" spans="1:20" x14ac:dyDescent="0.2">
      <c r="A2393" t="s">
        <v>6186</v>
      </c>
      <c r="B2393" t="s">
        <v>7863</v>
      </c>
      <c r="C2393" t="s">
        <v>7864</v>
      </c>
      <c r="D2393" t="s">
        <v>7865</v>
      </c>
      <c r="E2393" t="s">
        <v>6380</v>
      </c>
      <c r="F2393" t="s">
        <v>5984</v>
      </c>
      <c r="G2393" s="1">
        <v>5</v>
      </c>
      <c r="H2393" s="1">
        <v>1</v>
      </c>
      <c r="I2393" t="s">
        <v>6381</v>
      </c>
      <c r="L2393" s="1">
        <v>6</v>
      </c>
      <c r="M2393" s="3">
        <v>13.7</v>
      </c>
      <c r="N2393" s="3">
        <v>0.69</v>
      </c>
      <c r="O2393" s="3">
        <v>0</v>
      </c>
      <c r="P2393" s="3">
        <v>0.6</v>
      </c>
      <c r="Q2393" s="3">
        <v>14.99</v>
      </c>
      <c r="R2393" s="3">
        <v>10.050000000000001</v>
      </c>
      <c r="S2393" s="3">
        <f>VLOOKUP(C2393,[1]page!$C$2:$M$3071,11,0)</f>
        <v>13.7</v>
      </c>
      <c r="T2393" s="6">
        <f t="shared" si="38"/>
        <v>0</v>
      </c>
    </row>
    <row r="2394" spans="1:20" x14ac:dyDescent="0.2">
      <c r="A2394" t="s">
        <v>6186</v>
      </c>
      <c r="B2394" t="s">
        <v>7866</v>
      </c>
      <c r="C2394" t="s">
        <v>7867</v>
      </c>
      <c r="D2394" t="s">
        <v>7868</v>
      </c>
      <c r="E2394" t="s">
        <v>6284</v>
      </c>
      <c r="F2394" t="s">
        <v>7091</v>
      </c>
      <c r="G2394" s="1">
        <v>5</v>
      </c>
      <c r="H2394" s="1">
        <v>1</v>
      </c>
      <c r="I2394" t="s">
        <v>6285</v>
      </c>
      <c r="L2394" s="1">
        <v>8</v>
      </c>
      <c r="M2394" s="3">
        <v>12.8</v>
      </c>
      <c r="N2394" s="3">
        <v>0.64</v>
      </c>
      <c r="O2394" s="3">
        <v>0</v>
      </c>
      <c r="P2394" s="3">
        <v>0.8</v>
      </c>
      <c r="Q2394" s="3">
        <v>14.24</v>
      </c>
      <c r="R2394" s="3">
        <v>13.4</v>
      </c>
      <c r="S2394" s="3">
        <f>VLOOKUP(C2394,[1]page!$C$2:$M$3071,11,0)</f>
        <v>12.8</v>
      </c>
      <c r="T2394" s="6">
        <f t="shared" si="38"/>
        <v>0</v>
      </c>
    </row>
    <row r="2395" spans="1:20" x14ac:dyDescent="0.2">
      <c r="A2395" t="s">
        <v>6186</v>
      </c>
      <c r="B2395" t="s">
        <v>7869</v>
      </c>
      <c r="C2395" t="s">
        <v>7870</v>
      </c>
      <c r="D2395" t="s">
        <v>7871</v>
      </c>
      <c r="E2395" t="s">
        <v>6190</v>
      </c>
      <c r="F2395" t="s">
        <v>7091</v>
      </c>
      <c r="G2395" s="1">
        <v>5</v>
      </c>
      <c r="H2395" s="1">
        <v>1</v>
      </c>
      <c r="I2395" t="s">
        <v>6191</v>
      </c>
      <c r="L2395" s="1">
        <v>8</v>
      </c>
      <c r="M2395" s="3">
        <v>15.38</v>
      </c>
      <c r="N2395" s="3">
        <v>0.77</v>
      </c>
      <c r="O2395" s="3">
        <v>0</v>
      </c>
      <c r="P2395" s="3">
        <v>0.8</v>
      </c>
      <c r="Q2395" s="3">
        <v>16.95</v>
      </c>
      <c r="R2395" s="3">
        <v>13.4</v>
      </c>
      <c r="S2395" s="3">
        <f>VLOOKUP(C2395,[1]page!$C$2:$M$3071,11,0)</f>
        <v>15.38</v>
      </c>
      <c r="T2395" s="6">
        <f t="shared" si="38"/>
        <v>0</v>
      </c>
    </row>
    <row r="2396" spans="1:20" x14ac:dyDescent="0.2">
      <c r="A2396" t="s">
        <v>6186</v>
      </c>
      <c r="B2396" t="s">
        <v>7872</v>
      </c>
      <c r="C2396" t="s">
        <v>7873</v>
      </c>
      <c r="D2396" t="s">
        <v>7874</v>
      </c>
      <c r="E2396" t="s">
        <v>6264</v>
      </c>
      <c r="F2396" t="s">
        <v>5902</v>
      </c>
      <c r="G2396" s="1">
        <v>5</v>
      </c>
      <c r="H2396" s="1">
        <v>1</v>
      </c>
      <c r="I2396" t="s">
        <v>6191</v>
      </c>
      <c r="L2396" s="1">
        <v>8</v>
      </c>
      <c r="M2396" s="3">
        <v>24.49</v>
      </c>
      <c r="N2396" s="3">
        <v>1.22</v>
      </c>
      <c r="O2396" s="3">
        <v>0</v>
      </c>
      <c r="P2396" s="3">
        <v>0.8</v>
      </c>
      <c r="Q2396" s="3">
        <v>26.51</v>
      </c>
      <c r="R2396" s="3">
        <v>18.2</v>
      </c>
      <c r="S2396" s="3">
        <f>VLOOKUP(C2396,[1]page!$C$2:$M$3071,11,0)</f>
        <v>24.49</v>
      </c>
      <c r="T2396" s="6">
        <f t="shared" si="38"/>
        <v>0</v>
      </c>
    </row>
    <row r="2397" spans="1:20" x14ac:dyDescent="0.2">
      <c r="A2397" t="s">
        <v>6186</v>
      </c>
      <c r="B2397" t="s">
        <v>7875</v>
      </c>
      <c r="C2397" t="s">
        <v>7876</v>
      </c>
      <c r="D2397" t="s">
        <v>7877</v>
      </c>
      <c r="E2397" t="s">
        <v>6195</v>
      </c>
      <c r="F2397" t="s">
        <v>7091</v>
      </c>
      <c r="G2397" s="2">
        <v>6.1</v>
      </c>
      <c r="H2397" s="1">
        <v>1</v>
      </c>
      <c r="I2397" t="s">
        <v>5961</v>
      </c>
      <c r="L2397" s="1">
        <v>8</v>
      </c>
      <c r="M2397" s="3">
        <v>15.69</v>
      </c>
      <c r="N2397" s="3">
        <v>0.78</v>
      </c>
      <c r="O2397" s="3">
        <v>0</v>
      </c>
      <c r="P2397" s="3">
        <v>0.8</v>
      </c>
      <c r="Q2397" s="3">
        <v>17.27</v>
      </c>
      <c r="R2397" s="3">
        <v>13.4</v>
      </c>
      <c r="S2397" s="3">
        <f>VLOOKUP(C2397,[1]page!$C$2:$M$3071,11,0)</f>
        <v>15.69</v>
      </c>
      <c r="T2397" s="6">
        <f t="shared" si="38"/>
        <v>0</v>
      </c>
    </row>
    <row r="2398" spans="1:20" x14ac:dyDescent="0.2">
      <c r="A2398" t="s">
        <v>6186</v>
      </c>
      <c r="B2398" t="s">
        <v>7878</v>
      </c>
      <c r="C2398" t="s">
        <v>7879</v>
      </c>
      <c r="D2398" t="s">
        <v>7880</v>
      </c>
      <c r="E2398" t="s">
        <v>6195</v>
      </c>
      <c r="F2398" t="s">
        <v>7091</v>
      </c>
      <c r="G2398" s="1">
        <v>5</v>
      </c>
      <c r="H2398" s="1">
        <v>1</v>
      </c>
      <c r="I2398" t="s">
        <v>5961</v>
      </c>
      <c r="L2398" s="1">
        <v>8</v>
      </c>
      <c r="M2398" s="3">
        <v>15.3</v>
      </c>
      <c r="N2398" s="3">
        <v>0.77</v>
      </c>
      <c r="O2398" s="3">
        <v>0</v>
      </c>
      <c r="P2398" s="3">
        <v>0.8</v>
      </c>
      <c r="Q2398" s="3">
        <v>16.87</v>
      </c>
      <c r="R2398" s="3">
        <v>13.4</v>
      </c>
      <c r="S2398" s="3">
        <f>VLOOKUP(C2398,[1]page!$C$2:$M$3071,11,0)</f>
        <v>15.3</v>
      </c>
      <c r="T2398" s="6">
        <f t="shared" si="38"/>
        <v>0</v>
      </c>
    </row>
    <row r="2399" spans="1:20" x14ac:dyDescent="0.2">
      <c r="A2399" t="s">
        <v>6186</v>
      </c>
      <c r="B2399" t="s">
        <v>7881</v>
      </c>
      <c r="C2399" t="s">
        <v>7882</v>
      </c>
      <c r="D2399" t="s">
        <v>7883</v>
      </c>
      <c r="E2399" t="s">
        <v>6264</v>
      </c>
      <c r="F2399" t="s">
        <v>5902</v>
      </c>
      <c r="G2399" s="2">
        <v>4.9000000000000004</v>
      </c>
      <c r="H2399" s="1">
        <v>1</v>
      </c>
      <c r="I2399" t="s">
        <v>6191</v>
      </c>
      <c r="L2399" s="1">
        <v>8</v>
      </c>
      <c r="M2399" s="3">
        <v>24.49</v>
      </c>
      <c r="N2399" s="3">
        <v>1.22</v>
      </c>
      <c r="O2399" s="3">
        <v>0</v>
      </c>
      <c r="P2399" s="3">
        <v>0.8</v>
      </c>
      <c r="Q2399" s="3">
        <v>26.51</v>
      </c>
      <c r="R2399" s="3">
        <v>18.2</v>
      </c>
      <c r="S2399" s="3">
        <f>VLOOKUP(C2399,[1]page!$C$2:$M$3071,11,0)</f>
        <v>24.49</v>
      </c>
      <c r="T2399" s="6">
        <f t="shared" ref="T2399:T2462" si="39">SUM(M2399-S2399)</f>
        <v>0</v>
      </c>
    </row>
    <row r="2400" spans="1:20" x14ac:dyDescent="0.2">
      <c r="A2400" t="s">
        <v>6186</v>
      </c>
      <c r="B2400" t="s">
        <v>7884</v>
      </c>
      <c r="C2400" t="s">
        <v>7885</v>
      </c>
      <c r="D2400" t="s">
        <v>7886</v>
      </c>
      <c r="E2400" t="s">
        <v>6284</v>
      </c>
      <c r="F2400" t="s">
        <v>5902</v>
      </c>
      <c r="G2400" s="2">
        <v>6.5</v>
      </c>
      <c r="H2400" s="1">
        <v>1</v>
      </c>
      <c r="I2400" t="s">
        <v>6285</v>
      </c>
      <c r="L2400" s="1">
        <v>8</v>
      </c>
      <c r="M2400" s="3">
        <v>23.78</v>
      </c>
      <c r="N2400" s="3">
        <v>1.19</v>
      </c>
      <c r="O2400" s="3">
        <v>0</v>
      </c>
      <c r="P2400" s="3">
        <v>0.8</v>
      </c>
      <c r="Q2400" s="3">
        <v>25.77</v>
      </c>
      <c r="R2400" s="3">
        <v>18.2</v>
      </c>
      <c r="S2400" s="3">
        <f>VLOOKUP(C2400,[1]page!$C$2:$M$3071,11,0)</f>
        <v>23.78</v>
      </c>
      <c r="T2400" s="6">
        <f t="shared" si="39"/>
        <v>0</v>
      </c>
    </row>
    <row r="2401" spans="1:20" x14ac:dyDescent="0.2">
      <c r="A2401" t="s">
        <v>6186</v>
      </c>
      <c r="B2401" t="s">
        <v>7887</v>
      </c>
      <c r="C2401" t="s">
        <v>7888</v>
      </c>
      <c r="D2401" t="s">
        <v>7889</v>
      </c>
      <c r="E2401" t="s">
        <v>6190</v>
      </c>
      <c r="F2401" t="s">
        <v>7091</v>
      </c>
      <c r="G2401" s="1">
        <v>4</v>
      </c>
      <c r="H2401" s="1">
        <v>1</v>
      </c>
      <c r="I2401" t="s">
        <v>6191</v>
      </c>
      <c r="L2401" s="1">
        <v>8</v>
      </c>
      <c r="M2401" s="3">
        <v>18.3</v>
      </c>
      <c r="N2401" s="3">
        <v>0.92</v>
      </c>
      <c r="O2401" s="3">
        <v>0</v>
      </c>
      <c r="P2401" s="3">
        <v>0.8</v>
      </c>
      <c r="Q2401" s="3">
        <v>20.02</v>
      </c>
      <c r="R2401" s="3">
        <v>13.4</v>
      </c>
      <c r="S2401" s="3">
        <f>VLOOKUP(C2401,[1]page!$C$2:$M$3071,11,0)</f>
        <v>18.3</v>
      </c>
      <c r="T2401" s="6">
        <f t="shared" si="39"/>
        <v>0</v>
      </c>
    </row>
    <row r="2402" spans="1:20" x14ac:dyDescent="0.2">
      <c r="A2402" t="s">
        <v>6186</v>
      </c>
      <c r="B2402" t="s">
        <v>7890</v>
      </c>
      <c r="C2402" t="s">
        <v>7891</v>
      </c>
      <c r="D2402" t="s">
        <v>7892</v>
      </c>
      <c r="E2402" t="s">
        <v>6190</v>
      </c>
      <c r="F2402" t="s">
        <v>7091</v>
      </c>
      <c r="G2402" s="1">
        <v>5</v>
      </c>
      <c r="H2402" s="1">
        <v>1</v>
      </c>
      <c r="I2402" t="s">
        <v>6191</v>
      </c>
      <c r="L2402" s="1">
        <v>8</v>
      </c>
      <c r="M2402" s="3">
        <v>18.3</v>
      </c>
      <c r="N2402" s="3">
        <v>0.92</v>
      </c>
      <c r="O2402" s="3">
        <v>0</v>
      </c>
      <c r="P2402" s="3">
        <v>0.8</v>
      </c>
      <c r="Q2402" s="3">
        <v>20.02</v>
      </c>
      <c r="R2402" s="3">
        <v>13.4</v>
      </c>
      <c r="S2402" s="3">
        <f>VLOOKUP(C2402,[1]page!$C$2:$M$3071,11,0)</f>
        <v>18.3</v>
      </c>
      <c r="T2402" s="6">
        <f t="shared" si="39"/>
        <v>0</v>
      </c>
    </row>
    <row r="2403" spans="1:20" x14ac:dyDescent="0.2">
      <c r="A2403" t="s">
        <v>6186</v>
      </c>
      <c r="B2403" t="s">
        <v>7893</v>
      </c>
      <c r="C2403" t="s">
        <v>7894</v>
      </c>
      <c r="D2403" t="s">
        <v>7895</v>
      </c>
      <c r="E2403" t="s">
        <v>6190</v>
      </c>
      <c r="F2403" t="s">
        <v>7091</v>
      </c>
      <c r="G2403" s="2">
        <v>4.7</v>
      </c>
      <c r="H2403" s="1">
        <v>1</v>
      </c>
      <c r="I2403" t="s">
        <v>6191</v>
      </c>
      <c r="L2403" s="1">
        <v>8</v>
      </c>
      <c r="M2403" s="3">
        <v>15.48</v>
      </c>
      <c r="N2403" s="3">
        <v>0.77</v>
      </c>
      <c r="O2403" s="3">
        <v>0</v>
      </c>
      <c r="P2403" s="3">
        <v>0.8</v>
      </c>
      <c r="Q2403" s="3">
        <v>17.05</v>
      </c>
      <c r="R2403" s="3">
        <v>13.4</v>
      </c>
      <c r="S2403" s="3">
        <f>VLOOKUP(C2403,[1]page!$C$2:$M$3071,11,0)</f>
        <v>15.48</v>
      </c>
      <c r="T2403" s="6">
        <f t="shared" si="39"/>
        <v>0</v>
      </c>
    </row>
    <row r="2404" spans="1:20" x14ac:dyDescent="0.2">
      <c r="A2404" t="s">
        <v>6186</v>
      </c>
      <c r="B2404" t="s">
        <v>7896</v>
      </c>
      <c r="C2404" t="s">
        <v>7897</v>
      </c>
      <c r="D2404" t="s">
        <v>7898</v>
      </c>
      <c r="E2404" t="s">
        <v>6195</v>
      </c>
      <c r="F2404" t="s">
        <v>7091</v>
      </c>
      <c r="G2404" s="1">
        <v>5</v>
      </c>
      <c r="H2404" s="1">
        <v>1</v>
      </c>
      <c r="I2404" t="s">
        <v>5961</v>
      </c>
      <c r="L2404" s="1">
        <v>8</v>
      </c>
      <c r="M2404" s="3">
        <v>18.3</v>
      </c>
      <c r="N2404" s="3">
        <v>0.92</v>
      </c>
      <c r="O2404" s="3">
        <v>0</v>
      </c>
      <c r="P2404" s="3">
        <v>0.8</v>
      </c>
      <c r="Q2404" s="3">
        <v>20.02</v>
      </c>
      <c r="R2404" s="3">
        <v>13.4</v>
      </c>
      <c r="S2404" s="3">
        <f>VLOOKUP(C2404,[1]page!$C$2:$M$3071,11,0)</f>
        <v>18.3</v>
      </c>
      <c r="T2404" s="6">
        <f t="shared" si="39"/>
        <v>0</v>
      </c>
    </row>
    <row r="2405" spans="1:20" x14ac:dyDescent="0.2">
      <c r="A2405" t="s">
        <v>6186</v>
      </c>
      <c r="B2405" t="s">
        <v>7899</v>
      </c>
      <c r="C2405" t="s">
        <v>7900</v>
      </c>
      <c r="D2405" t="s">
        <v>7901</v>
      </c>
      <c r="E2405" t="s">
        <v>6195</v>
      </c>
      <c r="F2405" t="s">
        <v>7091</v>
      </c>
      <c r="G2405" s="1">
        <v>4</v>
      </c>
      <c r="H2405" s="1">
        <v>1</v>
      </c>
      <c r="I2405" t="s">
        <v>5961</v>
      </c>
      <c r="L2405" s="1">
        <v>8</v>
      </c>
      <c r="M2405" s="3">
        <v>17.79</v>
      </c>
      <c r="N2405" s="3">
        <v>0.89</v>
      </c>
      <c r="O2405" s="3">
        <v>0</v>
      </c>
      <c r="P2405" s="3">
        <v>0.8</v>
      </c>
      <c r="Q2405" s="3">
        <v>19.48</v>
      </c>
      <c r="R2405" s="3">
        <v>13.4</v>
      </c>
      <c r="S2405" s="3">
        <f>VLOOKUP(C2405,[1]page!$C$2:$M$3071,11,0)</f>
        <v>17.79</v>
      </c>
      <c r="T2405" s="6">
        <f t="shared" si="39"/>
        <v>0</v>
      </c>
    </row>
    <row r="2406" spans="1:20" x14ac:dyDescent="0.2">
      <c r="A2406" t="s">
        <v>6186</v>
      </c>
      <c r="B2406" t="s">
        <v>7902</v>
      </c>
      <c r="C2406" t="s">
        <v>7903</v>
      </c>
      <c r="D2406" t="s">
        <v>7901</v>
      </c>
      <c r="E2406" t="s">
        <v>6195</v>
      </c>
      <c r="F2406" t="s">
        <v>7091</v>
      </c>
      <c r="G2406" s="1">
        <v>4</v>
      </c>
      <c r="H2406" s="1">
        <v>1</v>
      </c>
      <c r="I2406" t="s">
        <v>5961</v>
      </c>
      <c r="L2406" s="1">
        <v>8</v>
      </c>
      <c r="M2406" s="3">
        <v>18.3</v>
      </c>
      <c r="N2406" s="3">
        <v>0.92</v>
      </c>
      <c r="O2406" s="3">
        <v>0</v>
      </c>
      <c r="P2406" s="3">
        <v>0.8</v>
      </c>
      <c r="Q2406" s="3">
        <v>20.02</v>
      </c>
      <c r="R2406" s="3">
        <v>13.4</v>
      </c>
      <c r="S2406" s="3">
        <f>VLOOKUP(C2406,[1]page!$C$2:$M$3071,11,0)</f>
        <v>18.3</v>
      </c>
      <c r="T2406" s="6">
        <f t="shared" si="39"/>
        <v>0</v>
      </c>
    </row>
    <row r="2407" spans="1:20" x14ac:dyDescent="0.2">
      <c r="A2407" t="s">
        <v>6186</v>
      </c>
      <c r="B2407" t="s">
        <v>7904</v>
      </c>
      <c r="C2407" t="s">
        <v>7905</v>
      </c>
      <c r="D2407" t="s">
        <v>7906</v>
      </c>
      <c r="E2407" t="s">
        <v>6195</v>
      </c>
      <c r="F2407" t="s">
        <v>7091</v>
      </c>
      <c r="G2407" s="1">
        <v>5</v>
      </c>
      <c r="H2407" s="1">
        <v>1</v>
      </c>
      <c r="I2407" t="s">
        <v>5961</v>
      </c>
      <c r="L2407" s="1">
        <v>8</v>
      </c>
      <c r="M2407" s="3">
        <v>19.29</v>
      </c>
      <c r="N2407" s="3">
        <v>0.96</v>
      </c>
      <c r="O2407" s="3">
        <v>0</v>
      </c>
      <c r="P2407" s="3">
        <v>0.8</v>
      </c>
      <c r="Q2407" s="3">
        <v>21.05</v>
      </c>
      <c r="R2407" s="3">
        <v>13.4</v>
      </c>
      <c r="S2407" s="3">
        <f>VLOOKUP(C2407,[1]page!$C$2:$M$3071,11,0)</f>
        <v>19.29</v>
      </c>
      <c r="T2407" s="6">
        <f t="shared" si="39"/>
        <v>0</v>
      </c>
    </row>
    <row r="2408" spans="1:20" x14ac:dyDescent="0.2">
      <c r="A2408" t="s">
        <v>6186</v>
      </c>
      <c r="B2408" t="s">
        <v>7907</v>
      </c>
      <c r="C2408" t="s">
        <v>7908</v>
      </c>
      <c r="D2408" t="s">
        <v>7909</v>
      </c>
      <c r="E2408" t="s">
        <v>6332</v>
      </c>
      <c r="F2408" t="s">
        <v>5902</v>
      </c>
      <c r="G2408" s="1">
        <v>5</v>
      </c>
      <c r="H2408" s="1">
        <v>1</v>
      </c>
      <c r="I2408" t="s">
        <v>5961</v>
      </c>
      <c r="L2408" s="1">
        <v>8</v>
      </c>
      <c r="M2408" s="3">
        <v>23.99</v>
      </c>
      <c r="N2408" s="3">
        <v>1.2</v>
      </c>
      <c r="O2408" s="3">
        <v>0</v>
      </c>
      <c r="P2408" s="3">
        <v>0.8</v>
      </c>
      <c r="Q2408" s="3">
        <v>25.99</v>
      </c>
      <c r="R2408" s="3">
        <v>18.2</v>
      </c>
      <c r="S2408" s="3">
        <f>VLOOKUP(C2408,[1]page!$C$2:$M$3071,11,0)</f>
        <v>23.99</v>
      </c>
      <c r="T2408" s="6">
        <f t="shared" si="39"/>
        <v>0</v>
      </c>
    </row>
    <row r="2409" spans="1:20" x14ac:dyDescent="0.2">
      <c r="A2409" t="s">
        <v>6186</v>
      </c>
      <c r="B2409" t="s">
        <v>7910</v>
      </c>
      <c r="C2409" t="s">
        <v>7911</v>
      </c>
      <c r="D2409" t="s">
        <v>7912</v>
      </c>
      <c r="E2409" t="s">
        <v>6332</v>
      </c>
      <c r="F2409" t="s">
        <v>5902</v>
      </c>
      <c r="G2409" s="1">
        <v>5</v>
      </c>
      <c r="H2409" s="1">
        <v>1</v>
      </c>
      <c r="I2409" t="s">
        <v>5961</v>
      </c>
      <c r="L2409" s="1">
        <v>8</v>
      </c>
      <c r="M2409" s="3">
        <v>23.5</v>
      </c>
      <c r="N2409" s="3">
        <v>1.18</v>
      </c>
      <c r="O2409" s="3">
        <v>0</v>
      </c>
      <c r="P2409" s="3">
        <v>0.8</v>
      </c>
      <c r="Q2409" s="3">
        <v>25.48</v>
      </c>
      <c r="R2409" s="3">
        <v>18.2</v>
      </c>
      <c r="S2409" s="3" t="e">
        <f>VLOOKUP(C2409,[1]page!$C$2:$M$3071,11,0)</f>
        <v>#N/A</v>
      </c>
      <c r="T2409" s="6" t="e">
        <f t="shared" si="39"/>
        <v>#N/A</v>
      </c>
    </row>
    <row r="2410" spans="1:20" x14ac:dyDescent="0.2">
      <c r="A2410" t="s">
        <v>6186</v>
      </c>
      <c r="B2410" t="s">
        <v>7913</v>
      </c>
      <c r="C2410" t="s">
        <v>7914</v>
      </c>
      <c r="D2410" t="s">
        <v>7915</v>
      </c>
      <c r="E2410" t="s">
        <v>6332</v>
      </c>
      <c r="F2410" t="s">
        <v>5902</v>
      </c>
      <c r="G2410" s="2">
        <v>5.5</v>
      </c>
      <c r="H2410" s="1">
        <v>1</v>
      </c>
      <c r="I2410" t="s">
        <v>5961</v>
      </c>
      <c r="L2410" s="1">
        <v>8</v>
      </c>
      <c r="M2410" s="3">
        <v>17.989999999999998</v>
      </c>
      <c r="N2410" s="3">
        <v>0.9</v>
      </c>
      <c r="O2410" s="3">
        <v>0</v>
      </c>
      <c r="P2410" s="3">
        <v>0.8</v>
      </c>
      <c r="Q2410" s="3">
        <v>19.690000000000001</v>
      </c>
      <c r="R2410" s="3">
        <v>18.2</v>
      </c>
      <c r="S2410" s="3">
        <f>VLOOKUP(C2410,[1]page!$C$2:$M$3071,11,0)</f>
        <v>17.989999999999998</v>
      </c>
      <c r="T2410" s="6">
        <f t="shared" si="39"/>
        <v>0</v>
      </c>
    </row>
    <row r="2411" spans="1:20" x14ac:dyDescent="0.2">
      <c r="A2411" t="s">
        <v>6186</v>
      </c>
      <c r="B2411" t="s">
        <v>7916</v>
      </c>
      <c r="C2411" t="s">
        <v>7917</v>
      </c>
      <c r="D2411" t="s">
        <v>7918</v>
      </c>
      <c r="E2411" t="s">
        <v>6747</v>
      </c>
      <c r="F2411" t="s">
        <v>7919</v>
      </c>
      <c r="G2411" s="2">
        <v>4.2</v>
      </c>
      <c r="H2411" s="1">
        <v>1</v>
      </c>
      <c r="I2411" t="s">
        <v>24</v>
      </c>
      <c r="L2411" s="1">
        <v>8</v>
      </c>
      <c r="M2411" s="3">
        <v>23.78</v>
      </c>
      <c r="N2411" s="3">
        <v>1.19</v>
      </c>
      <c r="O2411" s="3">
        <v>0</v>
      </c>
      <c r="P2411" s="3">
        <v>0.8</v>
      </c>
      <c r="Q2411" s="3">
        <v>25.77</v>
      </c>
      <c r="R2411" s="3">
        <v>18.2</v>
      </c>
      <c r="S2411" s="3">
        <f>VLOOKUP(C2411,[1]page!$C$2:$M$3071,11,0)</f>
        <v>23.78</v>
      </c>
      <c r="T2411" s="6">
        <f t="shared" si="39"/>
        <v>0</v>
      </c>
    </row>
    <row r="2412" spans="1:20" x14ac:dyDescent="0.2">
      <c r="A2412" t="s">
        <v>6186</v>
      </c>
      <c r="B2412" t="s">
        <v>7920</v>
      </c>
      <c r="C2412" t="s">
        <v>7921</v>
      </c>
      <c r="D2412" t="s">
        <v>7922</v>
      </c>
      <c r="E2412" t="s">
        <v>6190</v>
      </c>
      <c r="F2412" t="s">
        <v>7091</v>
      </c>
      <c r="G2412" s="1">
        <v>5</v>
      </c>
      <c r="H2412" s="1">
        <v>1</v>
      </c>
      <c r="I2412" t="s">
        <v>6191</v>
      </c>
      <c r="L2412" s="1">
        <v>8</v>
      </c>
      <c r="M2412" s="3">
        <v>18.3</v>
      </c>
      <c r="N2412" s="3">
        <v>0.92</v>
      </c>
      <c r="O2412" s="3">
        <v>0</v>
      </c>
      <c r="P2412" s="3">
        <v>0.8</v>
      </c>
      <c r="Q2412" s="3">
        <v>20.02</v>
      </c>
      <c r="R2412" s="3">
        <v>13.4</v>
      </c>
      <c r="S2412" s="3">
        <f>VLOOKUP(C2412,[1]page!$C$2:$M$3071,11,0)</f>
        <v>18.3</v>
      </c>
      <c r="T2412" s="6">
        <f t="shared" si="39"/>
        <v>0</v>
      </c>
    </row>
    <row r="2413" spans="1:20" x14ac:dyDescent="0.2">
      <c r="A2413" t="s">
        <v>6186</v>
      </c>
      <c r="B2413" t="s">
        <v>7923</v>
      </c>
      <c r="C2413" t="s">
        <v>7924</v>
      </c>
      <c r="D2413" t="s">
        <v>7925</v>
      </c>
      <c r="E2413" t="s">
        <v>6190</v>
      </c>
      <c r="F2413" t="s">
        <v>7091</v>
      </c>
      <c r="G2413" s="1">
        <v>5</v>
      </c>
      <c r="H2413" s="1">
        <v>1</v>
      </c>
      <c r="I2413" t="s">
        <v>6191</v>
      </c>
      <c r="L2413" s="1">
        <v>8</v>
      </c>
      <c r="M2413" s="3">
        <v>15.48</v>
      </c>
      <c r="N2413" s="3">
        <v>0.77</v>
      </c>
      <c r="O2413" s="3">
        <v>0</v>
      </c>
      <c r="P2413" s="3">
        <v>0.8</v>
      </c>
      <c r="Q2413" s="3">
        <v>17.05</v>
      </c>
      <c r="R2413" s="3">
        <v>13.4</v>
      </c>
      <c r="S2413" s="3">
        <f>VLOOKUP(C2413,[1]page!$C$2:$M$3071,11,0)</f>
        <v>15.48</v>
      </c>
      <c r="T2413" s="6">
        <f t="shared" si="39"/>
        <v>0</v>
      </c>
    </row>
    <row r="2414" spans="1:20" x14ac:dyDescent="0.2">
      <c r="A2414" t="s">
        <v>6186</v>
      </c>
      <c r="B2414" t="s">
        <v>7926</v>
      </c>
      <c r="C2414" t="s">
        <v>7927</v>
      </c>
      <c r="D2414" t="s">
        <v>7928</v>
      </c>
      <c r="E2414" t="s">
        <v>6190</v>
      </c>
      <c r="F2414" t="s">
        <v>7091</v>
      </c>
      <c r="G2414" s="1">
        <v>6</v>
      </c>
      <c r="H2414" s="1">
        <v>1</v>
      </c>
      <c r="I2414" t="s">
        <v>6191</v>
      </c>
      <c r="L2414" s="1">
        <v>8</v>
      </c>
      <c r="M2414" s="3">
        <v>15.48</v>
      </c>
      <c r="N2414" s="3">
        <v>0.77</v>
      </c>
      <c r="O2414" s="3">
        <v>0</v>
      </c>
      <c r="P2414" s="3">
        <v>0.8</v>
      </c>
      <c r="Q2414" s="3">
        <v>17.05</v>
      </c>
      <c r="R2414" s="3">
        <v>13.4</v>
      </c>
      <c r="S2414" s="3">
        <f>VLOOKUP(C2414,[1]page!$C$2:$M$3071,11,0)</f>
        <v>15.48</v>
      </c>
      <c r="T2414" s="6">
        <f t="shared" si="39"/>
        <v>0</v>
      </c>
    </row>
    <row r="2415" spans="1:20" x14ac:dyDescent="0.2">
      <c r="A2415" t="s">
        <v>6186</v>
      </c>
      <c r="B2415" t="s">
        <v>7929</v>
      </c>
      <c r="C2415" t="s">
        <v>7930</v>
      </c>
      <c r="D2415" t="s">
        <v>7931</v>
      </c>
      <c r="E2415" t="s">
        <v>6190</v>
      </c>
      <c r="F2415" t="s">
        <v>7091</v>
      </c>
      <c r="G2415" s="1">
        <v>4</v>
      </c>
      <c r="H2415" s="1">
        <v>1</v>
      </c>
      <c r="I2415" t="s">
        <v>6191</v>
      </c>
      <c r="L2415" s="1">
        <v>8</v>
      </c>
      <c r="M2415" s="3">
        <v>19.489999999999998</v>
      </c>
      <c r="N2415" s="3">
        <v>0.97</v>
      </c>
      <c r="O2415" s="3">
        <v>0</v>
      </c>
      <c r="P2415" s="3">
        <v>0.8</v>
      </c>
      <c r="Q2415" s="3">
        <v>21.26</v>
      </c>
      <c r="R2415" s="3">
        <v>13.4</v>
      </c>
      <c r="S2415" s="3">
        <f>VLOOKUP(C2415,[1]page!$C$2:$M$3071,11,0)</f>
        <v>19.489999999999998</v>
      </c>
      <c r="T2415" s="6">
        <f t="shared" si="39"/>
        <v>0</v>
      </c>
    </row>
    <row r="2416" spans="1:20" x14ac:dyDescent="0.2">
      <c r="A2416" t="s">
        <v>6186</v>
      </c>
      <c r="B2416" t="s">
        <v>7932</v>
      </c>
      <c r="C2416" t="s">
        <v>7933</v>
      </c>
      <c r="D2416" t="s">
        <v>7934</v>
      </c>
      <c r="E2416" t="s">
        <v>6195</v>
      </c>
      <c r="F2416" t="s">
        <v>7091</v>
      </c>
      <c r="G2416" s="1">
        <v>4</v>
      </c>
      <c r="H2416" s="1">
        <v>1</v>
      </c>
      <c r="I2416" t="s">
        <v>5961</v>
      </c>
      <c r="L2416" s="1">
        <v>8</v>
      </c>
      <c r="M2416" s="3">
        <v>19.29</v>
      </c>
      <c r="N2416" s="3">
        <v>0.96</v>
      </c>
      <c r="O2416" s="3">
        <v>0</v>
      </c>
      <c r="P2416" s="3">
        <v>0.8</v>
      </c>
      <c r="Q2416" s="3">
        <v>21.05</v>
      </c>
      <c r="R2416" s="3">
        <v>13.4</v>
      </c>
      <c r="S2416" s="3">
        <f>VLOOKUP(C2416,[1]page!$C$2:$M$3071,11,0)</f>
        <v>19.29</v>
      </c>
      <c r="T2416" s="6">
        <f t="shared" si="39"/>
        <v>0</v>
      </c>
    </row>
    <row r="2417" spans="1:20" x14ac:dyDescent="0.2">
      <c r="A2417" t="s">
        <v>6186</v>
      </c>
      <c r="B2417" t="s">
        <v>7935</v>
      </c>
      <c r="C2417" t="s">
        <v>7936</v>
      </c>
      <c r="D2417" t="s">
        <v>7937</v>
      </c>
      <c r="E2417" t="s">
        <v>6195</v>
      </c>
      <c r="F2417" t="s">
        <v>7938</v>
      </c>
      <c r="G2417" s="1">
        <v>6</v>
      </c>
      <c r="H2417" s="1">
        <v>1</v>
      </c>
      <c r="I2417" t="s">
        <v>5961</v>
      </c>
      <c r="L2417" s="1">
        <v>8</v>
      </c>
      <c r="M2417" s="3">
        <v>8.2899999999999991</v>
      </c>
      <c r="N2417" s="3">
        <v>0.41</v>
      </c>
      <c r="O2417" s="3">
        <v>0</v>
      </c>
      <c r="P2417" s="3">
        <v>0.8</v>
      </c>
      <c r="Q2417" s="3">
        <v>9.5</v>
      </c>
      <c r="R2417" s="3">
        <v>9.35</v>
      </c>
      <c r="S2417" s="3">
        <f>VLOOKUP(C2417,[1]page!$C$2:$M$3071,11,0)</f>
        <v>8.2899999999999991</v>
      </c>
      <c r="T2417" s="6">
        <f t="shared" si="39"/>
        <v>0</v>
      </c>
    </row>
    <row r="2418" spans="1:20" x14ac:dyDescent="0.2">
      <c r="A2418" t="s">
        <v>6186</v>
      </c>
      <c r="B2418" t="s">
        <v>7939</v>
      </c>
      <c r="C2418" t="s">
        <v>7940</v>
      </c>
      <c r="D2418" t="s">
        <v>7941</v>
      </c>
      <c r="E2418" t="s">
        <v>6195</v>
      </c>
      <c r="F2418" t="s">
        <v>7942</v>
      </c>
      <c r="G2418" s="1">
        <v>6</v>
      </c>
      <c r="H2418" s="1">
        <v>1</v>
      </c>
      <c r="I2418" t="s">
        <v>5961</v>
      </c>
      <c r="L2418" s="1">
        <v>8</v>
      </c>
      <c r="M2418" s="3">
        <v>8.99</v>
      </c>
      <c r="N2418" s="3">
        <v>0.45</v>
      </c>
      <c r="O2418" s="3">
        <v>0</v>
      </c>
      <c r="P2418" s="3">
        <v>0.8</v>
      </c>
      <c r="Q2418" s="3">
        <v>10.24</v>
      </c>
      <c r="R2418" s="3">
        <v>9.35</v>
      </c>
      <c r="S2418" s="3">
        <f>VLOOKUP(C2418,[1]page!$C$2:$M$3071,11,0)</f>
        <v>8.99</v>
      </c>
      <c r="T2418" s="6">
        <f t="shared" si="39"/>
        <v>0</v>
      </c>
    </row>
    <row r="2419" spans="1:20" x14ac:dyDescent="0.2">
      <c r="A2419" t="s">
        <v>6186</v>
      </c>
      <c r="B2419" t="s">
        <v>7943</v>
      </c>
      <c r="C2419" t="s">
        <v>7944</v>
      </c>
      <c r="D2419" t="s">
        <v>7945</v>
      </c>
      <c r="E2419" t="s">
        <v>6190</v>
      </c>
      <c r="F2419" t="s">
        <v>7091</v>
      </c>
      <c r="G2419" s="1">
        <v>4</v>
      </c>
      <c r="H2419" s="1">
        <v>1</v>
      </c>
      <c r="I2419" t="s">
        <v>6191</v>
      </c>
      <c r="L2419" s="1">
        <v>8</v>
      </c>
      <c r="M2419" s="3">
        <v>14.99</v>
      </c>
      <c r="N2419" s="3">
        <v>0.75</v>
      </c>
      <c r="O2419" s="3">
        <v>0</v>
      </c>
      <c r="P2419" s="3">
        <v>0.8</v>
      </c>
      <c r="Q2419" s="3">
        <v>16.54</v>
      </c>
      <c r="R2419" s="3">
        <v>13.4</v>
      </c>
      <c r="S2419" s="3">
        <f>VLOOKUP(C2419,[1]page!$C$2:$M$3071,11,0)</f>
        <v>14.99</v>
      </c>
      <c r="T2419" s="6">
        <f t="shared" si="39"/>
        <v>0</v>
      </c>
    </row>
    <row r="2420" spans="1:20" x14ac:dyDescent="0.2">
      <c r="A2420" t="s">
        <v>6186</v>
      </c>
      <c r="B2420" t="s">
        <v>7946</v>
      </c>
      <c r="C2420" t="s">
        <v>7947</v>
      </c>
      <c r="D2420" t="s">
        <v>7948</v>
      </c>
      <c r="E2420" t="s">
        <v>6319</v>
      </c>
      <c r="F2420" t="s">
        <v>7091</v>
      </c>
      <c r="G2420" s="1">
        <v>5</v>
      </c>
      <c r="H2420" s="1">
        <v>1</v>
      </c>
      <c r="I2420" t="s">
        <v>5617</v>
      </c>
      <c r="L2420" s="1">
        <v>8</v>
      </c>
      <c r="M2420" s="3">
        <v>15.71</v>
      </c>
      <c r="N2420" s="3">
        <v>0.79</v>
      </c>
      <c r="O2420" s="3">
        <v>0</v>
      </c>
      <c r="P2420" s="3">
        <v>0.8</v>
      </c>
      <c r="Q2420" s="3">
        <v>17.3</v>
      </c>
      <c r="R2420" s="3">
        <v>13.4</v>
      </c>
      <c r="S2420" s="3">
        <f>VLOOKUP(C2420,[1]page!$C$2:$M$3071,11,0)</f>
        <v>15.71</v>
      </c>
      <c r="T2420" s="6">
        <f t="shared" si="39"/>
        <v>0</v>
      </c>
    </row>
    <row r="2421" spans="1:20" x14ac:dyDescent="0.2">
      <c r="A2421" t="s">
        <v>6186</v>
      </c>
      <c r="B2421" t="s">
        <v>7949</v>
      </c>
      <c r="C2421" t="s">
        <v>7950</v>
      </c>
      <c r="D2421" t="s">
        <v>7951</v>
      </c>
      <c r="E2421" t="s">
        <v>6195</v>
      </c>
      <c r="F2421" t="s">
        <v>7091</v>
      </c>
      <c r="G2421" s="1">
        <v>5</v>
      </c>
      <c r="H2421" s="1">
        <v>1</v>
      </c>
      <c r="I2421" t="s">
        <v>5961</v>
      </c>
      <c r="L2421" s="1">
        <v>8</v>
      </c>
      <c r="M2421" s="3">
        <v>15.5</v>
      </c>
      <c r="N2421" s="3">
        <v>0.78</v>
      </c>
      <c r="O2421" s="3">
        <v>0</v>
      </c>
      <c r="P2421" s="3">
        <v>0.8</v>
      </c>
      <c r="Q2421" s="3">
        <v>17.079999999999998</v>
      </c>
      <c r="R2421" s="3">
        <v>13.4</v>
      </c>
      <c r="S2421" s="3">
        <f>VLOOKUP(C2421,[1]page!$C$2:$M$3071,11,0)</f>
        <v>15.5</v>
      </c>
      <c r="T2421" s="6">
        <f t="shared" si="39"/>
        <v>0</v>
      </c>
    </row>
    <row r="2422" spans="1:20" x14ac:dyDescent="0.2">
      <c r="A2422" t="s">
        <v>6186</v>
      </c>
      <c r="B2422" t="s">
        <v>7952</v>
      </c>
      <c r="C2422" t="s">
        <v>7953</v>
      </c>
      <c r="D2422" t="s">
        <v>7954</v>
      </c>
      <c r="E2422" t="s">
        <v>6190</v>
      </c>
      <c r="F2422" t="s">
        <v>7458</v>
      </c>
      <c r="G2422" s="1">
        <v>4</v>
      </c>
      <c r="H2422" s="1">
        <v>1</v>
      </c>
      <c r="I2422" t="s">
        <v>6191</v>
      </c>
      <c r="L2422" s="1">
        <v>36</v>
      </c>
      <c r="M2422" s="3">
        <v>71.489999999999995</v>
      </c>
      <c r="N2422" s="3">
        <v>3.57</v>
      </c>
      <c r="O2422" s="3">
        <v>0</v>
      </c>
      <c r="P2422" s="3">
        <v>3.6</v>
      </c>
      <c r="Q2422" s="3">
        <v>78.66</v>
      </c>
      <c r="R2422" s="3">
        <f>SUM(F2422*0.0042)</f>
        <v>53.675999999999995</v>
      </c>
      <c r="S2422" s="3">
        <f>VLOOKUP(C2422,[1]page!$C$2:$M$3071,11,0)</f>
        <v>71.489999999999995</v>
      </c>
      <c r="T2422" s="6">
        <f t="shared" si="39"/>
        <v>0</v>
      </c>
    </row>
    <row r="2423" spans="1:20" x14ac:dyDescent="0.2">
      <c r="A2423" t="s">
        <v>7955</v>
      </c>
      <c r="B2423" t="s">
        <v>7956</v>
      </c>
      <c r="C2423" t="s">
        <v>7957</v>
      </c>
      <c r="D2423" t="s">
        <v>7958</v>
      </c>
      <c r="E2423" t="s">
        <v>6284</v>
      </c>
      <c r="F2423" t="s">
        <v>5861</v>
      </c>
      <c r="G2423" s="1">
        <v>5</v>
      </c>
      <c r="H2423" s="1">
        <v>1</v>
      </c>
      <c r="I2423" t="s">
        <v>6285</v>
      </c>
      <c r="L2423" s="1">
        <v>12</v>
      </c>
      <c r="M2423" s="3">
        <v>24.25</v>
      </c>
      <c r="N2423" s="3">
        <v>1.21</v>
      </c>
      <c r="O2423" s="3">
        <v>0</v>
      </c>
      <c r="P2423" s="3">
        <v>1.2</v>
      </c>
      <c r="Q2423" s="3">
        <v>26.66</v>
      </c>
      <c r="R2423" s="3">
        <f>SUM(F2423*0.0043)</f>
        <v>18.318000000000001</v>
      </c>
      <c r="S2423" s="3">
        <f>VLOOKUP(C2423,[1]page!$C$2:$M$3071,11,0)</f>
        <v>24.25</v>
      </c>
      <c r="T2423" s="6">
        <f t="shared" si="39"/>
        <v>0</v>
      </c>
    </row>
    <row r="2424" spans="1:20" x14ac:dyDescent="0.2">
      <c r="A2424" t="s">
        <v>7955</v>
      </c>
      <c r="B2424" t="s">
        <v>7959</v>
      </c>
      <c r="C2424" t="s">
        <v>7960</v>
      </c>
      <c r="D2424" t="s">
        <v>7961</v>
      </c>
      <c r="E2424" t="s">
        <v>6284</v>
      </c>
      <c r="F2424" t="s">
        <v>1041</v>
      </c>
      <c r="G2424" s="2">
        <v>5.4</v>
      </c>
      <c r="H2424" s="1">
        <v>1</v>
      </c>
      <c r="I2424" t="s">
        <v>6285</v>
      </c>
      <c r="L2424" s="1">
        <v>4</v>
      </c>
      <c r="M2424" s="3">
        <v>9.89</v>
      </c>
      <c r="N2424" s="3">
        <v>0.49</v>
      </c>
      <c r="O2424" s="3">
        <v>0</v>
      </c>
      <c r="P2424" s="3">
        <v>0.4</v>
      </c>
      <c r="Q2424" s="3">
        <v>10.78</v>
      </c>
      <c r="R2424" s="3">
        <v>6.35</v>
      </c>
      <c r="S2424" s="3">
        <f>VLOOKUP(C2424,[1]page!$C$2:$M$3071,11,0)</f>
        <v>9.89</v>
      </c>
      <c r="T2424" s="6">
        <f t="shared" si="39"/>
        <v>0</v>
      </c>
    </row>
    <row r="2425" spans="1:20" x14ac:dyDescent="0.2">
      <c r="A2425" t="s">
        <v>7962</v>
      </c>
      <c r="B2425" t="s">
        <v>7963</v>
      </c>
      <c r="C2425" t="s">
        <v>7964</v>
      </c>
      <c r="D2425" t="s">
        <v>7965</v>
      </c>
      <c r="E2425" t="s">
        <v>6423</v>
      </c>
      <c r="F2425" t="s">
        <v>5861</v>
      </c>
      <c r="G2425" s="1">
        <v>5</v>
      </c>
      <c r="H2425" s="1">
        <v>1</v>
      </c>
      <c r="I2425" t="s">
        <v>7966</v>
      </c>
      <c r="L2425" s="1">
        <v>12</v>
      </c>
      <c r="M2425" s="3">
        <v>23.25</v>
      </c>
      <c r="N2425" s="3">
        <v>1.1599999999999999</v>
      </c>
      <c r="O2425" s="3">
        <v>0</v>
      </c>
      <c r="P2425" s="3">
        <v>1.2</v>
      </c>
      <c r="Q2425" s="3">
        <v>25.61</v>
      </c>
      <c r="R2425" s="3">
        <f t="shared" ref="R2425:R2427" si="40">SUM(F2425*0.0043)</f>
        <v>18.318000000000001</v>
      </c>
      <c r="S2425" s="3" t="e">
        <f>VLOOKUP(C2425,[1]page!$C$2:$M$3071,11,0)</f>
        <v>#N/A</v>
      </c>
      <c r="T2425" s="6" t="e">
        <f t="shared" si="39"/>
        <v>#N/A</v>
      </c>
    </row>
    <row r="2426" spans="1:20" x14ac:dyDescent="0.2">
      <c r="A2426" t="s">
        <v>7962</v>
      </c>
      <c r="B2426" t="s">
        <v>7967</v>
      </c>
      <c r="C2426" t="s">
        <v>7968</v>
      </c>
      <c r="D2426" t="s">
        <v>7969</v>
      </c>
      <c r="E2426" t="s">
        <v>6423</v>
      </c>
      <c r="F2426" t="s">
        <v>5861</v>
      </c>
      <c r="G2426" s="1">
        <v>5</v>
      </c>
      <c r="H2426" s="1">
        <v>1</v>
      </c>
      <c r="I2426" t="s">
        <v>7966</v>
      </c>
      <c r="K2426" t="s">
        <v>2687</v>
      </c>
      <c r="L2426" s="1">
        <v>12</v>
      </c>
      <c r="M2426" s="3">
        <v>24.25</v>
      </c>
      <c r="N2426" s="3">
        <v>1.21</v>
      </c>
      <c r="O2426" s="3">
        <v>0</v>
      </c>
      <c r="P2426" s="3">
        <v>1.2</v>
      </c>
      <c r="Q2426" s="3">
        <v>26.66</v>
      </c>
      <c r="R2426" s="3">
        <f t="shared" si="40"/>
        <v>18.318000000000001</v>
      </c>
      <c r="S2426" s="3">
        <f>VLOOKUP(C2426,[1]page!$C$2:$M$3071,11,0)</f>
        <v>24.25</v>
      </c>
      <c r="T2426" s="6">
        <f t="shared" si="39"/>
        <v>0</v>
      </c>
    </row>
    <row r="2427" spans="1:20" x14ac:dyDescent="0.2">
      <c r="A2427" t="s">
        <v>7962</v>
      </c>
      <c r="B2427" t="s">
        <v>7970</v>
      </c>
      <c r="C2427" t="s">
        <v>7971</v>
      </c>
      <c r="D2427" t="s">
        <v>7972</v>
      </c>
      <c r="E2427" t="s">
        <v>6423</v>
      </c>
      <c r="F2427" t="s">
        <v>5861</v>
      </c>
      <c r="G2427" s="1">
        <v>5</v>
      </c>
      <c r="H2427" s="1">
        <v>1</v>
      </c>
      <c r="I2427" t="s">
        <v>6191</v>
      </c>
      <c r="L2427" s="1">
        <v>12</v>
      </c>
      <c r="M2427" s="3">
        <v>24.25</v>
      </c>
      <c r="N2427" s="3">
        <v>1.21</v>
      </c>
      <c r="O2427" s="3">
        <v>0</v>
      </c>
      <c r="P2427" s="3">
        <v>1.2</v>
      </c>
      <c r="Q2427" s="3">
        <v>26.66</v>
      </c>
      <c r="R2427" s="3">
        <f t="shared" si="40"/>
        <v>18.318000000000001</v>
      </c>
      <c r="S2427" s="3">
        <f>VLOOKUP(C2427,[1]page!$C$2:$M$3071,11,0)</f>
        <v>24.25</v>
      </c>
      <c r="T2427" s="6">
        <f t="shared" si="39"/>
        <v>0</v>
      </c>
    </row>
    <row r="2428" spans="1:20" x14ac:dyDescent="0.2">
      <c r="A2428" t="s">
        <v>7962</v>
      </c>
      <c r="B2428" t="s">
        <v>7973</v>
      </c>
      <c r="C2428" t="s">
        <v>7974</v>
      </c>
      <c r="D2428" t="s">
        <v>7975</v>
      </c>
      <c r="E2428" t="s">
        <v>6116</v>
      </c>
      <c r="F2428" t="s">
        <v>6041</v>
      </c>
      <c r="G2428" s="2">
        <v>4.5</v>
      </c>
      <c r="H2428" s="1">
        <v>1</v>
      </c>
      <c r="I2428" t="s">
        <v>5961</v>
      </c>
      <c r="L2428" s="1">
        <v>12</v>
      </c>
      <c r="M2428" s="3">
        <v>30</v>
      </c>
      <c r="N2428" s="3">
        <v>1.5</v>
      </c>
      <c r="O2428" s="3">
        <v>0</v>
      </c>
      <c r="P2428" s="3">
        <v>1.2</v>
      </c>
      <c r="Q2428" s="3">
        <v>32.700000000000003</v>
      </c>
      <c r="R2428" s="3">
        <v>17.149999999999999</v>
      </c>
      <c r="S2428" s="3">
        <f>VLOOKUP(C2428,[1]page!$C$2:$M$3071,11,0)</f>
        <v>30</v>
      </c>
      <c r="T2428" s="6">
        <f t="shared" si="39"/>
        <v>0</v>
      </c>
    </row>
    <row r="2429" spans="1:20" x14ac:dyDescent="0.2">
      <c r="A2429" t="s">
        <v>7962</v>
      </c>
      <c r="B2429" t="s">
        <v>7976</v>
      </c>
      <c r="C2429" t="s">
        <v>7977</v>
      </c>
      <c r="D2429" t="s">
        <v>7978</v>
      </c>
      <c r="E2429" t="s">
        <v>6423</v>
      </c>
      <c r="F2429" t="s">
        <v>3080</v>
      </c>
      <c r="G2429" s="1">
        <v>7</v>
      </c>
      <c r="H2429" s="1">
        <v>8</v>
      </c>
      <c r="I2429" t="s">
        <v>6191</v>
      </c>
      <c r="L2429" s="1">
        <v>1</v>
      </c>
      <c r="M2429" s="3">
        <v>9.99</v>
      </c>
      <c r="N2429" s="3">
        <v>0.5</v>
      </c>
      <c r="O2429" s="3">
        <v>0</v>
      </c>
      <c r="P2429" s="3">
        <v>0.25</v>
      </c>
      <c r="Q2429" s="3">
        <v>10.74</v>
      </c>
      <c r="R2429" s="3">
        <v>10.55</v>
      </c>
      <c r="S2429" s="3">
        <f>VLOOKUP(C2429,[1]page!$C$2:$M$3071,11,0)</f>
        <v>9.99</v>
      </c>
      <c r="T2429" s="6">
        <f t="shared" si="39"/>
        <v>0</v>
      </c>
    </row>
    <row r="2430" spans="1:20" x14ac:dyDescent="0.2">
      <c r="A2430" t="s">
        <v>7962</v>
      </c>
      <c r="B2430" t="s">
        <v>7979</v>
      </c>
      <c r="C2430" t="s">
        <v>7980</v>
      </c>
      <c r="D2430" t="s">
        <v>7981</v>
      </c>
      <c r="E2430" t="s">
        <v>6423</v>
      </c>
      <c r="F2430" t="s">
        <v>3080</v>
      </c>
      <c r="G2430" s="1">
        <v>7</v>
      </c>
      <c r="H2430" s="1">
        <v>8</v>
      </c>
      <c r="I2430" t="s">
        <v>6191</v>
      </c>
      <c r="L2430" s="1">
        <v>1</v>
      </c>
      <c r="M2430" s="3">
        <v>9.01</v>
      </c>
      <c r="N2430" s="3">
        <v>0.45</v>
      </c>
      <c r="O2430" s="3">
        <v>0</v>
      </c>
      <c r="P2430" s="3">
        <v>0.25</v>
      </c>
      <c r="Q2430" s="3">
        <v>9.7100000000000009</v>
      </c>
      <c r="R2430" s="3">
        <v>10.55</v>
      </c>
      <c r="S2430" s="3">
        <f>VLOOKUP(C2430,[1]page!$C$2:$M$3071,11,0)</f>
        <v>9.01</v>
      </c>
      <c r="T2430" s="6">
        <f t="shared" si="39"/>
        <v>0</v>
      </c>
    </row>
    <row r="2431" spans="1:20" x14ac:dyDescent="0.2">
      <c r="A2431" t="s">
        <v>7962</v>
      </c>
      <c r="B2431" t="s">
        <v>7982</v>
      </c>
      <c r="C2431" t="s">
        <v>7983</v>
      </c>
      <c r="D2431" t="s">
        <v>7984</v>
      </c>
      <c r="E2431" t="s">
        <v>6423</v>
      </c>
      <c r="F2431" t="s">
        <v>3080</v>
      </c>
      <c r="G2431" s="1">
        <v>7</v>
      </c>
      <c r="H2431" s="1">
        <v>8</v>
      </c>
      <c r="I2431" t="s">
        <v>6191</v>
      </c>
      <c r="L2431" s="1">
        <v>1</v>
      </c>
      <c r="M2431" s="3">
        <v>9.99</v>
      </c>
      <c r="N2431" s="3">
        <v>0.5</v>
      </c>
      <c r="O2431" s="3">
        <v>0</v>
      </c>
      <c r="P2431" s="3">
        <v>0.25</v>
      </c>
      <c r="Q2431" s="3">
        <v>10.74</v>
      </c>
      <c r="R2431" s="3">
        <v>10.55</v>
      </c>
      <c r="S2431" s="3">
        <f>VLOOKUP(C2431,[1]page!$C$2:$M$3071,11,0)</f>
        <v>9.99</v>
      </c>
      <c r="T2431" s="6">
        <f t="shared" si="39"/>
        <v>0</v>
      </c>
    </row>
    <row r="2432" spans="1:20" x14ac:dyDescent="0.2">
      <c r="A2432" t="s">
        <v>7962</v>
      </c>
      <c r="B2432" t="s">
        <v>7985</v>
      </c>
      <c r="C2432" t="s">
        <v>7986</v>
      </c>
      <c r="D2432" t="s">
        <v>7987</v>
      </c>
      <c r="E2432" t="s">
        <v>6423</v>
      </c>
      <c r="F2432" t="s">
        <v>3080</v>
      </c>
      <c r="G2432" s="1">
        <v>7</v>
      </c>
      <c r="H2432" s="1">
        <v>8</v>
      </c>
      <c r="I2432" t="s">
        <v>6191</v>
      </c>
      <c r="L2432" s="1">
        <v>1</v>
      </c>
      <c r="M2432" s="3">
        <v>9.01</v>
      </c>
      <c r="N2432" s="3">
        <v>0.45</v>
      </c>
      <c r="O2432" s="3">
        <v>0</v>
      </c>
      <c r="P2432" s="3">
        <v>0.25</v>
      </c>
      <c r="Q2432" s="3">
        <v>9.7100000000000009</v>
      </c>
      <c r="R2432" s="3">
        <v>10.55</v>
      </c>
      <c r="S2432" s="3">
        <f>VLOOKUP(C2432,[1]page!$C$2:$M$3071,11,0)</f>
        <v>9.01</v>
      </c>
      <c r="T2432" s="6">
        <f t="shared" si="39"/>
        <v>0</v>
      </c>
    </row>
    <row r="2433" spans="1:20" x14ac:dyDescent="0.2">
      <c r="A2433" t="s">
        <v>7962</v>
      </c>
      <c r="B2433" t="s">
        <v>7988</v>
      </c>
      <c r="C2433" t="s">
        <v>7989</v>
      </c>
      <c r="D2433" t="s">
        <v>7990</v>
      </c>
      <c r="E2433" t="s">
        <v>6423</v>
      </c>
      <c r="F2433" t="s">
        <v>3080</v>
      </c>
      <c r="G2433" s="1">
        <v>7</v>
      </c>
      <c r="H2433" s="1">
        <v>8</v>
      </c>
      <c r="I2433" t="s">
        <v>6191</v>
      </c>
      <c r="L2433" s="1">
        <v>1</v>
      </c>
      <c r="M2433" s="3">
        <v>9.01</v>
      </c>
      <c r="N2433" s="3">
        <v>0.45</v>
      </c>
      <c r="O2433" s="3">
        <v>0</v>
      </c>
      <c r="P2433" s="3">
        <v>0.25</v>
      </c>
      <c r="Q2433" s="3">
        <v>9.7100000000000009</v>
      </c>
      <c r="R2433" s="3">
        <v>10.55</v>
      </c>
      <c r="S2433" s="3">
        <f>VLOOKUP(C2433,[1]page!$C$2:$M$3071,11,0)</f>
        <v>9.01</v>
      </c>
      <c r="T2433" s="6">
        <f t="shared" si="39"/>
        <v>0</v>
      </c>
    </row>
    <row r="2434" spans="1:20" x14ac:dyDescent="0.2">
      <c r="A2434" t="s">
        <v>7962</v>
      </c>
      <c r="B2434" t="s">
        <v>7991</v>
      </c>
      <c r="C2434" t="s">
        <v>7992</v>
      </c>
      <c r="D2434" t="s">
        <v>7993</v>
      </c>
      <c r="E2434" t="s">
        <v>6423</v>
      </c>
      <c r="F2434" t="s">
        <v>3080</v>
      </c>
      <c r="G2434" s="1">
        <v>7</v>
      </c>
      <c r="H2434" s="1">
        <v>8</v>
      </c>
      <c r="I2434" t="s">
        <v>6191</v>
      </c>
      <c r="K2434" t="s">
        <v>20</v>
      </c>
      <c r="L2434" s="1">
        <v>1</v>
      </c>
      <c r="M2434" s="3">
        <v>9.99</v>
      </c>
      <c r="N2434" s="3">
        <v>0.5</v>
      </c>
      <c r="O2434" s="3">
        <v>0</v>
      </c>
      <c r="P2434" s="3">
        <v>0.25</v>
      </c>
      <c r="Q2434" s="3">
        <v>10.74</v>
      </c>
      <c r="R2434" s="3">
        <v>10.55</v>
      </c>
      <c r="S2434" s="3">
        <f>VLOOKUP(C2434,[1]page!$C$2:$M$3071,11,0)</f>
        <v>9.99</v>
      </c>
      <c r="T2434" s="6">
        <f t="shared" si="39"/>
        <v>0</v>
      </c>
    </row>
    <row r="2435" spans="1:20" x14ac:dyDescent="0.2">
      <c r="A2435" t="s">
        <v>7962</v>
      </c>
      <c r="B2435" t="s">
        <v>7994</v>
      </c>
      <c r="C2435" t="s">
        <v>7995</v>
      </c>
      <c r="D2435" t="s">
        <v>7996</v>
      </c>
      <c r="E2435" t="s">
        <v>6423</v>
      </c>
      <c r="F2435" t="s">
        <v>3080</v>
      </c>
      <c r="G2435" s="1">
        <v>7</v>
      </c>
      <c r="H2435" s="1">
        <v>8</v>
      </c>
      <c r="I2435" t="s">
        <v>6191</v>
      </c>
      <c r="K2435" t="s">
        <v>20</v>
      </c>
      <c r="L2435" s="1">
        <v>1</v>
      </c>
      <c r="M2435" s="3">
        <v>9.99</v>
      </c>
      <c r="N2435" s="3">
        <v>0.5</v>
      </c>
      <c r="O2435" s="3">
        <v>0</v>
      </c>
      <c r="P2435" s="3">
        <v>0.25</v>
      </c>
      <c r="Q2435" s="3">
        <v>10.74</v>
      </c>
      <c r="R2435" s="3">
        <v>10.55</v>
      </c>
      <c r="S2435" s="3">
        <f>VLOOKUP(C2435,[1]page!$C$2:$M$3071,11,0)</f>
        <v>9.99</v>
      </c>
      <c r="T2435" s="6">
        <f t="shared" si="39"/>
        <v>0</v>
      </c>
    </row>
    <row r="2436" spans="1:20" x14ac:dyDescent="0.2">
      <c r="A2436" t="s">
        <v>7962</v>
      </c>
      <c r="B2436" t="s">
        <v>7997</v>
      </c>
      <c r="C2436" t="s">
        <v>7998</v>
      </c>
      <c r="D2436" t="s">
        <v>7999</v>
      </c>
      <c r="E2436" t="s">
        <v>6423</v>
      </c>
      <c r="F2436" t="s">
        <v>3080</v>
      </c>
      <c r="G2436" s="1">
        <v>7</v>
      </c>
      <c r="H2436" s="1">
        <v>8</v>
      </c>
      <c r="I2436" t="s">
        <v>6191</v>
      </c>
      <c r="K2436" t="s">
        <v>20</v>
      </c>
      <c r="L2436" s="1">
        <v>1</v>
      </c>
      <c r="M2436" s="3">
        <v>9.99</v>
      </c>
      <c r="N2436" s="3">
        <v>0.5</v>
      </c>
      <c r="O2436" s="3">
        <v>0</v>
      </c>
      <c r="P2436" s="3">
        <v>0.25</v>
      </c>
      <c r="Q2436" s="3">
        <v>10.74</v>
      </c>
      <c r="R2436" s="3">
        <v>10.55</v>
      </c>
      <c r="S2436" s="3">
        <f>VLOOKUP(C2436,[1]page!$C$2:$M$3071,11,0)</f>
        <v>9.99</v>
      </c>
      <c r="T2436" s="6">
        <f t="shared" si="39"/>
        <v>0</v>
      </c>
    </row>
    <row r="2437" spans="1:20" x14ac:dyDescent="0.2">
      <c r="A2437" t="s">
        <v>7962</v>
      </c>
      <c r="B2437" t="s">
        <v>8000</v>
      </c>
      <c r="C2437" t="s">
        <v>8001</v>
      </c>
      <c r="D2437" t="s">
        <v>8002</v>
      </c>
      <c r="E2437" t="s">
        <v>6423</v>
      </c>
      <c r="F2437" t="s">
        <v>3080</v>
      </c>
      <c r="G2437" s="1">
        <v>7</v>
      </c>
      <c r="H2437" s="1">
        <v>8</v>
      </c>
      <c r="I2437" t="s">
        <v>6191</v>
      </c>
      <c r="K2437" t="s">
        <v>20</v>
      </c>
      <c r="L2437" s="1">
        <v>1</v>
      </c>
      <c r="M2437" s="3">
        <v>9.99</v>
      </c>
      <c r="N2437" s="3">
        <v>0.5</v>
      </c>
      <c r="O2437" s="3">
        <v>0</v>
      </c>
      <c r="P2437" s="3">
        <v>0.25</v>
      </c>
      <c r="Q2437" s="3">
        <v>10.74</v>
      </c>
      <c r="R2437" s="3">
        <v>10.55</v>
      </c>
      <c r="S2437" s="3">
        <f>VLOOKUP(C2437,[1]page!$C$2:$M$3071,11,0)</f>
        <v>9.99</v>
      </c>
      <c r="T2437" s="6">
        <f t="shared" si="39"/>
        <v>0</v>
      </c>
    </row>
    <row r="2438" spans="1:20" x14ac:dyDescent="0.2">
      <c r="A2438" t="s">
        <v>7962</v>
      </c>
      <c r="B2438" t="s">
        <v>8003</v>
      </c>
      <c r="C2438" t="s">
        <v>8004</v>
      </c>
      <c r="D2438" t="s">
        <v>8005</v>
      </c>
      <c r="E2438" t="s">
        <v>6423</v>
      </c>
      <c r="F2438" t="s">
        <v>5855</v>
      </c>
      <c r="G2438" s="1">
        <v>5</v>
      </c>
      <c r="H2438" s="1">
        <v>24</v>
      </c>
      <c r="I2438" t="s">
        <v>6191</v>
      </c>
      <c r="L2438" s="1">
        <v>1</v>
      </c>
      <c r="M2438" s="3">
        <v>3.03</v>
      </c>
      <c r="N2438" s="3">
        <v>0.15</v>
      </c>
      <c r="O2438" s="3">
        <v>0</v>
      </c>
      <c r="P2438" s="3">
        <v>0.1</v>
      </c>
      <c r="Q2438" s="3">
        <v>3.28</v>
      </c>
      <c r="R2438" s="3">
        <v>2.2999999999999998</v>
      </c>
      <c r="S2438" s="3">
        <f>VLOOKUP(C2438,[1]page!$C$2:$M$3071,11,0)</f>
        <v>3.03</v>
      </c>
      <c r="T2438" s="6">
        <f t="shared" si="39"/>
        <v>0</v>
      </c>
    </row>
    <row r="2439" spans="1:20" x14ac:dyDescent="0.2">
      <c r="A2439" t="s">
        <v>7962</v>
      </c>
      <c r="B2439" t="s">
        <v>8006</v>
      </c>
      <c r="C2439" t="s">
        <v>8007</v>
      </c>
      <c r="D2439" t="s">
        <v>8008</v>
      </c>
      <c r="E2439" t="s">
        <v>6423</v>
      </c>
      <c r="F2439" t="s">
        <v>5855</v>
      </c>
      <c r="G2439" s="1">
        <v>5</v>
      </c>
      <c r="H2439" s="1">
        <v>24</v>
      </c>
      <c r="I2439" t="s">
        <v>6191</v>
      </c>
      <c r="L2439" s="1">
        <v>1</v>
      </c>
      <c r="M2439" s="3">
        <v>3.03</v>
      </c>
      <c r="N2439" s="3">
        <v>0.15</v>
      </c>
      <c r="O2439" s="3">
        <v>0</v>
      </c>
      <c r="P2439" s="3">
        <v>0.1</v>
      </c>
      <c r="Q2439" s="3">
        <v>3.28</v>
      </c>
      <c r="R2439" s="3">
        <v>2.2999999999999998</v>
      </c>
      <c r="S2439" s="3">
        <f>VLOOKUP(C2439,[1]page!$C$2:$M$3071,11,0)</f>
        <v>3.03</v>
      </c>
      <c r="T2439" s="6">
        <f t="shared" si="39"/>
        <v>0</v>
      </c>
    </row>
    <row r="2440" spans="1:20" x14ac:dyDescent="0.2">
      <c r="A2440" t="s">
        <v>7962</v>
      </c>
      <c r="B2440" t="s">
        <v>8009</v>
      </c>
      <c r="C2440" t="s">
        <v>8010</v>
      </c>
      <c r="D2440" t="s">
        <v>8011</v>
      </c>
      <c r="E2440" t="s">
        <v>6284</v>
      </c>
      <c r="F2440" t="s">
        <v>5855</v>
      </c>
      <c r="G2440" s="2">
        <v>5.5</v>
      </c>
      <c r="H2440" s="1">
        <v>24</v>
      </c>
      <c r="I2440" t="s">
        <v>6285</v>
      </c>
      <c r="L2440" s="1">
        <v>1</v>
      </c>
      <c r="M2440" s="3">
        <v>3.08</v>
      </c>
      <c r="N2440" s="3">
        <v>0.15</v>
      </c>
      <c r="O2440" s="3">
        <v>0</v>
      </c>
      <c r="P2440" s="3">
        <v>0.1</v>
      </c>
      <c r="Q2440" s="3">
        <v>3.33</v>
      </c>
      <c r="R2440" s="3">
        <v>2.2999999999999998</v>
      </c>
      <c r="S2440" s="3">
        <f>VLOOKUP(C2440,[1]page!$C$2:$M$3071,11,0)</f>
        <v>3.08</v>
      </c>
      <c r="T2440" s="6">
        <f t="shared" si="39"/>
        <v>0</v>
      </c>
    </row>
    <row r="2441" spans="1:20" x14ac:dyDescent="0.2">
      <c r="A2441" t="s">
        <v>7962</v>
      </c>
      <c r="B2441" t="s">
        <v>8012</v>
      </c>
      <c r="C2441" t="s">
        <v>8013</v>
      </c>
      <c r="D2441" t="s">
        <v>8014</v>
      </c>
      <c r="E2441" t="s">
        <v>6423</v>
      </c>
      <c r="F2441" t="s">
        <v>6060</v>
      </c>
      <c r="G2441" s="1">
        <v>5</v>
      </c>
      <c r="H2441" s="1">
        <v>1</v>
      </c>
      <c r="I2441" t="s">
        <v>6191</v>
      </c>
      <c r="L2441" s="1">
        <v>1</v>
      </c>
      <c r="M2441" s="3">
        <v>99.98</v>
      </c>
      <c r="N2441" s="3">
        <v>5</v>
      </c>
      <c r="O2441" s="3">
        <v>0</v>
      </c>
      <c r="P2441" s="3">
        <v>20</v>
      </c>
      <c r="Q2441" s="3">
        <v>124.98</v>
      </c>
      <c r="S2441" s="3">
        <f>VLOOKUP(C2441,[1]page!$C$2:$M$3071,11,0)</f>
        <v>99.98</v>
      </c>
      <c r="T2441" s="6">
        <f t="shared" si="39"/>
        <v>0</v>
      </c>
    </row>
    <row r="2442" spans="1:20" x14ac:dyDescent="0.2">
      <c r="A2442" t="s">
        <v>7962</v>
      </c>
      <c r="B2442" t="s">
        <v>8015</v>
      </c>
      <c r="C2442" t="s">
        <v>8016</v>
      </c>
      <c r="D2442" t="s">
        <v>8017</v>
      </c>
      <c r="E2442" t="s">
        <v>6284</v>
      </c>
      <c r="F2442" t="s">
        <v>6875</v>
      </c>
      <c r="G2442" s="2">
        <v>5.5</v>
      </c>
      <c r="H2442" s="1">
        <v>1</v>
      </c>
      <c r="I2442" t="s">
        <v>6285</v>
      </c>
      <c r="K2442" t="s">
        <v>2687</v>
      </c>
      <c r="L2442" s="1">
        <v>1</v>
      </c>
      <c r="M2442" s="3">
        <v>254.99</v>
      </c>
      <c r="N2442" s="3">
        <v>12.75</v>
      </c>
      <c r="O2442" s="3">
        <v>0</v>
      </c>
      <c r="P2442" s="3">
        <v>20</v>
      </c>
      <c r="Q2442" s="3">
        <v>287.74</v>
      </c>
      <c r="S2442" s="3">
        <f>VLOOKUP(C2442,[1]page!$C$2:$M$3071,11,0)</f>
        <v>254.99</v>
      </c>
      <c r="T2442" s="6">
        <f t="shared" si="39"/>
        <v>0</v>
      </c>
    </row>
    <row r="2443" spans="1:20" x14ac:dyDescent="0.2">
      <c r="A2443" t="s">
        <v>7962</v>
      </c>
      <c r="B2443" t="s">
        <v>8018</v>
      </c>
      <c r="C2443" t="s">
        <v>8019</v>
      </c>
      <c r="D2443" t="s">
        <v>8020</v>
      </c>
      <c r="E2443" t="s">
        <v>6284</v>
      </c>
      <c r="F2443" t="s">
        <v>6045</v>
      </c>
      <c r="G2443" s="1">
        <v>5</v>
      </c>
      <c r="H2443" s="1">
        <v>1</v>
      </c>
      <c r="I2443" t="s">
        <v>6285</v>
      </c>
      <c r="L2443" s="1">
        <v>1</v>
      </c>
      <c r="M2443" s="3">
        <v>133.99</v>
      </c>
      <c r="N2443" s="3">
        <v>6.7</v>
      </c>
      <c r="O2443" s="3">
        <v>0</v>
      </c>
      <c r="P2443" s="3">
        <v>20</v>
      </c>
      <c r="Q2443" s="3">
        <v>160.69</v>
      </c>
      <c r="S2443" s="3">
        <f>VLOOKUP(C2443,[1]page!$C$2:$M$3071,11,0)</f>
        <v>133.99</v>
      </c>
      <c r="T2443" s="6">
        <f t="shared" si="39"/>
        <v>0</v>
      </c>
    </row>
    <row r="2444" spans="1:20" x14ac:dyDescent="0.2">
      <c r="A2444" t="s">
        <v>7962</v>
      </c>
      <c r="B2444" t="s">
        <v>8021</v>
      </c>
      <c r="C2444" t="s">
        <v>8022</v>
      </c>
      <c r="D2444" t="s">
        <v>8023</v>
      </c>
      <c r="E2444" t="s">
        <v>8024</v>
      </c>
      <c r="F2444" t="s">
        <v>6045</v>
      </c>
      <c r="G2444" s="2">
        <v>5.8</v>
      </c>
      <c r="H2444" s="1">
        <v>1</v>
      </c>
      <c r="I2444" t="s">
        <v>6285</v>
      </c>
      <c r="L2444" s="1">
        <v>1</v>
      </c>
      <c r="M2444" s="3">
        <v>133.99</v>
      </c>
      <c r="N2444" s="3">
        <v>6.7</v>
      </c>
      <c r="O2444" s="3">
        <v>0</v>
      </c>
      <c r="P2444" s="3">
        <v>20</v>
      </c>
      <c r="Q2444" s="3">
        <v>160.69</v>
      </c>
      <c r="S2444" s="3">
        <f>VLOOKUP(C2444,[1]page!$C$2:$M$3071,11,0)</f>
        <v>133.99</v>
      </c>
      <c r="T2444" s="6">
        <f t="shared" si="39"/>
        <v>0</v>
      </c>
    </row>
    <row r="2445" spans="1:20" x14ac:dyDescent="0.2">
      <c r="A2445" t="s">
        <v>7962</v>
      </c>
      <c r="B2445" t="s">
        <v>8025</v>
      </c>
      <c r="C2445" t="s">
        <v>8026</v>
      </c>
      <c r="D2445" t="s">
        <v>8027</v>
      </c>
      <c r="E2445" t="s">
        <v>6116</v>
      </c>
      <c r="F2445" t="s">
        <v>6083</v>
      </c>
      <c r="G2445" s="2">
        <v>5.3</v>
      </c>
      <c r="H2445" s="1">
        <v>1</v>
      </c>
      <c r="I2445" t="s">
        <v>5961</v>
      </c>
      <c r="K2445" t="s">
        <v>2687</v>
      </c>
      <c r="L2445" s="1">
        <v>1</v>
      </c>
      <c r="M2445" s="3">
        <v>234.8</v>
      </c>
      <c r="N2445" s="3">
        <v>11.74</v>
      </c>
      <c r="O2445" s="3">
        <v>0</v>
      </c>
      <c r="P2445" s="3">
        <v>20</v>
      </c>
      <c r="Q2445" s="3">
        <v>266.54000000000002</v>
      </c>
      <c r="S2445" s="3">
        <f>VLOOKUP(C2445,[1]page!$C$2:$M$3071,11,0)</f>
        <v>234.8</v>
      </c>
      <c r="T2445" s="6">
        <f t="shared" si="39"/>
        <v>0</v>
      </c>
    </row>
    <row r="2446" spans="1:20" x14ac:dyDescent="0.2">
      <c r="A2446" t="s">
        <v>7962</v>
      </c>
      <c r="B2446" t="s">
        <v>8028</v>
      </c>
      <c r="C2446" t="s">
        <v>8029</v>
      </c>
      <c r="D2446" t="s">
        <v>8030</v>
      </c>
      <c r="E2446" t="s">
        <v>6116</v>
      </c>
      <c r="F2446" t="s">
        <v>3080</v>
      </c>
      <c r="G2446" s="2">
        <v>5.3</v>
      </c>
      <c r="H2446" s="1">
        <v>1</v>
      </c>
      <c r="I2446" t="s">
        <v>5961</v>
      </c>
      <c r="K2446" t="s">
        <v>20</v>
      </c>
      <c r="L2446" s="1">
        <v>4</v>
      </c>
      <c r="M2446" s="3">
        <v>13.69</v>
      </c>
      <c r="N2446" s="3">
        <v>0.68</v>
      </c>
      <c r="O2446" s="3">
        <v>0</v>
      </c>
      <c r="P2446" s="3">
        <v>0.4</v>
      </c>
      <c r="Q2446" s="3">
        <v>14.77</v>
      </c>
      <c r="R2446" s="3">
        <v>8.9499999999999993</v>
      </c>
      <c r="S2446" s="3">
        <f>VLOOKUP(C2446,[1]page!$C$2:$M$3071,11,0)</f>
        <v>13.69</v>
      </c>
      <c r="T2446" s="6">
        <f t="shared" si="39"/>
        <v>0</v>
      </c>
    </row>
    <row r="2447" spans="1:20" x14ac:dyDescent="0.2">
      <c r="A2447" t="s">
        <v>7962</v>
      </c>
      <c r="B2447" t="s">
        <v>8031</v>
      </c>
      <c r="C2447" t="s">
        <v>8032</v>
      </c>
      <c r="D2447" t="s">
        <v>8033</v>
      </c>
      <c r="E2447" t="s">
        <v>6116</v>
      </c>
      <c r="F2447" t="s">
        <v>7587</v>
      </c>
      <c r="G2447" s="2">
        <v>4.5</v>
      </c>
      <c r="H2447" s="1">
        <v>1</v>
      </c>
      <c r="I2447" t="s">
        <v>5961</v>
      </c>
      <c r="L2447" s="1">
        <v>4</v>
      </c>
      <c r="M2447" s="3">
        <v>12.2</v>
      </c>
      <c r="N2447" s="3">
        <v>0.61</v>
      </c>
      <c r="O2447" s="3">
        <v>0</v>
      </c>
      <c r="P2447" s="3">
        <v>0.4</v>
      </c>
      <c r="Q2447" s="3">
        <v>13.21</v>
      </c>
      <c r="R2447" s="3">
        <v>8.85</v>
      </c>
      <c r="S2447" s="3">
        <f>VLOOKUP(C2447,[1]page!$C$2:$M$3071,11,0)</f>
        <v>12.2</v>
      </c>
      <c r="T2447" s="6">
        <f t="shared" si="39"/>
        <v>0</v>
      </c>
    </row>
    <row r="2448" spans="1:20" x14ac:dyDescent="0.2">
      <c r="A2448" t="s">
        <v>7962</v>
      </c>
      <c r="B2448" t="s">
        <v>8034</v>
      </c>
      <c r="C2448" t="s">
        <v>8035</v>
      </c>
      <c r="D2448" t="s">
        <v>8036</v>
      </c>
      <c r="E2448" t="s">
        <v>6116</v>
      </c>
      <c r="F2448" t="s">
        <v>7587</v>
      </c>
      <c r="G2448" s="2">
        <v>4.5</v>
      </c>
      <c r="H2448" s="1">
        <v>1</v>
      </c>
      <c r="I2448" t="s">
        <v>5961</v>
      </c>
      <c r="L2448" s="1">
        <v>4</v>
      </c>
      <c r="M2448" s="3">
        <v>12.2</v>
      </c>
      <c r="N2448" s="3">
        <v>0.61</v>
      </c>
      <c r="O2448" s="3">
        <v>0</v>
      </c>
      <c r="P2448" s="3">
        <v>0.4</v>
      </c>
      <c r="Q2448" s="3">
        <v>13.21</v>
      </c>
      <c r="R2448" s="3">
        <v>8.85</v>
      </c>
      <c r="S2448" s="3">
        <f>VLOOKUP(C2448,[1]page!$C$2:$M$3071,11,0)</f>
        <v>12.2</v>
      </c>
      <c r="T2448" s="6">
        <f t="shared" si="39"/>
        <v>0</v>
      </c>
    </row>
    <row r="2449" spans="1:20" x14ac:dyDescent="0.2">
      <c r="A2449" t="s">
        <v>7962</v>
      </c>
      <c r="B2449" t="s">
        <v>8037</v>
      </c>
      <c r="C2449" t="s">
        <v>8038</v>
      </c>
      <c r="D2449" t="s">
        <v>8039</v>
      </c>
      <c r="E2449" t="s">
        <v>6116</v>
      </c>
      <c r="F2449" t="s">
        <v>7587</v>
      </c>
      <c r="G2449" s="2">
        <v>4.5</v>
      </c>
      <c r="H2449" s="1">
        <v>1</v>
      </c>
      <c r="I2449" t="s">
        <v>5961</v>
      </c>
      <c r="L2449" s="1">
        <v>4</v>
      </c>
      <c r="M2449" s="3">
        <v>12</v>
      </c>
      <c r="N2449" s="3">
        <v>0.6</v>
      </c>
      <c r="O2449" s="3">
        <v>0</v>
      </c>
      <c r="P2449" s="3">
        <v>0.4</v>
      </c>
      <c r="Q2449" s="3">
        <v>13</v>
      </c>
      <c r="R2449" s="3">
        <v>8.85</v>
      </c>
      <c r="S2449" s="3">
        <f>VLOOKUP(C2449,[1]page!$C$2:$M$3071,11,0)</f>
        <v>12</v>
      </c>
      <c r="T2449" s="6">
        <f t="shared" si="39"/>
        <v>0</v>
      </c>
    </row>
    <row r="2450" spans="1:20" x14ac:dyDescent="0.2">
      <c r="A2450" t="s">
        <v>7962</v>
      </c>
      <c r="B2450" t="s">
        <v>8040</v>
      </c>
      <c r="C2450" t="s">
        <v>8041</v>
      </c>
      <c r="D2450" t="s">
        <v>8042</v>
      </c>
      <c r="E2450" t="s">
        <v>6284</v>
      </c>
      <c r="F2450" t="s">
        <v>5866</v>
      </c>
      <c r="G2450" s="2">
        <v>5.4</v>
      </c>
      <c r="H2450" s="1">
        <v>1</v>
      </c>
      <c r="I2450" t="s">
        <v>6285</v>
      </c>
      <c r="L2450" s="1">
        <v>6</v>
      </c>
      <c r="M2450" s="3">
        <v>12.52</v>
      </c>
      <c r="N2450" s="3">
        <v>0.63</v>
      </c>
      <c r="O2450" s="3">
        <v>0</v>
      </c>
      <c r="P2450" s="3">
        <v>1.2</v>
      </c>
      <c r="Q2450" s="3">
        <v>14.35</v>
      </c>
      <c r="R2450" s="3">
        <v>8.85</v>
      </c>
      <c r="S2450" s="3">
        <f>VLOOKUP(C2450,[1]page!$C$2:$M$3071,11,0)</f>
        <v>12.52</v>
      </c>
      <c r="T2450" s="6">
        <f t="shared" si="39"/>
        <v>0</v>
      </c>
    </row>
    <row r="2451" spans="1:20" x14ac:dyDescent="0.2">
      <c r="A2451" t="s">
        <v>7962</v>
      </c>
      <c r="B2451" t="s">
        <v>8043</v>
      </c>
      <c r="C2451" t="s">
        <v>8044</v>
      </c>
      <c r="D2451" t="s">
        <v>8045</v>
      </c>
      <c r="E2451" t="s">
        <v>6116</v>
      </c>
      <c r="F2451" t="s">
        <v>5866</v>
      </c>
      <c r="G2451" s="2">
        <v>5.3</v>
      </c>
      <c r="H2451" s="1">
        <v>1</v>
      </c>
      <c r="I2451" t="s">
        <v>5961</v>
      </c>
      <c r="K2451" t="s">
        <v>20</v>
      </c>
      <c r="L2451" s="1">
        <v>6</v>
      </c>
      <c r="M2451" s="3">
        <v>13.69</v>
      </c>
      <c r="N2451" s="3">
        <v>0.68</v>
      </c>
      <c r="O2451" s="3">
        <v>0</v>
      </c>
      <c r="P2451" s="3">
        <v>1.2</v>
      </c>
      <c r="Q2451" s="3">
        <v>15.57</v>
      </c>
      <c r="R2451" s="3">
        <v>8.85</v>
      </c>
      <c r="S2451" s="3">
        <f>VLOOKUP(C2451,[1]page!$C$2:$M$3071,11,0)</f>
        <v>13.69</v>
      </c>
      <c r="T2451" s="6">
        <f t="shared" si="39"/>
        <v>0</v>
      </c>
    </row>
    <row r="2452" spans="1:20" x14ac:dyDescent="0.2">
      <c r="A2452" t="s">
        <v>7962</v>
      </c>
      <c r="B2452" t="s">
        <v>8046</v>
      </c>
      <c r="C2452" t="s">
        <v>8047</v>
      </c>
      <c r="D2452" t="s">
        <v>8048</v>
      </c>
      <c r="E2452" t="s">
        <v>6423</v>
      </c>
      <c r="F2452" t="s">
        <v>5984</v>
      </c>
      <c r="G2452" s="1">
        <v>5</v>
      </c>
      <c r="H2452" s="1">
        <v>1</v>
      </c>
      <c r="I2452" t="s">
        <v>6191</v>
      </c>
      <c r="L2452" s="1">
        <v>6</v>
      </c>
      <c r="M2452" s="3">
        <v>12.29</v>
      </c>
      <c r="N2452" s="3">
        <v>0.61</v>
      </c>
      <c r="O2452" s="3">
        <v>0</v>
      </c>
      <c r="P2452" s="3">
        <v>0.6</v>
      </c>
      <c r="Q2452" s="3">
        <v>13.5</v>
      </c>
      <c r="R2452" s="3">
        <v>9.25</v>
      </c>
      <c r="S2452" s="3">
        <f>VLOOKUP(C2452,[1]page!$C$2:$M$3071,11,0)</f>
        <v>12.29</v>
      </c>
      <c r="T2452" s="6">
        <f t="shared" si="39"/>
        <v>0</v>
      </c>
    </row>
    <row r="2453" spans="1:20" x14ac:dyDescent="0.2">
      <c r="A2453" t="s">
        <v>7962</v>
      </c>
      <c r="B2453" t="s">
        <v>8049</v>
      </c>
      <c r="C2453" t="s">
        <v>8050</v>
      </c>
      <c r="D2453" t="s">
        <v>8051</v>
      </c>
      <c r="E2453" t="s">
        <v>6423</v>
      </c>
      <c r="F2453" t="s">
        <v>5984</v>
      </c>
      <c r="G2453" s="1">
        <v>5</v>
      </c>
      <c r="H2453" s="1">
        <v>1</v>
      </c>
      <c r="I2453" t="s">
        <v>6191</v>
      </c>
      <c r="K2453" t="s">
        <v>20</v>
      </c>
      <c r="L2453" s="1">
        <v>6</v>
      </c>
      <c r="M2453" s="3">
        <v>11.78</v>
      </c>
      <c r="N2453" s="3">
        <v>0.59</v>
      </c>
      <c r="O2453" s="3">
        <v>0</v>
      </c>
      <c r="P2453" s="3">
        <v>0.6</v>
      </c>
      <c r="Q2453" s="3">
        <v>12.97</v>
      </c>
      <c r="R2453" s="3">
        <v>9.25</v>
      </c>
      <c r="S2453" s="3">
        <f>VLOOKUP(C2453,[1]page!$C$2:$M$3071,11,0)</f>
        <v>11.78</v>
      </c>
      <c r="T2453" s="6">
        <f t="shared" si="39"/>
        <v>0</v>
      </c>
    </row>
    <row r="2454" spans="1:20" x14ac:dyDescent="0.2">
      <c r="A2454" t="s">
        <v>7962</v>
      </c>
      <c r="B2454" t="s">
        <v>8052</v>
      </c>
      <c r="C2454" t="s">
        <v>8053</v>
      </c>
      <c r="D2454" t="s">
        <v>8054</v>
      </c>
      <c r="E2454" t="s">
        <v>6423</v>
      </c>
      <c r="F2454" t="s">
        <v>5984</v>
      </c>
      <c r="G2454" s="1">
        <v>5</v>
      </c>
      <c r="H2454" s="1">
        <v>1</v>
      </c>
      <c r="I2454" t="s">
        <v>6191</v>
      </c>
      <c r="K2454" t="s">
        <v>20</v>
      </c>
      <c r="L2454" s="1">
        <v>6</v>
      </c>
      <c r="M2454" s="3">
        <v>12.89</v>
      </c>
      <c r="N2454" s="3">
        <v>0.64</v>
      </c>
      <c r="O2454" s="3">
        <v>0</v>
      </c>
      <c r="P2454" s="3">
        <v>0.6</v>
      </c>
      <c r="Q2454" s="3">
        <v>14.13</v>
      </c>
      <c r="R2454" s="3">
        <v>9.25</v>
      </c>
      <c r="S2454" s="3">
        <f>VLOOKUP(C2454,[1]page!$C$2:$M$3071,11,0)</f>
        <v>12.89</v>
      </c>
      <c r="T2454" s="6">
        <f t="shared" si="39"/>
        <v>0</v>
      </c>
    </row>
    <row r="2455" spans="1:20" x14ac:dyDescent="0.2">
      <c r="A2455" t="s">
        <v>7962</v>
      </c>
      <c r="B2455" t="s">
        <v>8055</v>
      </c>
      <c r="C2455" t="s">
        <v>8056</v>
      </c>
      <c r="D2455" t="s">
        <v>8057</v>
      </c>
      <c r="E2455" t="s">
        <v>6423</v>
      </c>
      <c r="F2455" t="s">
        <v>5984</v>
      </c>
      <c r="G2455" s="1">
        <v>5</v>
      </c>
      <c r="H2455" s="1">
        <v>1</v>
      </c>
      <c r="I2455" t="s">
        <v>6191</v>
      </c>
      <c r="K2455" t="s">
        <v>20</v>
      </c>
      <c r="L2455" s="1">
        <v>6</v>
      </c>
      <c r="M2455" s="3">
        <v>12.89</v>
      </c>
      <c r="N2455" s="3">
        <v>0.64</v>
      </c>
      <c r="O2455" s="3">
        <v>0</v>
      </c>
      <c r="P2455" s="3">
        <v>0.6</v>
      </c>
      <c r="Q2455" s="3">
        <v>14.13</v>
      </c>
      <c r="R2455" s="3">
        <v>9.25</v>
      </c>
      <c r="S2455" s="3">
        <f>VLOOKUP(C2455,[1]page!$C$2:$M$3071,11,0)</f>
        <v>12.89</v>
      </c>
      <c r="T2455" s="6">
        <f t="shared" si="39"/>
        <v>0</v>
      </c>
    </row>
    <row r="2456" spans="1:20" x14ac:dyDescent="0.2">
      <c r="A2456" t="s">
        <v>7962</v>
      </c>
      <c r="B2456" t="s">
        <v>8058</v>
      </c>
      <c r="C2456" t="s">
        <v>8059</v>
      </c>
      <c r="D2456" t="s">
        <v>8060</v>
      </c>
      <c r="E2456" t="s">
        <v>6423</v>
      </c>
      <c r="F2456" t="s">
        <v>5984</v>
      </c>
      <c r="G2456" s="1">
        <v>5</v>
      </c>
      <c r="H2456" s="1">
        <v>1</v>
      </c>
      <c r="I2456" t="s">
        <v>6191</v>
      </c>
      <c r="L2456" s="1">
        <v>6</v>
      </c>
      <c r="M2456" s="3">
        <v>12.29</v>
      </c>
      <c r="N2456" s="3">
        <v>0.61</v>
      </c>
      <c r="O2456" s="3">
        <v>0</v>
      </c>
      <c r="P2456" s="3">
        <v>0.6</v>
      </c>
      <c r="Q2456" s="3">
        <v>13.5</v>
      </c>
      <c r="R2456" s="3">
        <v>9.25</v>
      </c>
      <c r="S2456" s="3">
        <f>VLOOKUP(C2456,[1]page!$C$2:$M$3071,11,0)</f>
        <v>12.29</v>
      </c>
      <c r="T2456" s="6">
        <f t="shared" si="39"/>
        <v>0</v>
      </c>
    </row>
    <row r="2457" spans="1:20" x14ac:dyDescent="0.2">
      <c r="A2457" t="s">
        <v>7962</v>
      </c>
      <c r="B2457" t="s">
        <v>8061</v>
      </c>
      <c r="C2457" t="s">
        <v>8062</v>
      </c>
      <c r="D2457" t="s">
        <v>8063</v>
      </c>
      <c r="E2457" t="s">
        <v>6423</v>
      </c>
      <c r="F2457" t="s">
        <v>5984</v>
      </c>
      <c r="G2457" s="1">
        <v>5</v>
      </c>
      <c r="H2457" s="1">
        <v>1</v>
      </c>
      <c r="I2457" t="s">
        <v>6191</v>
      </c>
      <c r="L2457" s="1">
        <v>6</v>
      </c>
      <c r="M2457" s="3">
        <v>12.29</v>
      </c>
      <c r="N2457" s="3">
        <v>0.61</v>
      </c>
      <c r="O2457" s="3">
        <v>0</v>
      </c>
      <c r="P2457" s="3">
        <v>0.6</v>
      </c>
      <c r="Q2457" s="3">
        <v>13.5</v>
      </c>
      <c r="R2457" s="3">
        <v>9.25</v>
      </c>
      <c r="S2457" s="3">
        <f>VLOOKUP(C2457,[1]page!$C$2:$M$3071,11,0)</f>
        <v>12.29</v>
      </c>
      <c r="T2457" s="6">
        <f t="shared" si="39"/>
        <v>0</v>
      </c>
    </row>
    <row r="2458" spans="1:20" x14ac:dyDescent="0.2">
      <c r="A2458" t="s">
        <v>7962</v>
      </c>
      <c r="B2458" t="s">
        <v>8064</v>
      </c>
      <c r="C2458" t="s">
        <v>8065</v>
      </c>
      <c r="D2458" t="s">
        <v>8066</v>
      </c>
      <c r="E2458" t="s">
        <v>6423</v>
      </c>
      <c r="F2458" t="s">
        <v>5984</v>
      </c>
      <c r="G2458" s="1">
        <v>5</v>
      </c>
      <c r="H2458" s="1">
        <v>1</v>
      </c>
      <c r="I2458" t="s">
        <v>6191</v>
      </c>
      <c r="L2458" s="1">
        <v>6</v>
      </c>
      <c r="M2458" s="3">
        <v>12.89</v>
      </c>
      <c r="N2458" s="3">
        <v>0.64</v>
      </c>
      <c r="O2458" s="3">
        <v>0</v>
      </c>
      <c r="P2458" s="3">
        <v>0.6</v>
      </c>
      <c r="Q2458" s="3">
        <v>14.13</v>
      </c>
      <c r="R2458" s="3">
        <v>9.25</v>
      </c>
      <c r="S2458" s="3">
        <f>VLOOKUP(C2458,[1]page!$C$2:$M$3071,11,0)</f>
        <v>12.89</v>
      </c>
      <c r="T2458" s="6">
        <f t="shared" si="39"/>
        <v>0</v>
      </c>
    </row>
    <row r="2459" spans="1:20" x14ac:dyDescent="0.2">
      <c r="A2459" t="s">
        <v>7962</v>
      </c>
      <c r="B2459" t="s">
        <v>8067</v>
      </c>
      <c r="C2459" t="s">
        <v>8068</v>
      </c>
      <c r="D2459" t="s">
        <v>8069</v>
      </c>
      <c r="E2459" t="s">
        <v>6423</v>
      </c>
      <c r="F2459" t="s">
        <v>5984</v>
      </c>
      <c r="G2459" s="1">
        <v>6</v>
      </c>
      <c r="H2459" s="1">
        <v>1</v>
      </c>
      <c r="I2459" t="s">
        <v>6191</v>
      </c>
      <c r="L2459" s="1">
        <v>6</v>
      </c>
      <c r="M2459" s="3">
        <v>11.78</v>
      </c>
      <c r="N2459" s="3">
        <v>0.59</v>
      </c>
      <c r="O2459" s="3">
        <v>0</v>
      </c>
      <c r="P2459" s="3">
        <v>0.6</v>
      </c>
      <c r="Q2459" s="3">
        <v>12.97</v>
      </c>
      <c r="R2459" s="3">
        <v>10.9</v>
      </c>
      <c r="S2459" s="3">
        <f>VLOOKUP(C2459,[1]page!$C$2:$M$3071,11,0)</f>
        <v>11.78</v>
      </c>
      <c r="T2459" s="6">
        <f t="shared" si="39"/>
        <v>0</v>
      </c>
    </row>
    <row r="2460" spans="1:20" x14ac:dyDescent="0.2">
      <c r="A2460" t="s">
        <v>7962</v>
      </c>
      <c r="B2460" t="s">
        <v>8070</v>
      </c>
      <c r="C2460" t="s">
        <v>8071</v>
      </c>
      <c r="D2460" t="s">
        <v>8072</v>
      </c>
      <c r="E2460" t="s">
        <v>6423</v>
      </c>
      <c r="F2460" t="s">
        <v>5984</v>
      </c>
      <c r="G2460" s="1">
        <v>5</v>
      </c>
      <c r="H2460" s="1">
        <v>1</v>
      </c>
      <c r="I2460" t="s">
        <v>6191</v>
      </c>
      <c r="K2460" t="s">
        <v>20</v>
      </c>
      <c r="L2460" s="1">
        <v>6</v>
      </c>
      <c r="M2460" s="3">
        <v>12.89</v>
      </c>
      <c r="N2460" s="3">
        <v>0.64</v>
      </c>
      <c r="O2460" s="3">
        <v>0</v>
      </c>
      <c r="P2460" s="3">
        <v>0.6</v>
      </c>
      <c r="Q2460" s="3">
        <v>14.13</v>
      </c>
      <c r="R2460" s="3">
        <v>9.25</v>
      </c>
      <c r="S2460" s="3">
        <f>VLOOKUP(C2460,[1]page!$C$2:$M$3071,11,0)</f>
        <v>12.89</v>
      </c>
      <c r="T2460" s="6">
        <f t="shared" si="39"/>
        <v>0</v>
      </c>
    </row>
    <row r="2461" spans="1:20" x14ac:dyDescent="0.2">
      <c r="A2461" t="s">
        <v>7962</v>
      </c>
      <c r="B2461" t="s">
        <v>8073</v>
      </c>
      <c r="C2461" t="s">
        <v>8074</v>
      </c>
      <c r="D2461" t="s">
        <v>8075</v>
      </c>
      <c r="E2461" t="s">
        <v>6423</v>
      </c>
      <c r="F2461" t="s">
        <v>5984</v>
      </c>
      <c r="G2461" s="1">
        <v>5</v>
      </c>
      <c r="H2461" s="1">
        <v>1</v>
      </c>
      <c r="I2461" t="s">
        <v>6191</v>
      </c>
      <c r="K2461" t="s">
        <v>2687</v>
      </c>
      <c r="L2461" s="1">
        <v>6</v>
      </c>
      <c r="M2461" s="3">
        <v>12.89</v>
      </c>
      <c r="N2461" s="3">
        <v>0.64</v>
      </c>
      <c r="O2461" s="3">
        <v>0</v>
      </c>
      <c r="P2461" s="3">
        <v>0.6</v>
      </c>
      <c r="Q2461" s="3">
        <v>14.13</v>
      </c>
      <c r="R2461" s="3">
        <v>9.25</v>
      </c>
      <c r="S2461" s="3">
        <f>VLOOKUP(C2461,[1]page!$C$2:$M$3071,11,0)</f>
        <v>12.89</v>
      </c>
      <c r="T2461" s="6">
        <f t="shared" si="39"/>
        <v>0</v>
      </c>
    </row>
    <row r="2462" spans="1:20" x14ac:dyDescent="0.2">
      <c r="A2462" t="s">
        <v>7962</v>
      </c>
      <c r="B2462" t="s">
        <v>8076</v>
      </c>
      <c r="C2462" t="s">
        <v>8077</v>
      </c>
      <c r="D2462" t="s">
        <v>8078</v>
      </c>
      <c r="E2462" t="s">
        <v>8024</v>
      </c>
      <c r="F2462" t="s">
        <v>5984</v>
      </c>
      <c r="G2462" s="2">
        <v>5.5</v>
      </c>
      <c r="H2462" s="1">
        <v>1</v>
      </c>
      <c r="I2462" t="s">
        <v>6285</v>
      </c>
      <c r="L2462" s="1">
        <v>6</v>
      </c>
      <c r="M2462" s="3">
        <v>12.38</v>
      </c>
      <c r="N2462" s="3">
        <v>0.62</v>
      </c>
      <c r="O2462" s="3">
        <v>0</v>
      </c>
      <c r="P2462" s="3">
        <v>0.6</v>
      </c>
      <c r="Q2462" s="3">
        <v>13.6</v>
      </c>
      <c r="R2462" s="3">
        <v>9.25</v>
      </c>
      <c r="S2462" s="3">
        <f>VLOOKUP(C2462,[1]page!$C$2:$M$3071,11,0)</f>
        <v>12.38</v>
      </c>
      <c r="T2462" s="6">
        <f t="shared" si="39"/>
        <v>0</v>
      </c>
    </row>
    <row r="2463" spans="1:20" x14ac:dyDescent="0.2">
      <c r="A2463" t="s">
        <v>7962</v>
      </c>
      <c r="B2463" t="s">
        <v>8079</v>
      </c>
      <c r="C2463" t="s">
        <v>8080</v>
      </c>
      <c r="D2463" t="s">
        <v>8081</v>
      </c>
      <c r="E2463" t="s">
        <v>8024</v>
      </c>
      <c r="F2463" t="s">
        <v>5984</v>
      </c>
      <c r="G2463" s="2">
        <v>5.8</v>
      </c>
      <c r="H2463" s="1">
        <v>1</v>
      </c>
      <c r="I2463" t="s">
        <v>6285</v>
      </c>
      <c r="L2463" s="1">
        <v>6</v>
      </c>
      <c r="M2463" s="3">
        <v>12.38</v>
      </c>
      <c r="N2463" s="3">
        <v>0.62</v>
      </c>
      <c r="O2463" s="3">
        <v>0</v>
      </c>
      <c r="P2463" s="3">
        <v>0.6</v>
      </c>
      <c r="Q2463" s="3">
        <v>13.6</v>
      </c>
      <c r="R2463" s="3">
        <v>9.25</v>
      </c>
      <c r="S2463" s="3">
        <f>VLOOKUP(C2463,[1]page!$C$2:$M$3071,11,0)</f>
        <v>12.38</v>
      </c>
      <c r="T2463" s="6">
        <f t="shared" ref="T2463:T2526" si="41">SUM(M2463-S2463)</f>
        <v>0</v>
      </c>
    </row>
    <row r="2464" spans="1:20" x14ac:dyDescent="0.2">
      <c r="A2464" t="s">
        <v>7962</v>
      </c>
      <c r="B2464" t="s">
        <v>8082</v>
      </c>
      <c r="C2464" t="s">
        <v>8083</v>
      </c>
      <c r="D2464" t="s">
        <v>8084</v>
      </c>
      <c r="E2464" t="s">
        <v>6284</v>
      </c>
      <c r="F2464" t="s">
        <v>5984</v>
      </c>
      <c r="G2464" s="2">
        <v>5.5</v>
      </c>
      <c r="H2464" s="1">
        <v>1</v>
      </c>
      <c r="I2464" t="s">
        <v>6285</v>
      </c>
      <c r="K2464" t="s">
        <v>20</v>
      </c>
      <c r="L2464" s="1">
        <v>6</v>
      </c>
      <c r="M2464" s="3">
        <v>12.63</v>
      </c>
      <c r="N2464" s="3">
        <v>0.63</v>
      </c>
      <c r="O2464" s="3">
        <v>0</v>
      </c>
      <c r="P2464" s="3">
        <v>0.6</v>
      </c>
      <c r="Q2464" s="3">
        <v>13.86</v>
      </c>
      <c r="R2464" s="3">
        <v>9.25</v>
      </c>
      <c r="S2464" s="3">
        <f>VLOOKUP(C2464,[1]page!$C$2:$M$3071,11,0)</f>
        <v>12.63</v>
      </c>
      <c r="T2464" s="6">
        <f t="shared" si="41"/>
        <v>0</v>
      </c>
    </row>
    <row r="2465" spans="1:20" x14ac:dyDescent="0.2">
      <c r="A2465" t="s">
        <v>7962</v>
      </c>
      <c r="B2465" t="s">
        <v>8085</v>
      </c>
      <c r="C2465" t="s">
        <v>8086</v>
      </c>
      <c r="D2465" t="s">
        <v>8087</v>
      </c>
      <c r="E2465" t="s">
        <v>8024</v>
      </c>
      <c r="F2465" t="s">
        <v>5984</v>
      </c>
      <c r="G2465" s="2">
        <v>5.8</v>
      </c>
      <c r="H2465" s="1">
        <v>1</v>
      </c>
      <c r="I2465" t="s">
        <v>6285</v>
      </c>
      <c r="L2465" s="1">
        <v>6</v>
      </c>
      <c r="M2465" s="3">
        <v>12.16</v>
      </c>
      <c r="N2465" s="3">
        <v>0.61</v>
      </c>
      <c r="O2465" s="3">
        <v>0</v>
      </c>
      <c r="P2465" s="3">
        <v>0.6</v>
      </c>
      <c r="Q2465" s="3">
        <v>13.37</v>
      </c>
      <c r="R2465" s="3">
        <v>9.25</v>
      </c>
      <c r="S2465" s="3">
        <f>VLOOKUP(C2465,[1]page!$C$2:$M$3071,11,0)</f>
        <v>12.16</v>
      </c>
      <c r="T2465" s="6">
        <f t="shared" si="41"/>
        <v>0</v>
      </c>
    </row>
    <row r="2466" spans="1:20" x14ac:dyDescent="0.2">
      <c r="A2466" t="s">
        <v>8088</v>
      </c>
      <c r="B2466" t="s">
        <v>8089</v>
      </c>
      <c r="C2466" t="s">
        <v>8090</v>
      </c>
      <c r="D2466" t="s">
        <v>8091</v>
      </c>
      <c r="E2466" t="s">
        <v>6423</v>
      </c>
      <c r="F2466" t="s">
        <v>5861</v>
      </c>
      <c r="G2466" s="1">
        <v>4</v>
      </c>
      <c r="H2466" s="1">
        <v>1</v>
      </c>
      <c r="I2466" t="s">
        <v>6191</v>
      </c>
      <c r="L2466" s="1">
        <v>12</v>
      </c>
      <c r="M2466" s="3">
        <v>24.48</v>
      </c>
      <c r="N2466" s="3">
        <v>1.22</v>
      </c>
      <c r="O2466" s="3">
        <v>0</v>
      </c>
      <c r="P2466" s="3">
        <v>1.2</v>
      </c>
      <c r="Q2466" s="3">
        <v>26.9</v>
      </c>
      <c r="R2466" s="3">
        <f>SUM(F2466*0.0043)</f>
        <v>18.318000000000001</v>
      </c>
      <c r="S2466" s="3">
        <f>VLOOKUP(C2466,[1]page!$C$2:$M$3071,11,0)</f>
        <v>24.48</v>
      </c>
      <c r="T2466" s="6">
        <f t="shared" si="41"/>
        <v>0</v>
      </c>
    </row>
    <row r="2467" spans="1:20" x14ac:dyDescent="0.2">
      <c r="A2467" t="s">
        <v>8088</v>
      </c>
      <c r="B2467" t="s">
        <v>8092</v>
      </c>
      <c r="C2467" t="s">
        <v>8093</v>
      </c>
      <c r="D2467" t="s">
        <v>8094</v>
      </c>
      <c r="E2467" t="s">
        <v>6423</v>
      </c>
      <c r="F2467" t="s">
        <v>5861</v>
      </c>
      <c r="G2467" s="1">
        <v>8</v>
      </c>
      <c r="H2467" s="1">
        <v>1</v>
      </c>
      <c r="I2467" t="s">
        <v>6191</v>
      </c>
      <c r="L2467" s="1">
        <v>12</v>
      </c>
      <c r="M2467" s="3">
        <v>20.27</v>
      </c>
      <c r="N2467" s="3">
        <v>1.01</v>
      </c>
      <c r="O2467" s="3">
        <v>0</v>
      </c>
      <c r="P2467" s="3">
        <v>1.2</v>
      </c>
      <c r="Q2467" s="3">
        <v>22.48</v>
      </c>
      <c r="R2467" s="3">
        <f>SUM(F2467*0.0051)</f>
        <v>21.726000000000003</v>
      </c>
      <c r="S2467" s="3">
        <f>VLOOKUP(C2467,[1]page!$C$2:$M$3071,11,0)</f>
        <v>20.27</v>
      </c>
      <c r="T2467" s="6">
        <f t="shared" si="41"/>
        <v>0</v>
      </c>
    </row>
    <row r="2468" spans="1:20" x14ac:dyDescent="0.2">
      <c r="A2468" t="s">
        <v>8088</v>
      </c>
      <c r="B2468" t="s">
        <v>8095</v>
      </c>
      <c r="C2468" t="s">
        <v>8096</v>
      </c>
      <c r="D2468" t="s">
        <v>8097</v>
      </c>
      <c r="E2468" t="s">
        <v>6423</v>
      </c>
      <c r="F2468" t="s">
        <v>5855</v>
      </c>
      <c r="G2468" s="1">
        <v>4</v>
      </c>
      <c r="H2468" s="1">
        <v>12</v>
      </c>
      <c r="I2468" t="s">
        <v>6191</v>
      </c>
      <c r="L2468" s="1">
        <v>1</v>
      </c>
      <c r="M2468" s="3">
        <v>2.95</v>
      </c>
      <c r="N2468" s="3">
        <v>0.15</v>
      </c>
      <c r="O2468" s="3">
        <v>0</v>
      </c>
      <c r="P2468" s="3">
        <v>0.1</v>
      </c>
      <c r="Q2468" s="3">
        <v>3.2</v>
      </c>
      <c r="R2468" s="3">
        <v>2.2999999999999998</v>
      </c>
      <c r="S2468" s="3">
        <f>VLOOKUP(C2468,[1]page!$C$2:$M$3071,11,0)</f>
        <v>2.95</v>
      </c>
      <c r="T2468" s="6">
        <f t="shared" si="41"/>
        <v>0</v>
      </c>
    </row>
    <row r="2469" spans="1:20" x14ac:dyDescent="0.2">
      <c r="A2469" t="s">
        <v>8088</v>
      </c>
      <c r="B2469" t="s">
        <v>8098</v>
      </c>
      <c r="C2469" t="s">
        <v>8099</v>
      </c>
      <c r="D2469" t="s">
        <v>8100</v>
      </c>
      <c r="E2469" t="s">
        <v>6423</v>
      </c>
      <c r="F2469" t="s">
        <v>5855</v>
      </c>
      <c r="G2469" s="1">
        <v>4</v>
      </c>
      <c r="H2469" s="1">
        <v>12</v>
      </c>
      <c r="I2469" t="s">
        <v>6191</v>
      </c>
      <c r="L2469" s="1">
        <v>1</v>
      </c>
      <c r="M2469" s="3">
        <v>2.95</v>
      </c>
      <c r="N2469" s="3">
        <v>0.15</v>
      </c>
      <c r="O2469" s="3">
        <v>0</v>
      </c>
      <c r="P2469" s="3">
        <v>0.1</v>
      </c>
      <c r="Q2469" s="3">
        <v>3.2</v>
      </c>
      <c r="R2469" s="3">
        <v>2.2999999999999998</v>
      </c>
      <c r="S2469" s="3">
        <f>VLOOKUP(C2469,[1]page!$C$2:$M$3071,11,0)</f>
        <v>2.95</v>
      </c>
      <c r="T2469" s="6">
        <f t="shared" si="41"/>
        <v>0</v>
      </c>
    </row>
    <row r="2470" spans="1:20" x14ac:dyDescent="0.2">
      <c r="A2470" t="s">
        <v>8088</v>
      </c>
      <c r="B2470" t="s">
        <v>8101</v>
      </c>
      <c r="C2470" t="s">
        <v>8102</v>
      </c>
      <c r="D2470" t="s">
        <v>8103</v>
      </c>
      <c r="E2470" t="s">
        <v>6423</v>
      </c>
      <c r="F2470" t="s">
        <v>5855</v>
      </c>
      <c r="G2470" s="1">
        <v>4</v>
      </c>
      <c r="H2470" s="1">
        <v>12</v>
      </c>
      <c r="I2470" t="s">
        <v>6191</v>
      </c>
      <c r="L2470" s="1">
        <v>1</v>
      </c>
      <c r="M2470" s="3">
        <v>2.95</v>
      </c>
      <c r="N2470" s="3">
        <v>0.15</v>
      </c>
      <c r="O2470" s="3">
        <v>0</v>
      </c>
      <c r="P2470" s="3">
        <v>0.1</v>
      </c>
      <c r="Q2470" s="3">
        <v>3.2</v>
      </c>
      <c r="R2470" s="3">
        <v>2.2999999999999998</v>
      </c>
      <c r="S2470" s="3">
        <f>VLOOKUP(C2470,[1]page!$C$2:$M$3071,11,0)</f>
        <v>2.95</v>
      </c>
      <c r="T2470" s="6">
        <f t="shared" si="41"/>
        <v>0</v>
      </c>
    </row>
    <row r="2471" spans="1:20" x14ac:dyDescent="0.2">
      <c r="A2471" t="s">
        <v>8088</v>
      </c>
      <c r="B2471" t="s">
        <v>8104</v>
      </c>
      <c r="C2471" t="s">
        <v>8105</v>
      </c>
      <c r="D2471" t="s">
        <v>8106</v>
      </c>
      <c r="E2471" t="s">
        <v>6195</v>
      </c>
      <c r="F2471" t="s">
        <v>5855</v>
      </c>
      <c r="G2471" s="1">
        <v>5</v>
      </c>
      <c r="H2471" s="1">
        <v>24</v>
      </c>
      <c r="I2471" t="s">
        <v>5961</v>
      </c>
      <c r="L2471" s="1">
        <v>1</v>
      </c>
      <c r="M2471" s="3">
        <v>3.16</v>
      </c>
      <c r="N2471" s="3">
        <v>0.16</v>
      </c>
      <c r="O2471" s="3">
        <v>0</v>
      </c>
      <c r="P2471" s="3">
        <v>0.1</v>
      </c>
      <c r="Q2471" s="3">
        <v>3.42</v>
      </c>
      <c r="R2471" s="3">
        <v>2.2999999999999998</v>
      </c>
      <c r="S2471" s="3">
        <f>VLOOKUP(C2471,[1]page!$C$2:$M$3071,11,0)</f>
        <v>3.16</v>
      </c>
      <c r="T2471" s="6">
        <f t="shared" si="41"/>
        <v>0</v>
      </c>
    </row>
    <row r="2472" spans="1:20" x14ac:dyDescent="0.2">
      <c r="A2472" t="s">
        <v>8088</v>
      </c>
      <c r="B2472" t="s">
        <v>8107</v>
      </c>
      <c r="C2472" t="s">
        <v>8108</v>
      </c>
      <c r="D2472" t="s">
        <v>8109</v>
      </c>
      <c r="E2472" t="s">
        <v>6195</v>
      </c>
      <c r="F2472" t="s">
        <v>5855</v>
      </c>
      <c r="G2472" s="2">
        <v>4.5</v>
      </c>
      <c r="H2472" s="1">
        <v>24</v>
      </c>
      <c r="I2472" t="s">
        <v>5961</v>
      </c>
      <c r="L2472" s="1">
        <v>1</v>
      </c>
      <c r="M2472" s="3">
        <v>3.16</v>
      </c>
      <c r="N2472" s="3">
        <v>0.16</v>
      </c>
      <c r="O2472" s="3">
        <v>0</v>
      </c>
      <c r="P2472" s="3">
        <v>0.1</v>
      </c>
      <c r="Q2472" s="3">
        <v>3.42</v>
      </c>
      <c r="R2472" s="3">
        <v>2.2999999999999998</v>
      </c>
      <c r="S2472" s="3">
        <f>VLOOKUP(C2472,[1]page!$C$2:$M$3071,11,0)</f>
        <v>3.16</v>
      </c>
      <c r="T2472" s="6">
        <f t="shared" si="41"/>
        <v>0</v>
      </c>
    </row>
    <row r="2473" spans="1:20" x14ac:dyDescent="0.2">
      <c r="A2473" t="s">
        <v>8088</v>
      </c>
      <c r="B2473" t="s">
        <v>8110</v>
      </c>
      <c r="C2473" t="s">
        <v>8111</v>
      </c>
      <c r="D2473" t="s">
        <v>8112</v>
      </c>
      <c r="E2473" t="s">
        <v>6190</v>
      </c>
      <c r="F2473" t="s">
        <v>5855</v>
      </c>
      <c r="G2473" s="1">
        <v>4</v>
      </c>
      <c r="H2473" s="1">
        <v>12</v>
      </c>
      <c r="I2473" t="s">
        <v>7966</v>
      </c>
      <c r="L2473" s="1">
        <v>1</v>
      </c>
      <c r="M2473" s="3">
        <v>3.89</v>
      </c>
      <c r="N2473" s="3">
        <v>0.19</v>
      </c>
      <c r="O2473" s="3">
        <v>0</v>
      </c>
      <c r="P2473" s="3">
        <v>0.1</v>
      </c>
      <c r="Q2473" s="3">
        <v>4.18</v>
      </c>
      <c r="R2473" s="3">
        <v>2.2999999999999998</v>
      </c>
      <c r="S2473" s="3">
        <f>VLOOKUP(C2473,[1]page!$C$2:$M$3071,11,0)</f>
        <v>3.89</v>
      </c>
      <c r="T2473" s="6">
        <f t="shared" si="41"/>
        <v>0</v>
      </c>
    </row>
    <row r="2474" spans="1:20" x14ac:dyDescent="0.2">
      <c r="A2474" t="s">
        <v>8088</v>
      </c>
      <c r="B2474" t="s">
        <v>8113</v>
      </c>
      <c r="C2474" t="s">
        <v>8114</v>
      </c>
      <c r="D2474" t="s">
        <v>8115</v>
      </c>
      <c r="E2474" t="s">
        <v>6423</v>
      </c>
      <c r="F2474" t="s">
        <v>6659</v>
      </c>
      <c r="G2474" s="1">
        <v>8</v>
      </c>
      <c r="H2474" s="1">
        <v>12</v>
      </c>
      <c r="I2474" t="s">
        <v>6191</v>
      </c>
      <c r="L2474" s="1">
        <v>1</v>
      </c>
      <c r="M2474" s="3">
        <v>3.7</v>
      </c>
      <c r="N2474" s="3">
        <v>0.19</v>
      </c>
      <c r="O2474" s="3">
        <v>0</v>
      </c>
      <c r="P2474" s="3">
        <v>0.1</v>
      </c>
      <c r="Q2474" s="3">
        <v>3.99</v>
      </c>
      <c r="R2474" s="3">
        <v>5.25</v>
      </c>
      <c r="S2474" s="3">
        <f>VLOOKUP(C2474,[1]page!$C$2:$M$3071,11,0)</f>
        <v>3.7</v>
      </c>
      <c r="T2474" s="6">
        <f t="shared" si="41"/>
        <v>0</v>
      </c>
    </row>
    <row r="2475" spans="1:20" x14ac:dyDescent="0.2">
      <c r="A2475" t="s">
        <v>8088</v>
      </c>
      <c r="B2475" t="s">
        <v>8116</v>
      </c>
      <c r="C2475" t="s">
        <v>8117</v>
      </c>
      <c r="D2475" t="s">
        <v>8118</v>
      </c>
      <c r="E2475" t="s">
        <v>6423</v>
      </c>
      <c r="F2475" t="s">
        <v>6659</v>
      </c>
      <c r="G2475" s="1">
        <v>8</v>
      </c>
      <c r="H2475" s="1">
        <v>12</v>
      </c>
      <c r="I2475" t="s">
        <v>6191</v>
      </c>
      <c r="L2475" s="1">
        <v>1</v>
      </c>
      <c r="M2475" s="3">
        <v>3.7</v>
      </c>
      <c r="N2475" s="3">
        <v>0.19</v>
      </c>
      <c r="O2475" s="3">
        <v>0</v>
      </c>
      <c r="P2475" s="3">
        <v>0.1</v>
      </c>
      <c r="Q2475" s="3">
        <v>3.99</v>
      </c>
      <c r="R2475" s="3">
        <v>5.25</v>
      </c>
      <c r="S2475" s="3">
        <f>VLOOKUP(C2475,[1]page!$C$2:$M$3071,11,0)</f>
        <v>3.7</v>
      </c>
      <c r="T2475" s="6">
        <f t="shared" si="41"/>
        <v>0</v>
      </c>
    </row>
    <row r="2476" spans="1:20" x14ac:dyDescent="0.2">
      <c r="A2476" t="s">
        <v>8088</v>
      </c>
      <c r="B2476" t="s">
        <v>8119</v>
      </c>
      <c r="C2476" t="s">
        <v>8120</v>
      </c>
      <c r="D2476" t="s">
        <v>8121</v>
      </c>
      <c r="E2476" t="s">
        <v>6195</v>
      </c>
      <c r="F2476" t="s">
        <v>5855</v>
      </c>
      <c r="G2476" s="1">
        <v>5</v>
      </c>
      <c r="H2476" s="1">
        <v>24</v>
      </c>
      <c r="I2476" t="s">
        <v>5961</v>
      </c>
      <c r="L2476" s="1">
        <v>1</v>
      </c>
      <c r="M2476" s="3">
        <v>2.99</v>
      </c>
      <c r="N2476" s="3">
        <v>0.15</v>
      </c>
      <c r="O2476" s="3">
        <v>0</v>
      </c>
      <c r="P2476" s="3">
        <v>0.1</v>
      </c>
      <c r="Q2476" s="3">
        <v>3.24</v>
      </c>
      <c r="R2476" s="3">
        <v>2.2999999999999998</v>
      </c>
      <c r="S2476" s="3">
        <f>VLOOKUP(C2476,[1]page!$C$2:$M$3071,11,0)</f>
        <v>2.99</v>
      </c>
      <c r="T2476" s="6">
        <f t="shared" si="41"/>
        <v>0</v>
      </c>
    </row>
    <row r="2477" spans="1:20" x14ac:dyDescent="0.2">
      <c r="A2477" t="s">
        <v>8088</v>
      </c>
      <c r="B2477" t="s">
        <v>8122</v>
      </c>
      <c r="C2477" t="s">
        <v>8123</v>
      </c>
      <c r="D2477" t="s">
        <v>8124</v>
      </c>
      <c r="E2477" t="s">
        <v>6195</v>
      </c>
      <c r="F2477" t="s">
        <v>5855</v>
      </c>
      <c r="G2477" s="1">
        <v>5</v>
      </c>
      <c r="H2477" s="1">
        <v>24</v>
      </c>
      <c r="I2477" t="s">
        <v>5961</v>
      </c>
      <c r="L2477" s="1">
        <v>1</v>
      </c>
      <c r="M2477" s="3">
        <v>3.12</v>
      </c>
      <c r="N2477" s="3">
        <v>0.16</v>
      </c>
      <c r="O2477" s="3">
        <v>0</v>
      </c>
      <c r="P2477" s="3">
        <v>0.1</v>
      </c>
      <c r="Q2477" s="3">
        <v>3.38</v>
      </c>
      <c r="R2477" s="3">
        <v>2.2999999999999998</v>
      </c>
      <c r="S2477" s="3">
        <f>VLOOKUP(C2477,[1]page!$C$2:$M$3071,11,0)</f>
        <v>3.12</v>
      </c>
      <c r="T2477" s="6">
        <f t="shared" si="41"/>
        <v>0</v>
      </c>
    </row>
    <row r="2478" spans="1:20" x14ac:dyDescent="0.2">
      <c r="A2478" t="s">
        <v>8088</v>
      </c>
      <c r="B2478" t="s">
        <v>8125</v>
      </c>
      <c r="C2478" t="s">
        <v>8126</v>
      </c>
      <c r="D2478" t="s">
        <v>8127</v>
      </c>
      <c r="E2478" t="s">
        <v>6195</v>
      </c>
      <c r="F2478" t="s">
        <v>5855</v>
      </c>
      <c r="G2478" s="1">
        <v>5</v>
      </c>
      <c r="H2478" s="1">
        <v>24</v>
      </c>
      <c r="I2478" t="s">
        <v>5961</v>
      </c>
      <c r="L2478" s="1">
        <v>1</v>
      </c>
      <c r="M2478" s="3">
        <v>3.1</v>
      </c>
      <c r="N2478" s="3">
        <v>0.16</v>
      </c>
      <c r="O2478" s="3">
        <v>0</v>
      </c>
      <c r="P2478" s="3">
        <v>0.1</v>
      </c>
      <c r="Q2478" s="3">
        <v>3.36</v>
      </c>
      <c r="R2478" s="3">
        <v>2.2999999999999998</v>
      </c>
      <c r="S2478" s="3">
        <f>VLOOKUP(C2478,[1]page!$C$2:$M$3071,11,0)</f>
        <v>3.1</v>
      </c>
      <c r="T2478" s="6">
        <f t="shared" si="41"/>
        <v>0</v>
      </c>
    </row>
    <row r="2479" spans="1:20" x14ac:dyDescent="0.2">
      <c r="A2479" t="s">
        <v>8088</v>
      </c>
      <c r="B2479" t="s">
        <v>8128</v>
      </c>
      <c r="C2479" t="s">
        <v>8129</v>
      </c>
      <c r="D2479" t="s">
        <v>8130</v>
      </c>
      <c r="E2479" t="s">
        <v>6195</v>
      </c>
      <c r="F2479" t="s">
        <v>5855</v>
      </c>
      <c r="G2479" s="1">
        <v>5</v>
      </c>
      <c r="H2479" s="1">
        <v>24</v>
      </c>
      <c r="I2479" t="s">
        <v>5961</v>
      </c>
      <c r="L2479" s="1">
        <v>1</v>
      </c>
      <c r="M2479" s="3">
        <v>3.01</v>
      </c>
      <c r="N2479" s="3">
        <v>0.15</v>
      </c>
      <c r="O2479" s="3">
        <v>0</v>
      </c>
      <c r="P2479" s="3">
        <v>0.1</v>
      </c>
      <c r="Q2479" s="3">
        <v>3.26</v>
      </c>
      <c r="R2479" s="3">
        <v>2.2999999999999998</v>
      </c>
      <c r="S2479" s="3">
        <f>VLOOKUP(C2479,[1]page!$C$2:$M$3071,11,0)</f>
        <v>3.01</v>
      </c>
      <c r="T2479" s="6">
        <f t="shared" si="41"/>
        <v>0</v>
      </c>
    </row>
    <row r="2480" spans="1:20" x14ac:dyDescent="0.2">
      <c r="A2480" t="s">
        <v>8088</v>
      </c>
      <c r="B2480" t="s">
        <v>8131</v>
      </c>
      <c r="C2480" t="s">
        <v>8132</v>
      </c>
      <c r="D2480" t="s">
        <v>8133</v>
      </c>
      <c r="E2480" t="s">
        <v>6195</v>
      </c>
      <c r="F2480" t="s">
        <v>8134</v>
      </c>
      <c r="G2480" s="1">
        <v>5</v>
      </c>
      <c r="H2480" s="1">
        <v>1</v>
      </c>
      <c r="I2480" t="s">
        <v>5961</v>
      </c>
      <c r="L2480" s="1">
        <v>1</v>
      </c>
      <c r="M2480" s="3">
        <v>90</v>
      </c>
      <c r="N2480" s="3">
        <v>4.5</v>
      </c>
      <c r="O2480" s="3">
        <v>0</v>
      </c>
      <c r="P2480" s="3">
        <v>20</v>
      </c>
      <c r="Q2480" s="3">
        <v>114.5</v>
      </c>
      <c r="S2480" s="3">
        <f>VLOOKUP(C2480,[1]page!$C$2:$M$3071,11,0)</f>
        <v>90</v>
      </c>
      <c r="T2480" s="6">
        <f t="shared" si="41"/>
        <v>0</v>
      </c>
    </row>
    <row r="2481" spans="1:20" x14ac:dyDescent="0.2">
      <c r="A2481" t="s">
        <v>8088</v>
      </c>
      <c r="B2481" t="s">
        <v>8135</v>
      </c>
      <c r="C2481" t="s">
        <v>8136</v>
      </c>
      <c r="D2481" t="s">
        <v>8137</v>
      </c>
      <c r="E2481" t="s">
        <v>6195</v>
      </c>
      <c r="F2481" t="s">
        <v>8134</v>
      </c>
      <c r="G2481" s="1">
        <v>5</v>
      </c>
      <c r="H2481" s="1">
        <v>1</v>
      </c>
      <c r="I2481" t="s">
        <v>5961</v>
      </c>
      <c r="L2481" s="1">
        <v>1</v>
      </c>
      <c r="M2481" s="3">
        <v>90</v>
      </c>
      <c r="N2481" s="3">
        <v>4.5</v>
      </c>
      <c r="O2481" s="3">
        <v>0</v>
      </c>
      <c r="P2481" s="3">
        <v>20</v>
      </c>
      <c r="Q2481" s="3">
        <v>114.5</v>
      </c>
      <c r="S2481" s="3">
        <f>VLOOKUP(C2481,[1]page!$C$2:$M$3071,11,0)</f>
        <v>90</v>
      </c>
      <c r="T2481" s="6">
        <f t="shared" si="41"/>
        <v>0</v>
      </c>
    </row>
    <row r="2482" spans="1:20" x14ac:dyDescent="0.2">
      <c r="A2482" t="s">
        <v>8088</v>
      </c>
      <c r="B2482" t="s">
        <v>8138</v>
      </c>
      <c r="C2482" t="s">
        <v>8139</v>
      </c>
      <c r="D2482" t="s">
        <v>8140</v>
      </c>
      <c r="E2482" t="s">
        <v>6423</v>
      </c>
      <c r="F2482" t="s">
        <v>26</v>
      </c>
      <c r="G2482" s="1">
        <v>4</v>
      </c>
      <c r="H2482" s="1">
        <v>1</v>
      </c>
      <c r="I2482" t="s">
        <v>6191</v>
      </c>
      <c r="L2482" s="1">
        <v>24</v>
      </c>
      <c r="M2482" s="3">
        <v>45.15</v>
      </c>
      <c r="N2482" s="3">
        <v>2.2599999999999998</v>
      </c>
      <c r="O2482" s="3">
        <v>0</v>
      </c>
      <c r="P2482" s="3">
        <v>2.4</v>
      </c>
      <c r="Q2482" s="3">
        <v>49.81</v>
      </c>
      <c r="R2482" s="3">
        <f>SUM(F2482*0.0043)</f>
        <v>36.636000000000003</v>
      </c>
      <c r="S2482" s="3">
        <f>VLOOKUP(C2482,[1]page!$C$2:$M$3071,11,0)</f>
        <v>45.15</v>
      </c>
      <c r="T2482" s="6">
        <f t="shared" si="41"/>
        <v>0</v>
      </c>
    </row>
    <row r="2483" spans="1:20" x14ac:dyDescent="0.2">
      <c r="A2483" t="s">
        <v>8088</v>
      </c>
      <c r="B2483" t="s">
        <v>8141</v>
      </c>
      <c r="C2483" t="s">
        <v>8142</v>
      </c>
      <c r="D2483" t="s">
        <v>8143</v>
      </c>
      <c r="E2483" t="s">
        <v>6423</v>
      </c>
      <c r="F2483" t="s">
        <v>5984</v>
      </c>
      <c r="G2483" s="1">
        <v>4</v>
      </c>
      <c r="H2483" s="1">
        <v>1</v>
      </c>
      <c r="I2483" t="s">
        <v>6191</v>
      </c>
      <c r="L2483" s="1">
        <v>6</v>
      </c>
      <c r="M2483" s="3">
        <v>12.44</v>
      </c>
      <c r="N2483" s="3">
        <v>0.62</v>
      </c>
      <c r="O2483" s="3">
        <v>0</v>
      </c>
      <c r="P2483" s="3">
        <v>0.6</v>
      </c>
      <c r="Q2483" s="3">
        <v>13.66</v>
      </c>
      <c r="R2483" s="3">
        <v>9.25</v>
      </c>
      <c r="S2483" s="3">
        <f>VLOOKUP(C2483,[1]page!$C$2:$M$3071,11,0)</f>
        <v>12.44</v>
      </c>
      <c r="T2483" s="6">
        <f t="shared" si="41"/>
        <v>0</v>
      </c>
    </row>
    <row r="2484" spans="1:20" x14ac:dyDescent="0.2">
      <c r="A2484" t="s">
        <v>8088</v>
      </c>
      <c r="B2484" t="s">
        <v>8144</v>
      </c>
      <c r="C2484" t="s">
        <v>8145</v>
      </c>
      <c r="D2484" t="s">
        <v>8146</v>
      </c>
      <c r="E2484" t="s">
        <v>6423</v>
      </c>
      <c r="F2484" t="s">
        <v>5984</v>
      </c>
      <c r="G2484" s="1">
        <v>4</v>
      </c>
      <c r="H2484" s="1">
        <v>1</v>
      </c>
      <c r="I2484" t="s">
        <v>6191</v>
      </c>
      <c r="L2484" s="1">
        <v>6</v>
      </c>
      <c r="M2484" s="3">
        <v>12.44</v>
      </c>
      <c r="N2484" s="3">
        <v>0.62</v>
      </c>
      <c r="O2484" s="3">
        <v>0</v>
      </c>
      <c r="P2484" s="3">
        <v>0.6</v>
      </c>
      <c r="Q2484" s="3">
        <v>13.66</v>
      </c>
      <c r="R2484" s="3">
        <v>9.25</v>
      </c>
      <c r="S2484" s="3">
        <f>VLOOKUP(C2484,[1]page!$C$2:$M$3071,11,0)</f>
        <v>12.44</v>
      </c>
      <c r="T2484" s="6">
        <f t="shared" si="41"/>
        <v>0</v>
      </c>
    </row>
    <row r="2485" spans="1:20" x14ac:dyDescent="0.2">
      <c r="A2485" t="s">
        <v>8088</v>
      </c>
      <c r="B2485" t="s">
        <v>8147</v>
      </c>
      <c r="C2485" t="s">
        <v>8148</v>
      </c>
      <c r="D2485" t="s">
        <v>8149</v>
      </c>
      <c r="E2485" t="s">
        <v>6423</v>
      </c>
      <c r="F2485" t="s">
        <v>5984</v>
      </c>
      <c r="G2485" s="1">
        <v>4</v>
      </c>
      <c r="H2485" s="1">
        <v>1</v>
      </c>
      <c r="I2485" t="s">
        <v>6191</v>
      </c>
      <c r="L2485" s="1">
        <v>6</v>
      </c>
      <c r="M2485" s="3">
        <v>12.44</v>
      </c>
      <c r="N2485" s="3">
        <v>0.62</v>
      </c>
      <c r="O2485" s="3">
        <v>0</v>
      </c>
      <c r="P2485" s="3">
        <v>0.6</v>
      </c>
      <c r="Q2485" s="3">
        <v>13.66</v>
      </c>
      <c r="R2485" s="3">
        <v>9.25</v>
      </c>
      <c r="S2485" s="3">
        <f>VLOOKUP(C2485,[1]page!$C$2:$M$3071,11,0)</f>
        <v>12.44</v>
      </c>
      <c r="T2485" s="6">
        <f t="shared" si="41"/>
        <v>0</v>
      </c>
    </row>
    <row r="2486" spans="1:20" x14ac:dyDescent="0.2">
      <c r="A2486" t="s">
        <v>8150</v>
      </c>
      <c r="B2486" t="s">
        <v>8151</v>
      </c>
      <c r="C2486" t="s">
        <v>8152</v>
      </c>
      <c r="D2486" t="s">
        <v>8153</v>
      </c>
      <c r="E2486" t="s">
        <v>6277</v>
      </c>
      <c r="F2486" t="s">
        <v>5861</v>
      </c>
      <c r="G2486" s="1">
        <v>5</v>
      </c>
      <c r="H2486" s="1">
        <v>1</v>
      </c>
      <c r="I2486" t="s">
        <v>5920</v>
      </c>
      <c r="L2486" s="1">
        <v>12</v>
      </c>
      <c r="M2486" s="3">
        <v>21.99</v>
      </c>
      <c r="N2486" s="3">
        <v>1.1000000000000001</v>
      </c>
      <c r="O2486" s="3">
        <v>0</v>
      </c>
      <c r="P2486" s="3">
        <v>1.2</v>
      </c>
      <c r="Q2486" s="3">
        <v>24.29</v>
      </c>
      <c r="R2486" s="3">
        <f t="shared" ref="R2486:R2503" si="42">SUM(F2486*0.0043)</f>
        <v>18.318000000000001</v>
      </c>
      <c r="S2486" s="3">
        <f>VLOOKUP(C2486,[1]page!$C$2:$M$3071,11,0)</f>
        <v>21.99</v>
      </c>
      <c r="T2486" s="6">
        <f t="shared" si="41"/>
        <v>0</v>
      </c>
    </row>
    <row r="2487" spans="1:20" x14ac:dyDescent="0.2">
      <c r="A2487" t="s">
        <v>8150</v>
      </c>
      <c r="B2487" t="s">
        <v>8154</v>
      </c>
      <c r="C2487" t="s">
        <v>8155</v>
      </c>
      <c r="D2487" t="s">
        <v>8156</v>
      </c>
      <c r="E2487" t="s">
        <v>6277</v>
      </c>
      <c r="F2487" t="s">
        <v>5861</v>
      </c>
      <c r="G2487" s="1">
        <v>5</v>
      </c>
      <c r="H2487" s="1">
        <v>1</v>
      </c>
      <c r="I2487" t="s">
        <v>5920</v>
      </c>
      <c r="L2487" s="1">
        <v>12</v>
      </c>
      <c r="M2487" s="3">
        <v>24.8</v>
      </c>
      <c r="N2487" s="3">
        <v>1.24</v>
      </c>
      <c r="O2487" s="3">
        <v>0</v>
      </c>
      <c r="P2487" s="3">
        <v>1.2</v>
      </c>
      <c r="Q2487" s="3">
        <v>27.24</v>
      </c>
      <c r="R2487" s="3">
        <f t="shared" si="42"/>
        <v>18.318000000000001</v>
      </c>
      <c r="S2487" s="3">
        <f>VLOOKUP(C2487,[1]page!$C$2:$M$3071,11,0)</f>
        <v>21.99</v>
      </c>
      <c r="T2487" s="6">
        <f t="shared" si="41"/>
        <v>2.8100000000000023</v>
      </c>
    </row>
    <row r="2488" spans="1:20" x14ac:dyDescent="0.2">
      <c r="A2488" t="s">
        <v>8150</v>
      </c>
      <c r="B2488" t="s">
        <v>8157</v>
      </c>
      <c r="C2488" t="s">
        <v>8158</v>
      </c>
      <c r="D2488" t="s">
        <v>8159</v>
      </c>
      <c r="E2488" t="s">
        <v>6195</v>
      </c>
      <c r="F2488" t="s">
        <v>5861</v>
      </c>
      <c r="G2488" s="1">
        <v>5</v>
      </c>
      <c r="H2488" s="1">
        <v>1</v>
      </c>
      <c r="I2488" t="s">
        <v>5961</v>
      </c>
      <c r="L2488" s="1">
        <v>12</v>
      </c>
      <c r="M2488" s="3">
        <v>26</v>
      </c>
      <c r="N2488" s="3">
        <v>1.3</v>
      </c>
      <c r="O2488" s="3">
        <v>0</v>
      </c>
      <c r="P2488" s="3">
        <v>1.2</v>
      </c>
      <c r="Q2488" s="3">
        <v>28.5</v>
      </c>
      <c r="R2488" s="3">
        <f t="shared" si="42"/>
        <v>18.318000000000001</v>
      </c>
      <c r="S2488" s="3">
        <f>VLOOKUP(C2488,[1]page!$C$2:$M$3071,11,0)</f>
        <v>26</v>
      </c>
      <c r="T2488" s="6">
        <f t="shared" si="41"/>
        <v>0</v>
      </c>
    </row>
    <row r="2489" spans="1:20" x14ac:dyDescent="0.2">
      <c r="A2489" t="s">
        <v>8150</v>
      </c>
      <c r="B2489" t="s">
        <v>8160</v>
      </c>
      <c r="C2489" t="s">
        <v>8161</v>
      </c>
      <c r="D2489" t="s">
        <v>8162</v>
      </c>
      <c r="E2489" t="s">
        <v>6195</v>
      </c>
      <c r="F2489" t="s">
        <v>5861</v>
      </c>
      <c r="G2489" s="1">
        <v>5</v>
      </c>
      <c r="H2489" s="1">
        <v>1</v>
      </c>
      <c r="I2489" t="s">
        <v>5961</v>
      </c>
      <c r="L2489" s="1">
        <v>12</v>
      </c>
      <c r="M2489" s="3">
        <v>26</v>
      </c>
      <c r="N2489" s="3">
        <v>1.3</v>
      </c>
      <c r="O2489" s="3">
        <v>0</v>
      </c>
      <c r="P2489" s="3">
        <v>1.2</v>
      </c>
      <c r="Q2489" s="3">
        <v>28.5</v>
      </c>
      <c r="R2489" s="3">
        <f t="shared" si="42"/>
        <v>18.318000000000001</v>
      </c>
      <c r="S2489" s="3">
        <f>VLOOKUP(C2489,[1]page!$C$2:$M$3071,11,0)</f>
        <v>26</v>
      </c>
      <c r="T2489" s="6">
        <f t="shared" si="41"/>
        <v>0</v>
      </c>
    </row>
    <row r="2490" spans="1:20" x14ac:dyDescent="0.2">
      <c r="A2490" t="s">
        <v>8150</v>
      </c>
      <c r="B2490" t="s">
        <v>8163</v>
      </c>
      <c r="C2490" t="s">
        <v>8164</v>
      </c>
      <c r="D2490" t="s">
        <v>8165</v>
      </c>
      <c r="E2490" t="s">
        <v>8166</v>
      </c>
      <c r="F2490" t="s">
        <v>5861</v>
      </c>
      <c r="G2490" s="1">
        <v>5</v>
      </c>
      <c r="H2490" s="1">
        <v>1</v>
      </c>
      <c r="I2490" t="s">
        <v>5961</v>
      </c>
      <c r="L2490" s="1">
        <v>12</v>
      </c>
      <c r="M2490" s="3">
        <v>26</v>
      </c>
      <c r="N2490" s="3">
        <v>1.3</v>
      </c>
      <c r="O2490" s="3">
        <v>0</v>
      </c>
      <c r="P2490" s="3">
        <v>1.2</v>
      </c>
      <c r="Q2490" s="3">
        <v>28.5</v>
      </c>
      <c r="R2490" s="3">
        <f t="shared" si="42"/>
        <v>18.318000000000001</v>
      </c>
      <c r="S2490" s="3">
        <f>VLOOKUP(C2490,[1]page!$C$2:$M$3071,11,0)</f>
        <v>26</v>
      </c>
      <c r="T2490" s="6">
        <f t="shared" si="41"/>
        <v>0</v>
      </c>
    </row>
    <row r="2491" spans="1:20" x14ac:dyDescent="0.2">
      <c r="A2491" t="s">
        <v>8150</v>
      </c>
      <c r="B2491" t="s">
        <v>8167</v>
      </c>
      <c r="C2491" t="s">
        <v>8168</v>
      </c>
      <c r="D2491" t="s">
        <v>8169</v>
      </c>
      <c r="E2491" t="s">
        <v>6195</v>
      </c>
      <c r="F2491" t="s">
        <v>5861</v>
      </c>
      <c r="G2491" s="1">
        <v>5</v>
      </c>
      <c r="H2491" s="1">
        <v>1</v>
      </c>
      <c r="I2491" t="s">
        <v>5961</v>
      </c>
      <c r="L2491" s="1">
        <v>12</v>
      </c>
      <c r="M2491" s="3">
        <v>26</v>
      </c>
      <c r="N2491" s="3">
        <v>1.3</v>
      </c>
      <c r="O2491" s="3">
        <v>0</v>
      </c>
      <c r="P2491" s="3">
        <v>1.2</v>
      </c>
      <c r="Q2491" s="3">
        <v>28.5</v>
      </c>
      <c r="R2491" s="3">
        <f t="shared" si="42"/>
        <v>18.318000000000001</v>
      </c>
      <c r="S2491" s="3">
        <f>VLOOKUP(C2491,[1]page!$C$2:$M$3071,11,0)</f>
        <v>26</v>
      </c>
      <c r="T2491" s="6">
        <f t="shared" si="41"/>
        <v>0</v>
      </c>
    </row>
    <row r="2492" spans="1:20" x14ac:dyDescent="0.2">
      <c r="A2492" t="s">
        <v>8150</v>
      </c>
      <c r="B2492" t="s">
        <v>8170</v>
      </c>
      <c r="C2492" t="s">
        <v>8171</v>
      </c>
      <c r="D2492" t="s">
        <v>8172</v>
      </c>
      <c r="E2492" t="s">
        <v>6195</v>
      </c>
      <c r="F2492" t="s">
        <v>5861</v>
      </c>
      <c r="G2492" s="2">
        <v>4.5</v>
      </c>
      <c r="H2492" s="1">
        <v>1</v>
      </c>
      <c r="I2492" t="s">
        <v>5961</v>
      </c>
      <c r="L2492" s="1">
        <v>12</v>
      </c>
      <c r="M2492" s="3">
        <v>26</v>
      </c>
      <c r="N2492" s="3">
        <v>1.3</v>
      </c>
      <c r="O2492" s="3">
        <v>0</v>
      </c>
      <c r="P2492" s="3">
        <v>1.2</v>
      </c>
      <c r="Q2492" s="3">
        <v>28.5</v>
      </c>
      <c r="R2492" s="3">
        <f t="shared" si="42"/>
        <v>18.318000000000001</v>
      </c>
      <c r="S2492" s="3">
        <f>VLOOKUP(C2492,[1]page!$C$2:$M$3071,11,0)</f>
        <v>26</v>
      </c>
      <c r="T2492" s="6">
        <f t="shared" si="41"/>
        <v>0</v>
      </c>
    </row>
    <row r="2493" spans="1:20" x14ac:dyDescent="0.2">
      <c r="A2493" t="s">
        <v>8150</v>
      </c>
      <c r="B2493" t="s">
        <v>8173</v>
      </c>
      <c r="C2493" t="s">
        <v>8174</v>
      </c>
      <c r="D2493" t="s">
        <v>8175</v>
      </c>
      <c r="E2493" t="s">
        <v>6190</v>
      </c>
      <c r="F2493" t="s">
        <v>5861</v>
      </c>
      <c r="G2493" s="1">
        <v>5</v>
      </c>
      <c r="H2493" s="1">
        <v>1</v>
      </c>
      <c r="I2493" t="s">
        <v>7966</v>
      </c>
      <c r="L2493" s="1">
        <v>12</v>
      </c>
      <c r="M2493" s="3">
        <v>27.28</v>
      </c>
      <c r="N2493" s="3">
        <v>1.36</v>
      </c>
      <c r="O2493" s="3">
        <v>0</v>
      </c>
      <c r="P2493" s="3">
        <v>1.2</v>
      </c>
      <c r="Q2493" s="3">
        <v>29.84</v>
      </c>
      <c r="R2493" s="3">
        <f t="shared" si="42"/>
        <v>18.318000000000001</v>
      </c>
      <c r="S2493" s="3">
        <f>VLOOKUP(C2493,[1]page!$C$2:$M$3071,11,0)</f>
        <v>27.28</v>
      </c>
      <c r="T2493" s="6">
        <f t="shared" si="41"/>
        <v>0</v>
      </c>
    </row>
    <row r="2494" spans="1:20" x14ac:dyDescent="0.2">
      <c r="A2494" t="s">
        <v>8150</v>
      </c>
      <c r="B2494" t="s">
        <v>8176</v>
      </c>
      <c r="C2494" t="s">
        <v>8177</v>
      </c>
      <c r="D2494" t="s">
        <v>8178</v>
      </c>
      <c r="E2494" t="s">
        <v>6423</v>
      </c>
      <c r="F2494" t="s">
        <v>5861</v>
      </c>
      <c r="G2494" s="1">
        <v>5</v>
      </c>
      <c r="H2494" s="1">
        <v>1</v>
      </c>
      <c r="I2494" t="s">
        <v>7966</v>
      </c>
      <c r="L2494" s="1">
        <v>12</v>
      </c>
      <c r="M2494" s="3">
        <v>27.28</v>
      </c>
      <c r="N2494" s="3">
        <v>1.36</v>
      </c>
      <c r="O2494" s="3">
        <v>0</v>
      </c>
      <c r="P2494" s="3">
        <v>1.2</v>
      </c>
      <c r="Q2494" s="3">
        <v>29.84</v>
      </c>
      <c r="R2494" s="3">
        <f t="shared" si="42"/>
        <v>18.318000000000001</v>
      </c>
      <c r="S2494" s="3">
        <f>VLOOKUP(C2494,[1]page!$C$2:$M$3071,11,0)</f>
        <v>27.28</v>
      </c>
      <c r="T2494" s="6">
        <f t="shared" si="41"/>
        <v>0</v>
      </c>
    </row>
    <row r="2495" spans="1:20" x14ac:dyDescent="0.2">
      <c r="A2495" t="s">
        <v>8150</v>
      </c>
      <c r="B2495" t="s">
        <v>8179</v>
      </c>
      <c r="C2495" t="s">
        <v>8180</v>
      </c>
      <c r="D2495" t="s">
        <v>8181</v>
      </c>
      <c r="E2495" t="s">
        <v>6423</v>
      </c>
      <c r="F2495" t="s">
        <v>5861</v>
      </c>
      <c r="G2495" s="1">
        <v>5</v>
      </c>
      <c r="H2495" s="1">
        <v>2</v>
      </c>
      <c r="I2495" t="s">
        <v>7966</v>
      </c>
      <c r="L2495" s="1">
        <v>12</v>
      </c>
      <c r="M2495" s="3">
        <v>27.28</v>
      </c>
      <c r="N2495" s="3">
        <v>1.36</v>
      </c>
      <c r="O2495" s="3">
        <v>0</v>
      </c>
      <c r="P2495" s="3">
        <v>1.2</v>
      </c>
      <c r="Q2495" s="3">
        <v>29.84</v>
      </c>
      <c r="R2495" s="3">
        <f t="shared" si="42"/>
        <v>18.318000000000001</v>
      </c>
      <c r="S2495" s="3">
        <f>VLOOKUP(C2495,[1]page!$C$2:$M$3071,11,0)</f>
        <v>27.28</v>
      </c>
      <c r="T2495" s="6">
        <f t="shared" si="41"/>
        <v>0</v>
      </c>
    </row>
    <row r="2496" spans="1:20" x14ac:dyDescent="0.2">
      <c r="A2496" t="s">
        <v>8150</v>
      </c>
      <c r="B2496" t="s">
        <v>8182</v>
      </c>
      <c r="C2496" t="s">
        <v>8183</v>
      </c>
      <c r="D2496" t="s">
        <v>8184</v>
      </c>
      <c r="E2496" t="s">
        <v>6423</v>
      </c>
      <c r="F2496" t="s">
        <v>5861</v>
      </c>
      <c r="G2496" s="1">
        <v>4</v>
      </c>
      <c r="H2496" s="1">
        <v>1</v>
      </c>
      <c r="I2496" t="s">
        <v>7966</v>
      </c>
      <c r="L2496" s="1">
        <v>12</v>
      </c>
      <c r="M2496" s="3">
        <v>26.98</v>
      </c>
      <c r="N2496" s="3">
        <v>1.35</v>
      </c>
      <c r="O2496" s="3">
        <v>0</v>
      </c>
      <c r="P2496" s="3">
        <v>1.2</v>
      </c>
      <c r="Q2496" s="3">
        <v>29.53</v>
      </c>
      <c r="R2496" s="3">
        <f t="shared" si="42"/>
        <v>18.318000000000001</v>
      </c>
      <c r="S2496" s="3">
        <f>VLOOKUP(C2496,[1]page!$C$2:$M$3071,11,0)</f>
        <v>26.98</v>
      </c>
      <c r="T2496" s="6">
        <f t="shared" si="41"/>
        <v>0</v>
      </c>
    </row>
    <row r="2497" spans="1:20" x14ac:dyDescent="0.2">
      <c r="A2497" t="s">
        <v>8150</v>
      </c>
      <c r="B2497" t="s">
        <v>8185</v>
      </c>
      <c r="C2497" t="s">
        <v>8186</v>
      </c>
      <c r="D2497" t="s">
        <v>8187</v>
      </c>
      <c r="E2497" t="s">
        <v>6423</v>
      </c>
      <c r="F2497" t="s">
        <v>5861</v>
      </c>
      <c r="G2497" s="1">
        <v>4</v>
      </c>
      <c r="H2497" s="1">
        <v>1</v>
      </c>
      <c r="I2497" t="s">
        <v>7966</v>
      </c>
      <c r="L2497" s="1">
        <v>12</v>
      </c>
      <c r="M2497" s="3">
        <v>25.1</v>
      </c>
      <c r="N2497" s="3">
        <v>1.26</v>
      </c>
      <c r="O2497" s="3">
        <v>0</v>
      </c>
      <c r="P2497" s="3">
        <v>1.2</v>
      </c>
      <c r="Q2497" s="3">
        <v>27.56</v>
      </c>
      <c r="R2497" s="3">
        <f t="shared" si="42"/>
        <v>18.318000000000001</v>
      </c>
      <c r="S2497" s="3">
        <f>VLOOKUP(C2497,[1]page!$C$2:$M$3071,11,0)</f>
        <v>25.1</v>
      </c>
      <c r="T2497" s="6">
        <f t="shared" si="41"/>
        <v>0</v>
      </c>
    </row>
    <row r="2498" spans="1:20" x14ac:dyDescent="0.2">
      <c r="A2498" t="s">
        <v>8150</v>
      </c>
      <c r="B2498" t="s">
        <v>8188</v>
      </c>
      <c r="C2498" t="s">
        <v>8189</v>
      </c>
      <c r="D2498" t="s">
        <v>8190</v>
      </c>
      <c r="E2498" t="s">
        <v>6423</v>
      </c>
      <c r="F2498" t="s">
        <v>5861</v>
      </c>
      <c r="G2498" s="1">
        <v>4</v>
      </c>
      <c r="H2498" s="1">
        <v>1</v>
      </c>
      <c r="I2498" t="s">
        <v>7966</v>
      </c>
      <c r="L2498" s="1">
        <v>12</v>
      </c>
      <c r="M2498" s="3">
        <v>23.52</v>
      </c>
      <c r="N2498" s="3">
        <v>1.18</v>
      </c>
      <c r="O2498" s="3">
        <v>0</v>
      </c>
      <c r="P2498" s="3">
        <v>1.2</v>
      </c>
      <c r="Q2498" s="3">
        <v>25.9</v>
      </c>
      <c r="R2498" s="3">
        <f t="shared" si="42"/>
        <v>18.318000000000001</v>
      </c>
      <c r="S2498" s="3">
        <f>VLOOKUP(C2498,[1]page!$C$2:$M$3071,11,0)</f>
        <v>23.52</v>
      </c>
      <c r="T2498" s="6">
        <f t="shared" si="41"/>
        <v>0</v>
      </c>
    </row>
    <row r="2499" spans="1:20" x14ac:dyDescent="0.2">
      <c r="A2499" t="s">
        <v>8150</v>
      </c>
      <c r="B2499" t="s">
        <v>8191</v>
      </c>
      <c r="C2499" t="s">
        <v>8192</v>
      </c>
      <c r="D2499" t="s">
        <v>8193</v>
      </c>
      <c r="E2499" t="s">
        <v>6190</v>
      </c>
      <c r="F2499" t="s">
        <v>5861</v>
      </c>
      <c r="G2499" s="1">
        <v>4</v>
      </c>
      <c r="H2499" s="1">
        <v>1</v>
      </c>
      <c r="I2499" t="s">
        <v>7966</v>
      </c>
      <c r="L2499" s="1">
        <v>12</v>
      </c>
      <c r="M2499" s="3">
        <v>27.99</v>
      </c>
      <c r="N2499" s="3">
        <v>1.4</v>
      </c>
      <c r="O2499" s="3">
        <v>0</v>
      </c>
      <c r="P2499" s="3">
        <v>1.2</v>
      </c>
      <c r="Q2499" s="3">
        <v>30.59</v>
      </c>
      <c r="R2499" s="3">
        <f t="shared" si="42"/>
        <v>18.318000000000001</v>
      </c>
      <c r="S2499" s="3">
        <f>VLOOKUP(C2499,[1]page!$C$2:$M$3071,11,0)</f>
        <v>27.99</v>
      </c>
      <c r="T2499" s="6">
        <f t="shared" si="41"/>
        <v>0</v>
      </c>
    </row>
    <row r="2500" spans="1:20" x14ac:dyDescent="0.2">
      <c r="A2500" t="s">
        <v>8150</v>
      </c>
      <c r="B2500" t="s">
        <v>8194</v>
      </c>
      <c r="C2500" t="s">
        <v>8195</v>
      </c>
      <c r="D2500" t="s">
        <v>8196</v>
      </c>
      <c r="E2500" t="s">
        <v>6195</v>
      </c>
      <c r="F2500" t="s">
        <v>5861</v>
      </c>
      <c r="G2500" s="2">
        <v>4.5</v>
      </c>
      <c r="H2500" s="1">
        <v>1</v>
      </c>
      <c r="I2500" t="s">
        <v>5961</v>
      </c>
      <c r="L2500" s="1">
        <v>12</v>
      </c>
      <c r="M2500" s="3">
        <v>27.99</v>
      </c>
      <c r="N2500" s="3">
        <v>1.4</v>
      </c>
      <c r="O2500" s="3">
        <v>0</v>
      </c>
      <c r="P2500" s="3">
        <v>1.2</v>
      </c>
      <c r="Q2500" s="3">
        <v>30.59</v>
      </c>
      <c r="R2500" s="3">
        <f t="shared" si="42"/>
        <v>18.318000000000001</v>
      </c>
      <c r="S2500" s="3">
        <f>VLOOKUP(C2500,[1]page!$C$2:$M$3071,11,0)</f>
        <v>27.99</v>
      </c>
      <c r="T2500" s="6">
        <f t="shared" si="41"/>
        <v>0</v>
      </c>
    </row>
    <row r="2501" spans="1:20" x14ac:dyDescent="0.2">
      <c r="A2501" t="s">
        <v>8150</v>
      </c>
      <c r="B2501" t="s">
        <v>8197</v>
      </c>
      <c r="C2501" t="s">
        <v>8198</v>
      </c>
      <c r="D2501" t="s">
        <v>8199</v>
      </c>
      <c r="E2501" t="s">
        <v>6195</v>
      </c>
      <c r="F2501" t="s">
        <v>5861</v>
      </c>
      <c r="G2501" s="2">
        <v>4.5</v>
      </c>
      <c r="H2501" s="1">
        <v>1</v>
      </c>
      <c r="I2501" t="s">
        <v>5961</v>
      </c>
      <c r="L2501" s="1">
        <v>12</v>
      </c>
      <c r="M2501" s="3">
        <v>27.99</v>
      </c>
      <c r="N2501" s="3">
        <v>1.4</v>
      </c>
      <c r="O2501" s="3">
        <v>0</v>
      </c>
      <c r="P2501" s="3">
        <v>1.2</v>
      </c>
      <c r="Q2501" s="3">
        <v>30.59</v>
      </c>
      <c r="R2501" s="3">
        <f t="shared" si="42"/>
        <v>18.318000000000001</v>
      </c>
      <c r="S2501" s="3">
        <f>VLOOKUP(C2501,[1]page!$C$2:$M$3071,11,0)</f>
        <v>27.99</v>
      </c>
      <c r="T2501" s="6">
        <f t="shared" si="41"/>
        <v>0</v>
      </c>
    </row>
    <row r="2502" spans="1:20" x14ac:dyDescent="0.2">
      <c r="A2502" t="s">
        <v>8150</v>
      </c>
      <c r="B2502" t="s">
        <v>8200</v>
      </c>
      <c r="C2502" t="s">
        <v>8201</v>
      </c>
      <c r="D2502" t="s">
        <v>8202</v>
      </c>
      <c r="E2502" t="s">
        <v>6195</v>
      </c>
      <c r="F2502" t="s">
        <v>5861</v>
      </c>
      <c r="G2502" s="2">
        <v>4.5</v>
      </c>
      <c r="H2502" s="1">
        <v>1</v>
      </c>
      <c r="I2502" t="s">
        <v>5961</v>
      </c>
      <c r="L2502" s="1">
        <v>12</v>
      </c>
      <c r="M2502" s="3">
        <v>27.99</v>
      </c>
      <c r="N2502" s="3">
        <v>1.4</v>
      </c>
      <c r="O2502" s="3">
        <v>0</v>
      </c>
      <c r="P2502" s="3">
        <v>1.2</v>
      </c>
      <c r="Q2502" s="3">
        <v>30.59</v>
      </c>
      <c r="R2502" s="3">
        <f t="shared" si="42"/>
        <v>18.318000000000001</v>
      </c>
      <c r="S2502" s="3">
        <f>VLOOKUP(C2502,[1]page!$C$2:$M$3071,11,0)</f>
        <v>27.99</v>
      </c>
      <c r="T2502" s="6">
        <f t="shared" si="41"/>
        <v>0</v>
      </c>
    </row>
    <row r="2503" spans="1:20" x14ac:dyDescent="0.2">
      <c r="A2503" t="s">
        <v>8150</v>
      </c>
      <c r="B2503" t="s">
        <v>8203</v>
      </c>
      <c r="C2503" t="s">
        <v>8204</v>
      </c>
      <c r="D2503" t="s">
        <v>8205</v>
      </c>
      <c r="E2503" t="s">
        <v>6195</v>
      </c>
      <c r="F2503" t="s">
        <v>5861</v>
      </c>
      <c r="G2503" s="1">
        <v>4</v>
      </c>
      <c r="H2503" s="1">
        <v>1</v>
      </c>
      <c r="I2503" t="s">
        <v>5961</v>
      </c>
      <c r="L2503" s="1">
        <v>12</v>
      </c>
      <c r="M2503" s="3">
        <v>27.99</v>
      </c>
      <c r="N2503" s="3">
        <v>1.4</v>
      </c>
      <c r="O2503" s="3">
        <v>0</v>
      </c>
      <c r="P2503" s="3">
        <v>1.2</v>
      </c>
      <c r="Q2503" s="3">
        <v>30.59</v>
      </c>
      <c r="R2503" s="3">
        <f t="shared" si="42"/>
        <v>18.318000000000001</v>
      </c>
      <c r="S2503" s="3">
        <f>VLOOKUP(C2503,[1]page!$C$2:$M$3071,11,0)</f>
        <v>27.99</v>
      </c>
      <c r="T2503" s="6">
        <f t="shared" si="41"/>
        <v>0</v>
      </c>
    </row>
    <row r="2504" spans="1:20" x14ac:dyDescent="0.2">
      <c r="A2504" t="s">
        <v>8150</v>
      </c>
      <c r="B2504" t="s">
        <v>8206</v>
      </c>
      <c r="C2504" t="s">
        <v>8207</v>
      </c>
      <c r="D2504" t="s">
        <v>8208</v>
      </c>
      <c r="E2504" t="s">
        <v>6195</v>
      </c>
      <c r="F2504" t="s">
        <v>5861</v>
      </c>
      <c r="G2504" s="1">
        <v>7</v>
      </c>
      <c r="H2504" s="1">
        <v>1</v>
      </c>
      <c r="I2504" t="s">
        <v>5961</v>
      </c>
      <c r="L2504" s="1">
        <v>12</v>
      </c>
      <c r="M2504" s="3">
        <v>27.99</v>
      </c>
      <c r="N2504" s="3">
        <v>1.4</v>
      </c>
      <c r="O2504" s="3">
        <v>0</v>
      </c>
      <c r="P2504" s="3">
        <v>1.2</v>
      </c>
      <c r="Q2504" s="3">
        <v>30.59</v>
      </c>
      <c r="R2504" s="3">
        <f>SUM(F2504*0.0051)</f>
        <v>21.726000000000003</v>
      </c>
      <c r="S2504" s="3">
        <f>VLOOKUP(C2504,[1]page!$C$2:$M$3071,11,0)</f>
        <v>27.99</v>
      </c>
      <c r="T2504" s="6">
        <f t="shared" si="41"/>
        <v>0</v>
      </c>
    </row>
    <row r="2505" spans="1:20" x14ac:dyDescent="0.2">
      <c r="A2505" t="s">
        <v>8150</v>
      </c>
      <c r="B2505" t="s">
        <v>8209</v>
      </c>
      <c r="C2505" t="s">
        <v>8210</v>
      </c>
      <c r="D2505" t="s">
        <v>8211</v>
      </c>
      <c r="E2505" t="s">
        <v>6423</v>
      </c>
      <c r="F2505" t="s">
        <v>5861</v>
      </c>
      <c r="G2505" s="2">
        <v>4.2</v>
      </c>
      <c r="H2505" s="1">
        <v>1</v>
      </c>
      <c r="I2505" t="s">
        <v>7966</v>
      </c>
      <c r="L2505" s="1">
        <v>12</v>
      </c>
      <c r="M2505" s="3">
        <v>26.98</v>
      </c>
      <c r="N2505" s="3">
        <v>1.35</v>
      </c>
      <c r="O2505" s="3">
        <v>0</v>
      </c>
      <c r="P2505" s="3">
        <v>1.2</v>
      </c>
      <c r="Q2505" s="3">
        <v>29.53</v>
      </c>
      <c r="R2505" s="3">
        <f t="shared" ref="R2505:R2507" si="43">SUM(F2505*0.0043)</f>
        <v>18.318000000000001</v>
      </c>
      <c r="S2505" s="3">
        <f>VLOOKUP(C2505,[1]page!$C$2:$M$3071,11,0)</f>
        <v>26.98</v>
      </c>
      <c r="T2505" s="6">
        <f t="shared" si="41"/>
        <v>0</v>
      </c>
    </row>
    <row r="2506" spans="1:20" x14ac:dyDescent="0.2">
      <c r="A2506" t="s">
        <v>8150</v>
      </c>
      <c r="B2506" t="s">
        <v>8212</v>
      </c>
      <c r="C2506" t="s">
        <v>8213</v>
      </c>
      <c r="D2506" t="s">
        <v>8214</v>
      </c>
      <c r="E2506" t="s">
        <v>6284</v>
      </c>
      <c r="F2506" t="s">
        <v>5861</v>
      </c>
      <c r="G2506" s="1">
        <v>5</v>
      </c>
      <c r="H2506" s="1">
        <v>1</v>
      </c>
      <c r="I2506" t="s">
        <v>6285</v>
      </c>
      <c r="L2506" s="1">
        <v>12</v>
      </c>
      <c r="M2506" s="3">
        <v>19.8</v>
      </c>
      <c r="N2506" s="3">
        <v>0.99</v>
      </c>
      <c r="O2506" s="3">
        <v>0</v>
      </c>
      <c r="P2506" s="3">
        <v>1.2</v>
      </c>
      <c r="Q2506" s="3">
        <v>21.99</v>
      </c>
      <c r="R2506" s="3">
        <f t="shared" si="43"/>
        <v>18.318000000000001</v>
      </c>
      <c r="S2506" s="3">
        <f>VLOOKUP(C2506,[1]page!$C$2:$M$3071,11,0)</f>
        <v>19.8</v>
      </c>
      <c r="T2506" s="6">
        <f t="shared" si="41"/>
        <v>0</v>
      </c>
    </row>
    <row r="2507" spans="1:20" x14ac:dyDescent="0.2">
      <c r="A2507" t="s">
        <v>8150</v>
      </c>
      <c r="B2507" t="s">
        <v>8215</v>
      </c>
      <c r="C2507" t="s">
        <v>8216</v>
      </c>
      <c r="D2507" t="s">
        <v>8217</v>
      </c>
      <c r="E2507" t="s">
        <v>6284</v>
      </c>
      <c r="F2507" t="s">
        <v>5861</v>
      </c>
      <c r="G2507" s="1">
        <v>5</v>
      </c>
      <c r="H2507" s="1">
        <v>1</v>
      </c>
      <c r="I2507" t="s">
        <v>6285</v>
      </c>
      <c r="L2507" s="1">
        <v>12</v>
      </c>
      <c r="M2507" s="3">
        <v>20.3</v>
      </c>
      <c r="N2507" s="3">
        <v>1.02</v>
      </c>
      <c r="O2507" s="3">
        <v>0</v>
      </c>
      <c r="P2507" s="3">
        <v>1.2</v>
      </c>
      <c r="Q2507" s="3">
        <v>22.52</v>
      </c>
      <c r="R2507" s="3">
        <f t="shared" si="43"/>
        <v>18.318000000000001</v>
      </c>
      <c r="S2507" s="3">
        <f>VLOOKUP(C2507,[1]page!$C$2:$M$3071,11,0)</f>
        <v>20.100000000000001</v>
      </c>
      <c r="T2507" s="6">
        <f t="shared" si="41"/>
        <v>0.19999999999999929</v>
      </c>
    </row>
    <row r="2508" spans="1:20" x14ac:dyDescent="0.2">
      <c r="A2508" t="s">
        <v>8150</v>
      </c>
      <c r="B2508" t="s">
        <v>8218</v>
      </c>
      <c r="C2508" t="s">
        <v>8219</v>
      </c>
      <c r="D2508" t="s">
        <v>8220</v>
      </c>
      <c r="E2508" t="s">
        <v>6190</v>
      </c>
      <c r="F2508" t="s">
        <v>5861</v>
      </c>
      <c r="G2508" s="1">
        <v>7</v>
      </c>
      <c r="H2508" s="1">
        <v>1</v>
      </c>
      <c r="I2508" t="s">
        <v>7966</v>
      </c>
      <c r="L2508" s="1">
        <v>12</v>
      </c>
      <c r="M2508" s="3">
        <v>25.3</v>
      </c>
      <c r="N2508" s="3">
        <v>1.27</v>
      </c>
      <c r="O2508" s="3">
        <v>0</v>
      </c>
      <c r="P2508" s="3">
        <v>1.2</v>
      </c>
      <c r="Q2508" s="3">
        <v>27.77</v>
      </c>
      <c r="R2508" s="3">
        <f>SUM(F2508*0.0051)</f>
        <v>21.726000000000003</v>
      </c>
      <c r="S2508" s="3">
        <f>VLOOKUP(C2508,[1]page!$C$2:$M$3071,11,0)</f>
        <v>25.3</v>
      </c>
      <c r="T2508" s="6">
        <f t="shared" si="41"/>
        <v>0</v>
      </c>
    </row>
    <row r="2509" spans="1:20" x14ac:dyDescent="0.2">
      <c r="A2509" t="s">
        <v>8150</v>
      </c>
      <c r="B2509" t="s">
        <v>8221</v>
      </c>
      <c r="C2509" t="s">
        <v>8222</v>
      </c>
      <c r="D2509" t="s">
        <v>8223</v>
      </c>
      <c r="E2509" t="s">
        <v>6277</v>
      </c>
      <c r="F2509" t="s">
        <v>5861</v>
      </c>
      <c r="G2509" s="1">
        <v>5</v>
      </c>
      <c r="H2509" s="1">
        <v>1</v>
      </c>
      <c r="I2509" t="s">
        <v>5920</v>
      </c>
      <c r="L2509" s="1">
        <v>12</v>
      </c>
      <c r="M2509" s="3">
        <v>27.28</v>
      </c>
      <c r="N2509" s="3">
        <v>1.36</v>
      </c>
      <c r="O2509" s="3">
        <v>0</v>
      </c>
      <c r="P2509" s="3">
        <v>1.2</v>
      </c>
      <c r="Q2509" s="3">
        <v>29.84</v>
      </c>
      <c r="R2509" s="3">
        <f t="shared" ref="R2509:R2516" si="44">SUM(F2509*0.0043)</f>
        <v>18.318000000000001</v>
      </c>
      <c r="S2509" s="3">
        <f>VLOOKUP(C2509,[1]page!$C$2:$M$3071,11,0)</f>
        <v>27.28</v>
      </c>
      <c r="T2509" s="6">
        <f t="shared" si="41"/>
        <v>0</v>
      </c>
    </row>
    <row r="2510" spans="1:20" x14ac:dyDescent="0.2">
      <c r="A2510" t="s">
        <v>8150</v>
      </c>
      <c r="B2510" t="s">
        <v>8224</v>
      </c>
      <c r="C2510" t="s">
        <v>8225</v>
      </c>
      <c r="D2510" t="s">
        <v>8226</v>
      </c>
      <c r="E2510" t="s">
        <v>6277</v>
      </c>
      <c r="F2510" t="s">
        <v>5861</v>
      </c>
      <c r="G2510" s="1">
        <v>5</v>
      </c>
      <c r="H2510" s="1">
        <v>1</v>
      </c>
      <c r="I2510" t="s">
        <v>5920</v>
      </c>
      <c r="L2510" s="1">
        <v>12</v>
      </c>
      <c r="M2510" s="3">
        <v>27.28</v>
      </c>
      <c r="N2510" s="3">
        <v>1.36</v>
      </c>
      <c r="O2510" s="3">
        <v>0</v>
      </c>
      <c r="P2510" s="3">
        <v>1.2</v>
      </c>
      <c r="Q2510" s="3">
        <v>29.84</v>
      </c>
      <c r="R2510" s="3">
        <f t="shared" si="44"/>
        <v>18.318000000000001</v>
      </c>
      <c r="S2510" s="3">
        <f>VLOOKUP(C2510,[1]page!$C$2:$M$3071,11,0)</f>
        <v>27.28</v>
      </c>
      <c r="T2510" s="6">
        <f t="shared" si="41"/>
        <v>0</v>
      </c>
    </row>
    <row r="2511" spans="1:20" x14ac:dyDescent="0.2">
      <c r="A2511" t="s">
        <v>8150</v>
      </c>
      <c r="B2511" t="s">
        <v>8227</v>
      </c>
      <c r="C2511" t="s">
        <v>8228</v>
      </c>
      <c r="D2511" t="s">
        <v>8229</v>
      </c>
      <c r="E2511" t="s">
        <v>6277</v>
      </c>
      <c r="F2511" t="s">
        <v>5861</v>
      </c>
      <c r="G2511" s="1">
        <v>5</v>
      </c>
      <c r="H2511" s="1">
        <v>1</v>
      </c>
      <c r="I2511" t="s">
        <v>5920</v>
      </c>
      <c r="L2511" s="1">
        <v>12</v>
      </c>
      <c r="M2511" s="3">
        <v>27.28</v>
      </c>
      <c r="N2511" s="3">
        <v>1.36</v>
      </c>
      <c r="O2511" s="3">
        <v>0</v>
      </c>
      <c r="P2511" s="3">
        <v>1.2</v>
      </c>
      <c r="Q2511" s="3">
        <v>29.84</v>
      </c>
      <c r="R2511" s="3">
        <f t="shared" si="44"/>
        <v>18.318000000000001</v>
      </c>
      <c r="S2511" s="3">
        <f>VLOOKUP(C2511,[1]page!$C$2:$M$3071,11,0)</f>
        <v>27.28</v>
      </c>
      <c r="T2511" s="6">
        <f t="shared" si="41"/>
        <v>0</v>
      </c>
    </row>
    <row r="2512" spans="1:20" x14ac:dyDescent="0.2">
      <c r="A2512" t="s">
        <v>8150</v>
      </c>
      <c r="B2512" t="s">
        <v>8230</v>
      </c>
      <c r="C2512" t="s">
        <v>8231</v>
      </c>
      <c r="D2512" t="s">
        <v>8232</v>
      </c>
      <c r="E2512" t="s">
        <v>6423</v>
      </c>
      <c r="F2512" t="s">
        <v>5861</v>
      </c>
      <c r="G2512" s="1">
        <v>5</v>
      </c>
      <c r="H2512" s="1">
        <v>1</v>
      </c>
      <c r="I2512" t="s">
        <v>7966</v>
      </c>
      <c r="L2512" s="1">
        <v>12</v>
      </c>
      <c r="M2512" s="3">
        <v>25.59</v>
      </c>
      <c r="N2512" s="3">
        <v>1.28</v>
      </c>
      <c r="O2512" s="3">
        <v>0</v>
      </c>
      <c r="P2512" s="3">
        <v>1.2</v>
      </c>
      <c r="Q2512" s="3">
        <v>28.07</v>
      </c>
      <c r="R2512" s="3">
        <f t="shared" si="44"/>
        <v>18.318000000000001</v>
      </c>
      <c r="S2512" s="3">
        <f>VLOOKUP(C2512,[1]page!$C$2:$M$3071,11,0)</f>
        <v>25.59</v>
      </c>
      <c r="T2512" s="6">
        <f t="shared" si="41"/>
        <v>0</v>
      </c>
    </row>
    <row r="2513" spans="1:20" x14ac:dyDescent="0.2">
      <c r="A2513" t="s">
        <v>8150</v>
      </c>
      <c r="B2513" t="s">
        <v>8233</v>
      </c>
      <c r="C2513" t="s">
        <v>8234</v>
      </c>
      <c r="D2513" t="s">
        <v>8235</v>
      </c>
      <c r="E2513" t="s">
        <v>8236</v>
      </c>
      <c r="F2513" t="s">
        <v>5861</v>
      </c>
      <c r="G2513" s="1">
        <v>5</v>
      </c>
      <c r="H2513" s="1">
        <v>1</v>
      </c>
      <c r="I2513" t="s">
        <v>6191</v>
      </c>
      <c r="L2513" s="1">
        <v>12</v>
      </c>
      <c r="M2513" s="3">
        <v>27.28</v>
      </c>
      <c r="N2513" s="3">
        <v>1.36</v>
      </c>
      <c r="O2513" s="3">
        <v>0</v>
      </c>
      <c r="P2513" s="3">
        <v>1.2</v>
      </c>
      <c r="Q2513" s="3">
        <v>29.84</v>
      </c>
      <c r="R2513" s="3">
        <f t="shared" si="44"/>
        <v>18.318000000000001</v>
      </c>
      <c r="S2513" s="3">
        <f>VLOOKUP(C2513,[1]page!$C$2:$M$3071,11,0)</f>
        <v>27.28</v>
      </c>
      <c r="T2513" s="6">
        <f t="shared" si="41"/>
        <v>0</v>
      </c>
    </row>
    <row r="2514" spans="1:20" x14ac:dyDescent="0.2">
      <c r="A2514" t="s">
        <v>8150</v>
      </c>
      <c r="B2514" t="s">
        <v>8237</v>
      </c>
      <c r="C2514" t="s">
        <v>8238</v>
      </c>
      <c r="D2514" t="s">
        <v>8239</v>
      </c>
      <c r="E2514" t="s">
        <v>8236</v>
      </c>
      <c r="F2514" t="s">
        <v>5861</v>
      </c>
      <c r="G2514" s="1">
        <v>5</v>
      </c>
      <c r="H2514" s="1">
        <v>1</v>
      </c>
      <c r="I2514" t="s">
        <v>7966</v>
      </c>
      <c r="L2514" s="1">
        <v>12</v>
      </c>
      <c r="M2514" s="3">
        <v>25.59</v>
      </c>
      <c r="N2514" s="3">
        <v>1.28</v>
      </c>
      <c r="O2514" s="3">
        <v>0</v>
      </c>
      <c r="P2514" s="3">
        <v>1.2</v>
      </c>
      <c r="Q2514" s="3">
        <v>28.07</v>
      </c>
      <c r="R2514" s="3">
        <f t="shared" si="44"/>
        <v>18.318000000000001</v>
      </c>
      <c r="S2514" s="3">
        <f>VLOOKUP(C2514,[1]page!$C$2:$M$3071,11,0)</f>
        <v>25.59</v>
      </c>
      <c r="T2514" s="6">
        <f t="shared" si="41"/>
        <v>0</v>
      </c>
    </row>
    <row r="2515" spans="1:20" x14ac:dyDescent="0.2">
      <c r="A2515" t="s">
        <v>8150</v>
      </c>
      <c r="B2515" t="s">
        <v>8240</v>
      </c>
      <c r="C2515" t="s">
        <v>8241</v>
      </c>
      <c r="D2515" t="s">
        <v>8242</v>
      </c>
      <c r="E2515" t="s">
        <v>6423</v>
      </c>
      <c r="F2515" t="s">
        <v>5861</v>
      </c>
      <c r="G2515" s="1">
        <v>5</v>
      </c>
      <c r="H2515" s="1">
        <v>1</v>
      </c>
      <c r="I2515" t="s">
        <v>7966</v>
      </c>
      <c r="L2515" s="1">
        <v>12</v>
      </c>
      <c r="M2515" s="3">
        <v>25.59</v>
      </c>
      <c r="N2515" s="3">
        <v>1.28</v>
      </c>
      <c r="O2515" s="3">
        <v>0</v>
      </c>
      <c r="P2515" s="3">
        <v>1.2</v>
      </c>
      <c r="Q2515" s="3">
        <v>28.07</v>
      </c>
      <c r="R2515" s="3">
        <f t="shared" si="44"/>
        <v>18.318000000000001</v>
      </c>
      <c r="S2515" s="3">
        <f>VLOOKUP(C2515,[1]page!$C$2:$M$3071,11,0)</f>
        <v>25.59</v>
      </c>
      <c r="T2515" s="6">
        <f t="shared" si="41"/>
        <v>0</v>
      </c>
    </row>
    <row r="2516" spans="1:20" x14ac:dyDescent="0.2">
      <c r="A2516" t="s">
        <v>8150</v>
      </c>
      <c r="B2516" t="s">
        <v>8243</v>
      </c>
      <c r="C2516" t="s">
        <v>8244</v>
      </c>
      <c r="D2516" t="s">
        <v>8245</v>
      </c>
      <c r="E2516" t="s">
        <v>8236</v>
      </c>
      <c r="F2516" t="s">
        <v>5861</v>
      </c>
      <c r="G2516" s="1">
        <v>5</v>
      </c>
      <c r="H2516" s="1">
        <v>1</v>
      </c>
      <c r="I2516" t="s">
        <v>6191</v>
      </c>
      <c r="L2516" s="1">
        <v>12</v>
      </c>
      <c r="M2516" s="3">
        <v>27.28</v>
      </c>
      <c r="N2516" s="3">
        <v>1.36</v>
      </c>
      <c r="O2516" s="3">
        <v>0</v>
      </c>
      <c r="P2516" s="3">
        <v>1.2</v>
      </c>
      <c r="Q2516" s="3">
        <v>29.84</v>
      </c>
      <c r="R2516" s="3">
        <f t="shared" si="44"/>
        <v>18.318000000000001</v>
      </c>
      <c r="S2516" s="3">
        <f>VLOOKUP(C2516,[1]page!$C$2:$M$3071,11,0)</f>
        <v>27.28</v>
      </c>
      <c r="T2516" s="6">
        <f t="shared" si="41"/>
        <v>0</v>
      </c>
    </row>
    <row r="2517" spans="1:20" x14ac:dyDescent="0.2">
      <c r="A2517" t="s">
        <v>8150</v>
      </c>
      <c r="B2517" t="s">
        <v>8246</v>
      </c>
      <c r="C2517" t="s">
        <v>8247</v>
      </c>
      <c r="D2517" t="s">
        <v>8248</v>
      </c>
      <c r="E2517" t="s">
        <v>6190</v>
      </c>
      <c r="F2517" t="s">
        <v>5861</v>
      </c>
      <c r="G2517" s="1">
        <v>7</v>
      </c>
      <c r="H2517" s="1">
        <v>1</v>
      </c>
      <c r="I2517" t="s">
        <v>6191</v>
      </c>
      <c r="L2517" s="1">
        <v>12</v>
      </c>
      <c r="M2517" s="3">
        <v>25.59</v>
      </c>
      <c r="N2517" s="3">
        <v>1.28</v>
      </c>
      <c r="O2517" s="3">
        <v>0</v>
      </c>
      <c r="P2517" s="3">
        <v>1.2</v>
      </c>
      <c r="Q2517" s="3">
        <v>28.07</v>
      </c>
      <c r="R2517" s="3">
        <f>SUM(F2517*0.0051)</f>
        <v>21.726000000000003</v>
      </c>
      <c r="S2517" s="3">
        <f>VLOOKUP(C2517,[1]page!$C$2:$M$3071,11,0)</f>
        <v>25.59</v>
      </c>
      <c r="T2517" s="6">
        <f t="shared" si="41"/>
        <v>0</v>
      </c>
    </row>
    <row r="2518" spans="1:20" x14ac:dyDescent="0.2">
      <c r="A2518" t="s">
        <v>8150</v>
      </c>
      <c r="B2518" t="s">
        <v>8249</v>
      </c>
      <c r="C2518" t="s">
        <v>8250</v>
      </c>
      <c r="D2518" t="s">
        <v>8251</v>
      </c>
      <c r="E2518" t="s">
        <v>6190</v>
      </c>
      <c r="F2518" t="s">
        <v>5861</v>
      </c>
      <c r="G2518" s="1">
        <v>5</v>
      </c>
      <c r="H2518" s="1">
        <v>1</v>
      </c>
      <c r="I2518" t="s">
        <v>6191</v>
      </c>
      <c r="L2518" s="1">
        <v>12</v>
      </c>
      <c r="M2518" s="3">
        <v>27.28</v>
      </c>
      <c r="N2518" s="3">
        <v>1.36</v>
      </c>
      <c r="O2518" s="3">
        <v>0</v>
      </c>
      <c r="P2518" s="3">
        <v>1.2</v>
      </c>
      <c r="Q2518" s="3">
        <v>29.84</v>
      </c>
      <c r="R2518" s="3">
        <f t="shared" ref="R2518:R2519" si="45">SUM(F2518*0.0043)</f>
        <v>18.318000000000001</v>
      </c>
      <c r="S2518" s="3">
        <f>VLOOKUP(C2518,[1]page!$C$2:$M$3071,11,0)</f>
        <v>27.28</v>
      </c>
      <c r="T2518" s="6">
        <f t="shared" si="41"/>
        <v>0</v>
      </c>
    </row>
    <row r="2519" spans="1:20" x14ac:dyDescent="0.2">
      <c r="A2519" t="s">
        <v>8150</v>
      </c>
      <c r="B2519" t="s">
        <v>8252</v>
      </c>
      <c r="C2519" t="s">
        <v>8253</v>
      </c>
      <c r="D2519" t="s">
        <v>8254</v>
      </c>
      <c r="E2519" t="s">
        <v>8236</v>
      </c>
      <c r="F2519" t="s">
        <v>5861</v>
      </c>
      <c r="G2519" s="1">
        <v>5</v>
      </c>
      <c r="H2519" s="1">
        <v>1</v>
      </c>
      <c r="I2519" t="s">
        <v>7966</v>
      </c>
      <c r="L2519" s="1">
        <v>12</v>
      </c>
      <c r="M2519" s="3">
        <v>27.24</v>
      </c>
      <c r="N2519" s="3">
        <v>1.36</v>
      </c>
      <c r="O2519" s="3">
        <v>0</v>
      </c>
      <c r="P2519" s="3">
        <v>1.2</v>
      </c>
      <c r="Q2519" s="3">
        <v>29.8</v>
      </c>
      <c r="R2519" s="3">
        <f t="shared" si="45"/>
        <v>18.318000000000001</v>
      </c>
      <c r="S2519" s="3">
        <f>VLOOKUP(C2519,[1]page!$C$2:$M$3071,11,0)</f>
        <v>27.24</v>
      </c>
      <c r="T2519" s="6">
        <f t="shared" si="41"/>
        <v>0</v>
      </c>
    </row>
    <row r="2520" spans="1:20" x14ac:dyDescent="0.2">
      <c r="A2520" t="s">
        <v>8150</v>
      </c>
      <c r="B2520" t="s">
        <v>8255</v>
      </c>
      <c r="C2520" t="s">
        <v>8256</v>
      </c>
      <c r="D2520" t="s">
        <v>8257</v>
      </c>
      <c r="E2520" t="s">
        <v>8236</v>
      </c>
      <c r="F2520" t="s">
        <v>5861</v>
      </c>
      <c r="G2520" s="1">
        <v>7</v>
      </c>
      <c r="H2520" s="1">
        <v>1</v>
      </c>
      <c r="I2520" t="s">
        <v>7966</v>
      </c>
      <c r="L2520" s="1">
        <v>12</v>
      </c>
      <c r="M2520" s="3">
        <v>29.29</v>
      </c>
      <c r="N2520" s="3">
        <v>1.46</v>
      </c>
      <c r="O2520" s="3">
        <v>0</v>
      </c>
      <c r="P2520" s="3">
        <v>1.2</v>
      </c>
      <c r="Q2520" s="3">
        <v>31.95</v>
      </c>
      <c r="R2520" s="3">
        <f t="shared" ref="R2520:R2521" si="46">SUM(F2520*0.0051)</f>
        <v>21.726000000000003</v>
      </c>
      <c r="S2520" s="3">
        <f>VLOOKUP(C2520,[1]page!$C$2:$M$3071,11,0)</f>
        <v>29.29</v>
      </c>
      <c r="T2520" s="6">
        <f t="shared" si="41"/>
        <v>0</v>
      </c>
    </row>
    <row r="2521" spans="1:20" x14ac:dyDescent="0.2">
      <c r="A2521" t="s">
        <v>8150</v>
      </c>
      <c r="B2521" t="s">
        <v>8258</v>
      </c>
      <c r="C2521" t="s">
        <v>8259</v>
      </c>
      <c r="D2521" t="s">
        <v>8260</v>
      </c>
      <c r="E2521" t="s">
        <v>6190</v>
      </c>
      <c r="F2521" t="s">
        <v>5861</v>
      </c>
      <c r="G2521" s="1">
        <v>7</v>
      </c>
      <c r="H2521" s="1">
        <v>1</v>
      </c>
      <c r="I2521" t="s">
        <v>7966</v>
      </c>
      <c r="L2521" s="1">
        <v>12</v>
      </c>
      <c r="M2521" s="3">
        <v>29.29</v>
      </c>
      <c r="N2521" s="3">
        <v>1.46</v>
      </c>
      <c r="O2521" s="3">
        <v>0</v>
      </c>
      <c r="P2521" s="3">
        <v>1.2</v>
      </c>
      <c r="Q2521" s="3">
        <v>31.95</v>
      </c>
      <c r="R2521" s="3">
        <f t="shared" si="46"/>
        <v>21.726000000000003</v>
      </c>
      <c r="S2521" s="3">
        <f>VLOOKUP(C2521,[1]page!$C$2:$M$3071,11,0)</f>
        <v>29.29</v>
      </c>
      <c r="T2521" s="6">
        <f t="shared" si="41"/>
        <v>0</v>
      </c>
    </row>
    <row r="2522" spans="1:20" x14ac:dyDescent="0.2">
      <c r="A2522" t="s">
        <v>8150</v>
      </c>
      <c r="B2522" t="s">
        <v>8261</v>
      </c>
      <c r="C2522" t="s">
        <v>8262</v>
      </c>
      <c r="D2522" t="s">
        <v>8263</v>
      </c>
      <c r="E2522" t="s">
        <v>8236</v>
      </c>
      <c r="F2522" t="s">
        <v>5861</v>
      </c>
      <c r="G2522" s="1">
        <v>5</v>
      </c>
      <c r="H2522" s="1">
        <v>1</v>
      </c>
      <c r="I2522" t="s">
        <v>7966</v>
      </c>
      <c r="L2522" s="1">
        <v>12</v>
      </c>
      <c r="M2522" s="3">
        <v>27.24</v>
      </c>
      <c r="N2522" s="3">
        <v>1.36</v>
      </c>
      <c r="O2522" s="3">
        <v>0</v>
      </c>
      <c r="P2522" s="3">
        <v>1.2</v>
      </c>
      <c r="Q2522" s="3">
        <v>29.8</v>
      </c>
      <c r="R2522" s="3">
        <f t="shared" ref="R2522:R2537" si="47">SUM(F2522*0.0043)</f>
        <v>18.318000000000001</v>
      </c>
      <c r="S2522" s="3">
        <f>VLOOKUP(C2522,[1]page!$C$2:$M$3071,11,0)</f>
        <v>27.24</v>
      </c>
      <c r="T2522" s="6">
        <f t="shared" si="41"/>
        <v>0</v>
      </c>
    </row>
    <row r="2523" spans="1:20" x14ac:dyDescent="0.2">
      <c r="A2523" t="s">
        <v>8150</v>
      </c>
      <c r="B2523" t="s">
        <v>8264</v>
      </c>
      <c r="C2523" t="s">
        <v>8265</v>
      </c>
      <c r="D2523" t="s">
        <v>8266</v>
      </c>
      <c r="E2523" t="s">
        <v>8267</v>
      </c>
      <c r="F2523" t="s">
        <v>5861</v>
      </c>
      <c r="G2523" s="1">
        <v>5</v>
      </c>
      <c r="H2523" s="1">
        <v>1</v>
      </c>
      <c r="I2523" t="s">
        <v>7966</v>
      </c>
      <c r="L2523" s="1">
        <v>12</v>
      </c>
      <c r="M2523" s="3">
        <v>27.24</v>
      </c>
      <c r="N2523" s="3">
        <v>1.36</v>
      </c>
      <c r="O2523" s="3">
        <v>0</v>
      </c>
      <c r="P2523" s="3">
        <v>1.2</v>
      </c>
      <c r="Q2523" s="3">
        <v>29.8</v>
      </c>
      <c r="R2523" s="3">
        <f t="shared" si="47"/>
        <v>18.318000000000001</v>
      </c>
      <c r="S2523" s="3">
        <f>VLOOKUP(C2523,[1]page!$C$2:$M$3071,11,0)</f>
        <v>27.24</v>
      </c>
      <c r="T2523" s="6">
        <f t="shared" si="41"/>
        <v>0</v>
      </c>
    </row>
    <row r="2524" spans="1:20" x14ac:dyDescent="0.2">
      <c r="A2524" t="s">
        <v>8150</v>
      </c>
      <c r="B2524" t="s">
        <v>8268</v>
      </c>
      <c r="C2524" t="s">
        <v>8269</v>
      </c>
      <c r="D2524" t="s">
        <v>8270</v>
      </c>
      <c r="E2524" t="s">
        <v>6277</v>
      </c>
      <c r="F2524" t="s">
        <v>5861</v>
      </c>
      <c r="G2524" s="2">
        <v>4.8</v>
      </c>
      <c r="H2524" s="1">
        <v>1</v>
      </c>
      <c r="I2524" t="s">
        <v>5920</v>
      </c>
      <c r="L2524" s="1">
        <v>12</v>
      </c>
      <c r="M2524" s="3">
        <v>24.49</v>
      </c>
      <c r="N2524" s="3">
        <v>1.22</v>
      </c>
      <c r="O2524" s="3">
        <v>0</v>
      </c>
      <c r="P2524" s="3">
        <v>1.2</v>
      </c>
      <c r="Q2524" s="3">
        <v>26.91</v>
      </c>
      <c r="R2524" s="3">
        <f t="shared" si="47"/>
        <v>18.318000000000001</v>
      </c>
      <c r="S2524" s="3">
        <f>VLOOKUP(C2524,[1]page!$C$2:$M$3071,11,0)</f>
        <v>24.49</v>
      </c>
      <c r="T2524" s="6">
        <f t="shared" si="41"/>
        <v>0</v>
      </c>
    </row>
    <row r="2525" spans="1:20" x14ac:dyDescent="0.2">
      <c r="A2525" t="s">
        <v>8150</v>
      </c>
      <c r="B2525" t="s">
        <v>8271</v>
      </c>
      <c r="C2525" t="s">
        <v>8272</v>
      </c>
      <c r="D2525" t="s">
        <v>8273</v>
      </c>
      <c r="E2525" t="s">
        <v>7847</v>
      </c>
      <c r="F2525" t="s">
        <v>5861</v>
      </c>
      <c r="G2525" s="2">
        <v>5.9</v>
      </c>
      <c r="H2525" s="1">
        <v>1</v>
      </c>
      <c r="I2525" t="s">
        <v>5617</v>
      </c>
      <c r="L2525" s="1">
        <v>12</v>
      </c>
      <c r="M2525" s="3">
        <v>26.66</v>
      </c>
      <c r="N2525" s="3">
        <v>1.33</v>
      </c>
      <c r="O2525" s="3">
        <v>0</v>
      </c>
      <c r="P2525" s="3">
        <v>1.2</v>
      </c>
      <c r="Q2525" s="3">
        <v>29.19</v>
      </c>
      <c r="R2525" s="3">
        <f t="shared" si="47"/>
        <v>18.318000000000001</v>
      </c>
      <c r="S2525" s="3">
        <f>VLOOKUP(C2525,[1]page!$C$2:$M$3071,11,0)</f>
        <v>26.66</v>
      </c>
      <c r="T2525" s="6">
        <f t="shared" si="41"/>
        <v>0</v>
      </c>
    </row>
    <row r="2526" spans="1:20" x14ac:dyDescent="0.2">
      <c r="A2526" t="s">
        <v>8150</v>
      </c>
      <c r="B2526" t="s">
        <v>8274</v>
      </c>
      <c r="C2526" t="s">
        <v>8275</v>
      </c>
      <c r="D2526" t="s">
        <v>8276</v>
      </c>
      <c r="E2526" t="s">
        <v>7847</v>
      </c>
      <c r="F2526" t="s">
        <v>5861</v>
      </c>
      <c r="G2526" s="2">
        <v>5.9</v>
      </c>
      <c r="H2526" s="1">
        <v>1</v>
      </c>
      <c r="I2526" t="s">
        <v>5617</v>
      </c>
      <c r="L2526" s="1">
        <v>12</v>
      </c>
      <c r="M2526" s="3">
        <v>26.66</v>
      </c>
      <c r="N2526" s="3">
        <v>1.33</v>
      </c>
      <c r="O2526" s="3">
        <v>0</v>
      </c>
      <c r="P2526" s="3">
        <v>1.2</v>
      </c>
      <c r="Q2526" s="3">
        <v>29.19</v>
      </c>
      <c r="R2526" s="3">
        <f t="shared" si="47"/>
        <v>18.318000000000001</v>
      </c>
      <c r="S2526" s="3">
        <f>VLOOKUP(C2526,[1]page!$C$2:$M$3071,11,0)</f>
        <v>26.66</v>
      </c>
      <c r="T2526" s="6">
        <f t="shared" si="41"/>
        <v>0</v>
      </c>
    </row>
    <row r="2527" spans="1:20" x14ac:dyDescent="0.2">
      <c r="A2527" t="s">
        <v>8150</v>
      </c>
      <c r="B2527" t="s">
        <v>8277</v>
      </c>
      <c r="C2527" t="s">
        <v>8278</v>
      </c>
      <c r="D2527" t="s">
        <v>8279</v>
      </c>
      <c r="E2527" t="s">
        <v>6423</v>
      </c>
      <c r="F2527" t="s">
        <v>5861</v>
      </c>
      <c r="G2527" s="1">
        <v>5</v>
      </c>
      <c r="H2527" s="1">
        <v>1</v>
      </c>
      <c r="I2527" t="s">
        <v>7966</v>
      </c>
      <c r="L2527" s="1">
        <v>12</v>
      </c>
      <c r="M2527" s="3">
        <v>25.59</v>
      </c>
      <c r="N2527" s="3">
        <v>1.28</v>
      </c>
      <c r="O2527" s="3">
        <v>0</v>
      </c>
      <c r="P2527" s="3">
        <v>1.2</v>
      </c>
      <c r="Q2527" s="3">
        <v>28.07</v>
      </c>
      <c r="R2527" s="3">
        <f t="shared" si="47"/>
        <v>18.318000000000001</v>
      </c>
      <c r="S2527" s="3">
        <f>VLOOKUP(C2527,[1]page!$C$2:$M$3071,11,0)</f>
        <v>25.59</v>
      </c>
      <c r="T2527" s="6">
        <f t="shared" ref="T2527:T2590" si="48">SUM(M2527-S2527)</f>
        <v>0</v>
      </c>
    </row>
    <row r="2528" spans="1:20" x14ac:dyDescent="0.2">
      <c r="A2528" t="s">
        <v>8150</v>
      </c>
      <c r="B2528" t="s">
        <v>8280</v>
      </c>
      <c r="C2528" t="s">
        <v>8281</v>
      </c>
      <c r="D2528" t="s">
        <v>8282</v>
      </c>
      <c r="E2528" t="s">
        <v>6195</v>
      </c>
      <c r="F2528" t="s">
        <v>5861</v>
      </c>
      <c r="G2528" s="1">
        <v>5</v>
      </c>
      <c r="H2528" s="1">
        <v>1</v>
      </c>
      <c r="I2528" t="s">
        <v>5961</v>
      </c>
      <c r="L2528" s="1">
        <v>12</v>
      </c>
      <c r="M2528" s="3">
        <v>26.49</v>
      </c>
      <c r="N2528" s="3">
        <v>1.32</v>
      </c>
      <c r="O2528" s="3">
        <v>0</v>
      </c>
      <c r="P2528" s="3">
        <v>1.2</v>
      </c>
      <c r="Q2528" s="3">
        <v>29.01</v>
      </c>
      <c r="R2528" s="3">
        <f t="shared" si="47"/>
        <v>18.318000000000001</v>
      </c>
      <c r="S2528" s="3">
        <f>VLOOKUP(C2528,[1]page!$C$2:$M$3071,11,0)</f>
        <v>26.49</v>
      </c>
      <c r="T2528" s="6">
        <f t="shared" si="48"/>
        <v>0</v>
      </c>
    </row>
    <row r="2529" spans="1:20" x14ac:dyDescent="0.2">
      <c r="A2529" t="s">
        <v>8150</v>
      </c>
      <c r="B2529" t="s">
        <v>8283</v>
      </c>
      <c r="C2529" t="s">
        <v>8284</v>
      </c>
      <c r="D2529" t="s">
        <v>8285</v>
      </c>
      <c r="E2529" t="s">
        <v>6195</v>
      </c>
      <c r="F2529" t="s">
        <v>5861</v>
      </c>
      <c r="G2529" s="1">
        <v>5</v>
      </c>
      <c r="H2529" s="1">
        <v>1</v>
      </c>
      <c r="I2529" t="s">
        <v>5961</v>
      </c>
      <c r="L2529" s="1">
        <v>12</v>
      </c>
      <c r="M2529" s="3">
        <v>26.49</v>
      </c>
      <c r="N2529" s="3">
        <v>1.32</v>
      </c>
      <c r="O2529" s="3">
        <v>0</v>
      </c>
      <c r="P2529" s="3">
        <v>1.2</v>
      </c>
      <c r="Q2529" s="3">
        <v>29.01</v>
      </c>
      <c r="R2529" s="3">
        <f t="shared" si="47"/>
        <v>18.318000000000001</v>
      </c>
      <c r="S2529" s="3">
        <f>VLOOKUP(C2529,[1]page!$C$2:$M$3071,11,0)</f>
        <v>26.49</v>
      </c>
      <c r="T2529" s="6">
        <f t="shared" si="48"/>
        <v>0</v>
      </c>
    </row>
    <row r="2530" spans="1:20" x14ac:dyDescent="0.2">
      <c r="A2530" t="s">
        <v>8150</v>
      </c>
      <c r="B2530" t="s">
        <v>8286</v>
      </c>
      <c r="C2530" t="s">
        <v>8287</v>
      </c>
      <c r="D2530" t="s">
        <v>8288</v>
      </c>
      <c r="E2530" t="s">
        <v>6195</v>
      </c>
      <c r="F2530" t="s">
        <v>5861</v>
      </c>
      <c r="G2530" s="1">
        <v>5</v>
      </c>
      <c r="H2530" s="1">
        <v>1</v>
      </c>
      <c r="I2530" t="s">
        <v>5961</v>
      </c>
      <c r="L2530" s="1">
        <v>12</v>
      </c>
      <c r="M2530" s="3">
        <v>26.49</v>
      </c>
      <c r="N2530" s="3">
        <v>1.32</v>
      </c>
      <c r="O2530" s="3">
        <v>0</v>
      </c>
      <c r="P2530" s="3">
        <v>1.2</v>
      </c>
      <c r="Q2530" s="3">
        <v>29.01</v>
      </c>
      <c r="R2530" s="3">
        <f t="shared" si="47"/>
        <v>18.318000000000001</v>
      </c>
      <c r="S2530" s="3">
        <f>VLOOKUP(C2530,[1]page!$C$2:$M$3071,11,0)</f>
        <v>26.49</v>
      </c>
      <c r="T2530" s="6">
        <f t="shared" si="48"/>
        <v>0</v>
      </c>
    </row>
    <row r="2531" spans="1:20" x14ac:dyDescent="0.2">
      <c r="A2531" t="s">
        <v>8150</v>
      </c>
      <c r="B2531" t="s">
        <v>8289</v>
      </c>
      <c r="C2531" t="s">
        <v>8290</v>
      </c>
      <c r="D2531" t="s">
        <v>8291</v>
      </c>
      <c r="E2531" t="s">
        <v>6195</v>
      </c>
      <c r="F2531" t="s">
        <v>5861</v>
      </c>
      <c r="G2531" s="1">
        <v>5</v>
      </c>
      <c r="H2531" s="1">
        <v>1</v>
      </c>
      <c r="I2531" t="s">
        <v>5961</v>
      </c>
      <c r="L2531" s="1">
        <v>12</v>
      </c>
      <c r="M2531" s="3">
        <v>26.49</v>
      </c>
      <c r="N2531" s="3">
        <v>1.32</v>
      </c>
      <c r="O2531" s="3">
        <v>0</v>
      </c>
      <c r="P2531" s="3">
        <v>1.2</v>
      </c>
      <c r="Q2531" s="3">
        <v>29.01</v>
      </c>
      <c r="R2531" s="3">
        <f t="shared" si="47"/>
        <v>18.318000000000001</v>
      </c>
      <c r="S2531" s="3">
        <f>VLOOKUP(C2531,[1]page!$C$2:$M$3071,11,0)</f>
        <v>26.49</v>
      </c>
      <c r="T2531" s="6">
        <f t="shared" si="48"/>
        <v>0</v>
      </c>
    </row>
    <row r="2532" spans="1:20" x14ac:dyDescent="0.2">
      <c r="A2532" t="s">
        <v>8150</v>
      </c>
      <c r="B2532" t="s">
        <v>8292</v>
      </c>
      <c r="C2532" t="s">
        <v>8293</v>
      </c>
      <c r="D2532" t="s">
        <v>8294</v>
      </c>
      <c r="E2532" t="s">
        <v>6195</v>
      </c>
      <c r="F2532" t="s">
        <v>5861</v>
      </c>
      <c r="G2532" s="1">
        <v>5</v>
      </c>
      <c r="H2532" s="1">
        <v>1</v>
      </c>
      <c r="I2532" t="s">
        <v>5961</v>
      </c>
      <c r="L2532" s="1">
        <v>12</v>
      </c>
      <c r="M2532" s="3">
        <v>25.72</v>
      </c>
      <c r="N2532" s="3">
        <v>1.29</v>
      </c>
      <c r="O2532" s="3">
        <v>0</v>
      </c>
      <c r="P2532" s="3">
        <v>1.2</v>
      </c>
      <c r="Q2532" s="3">
        <v>28.21</v>
      </c>
      <c r="R2532" s="3">
        <f t="shared" si="47"/>
        <v>18.318000000000001</v>
      </c>
      <c r="S2532" s="3">
        <f>VLOOKUP(C2532,[1]page!$C$2:$M$3071,11,0)</f>
        <v>25.72</v>
      </c>
      <c r="T2532" s="6">
        <f t="shared" si="48"/>
        <v>0</v>
      </c>
    </row>
    <row r="2533" spans="1:20" x14ac:dyDescent="0.2">
      <c r="A2533" t="s">
        <v>8150</v>
      </c>
      <c r="B2533" t="s">
        <v>8295</v>
      </c>
      <c r="C2533" t="s">
        <v>8296</v>
      </c>
      <c r="D2533" t="s">
        <v>8297</v>
      </c>
      <c r="E2533" t="s">
        <v>6195</v>
      </c>
      <c r="F2533" t="s">
        <v>5861</v>
      </c>
      <c r="G2533" s="1">
        <v>5</v>
      </c>
      <c r="H2533" s="1">
        <v>1</v>
      </c>
      <c r="I2533" t="s">
        <v>5961</v>
      </c>
      <c r="L2533" s="1">
        <v>12</v>
      </c>
      <c r="M2533" s="3">
        <v>26.49</v>
      </c>
      <c r="N2533" s="3">
        <v>1.32</v>
      </c>
      <c r="O2533" s="3">
        <v>0</v>
      </c>
      <c r="P2533" s="3">
        <v>1.2</v>
      </c>
      <c r="Q2533" s="3">
        <v>29.01</v>
      </c>
      <c r="R2533" s="3">
        <f t="shared" si="47"/>
        <v>18.318000000000001</v>
      </c>
      <c r="S2533" s="3">
        <f>VLOOKUP(C2533,[1]page!$C$2:$M$3071,11,0)</f>
        <v>26.49</v>
      </c>
      <c r="T2533" s="6">
        <f t="shared" si="48"/>
        <v>0</v>
      </c>
    </row>
    <row r="2534" spans="1:20" x14ac:dyDescent="0.2">
      <c r="A2534" t="s">
        <v>8150</v>
      </c>
      <c r="B2534" t="s">
        <v>8298</v>
      </c>
      <c r="C2534" t="s">
        <v>8299</v>
      </c>
      <c r="D2534" t="s">
        <v>8300</v>
      </c>
      <c r="E2534" t="s">
        <v>6195</v>
      </c>
      <c r="F2534" t="s">
        <v>5861</v>
      </c>
      <c r="G2534" s="1">
        <v>5</v>
      </c>
      <c r="H2534" s="1">
        <v>1</v>
      </c>
      <c r="I2534" t="s">
        <v>5961</v>
      </c>
      <c r="L2534" s="1">
        <v>12</v>
      </c>
      <c r="M2534" s="3">
        <v>26.49</v>
      </c>
      <c r="N2534" s="3">
        <v>1.32</v>
      </c>
      <c r="O2534" s="3">
        <v>0</v>
      </c>
      <c r="P2534" s="3">
        <v>1.2</v>
      </c>
      <c r="Q2534" s="3">
        <v>29.01</v>
      </c>
      <c r="R2534" s="3">
        <f t="shared" si="47"/>
        <v>18.318000000000001</v>
      </c>
      <c r="S2534" s="3">
        <f>VLOOKUP(C2534,[1]page!$C$2:$M$3071,11,0)</f>
        <v>26.49</v>
      </c>
      <c r="T2534" s="6">
        <f t="shared" si="48"/>
        <v>0</v>
      </c>
    </row>
    <row r="2535" spans="1:20" x14ac:dyDescent="0.2">
      <c r="A2535" t="s">
        <v>8150</v>
      </c>
      <c r="B2535" t="s">
        <v>8301</v>
      </c>
      <c r="C2535" t="s">
        <v>8302</v>
      </c>
      <c r="D2535" t="s">
        <v>8303</v>
      </c>
      <c r="E2535" t="s">
        <v>8304</v>
      </c>
      <c r="F2535" t="s">
        <v>5861</v>
      </c>
      <c r="G2535" s="1">
        <v>5</v>
      </c>
      <c r="H2535" s="1">
        <v>1</v>
      </c>
      <c r="I2535" t="s">
        <v>5617</v>
      </c>
      <c r="L2535" s="1">
        <v>12</v>
      </c>
      <c r="M2535" s="3">
        <v>27.16</v>
      </c>
      <c r="N2535" s="3">
        <v>1.36</v>
      </c>
      <c r="O2535" s="3">
        <v>0</v>
      </c>
      <c r="P2535" s="3">
        <v>1.2</v>
      </c>
      <c r="Q2535" s="3">
        <v>29.72</v>
      </c>
      <c r="R2535" s="3">
        <f t="shared" si="47"/>
        <v>18.318000000000001</v>
      </c>
      <c r="S2535" s="3">
        <f>VLOOKUP(C2535,[1]page!$C$2:$M$3071,11,0)</f>
        <v>27.16</v>
      </c>
      <c r="T2535" s="6">
        <f t="shared" si="48"/>
        <v>0</v>
      </c>
    </row>
    <row r="2536" spans="1:20" x14ac:dyDescent="0.2">
      <c r="A2536" t="s">
        <v>8150</v>
      </c>
      <c r="B2536" t="s">
        <v>8305</v>
      </c>
      <c r="C2536" t="s">
        <v>8306</v>
      </c>
      <c r="D2536" t="s">
        <v>8307</v>
      </c>
      <c r="E2536" t="s">
        <v>8304</v>
      </c>
      <c r="F2536" t="s">
        <v>5861</v>
      </c>
      <c r="G2536" s="1">
        <v>4</v>
      </c>
      <c r="H2536" s="1">
        <v>1</v>
      </c>
      <c r="I2536" t="s">
        <v>5617</v>
      </c>
      <c r="L2536" s="1">
        <v>12</v>
      </c>
      <c r="M2536" s="3">
        <v>27.16</v>
      </c>
      <c r="N2536" s="3">
        <v>1.36</v>
      </c>
      <c r="O2536" s="3">
        <v>0</v>
      </c>
      <c r="P2536" s="3">
        <v>1.2</v>
      </c>
      <c r="Q2536" s="3">
        <v>29.72</v>
      </c>
      <c r="R2536" s="3">
        <f t="shared" si="47"/>
        <v>18.318000000000001</v>
      </c>
      <c r="S2536" s="3">
        <f>VLOOKUP(C2536,[1]page!$C$2:$M$3071,11,0)</f>
        <v>27.16</v>
      </c>
      <c r="T2536" s="6">
        <f t="shared" si="48"/>
        <v>0</v>
      </c>
    </row>
    <row r="2537" spans="1:20" x14ac:dyDescent="0.2">
      <c r="A2537" t="s">
        <v>8150</v>
      </c>
      <c r="B2537" t="s">
        <v>8308</v>
      </c>
      <c r="C2537" t="s">
        <v>8309</v>
      </c>
      <c r="D2537" t="s">
        <v>8310</v>
      </c>
      <c r="E2537" t="s">
        <v>8304</v>
      </c>
      <c r="F2537" t="s">
        <v>5861</v>
      </c>
      <c r="G2537" s="1">
        <v>4</v>
      </c>
      <c r="H2537" s="1">
        <v>1</v>
      </c>
      <c r="I2537" t="s">
        <v>5617</v>
      </c>
      <c r="L2537" s="1">
        <v>12</v>
      </c>
      <c r="M2537" s="3">
        <v>27.16</v>
      </c>
      <c r="N2537" s="3">
        <v>1.36</v>
      </c>
      <c r="O2537" s="3">
        <v>0</v>
      </c>
      <c r="P2537" s="3">
        <v>1.2</v>
      </c>
      <c r="Q2537" s="3">
        <v>29.72</v>
      </c>
      <c r="R2537" s="3">
        <f t="shared" si="47"/>
        <v>18.318000000000001</v>
      </c>
      <c r="S2537" s="3">
        <f>VLOOKUP(C2537,[1]page!$C$2:$M$3071,11,0)</f>
        <v>27.16</v>
      </c>
      <c r="T2537" s="6">
        <f t="shared" si="48"/>
        <v>0</v>
      </c>
    </row>
    <row r="2538" spans="1:20" x14ac:dyDescent="0.2">
      <c r="A2538" t="s">
        <v>8150</v>
      </c>
      <c r="B2538" t="s">
        <v>8311</v>
      </c>
      <c r="C2538" t="s">
        <v>8312</v>
      </c>
      <c r="D2538" t="s">
        <v>8313</v>
      </c>
      <c r="E2538" t="s">
        <v>6190</v>
      </c>
      <c r="F2538" t="s">
        <v>5861</v>
      </c>
      <c r="G2538" s="1">
        <v>7</v>
      </c>
      <c r="H2538" s="1">
        <v>1</v>
      </c>
      <c r="I2538" t="s">
        <v>7966</v>
      </c>
      <c r="L2538" s="1">
        <v>12</v>
      </c>
      <c r="M2538" s="3">
        <v>27.99</v>
      </c>
      <c r="N2538" s="3">
        <v>1.4</v>
      </c>
      <c r="O2538" s="3">
        <v>0</v>
      </c>
      <c r="P2538" s="3">
        <v>1.2</v>
      </c>
      <c r="Q2538" s="3">
        <v>30.59</v>
      </c>
      <c r="R2538" s="3">
        <f t="shared" ref="R2538:R2540" si="49">SUM(F2538*0.0051)</f>
        <v>21.726000000000003</v>
      </c>
      <c r="S2538" s="3">
        <f>VLOOKUP(C2538,[1]page!$C$2:$M$3071,11,0)</f>
        <v>27.99</v>
      </c>
      <c r="T2538" s="6">
        <f t="shared" si="48"/>
        <v>0</v>
      </c>
    </row>
    <row r="2539" spans="1:20" x14ac:dyDescent="0.2">
      <c r="A2539" t="s">
        <v>8150</v>
      </c>
      <c r="B2539" t="s">
        <v>8314</v>
      </c>
      <c r="C2539" t="s">
        <v>8315</v>
      </c>
      <c r="D2539" t="s">
        <v>8313</v>
      </c>
      <c r="E2539" t="s">
        <v>6190</v>
      </c>
      <c r="F2539" t="s">
        <v>5861</v>
      </c>
      <c r="G2539" s="1">
        <v>7</v>
      </c>
      <c r="H2539" s="1">
        <v>1</v>
      </c>
      <c r="I2539" t="s">
        <v>7966</v>
      </c>
      <c r="L2539" s="1">
        <v>12</v>
      </c>
      <c r="M2539" s="3">
        <v>27.99</v>
      </c>
      <c r="N2539" s="3">
        <v>1.4</v>
      </c>
      <c r="O2539" s="3">
        <v>0</v>
      </c>
      <c r="P2539" s="3">
        <v>1.2</v>
      </c>
      <c r="Q2539" s="3">
        <v>30.59</v>
      </c>
      <c r="R2539" s="3">
        <f t="shared" si="49"/>
        <v>21.726000000000003</v>
      </c>
      <c r="S2539" s="3">
        <f>VLOOKUP(C2539,[1]page!$C$2:$M$3071,11,0)</f>
        <v>27.99</v>
      </c>
      <c r="T2539" s="6">
        <f t="shared" si="48"/>
        <v>0</v>
      </c>
    </row>
    <row r="2540" spans="1:20" x14ac:dyDescent="0.2">
      <c r="A2540" t="s">
        <v>8150</v>
      </c>
      <c r="B2540" t="s">
        <v>8316</v>
      </c>
      <c r="C2540" t="s">
        <v>8317</v>
      </c>
      <c r="D2540" t="s">
        <v>8318</v>
      </c>
      <c r="E2540" t="s">
        <v>6190</v>
      </c>
      <c r="F2540" t="s">
        <v>5861</v>
      </c>
      <c r="G2540" s="1">
        <v>7</v>
      </c>
      <c r="H2540" s="1">
        <v>1</v>
      </c>
      <c r="I2540" t="s">
        <v>6191</v>
      </c>
      <c r="L2540" s="1">
        <v>12</v>
      </c>
      <c r="M2540" s="3">
        <v>27.99</v>
      </c>
      <c r="N2540" s="3">
        <v>1.4</v>
      </c>
      <c r="O2540" s="3">
        <v>0</v>
      </c>
      <c r="P2540" s="3">
        <v>1.2</v>
      </c>
      <c r="Q2540" s="3">
        <v>30.59</v>
      </c>
      <c r="R2540" s="3">
        <f t="shared" si="49"/>
        <v>21.726000000000003</v>
      </c>
      <c r="S2540" s="3">
        <f>VLOOKUP(C2540,[1]page!$C$2:$M$3071,11,0)</f>
        <v>27.99</v>
      </c>
      <c r="T2540" s="6">
        <f t="shared" si="48"/>
        <v>0</v>
      </c>
    </row>
    <row r="2541" spans="1:20" x14ac:dyDescent="0.2">
      <c r="A2541" t="s">
        <v>8150</v>
      </c>
      <c r="B2541" t="s">
        <v>8319</v>
      </c>
      <c r="C2541" t="s">
        <v>8320</v>
      </c>
      <c r="D2541" t="s">
        <v>8321</v>
      </c>
      <c r="E2541" t="s">
        <v>8267</v>
      </c>
      <c r="F2541" t="s">
        <v>5861</v>
      </c>
      <c r="G2541" s="1">
        <v>5</v>
      </c>
      <c r="H2541" s="1">
        <v>1</v>
      </c>
      <c r="I2541" t="s">
        <v>7966</v>
      </c>
      <c r="L2541" s="1">
        <v>12</v>
      </c>
      <c r="M2541" s="3">
        <v>25.59</v>
      </c>
      <c r="N2541" s="3">
        <v>1.28</v>
      </c>
      <c r="O2541" s="3">
        <v>0</v>
      </c>
      <c r="P2541" s="3">
        <v>1.2</v>
      </c>
      <c r="Q2541" s="3">
        <v>28.07</v>
      </c>
      <c r="R2541" s="3">
        <f t="shared" ref="R2541:R2543" si="50">SUM(F2541*0.0043)</f>
        <v>18.318000000000001</v>
      </c>
      <c r="S2541" s="3">
        <f>VLOOKUP(C2541,[1]page!$C$2:$M$3071,11,0)</f>
        <v>25.59</v>
      </c>
      <c r="T2541" s="6">
        <f t="shared" si="48"/>
        <v>0</v>
      </c>
    </row>
    <row r="2542" spans="1:20" x14ac:dyDescent="0.2">
      <c r="A2542" t="s">
        <v>8150</v>
      </c>
      <c r="B2542" t="s">
        <v>8322</v>
      </c>
      <c r="C2542" t="s">
        <v>8323</v>
      </c>
      <c r="D2542" t="s">
        <v>8324</v>
      </c>
      <c r="E2542" t="s">
        <v>6195</v>
      </c>
      <c r="F2542" t="s">
        <v>5861</v>
      </c>
      <c r="G2542" s="1">
        <v>5</v>
      </c>
      <c r="H2542" s="1">
        <v>1</v>
      </c>
      <c r="I2542" t="s">
        <v>5961</v>
      </c>
      <c r="L2542" s="1">
        <v>12</v>
      </c>
      <c r="M2542" s="3">
        <v>25.87</v>
      </c>
      <c r="N2542" s="3">
        <v>1.29</v>
      </c>
      <c r="O2542" s="3">
        <v>0</v>
      </c>
      <c r="P2542" s="3">
        <v>1.2</v>
      </c>
      <c r="Q2542" s="3">
        <v>28.36</v>
      </c>
      <c r="R2542" s="3">
        <f t="shared" si="50"/>
        <v>18.318000000000001</v>
      </c>
      <c r="S2542" s="3">
        <f>VLOOKUP(C2542,[1]page!$C$2:$M$3071,11,0)</f>
        <v>25.87</v>
      </c>
      <c r="T2542" s="6">
        <f t="shared" si="48"/>
        <v>0</v>
      </c>
    </row>
    <row r="2543" spans="1:20" x14ac:dyDescent="0.2">
      <c r="A2543" t="s">
        <v>8150</v>
      </c>
      <c r="B2543" t="s">
        <v>8325</v>
      </c>
      <c r="C2543" t="s">
        <v>8326</v>
      </c>
      <c r="D2543" t="s">
        <v>8327</v>
      </c>
      <c r="E2543" t="s">
        <v>6195</v>
      </c>
      <c r="F2543" t="s">
        <v>5861</v>
      </c>
      <c r="G2543" s="2">
        <v>4.7</v>
      </c>
      <c r="H2543" s="1">
        <v>1</v>
      </c>
      <c r="I2543" t="s">
        <v>5961</v>
      </c>
      <c r="L2543" s="1">
        <v>12</v>
      </c>
      <c r="M2543" s="3">
        <v>25.87</v>
      </c>
      <c r="N2543" s="3">
        <v>1.29</v>
      </c>
      <c r="O2543" s="3">
        <v>0</v>
      </c>
      <c r="P2543" s="3">
        <v>1.2</v>
      </c>
      <c r="Q2543" s="3">
        <v>28.36</v>
      </c>
      <c r="R2543" s="3">
        <f t="shared" si="50"/>
        <v>18.318000000000001</v>
      </c>
      <c r="S2543" s="3">
        <f>VLOOKUP(C2543,[1]page!$C$2:$M$3071,11,0)</f>
        <v>25.87</v>
      </c>
      <c r="T2543" s="6">
        <f t="shared" si="48"/>
        <v>0</v>
      </c>
    </row>
    <row r="2544" spans="1:20" x14ac:dyDescent="0.2">
      <c r="A2544" t="s">
        <v>8150</v>
      </c>
      <c r="B2544" t="s">
        <v>8328</v>
      </c>
      <c r="C2544" t="s">
        <v>8329</v>
      </c>
      <c r="D2544" t="s">
        <v>8330</v>
      </c>
      <c r="E2544" t="s">
        <v>6195</v>
      </c>
      <c r="F2544" t="s">
        <v>5861</v>
      </c>
      <c r="G2544" s="1">
        <v>7</v>
      </c>
      <c r="H2544" s="1">
        <v>1</v>
      </c>
      <c r="I2544" t="s">
        <v>5961</v>
      </c>
      <c r="L2544" s="1">
        <v>12</v>
      </c>
      <c r="M2544" s="3">
        <v>27.99</v>
      </c>
      <c r="N2544" s="3">
        <v>1.4</v>
      </c>
      <c r="O2544" s="3">
        <v>0</v>
      </c>
      <c r="P2544" s="3">
        <v>1.2</v>
      </c>
      <c r="Q2544" s="3">
        <v>30.59</v>
      </c>
      <c r="R2544" s="3">
        <f>SUM(F2544*0.0051)</f>
        <v>21.726000000000003</v>
      </c>
      <c r="S2544" s="3">
        <f>VLOOKUP(C2544,[1]page!$C$2:$M$3071,11,0)</f>
        <v>27.99</v>
      </c>
      <c r="T2544" s="6">
        <f t="shared" si="48"/>
        <v>0</v>
      </c>
    </row>
    <row r="2545" spans="1:20" x14ac:dyDescent="0.2">
      <c r="A2545" t="s">
        <v>8150</v>
      </c>
      <c r="B2545" t="s">
        <v>8331</v>
      </c>
      <c r="C2545" t="s">
        <v>8332</v>
      </c>
      <c r="D2545" t="s">
        <v>8333</v>
      </c>
      <c r="E2545" t="s">
        <v>8166</v>
      </c>
      <c r="F2545" t="s">
        <v>5861</v>
      </c>
      <c r="G2545" s="1">
        <v>5</v>
      </c>
      <c r="H2545" s="1">
        <v>1</v>
      </c>
      <c r="I2545" t="s">
        <v>5961</v>
      </c>
      <c r="L2545" s="1">
        <v>12</v>
      </c>
      <c r="M2545" s="3">
        <v>27.99</v>
      </c>
      <c r="N2545" s="3">
        <v>1.4</v>
      </c>
      <c r="O2545" s="3">
        <v>0</v>
      </c>
      <c r="P2545" s="3">
        <v>1.2</v>
      </c>
      <c r="Q2545" s="3">
        <v>30.59</v>
      </c>
      <c r="R2545" s="3">
        <f t="shared" ref="R2545:R2552" si="51">SUM(F2545*0.0043)</f>
        <v>18.318000000000001</v>
      </c>
      <c r="S2545" s="3">
        <f>VLOOKUP(C2545,[1]page!$C$2:$M$3071,11,0)</f>
        <v>27.99</v>
      </c>
      <c r="T2545" s="6">
        <f t="shared" si="48"/>
        <v>0</v>
      </c>
    </row>
    <row r="2546" spans="1:20" x14ac:dyDescent="0.2">
      <c r="A2546" t="s">
        <v>8150</v>
      </c>
      <c r="B2546" t="s">
        <v>8334</v>
      </c>
      <c r="C2546" t="s">
        <v>8335</v>
      </c>
      <c r="D2546" t="s">
        <v>8336</v>
      </c>
      <c r="E2546" t="s">
        <v>6195</v>
      </c>
      <c r="F2546" t="s">
        <v>5861</v>
      </c>
      <c r="G2546" s="1">
        <v>5</v>
      </c>
      <c r="H2546" s="1">
        <v>1</v>
      </c>
      <c r="I2546" t="s">
        <v>5961</v>
      </c>
      <c r="L2546" s="1">
        <v>12</v>
      </c>
      <c r="M2546" s="3">
        <v>27.99</v>
      </c>
      <c r="N2546" s="3">
        <v>1.4</v>
      </c>
      <c r="O2546" s="3">
        <v>0</v>
      </c>
      <c r="P2546" s="3">
        <v>1.2</v>
      </c>
      <c r="Q2546" s="3">
        <v>30.59</v>
      </c>
      <c r="R2546" s="3">
        <f t="shared" si="51"/>
        <v>18.318000000000001</v>
      </c>
      <c r="S2546" s="3">
        <f>VLOOKUP(C2546,[1]page!$C$2:$M$3071,11,0)</f>
        <v>27.99</v>
      </c>
      <c r="T2546" s="6">
        <f t="shared" si="48"/>
        <v>0</v>
      </c>
    </row>
    <row r="2547" spans="1:20" x14ac:dyDescent="0.2">
      <c r="A2547" t="s">
        <v>8150</v>
      </c>
      <c r="B2547" t="s">
        <v>8337</v>
      </c>
      <c r="C2547" t="s">
        <v>8338</v>
      </c>
      <c r="D2547" t="s">
        <v>8339</v>
      </c>
      <c r="E2547" t="s">
        <v>6284</v>
      </c>
      <c r="F2547" t="s">
        <v>5861</v>
      </c>
      <c r="G2547" s="1">
        <v>5</v>
      </c>
      <c r="H2547" s="1">
        <v>1</v>
      </c>
      <c r="I2547" t="s">
        <v>6285</v>
      </c>
      <c r="L2547" s="1">
        <v>12</v>
      </c>
      <c r="M2547" s="3">
        <v>26.98</v>
      </c>
      <c r="N2547" s="3">
        <v>1.35</v>
      </c>
      <c r="O2547" s="3">
        <v>0</v>
      </c>
      <c r="P2547" s="3">
        <v>1.2</v>
      </c>
      <c r="Q2547" s="3">
        <v>29.53</v>
      </c>
      <c r="R2547" s="3">
        <f t="shared" si="51"/>
        <v>18.318000000000001</v>
      </c>
      <c r="S2547" s="3">
        <f>VLOOKUP(C2547,[1]page!$C$2:$M$3071,11,0)</f>
        <v>26.98</v>
      </c>
      <c r="T2547" s="6">
        <f t="shared" si="48"/>
        <v>0</v>
      </c>
    </row>
    <row r="2548" spans="1:20" x14ac:dyDescent="0.2">
      <c r="A2548" t="s">
        <v>8150</v>
      </c>
      <c r="B2548" t="s">
        <v>8340</v>
      </c>
      <c r="C2548" t="s">
        <v>8341</v>
      </c>
      <c r="D2548" t="s">
        <v>8342</v>
      </c>
      <c r="E2548" t="s">
        <v>6284</v>
      </c>
      <c r="F2548" t="s">
        <v>5861</v>
      </c>
      <c r="G2548" s="1">
        <v>5</v>
      </c>
      <c r="H2548" s="1">
        <v>1</v>
      </c>
      <c r="I2548" t="s">
        <v>6285</v>
      </c>
      <c r="L2548" s="1">
        <v>12</v>
      </c>
      <c r="M2548" s="3">
        <v>26.98</v>
      </c>
      <c r="N2548" s="3">
        <v>1.35</v>
      </c>
      <c r="O2548" s="3">
        <v>0</v>
      </c>
      <c r="P2548" s="3">
        <v>1.2</v>
      </c>
      <c r="Q2548" s="3">
        <v>29.53</v>
      </c>
      <c r="R2548" s="3">
        <f t="shared" si="51"/>
        <v>18.318000000000001</v>
      </c>
      <c r="S2548" s="3">
        <f>VLOOKUP(C2548,[1]page!$C$2:$M$3071,11,0)</f>
        <v>26.98</v>
      </c>
      <c r="T2548" s="6">
        <f t="shared" si="48"/>
        <v>0</v>
      </c>
    </row>
    <row r="2549" spans="1:20" x14ac:dyDescent="0.2">
      <c r="A2549" t="s">
        <v>8150</v>
      </c>
      <c r="B2549" t="s">
        <v>8343</v>
      </c>
      <c r="C2549" t="s">
        <v>8344</v>
      </c>
      <c r="D2549" t="s">
        <v>8345</v>
      </c>
      <c r="E2549" t="s">
        <v>8267</v>
      </c>
      <c r="F2549" t="s">
        <v>5861</v>
      </c>
      <c r="G2549" s="1">
        <v>5</v>
      </c>
      <c r="H2549" s="1">
        <v>1</v>
      </c>
      <c r="I2549" t="s">
        <v>7966</v>
      </c>
      <c r="L2549" s="1">
        <v>12</v>
      </c>
      <c r="M2549" s="3">
        <v>23.99</v>
      </c>
      <c r="N2549" s="3">
        <v>1.2</v>
      </c>
      <c r="O2549" s="3">
        <v>0</v>
      </c>
      <c r="P2549" s="3">
        <v>1.2</v>
      </c>
      <c r="Q2549" s="3">
        <v>26.39</v>
      </c>
      <c r="R2549" s="3">
        <f t="shared" si="51"/>
        <v>18.318000000000001</v>
      </c>
      <c r="S2549" s="3">
        <f>VLOOKUP(C2549,[1]page!$C$2:$M$3071,11,0)</f>
        <v>23.99</v>
      </c>
      <c r="T2549" s="6">
        <f t="shared" si="48"/>
        <v>0</v>
      </c>
    </row>
    <row r="2550" spans="1:20" x14ac:dyDescent="0.2">
      <c r="A2550" t="s">
        <v>8150</v>
      </c>
      <c r="B2550" t="s">
        <v>8346</v>
      </c>
      <c r="C2550" t="s">
        <v>8347</v>
      </c>
      <c r="D2550" t="s">
        <v>8348</v>
      </c>
      <c r="E2550" t="s">
        <v>8267</v>
      </c>
      <c r="F2550" t="s">
        <v>5861</v>
      </c>
      <c r="G2550" s="1">
        <v>5</v>
      </c>
      <c r="H2550" s="1">
        <v>1</v>
      </c>
      <c r="I2550" t="s">
        <v>7966</v>
      </c>
      <c r="L2550" s="1">
        <v>12</v>
      </c>
      <c r="M2550" s="3">
        <v>23.99</v>
      </c>
      <c r="N2550" s="3">
        <v>1.2</v>
      </c>
      <c r="O2550" s="3">
        <v>0</v>
      </c>
      <c r="P2550" s="3">
        <v>1.2</v>
      </c>
      <c r="Q2550" s="3">
        <v>26.39</v>
      </c>
      <c r="R2550" s="3">
        <f t="shared" si="51"/>
        <v>18.318000000000001</v>
      </c>
      <c r="S2550" s="3">
        <f>VLOOKUP(C2550,[1]page!$C$2:$M$3071,11,0)</f>
        <v>23.99</v>
      </c>
      <c r="T2550" s="6">
        <f t="shared" si="48"/>
        <v>0</v>
      </c>
    </row>
    <row r="2551" spans="1:20" x14ac:dyDescent="0.2">
      <c r="A2551" t="s">
        <v>8150</v>
      </c>
      <c r="B2551" t="s">
        <v>8349</v>
      </c>
      <c r="C2551" t="s">
        <v>8350</v>
      </c>
      <c r="D2551" t="s">
        <v>8351</v>
      </c>
      <c r="E2551" t="s">
        <v>6423</v>
      </c>
      <c r="F2551" t="s">
        <v>5915</v>
      </c>
      <c r="G2551" s="1">
        <v>5</v>
      </c>
      <c r="H2551" s="1">
        <v>1</v>
      </c>
      <c r="I2551" t="s">
        <v>7966</v>
      </c>
      <c r="L2551" s="1">
        <v>15</v>
      </c>
      <c r="M2551" s="3">
        <v>33.479999999999997</v>
      </c>
      <c r="N2551" s="3">
        <v>1.67</v>
      </c>
      <c r="O2551" s="3">
        <v>0</v>
      </c>
      <c r="P2551" s="3">
        <v>1.5</v>
      </c>
      <c r="Q2551" s="3">
        <v>36.65</v>
      </c>
      <c r="R2551" s="3">
        <f t="shared" si="51"/>
        <v>22.897500000000001</v>
      </c>
      <c r="S2551" s="3">
        <f>VLOOKUP(C2551,[1]page!$C$2:$M$3071,11,0)</f>
        <v>33.479999999999997</v>
      </c>
      <c r="T2551" s="6">
        <f t="shared" si="48"/>
        <v>0</v>
      </c>
    </row>
    <row r="2552" spans="1:20" x14ac:dyDescent="0.2">
      <c r="A2552" t="s">
        <v>8150</v>
      </c>
      <c r="B2552" t="s">
        <v>8352</v>
      </c>
      <c r="C2552" t="s">
        <v>8353</v>
      </c>
      <c r="D2552" t="s">
        <v>8354</v>
      </c>
      <c r="E2552" t="s">
        <v>8267</v>
      </c>
      <c r="F2552" t="s">
        <v>5915</v>
      </c>
      <c r="G2552" s="1">
        <v>5</v>
      </c>
      <c r="H2552" s="1">
        <v>1</v>
      </c>
      <c r="I2552" t="s">
        <v>7966</v>
      </c>
      <c r="L2552" s="1">
        <v>15</v>
      </c>
      <c r="M2552" s="3">
        <v>33.479999999999997</v>
      </c>
      <c r="N2552" s="3">
        <v>1.67</v>
      </c>
      <c r="O2552" s="3">
        <v>0</v>
      </c>
      <c r="P2552" s="3">
        <v>1.5</v>
      </c>
      <c r="Q2552" s="3">
        <v>36.65</v>
      </c>
      <c r="R2552" s="3">
        <f t="shared" si="51"/>
        <v>22.897500000000001</v>
      </c>
      <c r="S2552" s="3">
        <f>VLOOKUP(C2552,[1]page!$C$2:$M$3071,11,0)</f>
        <v>33.479999999999997</v>
      </c>
      <c r="T2552" s="6">
        <f t="shared" si="48"/>
        <v>0</v>
      </c>
    </row>
    <row r="2553" spans="1:20" x14ac:dyDescent="0.2">
      <c r="A2553" t="s">
        <v>8150</v>
      </c>
      <c r="B2553" t="s">
        <v>8355</v>
      </c>
      <c r="C2553" t="s">
        <v>8356</v>
      </c>
      <c r="D2553" t="s">
        <v>8357</v>
      </c>
      <c r="E2553" t="s">
        <v>6423</v>
      </c>
      <c r="F2553" t="s">
        <v>3080</v>
      </c>
      <c r="G2553" s="1">
        <v>7</v>
      </c>
      <c r="H2553" s="1">
        <v>8</v>
      </c>
      <c r="I2553" t="s">
        <v>7966</v>
      </c>
      <c r="L2553" s="1">
        <v>1</v>
      </c>
      <c r="M2553" s="3">
        <v>9.99</v>
      </c>
      <c r="N2553" s="3">
        <v>0.5</v>
      </c>
      <c r="O2553" s="3">
        <v>0</v>
      </c>
      <c r="P2553" s="3">
        <v>0.25</v>
      </c>
      <c r="Q2553" s="3">
        <v>10.74</v>
      </c>
      <c r="R2553" s="3">
        <v>10.55</v>
      </c>
      <c r="S2553" s="3">
        <f>VLOOKUP(C2553,[1]page!$C$2:$M$3071,11,0)</f>
        <v>9.99</v>
      </c>
      <c r="T2553" s="6">
        <f t="shared" si="48"/>
        <v>0</v>
      </c>
    </row>
    <row r="2554" spans="1:20" x14ac:dyDescent="0.2">
      <c r="A2554" t="s">
        <v>8150</v>
      </c>
      <c r="B2554" t="s">
        <v>8358</v>
      </c>
      <c r="C2554" t="s">
        <v>8359</v>
      </c>
      <c r="D2554" t="s">
        <v>8360</v>
      </c>
      <c r="E2554" t="s">
        <v>6190</v>
      </c>
      <c r="F2554" t="s">
        <v>1599</v>
      </c>
      <c r="G2554" s="1">
        <v>7</v>
      </c>
      <c r="H2554" s="1">
        <v>12</v>
      </c>
      <c r="I2554" t="s">
        <v>7966</v>
      </c>
      <c r="L2554" s="1">
        <v>1</v>
      </c>
      <c r="M2554" s="3">
        <v>6.19</v>
      </c>
      <c r="N2554" s="3">
        <v>0.31</v>
      </c>
      <c r="O2554" s="3">
        <v>0</v>
      </c>
      <c r="P2554" s="3">
        <v>0.25</v>
      </c>
      <c r="Q2554" s="3">
        <v>6.75</v>
      </c>
      <c r="R2554" s="3">
        <v>5.25</v>
      </c>
      <c r="S2554" s="3" t="e">
        <f>VLOOKUP(C2554,[1]page!$C$2:$M$3071,11,0)</f>
        <v>#N/A</v>
      </c>
      <c r="T2554" s="6" t="e">
        <f t="shared" si="48"/>
        <v>#N/A</v>
      </c>
    </row>
    <row r="2555" spans="1:20" x14ac:dyDescent="0.2">
      <c r="A2555" t="s">
        <v>8150</v>
      </c>
      <c r="B2555" t="s">
        <v>8361</v>
      </c>
      <c r="C2555" t="s">
        <v>8362</v>
      </c>
      <c r="D2555" t="s">
        <v>8363</v>
      </c>
      <c r="E2555" t="s">
        <v>6190</v>
      </c>
      <c r="F2555" t="s">
        <v>1599</v>
      </c>
      <c r="G2555" s="1">
        <v>7</v>
      </c>
      <c r="H2555" s="1">
        <v>12</v>
      </c>
      <c r="I2555" t="s">
        <v>7966</v>
      </c>
      <c r="L2555" s="1">
        <v>1</v>
      </c>
      <c r="M2555" s="3">
        <v>6.19</v>
      </c>
      <c r="N2555" s="3">
        <v>0.31</v>
      </c>
      <c r="O2555" s="3">
        <v>0</v>
      </c>
      <c r="P2555" s="3">
        <v>0.25</v>
      </c>
      <c r="Q2555" s="3">
        <v>6.75</v>
      </c>
      <c r="R2555" s="3">
        <v>5.25</v>
      </c>
      <c r="S2555" s="3">
        <f>VLOOKUP(C2555,[1]page!$C$2:$M$3071,11,0)</f>
        <v>6.19</v>
      </c>
      <c r="T2555" s="6">
        <f t="shared" si="48"/>
        <v>0</v>
      </c>
    </row>
    <row r="2556" spans="1:20" x14ac:dyDescent="0.2">
      <c r="A2556" t="s">
        <v>8150</v>
      </c>
      <c r="B2556" t="s">
        <v>8364</v>
      </c>
      <c r="C2556" t="s">
        <v>8365</v>
      </c>
      <c r="D2556" t="s">
        <v>8366</v>
      </c>
      <c r="E2556" t="s">
        <v>8166</v>
      </c>
      <c r="F2556" t="s">
        <v>5855</v>
      </c>
      <c r="G2556" s="1">
        <v>5</v>
      </c>
      <c r="H2556" s="1">
        <v>24</v>
      </c>
      <c r="I2556" t="s">
        <v>5961</v>
      </c>
      <c r="L2556" s="1">
        <v>1</v>
      </c>
      <c r="M2556" s="3">
        <v>2.95</v>
      </c>
      <c r="N2556" s="3">
        <v>0.15</v>
      </c>
      <c r="O2556" s="3">
        <v>0</v>
      </c>
      <c r="P2556" s="3">
        <v>0.1</v>
      </c>
      <c r="Q2556" s="3">
        <v>3.2</v>
      </c>
      <c r="R2556" s="3">
        <v>2.2999999999999998</v>
      </c>
      <c r="S2556" s="3">
        <f>VLOOKUP(C2556,[1]page!$C$2:$M$3071,11,0)</f>
        <v>2.95</v>
      </c>
      <c r="T2556" s="6">
        <f t="shared" si="48"/>
        <v>0</v>
      </c>
    </row>
    <row r="2557" spans="1:20" x14ac:dyDescent="0.2">
      <c r="A2557" t="s">
        <v>8150</v>
      </c>
      <c r="B2557" t="s">
        <v>8367</v>
      </c>
      <c r="C2557" t="s">
        <v>8368</v>
      </c>
      <c r="D2557" t="s">
        <v>8369</v>
      </c>
      <c r="E2557" t="s">
        <v>8166</v>
      </c>
      <c r="F2557" t="s">
        <v>5855</v>
      </c>
      <c r="G2557" s="1">
        <v>5</v>
      </c>
      <c r="H2557" s="1">
        <v>24</v>
      </c>
      <c r="I2557" t="s">
        <v>5961</v>
      </c>
      <c r="L2557" s="1">
        <v>1</v>
      </c>
      <c r="M2557" s="3">
        <v>2.95</v>
      </c>
      <c r="N2557" s="3">
        <v>0.15</v>
      </c>
      <c r="O2557" s="3">
        <v>0</v>
      </c>
      <c r="P2557" s="3">
        <v>0.1</v>
      </c>
      <c r="Q2557" s="3">
        <v>3.2</v>
      </c>
      <c r="R2557" s="3">
        <v>2.2999999999999998</v>
      </c>
      <c r="S2557" s="3">
        <f>VLOOKUP(C2557,[1]page!$C$2:$M$3071,11,0)</f>
        <v>2.95</v>
      </c>
      <c r="T2557" s="6">
        <f t="shared" si="48"/>
        <v>0</v>
      </c>
    </row>
    <row r="2558" spans="1:20" x14ac:dyDescent="0.2">
      <c r="A2558" t="s">
        <v>8150</v>
      </c>
      <c r="B2558" t="s">
        <v>8370</v>
      </c>
      <c r="C2558" t="s">
        <v>8371</v>
      </c>
      <c r="D2558" t="s">
        <v>8372</v>
      </c>
      <c r="E2558" t="s">
        <v>8166</v>
      </c>
      <c r="F2558" t="s">
        <v>5855</v>
      </c>
      <c r="G2558" s="1">
        <v>5</v>
      </c>
      <c r="H2558" s="1">
        <v>24</v>
      </c>
      <c r="I2558" t="s">
        <v>5961</v>
      </c>
      <c r="L2558" s="1">
        <v>1</v>
      </c>
      <c r="M2558" s="3">
        <v>2.95</v>
      </c>
      <c r="N2558" s="3">
        <v>0.15</v>
      </c>
      <c r="O2558" s="3">
        <v>0</v>
      </c>
      <c r="P2558" s="3">
        <v>0.1</v>
      </c>
      <c r="Q2558" s="3">
        <v>3.2</v>
      </c>
      <c r="R2558" s="3">
        <v>2.2999999999999998</v>
      </c>
      <c r="S2558" s="3">
        <f>VLOOKUP(C2558,[1]page!$C$2:$M$3071,11,0)</f>
        <v>2.95</v>
      </c>
      <c r="T2558" s="6">
        <f t="shared" si="48"/>
        <v>0</v>
      </c>
    </row>
    <row r="2559" spans="1:20" x14ac:dyDescent="0.2">
      <c r="A2559" t="s">
        <v>8150</v>
      </c>
      <c r="B2559" t="s">
        <v>8373</v>
      </c>
      <c r="C2559" t="s">
        <v>8374</v>
      </c>
      <c r="D2559" t="s">
        <v>8375</v>
      </c>
      <c r="E2559" t="s">
        <v>6190</v>
      </c>
      <c r="F2559" t="s">
        <v>5855</v>
      </c>
      <c r="G2559" s="1">
        <v>7</v>
      </c>
      <c r="H2559" s="1">
        <v>24</v>
      </c>
      <c r="I2559" t="s">
        <v>7966</v>
      </c>
      <c r="L2559" s="1">
        <v>1</v>
      </c>
      <c r="M2559" s="3">
        <v>3.06</v>
      </c>
      <c r="N2559" s="3">
        <v>0.15</v>
      </c>
      <c r="O2559" s="3">
        <v>0</v>
      </c>
      <c r="P2559" s="3">
        <v>0.1</v>
      </c>
      <c r="Q2559" s="3">
        <v>3.31</v>
      </c>
      <c r="R2559" s="3">
        <v>2.7</v>
      </c>
      <c r="S2559" s="3">
        <f>VLOOKUP(C2559,[1]page!$C$2:$M$3071,11,0)</f>
        <v>3.06</v>
      </c>
      <c r="T2559" s="6">
        <f t="shared" si="48"/>
        <v>0</v>
      </c>
    </row>
    <row r="2560" spans="1:20" x14ac:dyDescent="0.2">
      <c r="A2560" t="s">
        <v>8150</v>
      </c>
      <c r="B2560" t="s">
        <v>8376</v>
      </c>
      <c r="C2560" t="s">
        <v>8377</v>
      </c>
      <c r="D2560" t="s">
        <v>8378</v>
      </c>
      <c r="E2560" t="s">
        <v>6319</v>
      </c>
      <c r="F2560" t="s">
        <v>6139</v>
      </c>
      <c r="G2560" s="1">
        <v>7</v>
      </c>
      <c r="H2560" s="1">
        <v>12</v>
      </c>
      <c r="I2560" t="s">
        <v>5617</v>
      </c>
      <c r="L2560" s="1">
        <v>1</v>
      </c>
      <c r="M2560" s="3">
        <v>3.53</v>
      </c>
      <c r="N2560" s="3">
        <v>0.18</v>
      </c>
      <c r="O2560" s="3">
        <v>0</v>
      </c>
      <c r="P2560" s="3">
        <v>0.1</v>
      </c>
      <c r="Q2560" s="3">
        <v>3.81</v>
      </c>
      <c r="R2560" s="3">
        <v>5.25</v>
      </c>
      <c r="S2560" s="3" t="e">
        <f>VLOOKUP(C2560,[1]page!$C$2:$M$3071,11,0)</f>
        <v>#N/A</v>
      </c>
      <c r="T2560" s="6" t="e">
        <f t="shared" si="48"/>
        <v>#N/A</v>
      </c>
    </row>
    <row r="2561" spans="1:20" x14ac:dyDescent="0.2">
      <c r="A2561" t="s">
        <v>8150</v>
      </c>
      <c r="B2561" t="s">
        <v>8379</v>
      </c>
      <c r="C2561" t="s">
        <v>8380</v>
      </c>
      <c r="D2561" t="s">
        <v>8381</v>
      </c>
      <c r="E2561" t="s">
        <v>6195</v>
      </c>
      <c r="F2561" t="s">
        <v>5855</v>
      </c>
      <c r="G2561" s="2">
        <v>4.5</v>
      </c>
      <c r="H2561" s="1">
        <v>24</v>
      </c>
      <c r="I2561" t="s">
        <v>5961</v>
      </c>
      <c r="L2561" s="1">
        <v>1</v>
      </c>
      <c r="M2561" s="3">
        <v>3.16</v>
      </c>
      <c r="N2561" s="3">
        <v>0.16</v>
      </c>
      <c r="O2561" s="3">
        <v>0</v>
      </c>
      <c r="P2561" s="3">
        <v>0.1</v>
      </c>
      <c r="Q2561" s="3">
        <v>3.42</v>
      </c>
      <c r="R2561" s="3">
        <v>2.2999999999999998</v>
      </c>
      <c r="S2561" s="3">
        <f>VLOOKUP(C2561,[1]page!$C$2:$M$3071,11,0)</f>
        <v>3.16</v>
      </c>
      <c r="T2561" s="6">
        <f t="shared" si="48"/>
        <v>0</v>
      </c>
    </row>
    <row r="2562" spans="1:20" x14ac:dyDescent="0.2">
      <c r="A2562" t="s">
        <v>8150</v>
      </c>
      <c r="B2562" t="s">
        <v>8382</v>
      </c>
      <c r="C2562" t="s">
        <v>8383</v>
      </c>
      <c r="D2562" t="s">
        <v>8384</v>
      </c>
      <c r="E2562" t="s">
        <v>6195</v>
      </c>
      <c r="F2562" t="s">
        <v>5855</v>
      </c>
      <c r="G2562" s="1">
        <v>4</v>
      </c>
      <c r="H2562" s="1">
        <v>24</v>
      </c>
      <c r="I2562" t="s">
        <v>5961</v>
      </c>
      <c r="L2562" s="1">
        <v>1</v>
      </c>
      <c r="M2562" s="3">
        <v>3.16</v>
      </c>
      <c r="N2562" s="3">
        <v>0.16</v>
      </c>
      <c r="O2562" s="3">
        <v>0</v>
      </c>
      <c r="P2562" s="3">
        <v>0.1</v>
      </c>
      <c r="Q2562" s="3">
        <v>3.42</v>
      </c>
      <c r="R2562" s="3">
        <v>2.2999999999999998</v>
      </c>
      <c r="S2562" s="3">
        <f>VLOOKUP(C2562,[1]page!$C$2:$M$3071,11,0)</f>
        <v>3.16</v>
      </c>
      <c r="T2562" s="6">
        <f t="shared" si="48"/>
        <v>0</v>
      </c>
    </row>
    <row r="2563" spans="1:20" x14ac:dyDescent="0.2">
      <c r="A2563" t="s">
        <v>8150</v>
      </c>
      <c r="B2563" t="s">
        <v>8385</v>
      </c>
      <c r="C2563" t="s">
        <v>8386</v>
      </c>
      <c r="D2563" t="s">
        <v>8387</v>
      </c>
      <c r="E2563" t="s">
        <v>6195</v>
      </c>
      <c r="F2563" t="s">
        <v>5855</v>
      </c>
      <c r="G2563" s="2">
        <v>4.5</v>
      </c>
      <c r="H2563" s="1">
        <v>24</v>
      </c>
      <c r="I2563" t="s">
        <v>5961</v>
      </c>
      <c r="L2563" s="1">
        <v>1</v>
      </c>
      <c r="M2563" s="3">
        <v>3.05</v>
      </c>
      <c r="N2563" s="3">
        <v>0.15</v>
      </c>
      <c r="O2563" s="3">
        <v>0</v>
      </c>
      <c r="P2563" s="3">
        <v>0.1</v>
      </c>
      <c r="Q2563" s="3">
        <v>3.3</v>
      </c>
      <c r="R2563" s="3">
        <v>2.2999999999999998</v>
      </c>
      <c r="S2563" s="3">
        <f>VLOOKUP(C2563,[1]page!$C$2:$M$3071,11,0)</f>
        <v>3.05</v>
      </c>
      <c r="T2563" s="6">
        <f t="shared" si="48"/>
        <v>0</v>
      </c>
    </row>
    <row r="2564" spans="1:20" x14ac:dyDescent="0.2">
      <c r="A2564" t="s">
        <v>8150</v>
      </c>
      <c r="B2564" t="s">
        <v>8388</v>
      </c>
      <c r="C2564" t="s">
        <v>8389</v>
      </c>
      <c r="D2564" t="s">
        <v>8390</v>
      </c>
      <c r="E2564" t="s">
        <v>6195</v>
      </c>
      <c r="F2564" t="s">
        <v>5855</v>
      </c>
      <c r="G2564" s="1">
        <v>7</v>
      </c>
      <c r="H2564" s="1">
        <v>24</v>
      </c>
      <c r="I2564" t="s">
        <v>5961</v>
      </c>
      <c r="L2564" s="1">
        <v>1</v>
      </c>
      <c r="M2564" s="3">
        <v>3.16</v>
      </c>
      <c r="N2564" s="3">
        <v>0.16</v>
      </c>
      <c r="O2564" s="3">
        <v>0</v>
      </c>
      <c r="P2564" s="3">
        <v>0.1</v>
      </c>
      <c r="Q2564" s="3">
        <v>3.42</v>
      </c>
      <c r="R2564" s="3">
        <v>2.7</v>
      </c>
      <c r="S2564" s="3">
        <f>VLOOKUP(C2564,[1]page!$C$2:$M$3071,11,0)</f>
        <v>3.16</v>
      </c>
      <c r="T2564" s="6">
        <f t="shared" si="48"/>
        <v>0</v>
      </c>
    </row>
    <row r="2565" spans="1:20" x14ac:dyDescent="0.2">
      <c r="A2565" t="s">
        <v>8150</v>
      </c>
      <c r="B2565" t="s">
        <v>8391</v>
      </c>
      <c r="C2565" t="s">
        <v>8392</v>
      </c>
      <c r="D2565" t="s">
        <v>8393</v>
      </c>
      <c r="E2565" t="s">
        <v>6190</v>
      </c>
      <c r="F2565" t="s">
        <v>8394</v>
      </c>
      <c r="G2565" s="1">
        <v>11</v>
      </c>
      <c r="H2565" s="1">
        <v>24</v>
      </c>
      <c r="I2565" t="s">
        <v>7966</v>
      </c>
      <c r="L2565" s="1">
        <v>1</v>
      </c>
      <c r="M2565" s="3">
        <v>3.98</v>
      </c>
      <c r="N2565" s="3">
        <v>0.2</v>
      </c>
      <c r="O2565" s="3">
        <v>0</v>
      </c>
      <c r="P2565" s="3">
        <v>0.1</v>
      </c>
      <c r="Q2565" s="3">
        <v>4.28</v>
      </c>
      <c r="R2565" s="3">
        <v>2.7</v>
      </c>
      <c r="S2565" s="3">
        <f>VLOOKUP(C2565,[1]page!$C$2:$M$3071,11,0)</f>
        <v>3.98</v>
      </c>
      <c r="T2565" s="6">
        <f t="shared" si="48"/>
        <v>0</v>
      </c>
    </row>
    <row r="2566" spans="1:20" x14ac:dyDescent="0.2">
      <c r="A2566" t="s">
        <v>8150</v>
      </c>
      <c r="B2566" t="s">
        <v>8395</v>
      </c>
      <c r="C2566" t="s">
        <v>8396</v>
      </c>
      <c r="D2566" t="s">
        <v>8397</v>
      </c>
      <c r="E2566" t="s">
        <v>6190</v>
      </c>
      <c r="F2566" t="s">
        <v>8394</v>
      </c>
      <c r="G2566" s="2">
        <v>12.5</v>
      </c>
      <c r="H2566" s="1">
        <v>24</v>
      </c>
      <c r="I2566" t="s">
        <v>7966</v>
      </c>
      <c r="L2566" s="1">
        <v>1</v>
      </c>
      <c r="M2566" s="3">
        <v>3.98</v>
      </c>
      <c r="N2566" s="3">
        <v>0.2</v>
      </c>
      <c r="O2566" s="3">
        <v>0</v>
      </c>
      <c r="P2566" s="3">
        <v>0.1</v>
      </c>
      <c r="Q2566" s="3">
        <v>4.28</v>
      </c>
      <c r="R2566" s="3">
        <v>2.7</v>
      </c>
      <c r="S2566" s="3">
        <f>VLOOKUP(C2566,[1]page!$C$2:$M$3071,11,0)</f>
        <v>3.98</v>
      </c>
      <c r="T2566" s="6">
        <f t="shared" si="48"/>
        <v>0</v>
      </c>
    </row>
    <row r="2567" spans="1:20" x14ac:dyDescent="0.2">
      <c r="A2567" t="s">
        <v>8150</v>
      </c>
      <c r="B2567" t="s">
        <v>8398</v>
      </c>
      <c r="C2567" t="s">
        <v>8399</v>
      </c>
      <c r="D2567" t="s">
        <v>8400</v>
      </c>
      <c r="E2567" t="s">
        <v>6190</v>
      </c>
      <c r="F2567" t="s">
        <v>8394</v>
      </c>
      <c r="G2567" s="2">
        <v>12.5</v>
      </c>
      <c r="H2567" s="1">
        <v>24</v>
      </c>
      <c r="I2567" t="s">
        <v>7966</v>
      </c>
      <c r="L2567" s="1">
        <v>1</v>
      </c>
      <c r="M2567" s="3">
        <v>3.98</v>
      </c>
      <c r="N2567" s="3">
        <v>0.2</v>
      </c>
      <c r="O2567" s="3">
        <v>0</v>
      </c>
      <c r="P2567" s="3">
        <v>0.1</v>
      </c>
      <c r="Q2567" s="3">
        <v>4.28</v>
      </c>
      <c r="R2567" s="3">
        <v>2.7</v>
      </c>
      <c r="S2567" s="3">
        <f>VLOOKUP(C2567,[1]page!$C$2:$M$3071,11,0)</f>
        <v>3.98</v>
      </c>
      <c r="T2567" s="6">
        <f t="shared" si="48"/>
        <v>0</v>
      </c>
    </row>
    <row r="2568" spans="1:20" x14ac:dyDescent="0.2">
      <c r="A2568" t="s">
        <v>8150</v>
      </c>
      <c r="B2568" t="s">
        <v>8401</v>
      </c>
      <c r="C2568" t="s">
        <v>8402</v>
      </c>
      <c r="D2568" t="s">
        <v>8403</v>
      </c>
      <c r="E2568" t="s">
        <v>6190</v>
      </c>
      <c r="F2568" t="s">
        <v>5855</v>
      </c>
      <c r="G2568" s="1">
        <v>7</v>
      </c>
      <c r="H2568" s="1">
        <v>24</v>
      </c>
      <c r="I2568" t="s">
        <v>7966</v>
      </c>
      <c r="L2568" s="1">
        <v>1</v>
      </c>
      <c r="M2568" s="3">
        <v>2.99</v>
      </c>
      <c r="N2568" s="3">
        <v>0.15</v>
      </c>
      <c r="O2568" s="3">
        <v>0</v>
      </c>
      <c r="P2568" s="3">
        <v>0.1</v>
      </c>
      <c r="Q2568" s="3">
        <v>3.24</v>
      </c>
      <c r="R2568" s="3">
        <v>2.7</v>
      </c>
      <c r="S2568" s="3">
        <f>VLOOKUP(C2568,[1]page!$C$2:$M$3071,11,0)</f>
        <v>2.5</v>
      </c>
      <c r="T2568" s="6">
        <f t="shared" si="48"/>
        <v>0.49000000000000021</v>
      </c>
    </row>
    <row r="2569" spans="1:20" x14ac:dyDescent="0.2">
      <c r="A2569" t="s">
        <v>8150</v>
      </c>
      <c r="B2569" t="s">
        <v>8404</v>
      </c>
      <c r="C2569" t="s">
        <v>8405</v>
      </c>
      <c r="D2569" t="s">
        <v>8406</v>
      </c>
      <c r="E2569" t="s">
        <v>6423</v>
      </c>
      <c r="F2569" t="s">
        <v>5855</v>
      </c>
      <c r="G2569" s="1">
        <v>5</v>
      </c>
      <c r="H2569" s="1">
        <v>24</v>
      </c>
      <c r="I2569" t="s">
        <v>7966</v>
      </c>
      <c r="L2569" s="1">
        <v>1</v>
      </c>
      <c r="M2569" s="3">
        <v>3.89</v>
      </c>
      <c r="N2569" s="3">
        <v>0.19</v>
      </c>
      <c r="O2569" s="3">
        <v>0</v>
      </c>
      <c r="P2569" s="3">
        <v>0.1</v>
      </c>
      <c r="Q2569" s="3">
        <v>4.18</v>
      </c>
      <c r="R2569" s="3">
        <v>2.2999999999999998</v>
      </c>
      <c r="S2569" s="3">
        <f>VLOOKUP(C2569,[1]page!$C$2:$M$3071,11,0)</f>
        <v>3.89</v>
      </c>
      <c r="T2569" s="6">
        <f t="shared" si="48"/>
        <v>0</v>
      </c>
    </row>
    <row r="2570" spans="1:20" x14ac:dyDescent="0.2">
      <c r="A2570" t="s">
        <v>8150</v>
      </c>
      <c r="B2570" t="s">
        <v>8407</v>
      </c>
      <c r="C2570" t="s">
        <v>8408</v>
      </c>
      <c r="D2570" t="s">
        <v>8409</v>
      </c>
      <c r="E2570" t="s">
        <v>6190</v>
      </c>
      <c r="F2570" t="s">
        <v>5855</v>
      </c>
      <c r="G2570" s="1">
        <v>5</v>
      </c>
      <c r="H2570" s="1">
        <v>24</v>
      </c>
      <c r="I2570" t="s">
        <v>7966</v>
      </c>
      <c r="L2570" s="1">
        <v>1</v>
      </c>
      <c r="M2570" s="3">
        <v>3.89</v>
      </c>
      <c r="N2570" s="3">
        <v>0.19</v>
      </c>
      <c r="O2570" s="3">
        <v>0</v>
      </c>
      <c r="P2570" s="3">
        <v>0.1</v>
      </c>
      <c r="Q2570" s="3">
        <v>4.18</v>
      </c>
      <c r="R2570" s="3">
        <v>2.2999999999999998</v>
      </c>
      <c r="S2570" s="3">
        <f>VLOOKUP(C2570,[1]page!$C$2:$M$3071,11,0)</f>
        <v>3.38</v>
      </c>
      <c r="T2570" s="6">
        <f t="shared" si="48"/>
        <v>0.51000000000000023</v>
      </c>
    </row>
    <row r="2571" spans="1:20" x14ac:dyDescent="0.2">
      <c r="A2571" t="s">
        <v>8150</v>
      </c>
      <c r="B2571" t="s">
        <v>8410</v>
      </c>
      <c r="C2571" t="s">
        <v>8411</v>
      </c>
      <c r="D2571" t="s">
        <v>8412</v>
      </c>
      <c r="E2571" t="s">
        <v>8236</v>
      </c>
      <c r="F2571" t="s">
        <v>5855</v>
      </c>
      <c r="G2571" s="1">
        <v>5</v>
      </c>
      <c r="H2571" s="1">
        <v>24</v>
      </c>
      <c r="I2571" t="s">
        <v>7966</v>
      </c>
      <c r="L2571" s="1">
        <v>1</v>
      </c>
      <c r="M2571" s="3">
        <v>3.89</v>
      </c>
      <c r="N2571" s="3">
        <v>0.19</v>
      </c>
      <c r="O2571" s="3">
        <v>0</v>
      </c>
      <c r="P2571" s="3">
        <v>0.1</v>
      </c>
      <c r="Q2571" s="3">
        <v>4.18</v>
      </c>
      <c r="R2571" s="3">
        <v>2.2999999999999998</v>
      </c>
      <c r="S2571" s="3">
        <f>VLOOKUP(C2571,[1]page!$C$2:$M$3071,11,0)</f>
        <v>3.89</v>
      </c>
      <c r="T2571" s="6">
        <f t="shared" si="48"/>
        <v>0</v>
      </c>
    </row>
    <row r="2572" spans="1:20" x14ac:dyDescent="0.2">
      <c r="A2572" t="s">
        <v>8150</v>
      </c>
      <c r="B2572" t="s">
        <v>8413</v>
      </c>
      <c r="C2572" t="s">
        <v>8414</v>
      </c>
      <c r="D2572" t="s">
        <v>8415</v>
      </c>
      <c r="E2572" t="s">
        <v>6423</v>
      </c>
      <c r="F2572" t="s">
        <v>6659</v>
      </c>
      <c r="G2572" s="1">
        <v>7</v>
      </c>
      <c r="H2572" s="1">
        <v>12</v>
      </c>
      <c r="I2572" t="s">
        <v>6191</v>
      </c>
      <c r="L2572" s="1">
        <v>1</v>
      </c>
      <c r="M2572" s="3">
        <v>4.49</v>
      </c>
      <c r="N2572" s="3">
        <v>0.22</v>
      </c>
      <c r="O2572" s="3">
        <v>0</v>
      </c>
      <c r="P2572" s="3">
        <v>0.1</v>
      </c>
      <c r="Q2572" s="3">
        <v>4.8099999999999996</v>
      </c>
      <c r="R2572" s="3">
        <v>5.25</v>
      </c>
      <c r="S2572" s="3">
        <f>VLOOKUP(C2572,[1]page!$C$2:$M$3071,11,0)</f>
        <v>3.99</v>
      </c>
      <c r="T2572" s="6">
        <f t="shared" si="48"/>
        <v>0.5</v>
      </c>
    </row>
    <row r="2573" spans="1:20" x14ac:dyDescent="0.2">
      <c r="A2573" t="s">
        <v>8150</v>
      </c>
      <c r="B2573" t="s">
        <v>8416</v>
      </c>
      <c r="C2573" t="s">
        <v>8417</v>
      </c>
      <c r="D2573" t="s">
        <v>8418</v>
      </c>
      <c r="E2573" t="s">
        <v>8236</v>
      </c>
      <c r="F2573" t="s">
        <v>5855</v>
      </c>
      <c r="G2573" s="1">
        <v>7</v>
      </c>
      <c r="H2573" s="1">
        <v>24</v>
      </c>
      <c r="I2573" t="s">
        <v>7966</v>
      </c>
      <c r="L2573" s="1">
        <v>1</v>
      </c>
      <c r="M2573" s="3">
        <v>3.16</v>
      </c>
      <c r="N2573" s="3">
        <v>0.16</v>
      </c>
      <c r="O2573" s="3">
        <v>0</v>
      </c>
      <c r="P2573" s="3">
        <v>0.1</v>
      </c>
      <c r="Q2573" s="3">
        <v>3.42</v>
      </c>
      <c r="R2573" s="3">
        <v>2.7</v>
      </c>
      <c r="S2573" s="3">
        <f>VLOOKUP(C2573,[1]page!$C$2:$M$3071,11,0)</f>
        <v>3.16</v>
      </c>
      <c r="T2573" s="6">
        <f t="shared" si="48"/>
        <v>0</v>
      </c>
    </row>
    <row r="2574" spans="1:20" x14ac:dyDescent="0.2">
      <c r="A2574" t="s">
        <v>8150</v>
      </c>
      <c r="B2574" t="s">
        <v>8419</v>
      </c>
      <c r="C2574" t="s">
        <v>8420</v>
      </c>
      <c r="D2574" t="s">
        <v>8421</v>
      </c>
      <c r="E2574" t="s">
        <v>6423</v>
      </c>
      <c r="F2574" t="s">
        <v>6659</v>
      </c>
      <c r="G2574" s="1">
        <v>7</v>
      </c>
      <c r="H2574" s="1">
        <v>12</v>
      </c>
      <c r="I2574" t="s">
        <v>7966</v>
      </c>
      <c r="L2574" s="1">
        <v>1</v>
      </c>
      <c r="M2574" s="3">
        <v>4.49</v>
      </c>
      <c r="N2574" s="3">
        <v>0.22</v>
      </c>
      <c r="O2574" s="3">
        <v>0</v>
      </c>
      <c r="P2574" s="3">
        <v>0.1</v>
      </c>
      <c r="Q2574" s="3">
        <v>4.8099999999999996</v>
      </c>
      <c r="R2574" s="3">
        <v>5.25</v>
      </c>
      <c r="S2574" s="3">
        <f>VLOOKUP(C2574,[1]page!$C$2:$M$3071,11,0)</f>
        <v>3.99</v>
      </c>
      <c r="T2574" s="6">
        <f t="shared" si="48"/>
        <v>0.5</v>
      </c>
    </row>
    <row r="2575" spans="1:20" x14ac:dyDescent="0.2">
      <c r="A2575" t="s">
        <v>8150</v>
      </c>
      <c r="B2575" t="s">
        <v>8422</v>
      </c>
      <c r="C2575" t="s">
        <v>8423</v>
      </c>
      <c r="D2575" t="s">
        <v>8424</v>
      </c>
      <c r="E2575" t="s">
        <v>6423</v>
      </c>
      <c r="F2575" t="s">
        <v>5855</v>
      </c>
      <c r="G2575" s="1">
        <v>7</v>
      </c>
      <c r="H2575" s="1">
        <v>24</v>
      </c>
      <c r="I2575" t="s">
        <v>7966</v>
      </c>
      <c r="L2575" s="1">
        <v>1</v>
      </c>
      <c r="M2575" s="3">
        <v>3.16</v>
      </c>
      <c r="N2575" s="3">
        <v>0.16</v>
      </c>
      <c r="O2575" s="3">
        <v>0</v>
      </c>
      <c r="P2575" s="3">
        <v>0.1</v>
      </c>
      <c r="Q2575" s="3">
        <v>3.42</v>
      </c>
      <c r="R2575" s="3">
        <v>2.7</v>
      </c>
      <c r="S2575" s="3">
        <f>VLOOKUP(C2575,[1]page!$C$2:$M$3071,11,0)</f>
        <v>2.5</v>
      </c>
      <c r="T2575" s="6">
        <f t="shared" si="48"/>
        <v>0.66000000000000014</v>
      </c>
    </row>
    <row r="2576" spans="1:20" x14ac:dyDescent="0.2">
      <c r="A2576" t="s">
        <v>8150</v>
      </c>
      <c r="B2576" t="s">
        <v>8425</v>
      </c>
      <c r="C2576" t="s">
        <v>8426</v>
      </c>
      <c r="D2576" t="s">
        <v>8427</v>
      </c>
      <c r="E2576" t="s">
        <v>6190</v>
      </c>
      <c r="F2576" t="s">
        <v>5855</v>
      </c>
      <c r="G2576" s="1">
        <v>5</v>
      </c>
      <c r="H2576" s="1">
        <v>24</v>
      </c>
      <c r="I2576" t="s">
        <v>7966</v>
      </c>
      <c r="L2576" s="1">
        <v>1</v>
      </c>
      <c r="M2576" s="3">
        <v>3.89</v>
      </c>
      <c r="N2576" s="3">
        <v>0.19</v>
      </c>
      <c r="O2576" s="3">
        <v>0</v>
      </c>
      <c r="P2576" s="3">
        <v>0.1</v>
      </c>
      <c r="Q2576" s="3">
        <v>4.18</v>
      </c>
      <c r="R2576" s="3">
        <v>2.2999999999999998</v>
      </c>
      <c r="S2576" s="3">
        <f>VLOOKUP(C2576,[1]page!$C$2:$M$3071,11,0)</f>
        <v>3.89</v>
      </c>
      <c r="T2576" s="6">
        <f t="shared" si="48"/>
        <v>0</v>
      </c>
    </row>
    <row r="2577" spans="1:20" x14ac:dyDescent="0.2">
      <c r="A2577" t="s">
        <v>8150</v>
      </c>
      <c r="B2577" t="s">
        <v>8428</v>
      </c>
      <c r="C2577" t="s">
        <v>8429</v>
      </c>
      <c r="D2577" t="s">
        <v>8430</v>
      </c>
      <c r="E2577" t="s">
        <v>8236</v>
      </c>
      <c r="F2577" t="s">
        <v>5855</v>
      </c>
      <c r="G2577" s="1">
        <v>5</v>
      </c>
      <c r="H2577" s="1">
        <v>24</v>
      </c>
      <c r="I2577" t="s">
        <v>7966</v>
      </c>
      <c r="L2577" s="1">
        <v>1</v>
      </c>
      <c r="M2577" s="3">
        <v>3.18</v>
      </c>
      <c r="N2577" s="3">
        <v>0.16</v>
      </c>
      <c r="O2577" s="3">
        <v>0</v>
      </c>
      <c r="P2577" s="3">
        <v>0.1</v>
      </c>
      <c r="Q2577" s="3">
        <v>3.44</v>
      </c>
      <c r="R2577" s="3">
        <v>2.2999999999999998</v>
      </c>
      <c r="S2577" s="3">
        <f>VLOOKUP(C2577,[1]page!$C$2:$M$3071,11,0)</f>
        <v>3.18</v>
      </c>
      <c r="T2577" s="6">
        <f t="shared" si="48"/>
        <v>0</v>
      </c>
    </row>
    <row r="2578" spans="1:20" x14ac:dyDescent="0.2">
      <c r="A2578" t="s">
        <v>8150</v>
      </c>
      <c r="B2578" t="s">
        <v>8431</v>
      </c>
      <c r="C2578" t="s">
        <v>8432</v>
      </c>
      <c r="D2578" t="s">
        <v>8433</v>
      </c>
      <c r="E2578" t="s">
        <v>6190</v>
      </c>
      <c r="F2578" t="s">
        <v>5855</v>
      </c>
      <c r="G2578" s="1">
        <v>5</v>
      </c>
      <c r="H2578" s="1">
        <v>24</v>
      </c>
      <c r="I2578" t="s">
        <v>6191</v>
      </c>
      <c r="L2578" s="1">
        <v>1</v>
      </c>
      <c r="M2578" s="3">
        <v>3.06</v>
      </c>
      <c r="N2578" s="3">
        <v>0.15</v>
      </c>
      <c r="O2578" s="3">
        <v>0</v>
      </c>
      <c r="P2578" s="3">
        <v>0.1</v>
      </c>
      <c r="Q2578" s="3">
        <v>3.31</v>
      </c>
      <c r="R2578" s="3">
        <v>2.2999999999999998</v>
      </c>
      <c r="S2578" s="3">
        <f>VLOOKUP(C2578,[1]page!$C$2:$M$3071,11,0)</f>
        <v>3.06</v>
      </c>
      <c r="T2578" s="6">
        <f t="shared" si="48"/>
        <v>0</v>
      </c>
    </row>
    <row r="2579" spans="1:20" x14ac:dyDescent="0.2">
      <c r="A2579" t="s">
        <v>8150</v>
      </c>
      <c r="B2579" t="s">
        <v>8434</v>
      </c>
      <c r="C2579" t="s">
        <v>8435</v>
      </c>
      <c r="D2579" t="s">
        <v>8436</v>
      </c>
      <c r="E2579" t="s">
        <v>6319</v>
      </c>
      <c r="F2579" t="s">
        <v>6139</v>
      </c>
      <c r="G2579" s="2">
        <v>5.9</v>
      </c>
      <c r="H2579" s="1">
        <v>12</v>
      </c>
      <c r="I2579" t="s">
        <v>5617</v>
      </c>
      <c r="L2579" s="1">
        <v>1</v>
      </c>
      <c r="M2579" s="3">
        <v>3.53</v>
      </c>
      <c r="N2579" s="3">
        <v>0.18</v>
      </c>
      <c r="O2579" s="3">
        <v>0</v>
      </c>
      <c r="P2579" s="3">
        <v>0.1</v>
      </c>
      <c r="Q2579" s="3">
        <v>3.81</v>
      </c>
      <c r="R2579" s="3">
        <f t="shared" ref="R2579" si="52">SUM(F2579*0.0043)</f>
        <v>3.0529999999999999</v>
      </c>
      <c r="S2579" s="3" t="e">
        <f>VLOOKUP(C2579,[1]page!$C$2:$M$3071,11,0)</f>
        <v>#N/A</v>
      </c>
      <c r="T2579" s="6" t="e">
        <f t="shared" si="48"/>
        <v>#N/A</v>
      </c>
    </row>
    <row r="2580" spans="1:20" x14ac:dyDescent="0.2">
      <c r="A2580" t="s">
        <v>8150</v>
      </c>
      <c r="B2580" t="s">
        <v>8437</v>
      </c>
      <c r="C2580" t="s">
        <v>8438</v>
      </c>
      <c r="D2580" t="s">
        <v>8439</v>
      </c>
      <c r="E2580" t="s">
        <v>7847</v>
      </c>
      <c r="F2580" t="s">
        <v>5855</v>
      </c>
      <c r="G2580" s="2">
        <v>5.9</v>
      </c>
      <c r="H2580" s="1">
        <v>24</v>
      </c>
      <c r="I2580" t="s">
        <v>5617</v>
      </c>
      <c r="L2580" s="1">
        <v>1</v>
      </c>
      <c r="M2580" s="3">
        <v>3.01</v>
      </c>
      <c r="N2580" s="3">
        <v>0.15</v>
      </c>
      <c r="O2580" s="3">
        <v>0</v>
      </c>
      <c r="P2580" s="3">
        <v>0.1</v>
      </c>
      <c r="Q2580" s="3">
        <v>3.26</v>
      </c>
      <c r="R2580" s="3">
        <v>2.2999999999999998</v>
      </c>
      <c r="S2580" s="3">
        <f>VLOOKUP(C2580,[1]page!$C$2:$M$3071,11,0)</f>
        <v>3.01</v>
      </c>
      <c r="T2580" s="6">
        <f t="shared" si="48"/>
        <v>0</v>
      </c>
    </row>
    <row r="2581" spans="1:20" x14ac:dyDescent="0.2">
      <c r="A2581" t="s">
        <v>8150</v>
      </c>
      <c r="B2581" t="s">
        <v>8440</v>
      </c>
      <c r="C2581" t="s">
        <v>8441</v>
      </c>
      <c r="D2581" t="s">
        <v>8442</v>
      </c>
      <c r="E2581" t="s">
        <v>7847</v>
      </c>
      <c r="F2581" t="s">
        <v>5855</v>
      </c>
      <c r="G2581" s="2">
        <v>5.9</v>
      </c>
      <c r="H2581" s="1">
        <v>24</v>
      </c>
      <c r="I2581" t="s">
        <v>5617</v>
      </c>
      <c r="L2581" s="1">
        <v>1</v>
      </c>
      <c r="M2581" s="3">
        <v>3.01</v>
      </c>
      <c r="N2581" s="3">
        <v>0.15</v>
      </c>
      <c r="O2581" s="3">
        <v>0</v>
      </c>
      <c r="P2581" s="3">
        <v>0.1</v>
      </c>
      <c r="Q2581" s="3">
        <v>3.26</v>
      </c>
      <c r="R2581" s="3">
        <v>2.2999999999999998</v>
      </c>
      <c r="S2581" s="3">
        <f>VLOOKUP(C2581,[1]page!$C$2:$M$3071,11,0)</f>
        <v>3.01</v>
      </c>
      <c r="T2581" s="6">
        <f t="shared" si="48"/>
        <v>0</v>
      </c>
    </row>
    <row r="2582" spans="1:20" x14ac:dyDescent="0.2">
      <c r="A2582" t="s">
        <v>8150</v>
      </c>
      <c r="B2582" t="s">
        <v>8443</v>
      </c>
      <c r="C2582" t="s">
        <v>8444</v>
      </c>
      <c r="D2582" t="s">
        <v>8445</v>
      </c>
      <c r="E2582" t="s">
        <v>6423</v>
      </c>
      <c r="F2582" t="s">
        <v>5855</v>
      </c>
      <c r="G2582" s="2">
        <v>6.9</v>
      </c>
      <c r="H2582" s="1">
        <v>24</v>
      </c>
      <c r="I2582" t="s">
        <v>7966</v>
      </c>
      <c r="L2582" s="1">
        <v>1</v>
      </c>
      <c r="M2582" s="3">
        <v>3.63</v>
      </c>
      <c r="N2582" s="3">
        <v>0.18</v>
      </c>
      <c r="O2582" s="3">
        <v>0</v>
      </c>
      <c r="P2582" s="3">
        <v>0.1</v>
      </c>
      <c r="Q2582" s="3">
        <v>3.91</v>
      </c>
      <c r="R2582" s="3">
        <v>2.7</v>
      </c>
      <c r="S2582" s="3">
        <f>VLOOKUP(C2582,[1]page!$C$2:$M$3071,11,0)</f>
        <v>3.63</v>
      </c>
      <c r="T2582" s="6">
        <f t="shared" si="48"/>
        <v>0</v>
      </c>
    </row>
    <row r="2583" spans="1:20" x14ac:dyDescent="0.2">
      <c r="A2583" t="s">
        <v>8150</v>
      </c>
      <c r="B2583" t="s">
        <v>8446</v>
      </c>
      <c r="C2583" t="s">
        <v>8447</v>
      </c>
      <c r="D2583" t="s">
        <v>8448</v>
      </c>
      <c r="E2583" t="s">
        <v>6423</v>
      </c>
      <c r="F2583" t="s">
        <v>5855</v>
      </c>
      <c r="G2583" s="2">
        <v>6.9</v>
      </c>
      <c r="H2583" s="1">
        <v>24</v>
      </c>
      <c r="I2583" t="s">
        <v>7966</v>
      </c>
      <c r="L2583" s="1">
        <v>1</v>
      </c>
      <c r="M2583" s="3">
        <v>3.63</v>
      </c>
      <c r="N2583" s="3">
        <v>0.18</v>
      </c>
      <c r="O2583" s="3">
        <v>0</v>
      </c>
      <c r="P2583" s="3">
        <v>0.1</v>
      </c>
      <c r="Q2583" s="3">
        <v>3.91</v>
      </c>
      <c r="R2583" s="3">
        <v>2.7</v>
      </c>
      <c r="S2583" s="3">
        <f>VLOOKUP(C2583,[1]page!$C$2:$M$3071,11,0)</f>
        <v>3.63</v>
      </c>
      <c r="T2583" s="6">
        <f t="shared" si="48"/>
        <v>0</v>
      </c>
    </row>
    <row r="2584" spans="1:20" x14ac:dyDescent="0.2">
      <c r="A2584" t="s">
        <v>8150</v>
      </c>
      <c r="B2584" t="s">
        <v>8449</v>
      </c>
      <c r="C2584" t="s">
        <v>8450</v>
      </c>
      <c r="D2584" t="s">
        <v>8451</v>
      </c>
      <c r="E2584" t="s">
        <v>6195</v>
      </c>
      <c r="F2584" t="s">
        <v>5855</v>
      </c>
      <c r="G2584" s="1">
        <v>7</v>
      </c>
      <c r="H2584" s="1">
        <v>24</v>
      </c>
      <c r="I2584" t="s">
        <v>5961</v>
      </c>
      <c r="L2584" s="1">
        <v>1</v>
      </c>
      <c r="M2584" s="3">
        <v>3.16</v>
      </c>
      <c r="N2584" s="3">
        <v>0.16</v>
      </c>
      <c r="O2584" s="3">
        <v>0</v>
      </c>
      <c r="P2584" s="3">
        <v>0.1</v>
      </c>
      <c r="Q2584" s="3">
        <v>3.42</v>
      </c>
      <c r="R2584" s="3">
        <v>2.7</v>
      </c>
      <c r="S2584" s="3">
        <f>VLOOKUP(C2584,[1]page!$C$2:$M$3071,11,0)</f>
        <v>3.16</v>
      </c>
      <c r="T2584" s="6">
        <f t="shared" si="48"/>
        <v>0</v>
      </c>
    </row>
    <row r="2585" spans="1:20" x14ac:dyDescent="0.2">
      <c r="A2585" t="s">
        <v>8150</v>
      </c>
      <c r="B2585" t="s">
        <v>8452</v>
      </c>
      <c r="C2585" t="s">
        <v>8453</v>
      </c>
      <c r="D2585" t="s">
        <v>8454</v>
      </c>
      <c r="E2585" t="s">
        <v>6195</v>
      </c>
      <c r="F2585" t="s">
        <v>8394</v>
      </c>
      <c r="G2585" s="1">
        <v>5</v>
      </c>
      <c r="H2585" s="1">
        <v>24</v>
      </c>
      <c r="I2585" t="s">
        <v>5961</v>
      </c>
      <c r="L2585" s="1">
        <v>1</v>
      </c>
      <c r="M2585" s="3">
        <v>2.5</v>
      </c>
      <c r="N2585" s="3">
        <v>0.13</v>
      </c>
      <c r="O2585" s="3">
        <v>0</v>
      </c>
      <c r="P2585" s="3">
        <v>0.1</v>
      </c>
      <c r="Q2585" s="3">
        <v>2.73</v>
      </c>
      <c r="R2585" s="3">
        <v>2.2999999999999998</v>
      </c>
      <c r="S2585" s="3">
        <f>VLOOKUP(C2585,[1]page!$C$2:$M$3071,11,0)</f>
        <v>2.5</v>
      </c>
      <c r="T2585" s="6">
        <f t="shared" si="48"/>
        <v>0</v>
      </c>
    </row>
    <row r="2586" spans="1:20" x14ac:dyDescent="0.2">
      <c r="A2586" t="s">
        <v>8150</v>
      </c>
      <c r="B2586" t="s">
        <v>8455</v>
      </c>
      <c r="C2586" t="s">
        <v>8456</v>
      </c>
      <c r="D2586" t="s">
        <v>8457</v>
      </c>
      <c r="E2586" t="s">
        <v>6195</v>
      </c>
      <c r="F2586" t="s">
        <v>8394</v>
      </c>
      <c r="G2586" s="1">
        <v>5</v>
      </c>
      <c r="H2586" s="1">
        <v>24</v>
      </c>
      <c r="I2586" t="s">
        <v>5961</v>
      </c>
      <c r="L2586" s="1">
        <v>1</v>
      </c>
      <c r="M2586" s="3">
        <v>2.39</v>
      </c>
      <c r="N2586" s="3">
        <v>0.12</v>
      </c>
      <c r="O2586" s="3">
        <v>0</v>
      </c>
      <c r="P2586" s="3">
        <v>0.1</v>
      </c>
      <c r="Q2586" s="3">
        <v>2.61</v>
      </c>
      <c r="R2586" s="3">
        <v>2.2999999999999998</v>
      </c>
      <c r="S2586" s="3">
        <f>VLOOKUP(C2586,[1]page!$C$2:$M$3071,11,0)</f>
        <v>2.39</v>
      </c>
      <c r="T2586" s="6">
        <f t="shared" si="48"/>
        <v>0</v>
      </c>
    </row>
    <row r="2587" spans="1:20" x14ac:dyDescent="0.2">
      <c r="A2587" t="s">
        <v>8150</v>
      </c>
      <c r="B2587" t="s">
        <v>8458</v>
      </c>
      <c r="C2587" t="s">
        <v>8459</v>
      </c>
      <c r="D2587" t="s">
        <v>8460</v>
      </c>
      <c r="E2587" t="s">
        <v>6190</v>
      </c>
      <c r="F2587" t="s">
        <v>8461</v>
      </c>
      <c r="G2587" s="1">
        <v>7</v>
      </c>
      <c r="H2587" s="1">
        <v>24</v>
      </c>
      <c r="I2587" t="s">
        <v>7966</v>
      </c>
      <c r="L2587" s="1">
        <v>1</v>
      </c>
      <c r="M2587" s="3">
        <v>3.16</v>
      </c>
      <c r="N2587" s="3">
        <v>0.16</v>
      </c>
      <c r="O2587" s="3">
        <v>0</v>
      </c>
      <c r="P2587" s="3">
        <v>0.1</v>
      </c>
      <c r="Q2587" s="3">
        <v>3.42</v>
      </c>
      <c r="R2587" s="3">
        <v>2.7</v>
      </c>
      <c r="S2587" s="3">
        <f>VLOOKUP(C2587,[1]page!$C$2:$M$3071,11,0)</f>
        <v>2.56</v>
      </c>
      <c r="T2587" s="6">
        <f t="shared" si="48"/>
        <v>0.60000000000000009</v>
      </c>
    </row>
    <row r="2588" spans="1:20" x14ac:dyDescent="0.2">
      <c r="A2588" t="s">
        <v>8150</v>
      </c>
      <c r="B2588" t="s">
        <v>8462</v>
      </c>
      <c r="C2588" t="s">
        <v>8463</v>
      </c>
      <c r="D2588" t="s">
        <v>8464</v>
      </c>
      <c r="E2588" t="s">
        <v>6190</v>
      </c>
      <c r="F2588" t="s">
        <v>5855</v>
      </c>
      <c r="G2588" s="1">
        <v>7</v>
      </c>
      <c r="H2588" s="1">
        <v>24</v>
      </c>
      <c r="I2588" t="s">
        <v>7966</v>
      </c>
      <c r="L2588" s="1">
        <v>1</v>
      </c>
      <c r="M2588" s="3">
        <v>3.16</v>
      </c>
      <c r="N2588" s="3">
        <v>0.16</v>
      </c>
      <c r="O2588" s="3">
        <v>0</v>
      </c>
      <c r="P2588" s="3">
        <v>0.1</v>
      </c>
      <c r="Q2588" s="3">
        <v>3.42</v>
      </c>
      <c r="R2588" s="3">
        <v>2.7</v>
      </c>
      <c r="S2588" s="3">
        <f>VLOOKUP(C2588,[1]page!$C$2:$M$3071,11,0)</f>
        <v>2.56</v>
      </c>
      <c r="T2588" s="6">
        <f t="shared" si="48"/>
        <v>0.60000000000000009</v>
      </c>
    </row>
    <row r="2589" spans="1:20" x14ac:dyDescent="0.2">
      <c r="A2589" t="s">
        <v>8150</v>
      </c>
      <c r="B2589" t="s">
        <v>8465</v>
      </c>
      <c r="C2589" t="s">
        <v>8466</v>
      </c>
      <c r="D2589" t="s">
        <v>8467</v>
      </c>
      <c r="E2589" t="s">
        <v>6195</v>
      </c>
      <c r="F2589" t="s">
        <v>5855</v>
      </c>
      <c r="G2589" s="1">
        <v>5</v>
      </c>
      <c r="H2589" s="1">
        <v>24</v>
      </c>
      <c r="I2589" t="s">
        <v>5961</v>
      </c>
      <c r="L2589" s="1">
        <v>1</v>
      </c>
      <c r="M2589" s="3">
        <v>3.2</v>
      </c>
      <c r="N2589" s="3">
        <v>0.16</v>
      </c>
      <c r="O2589" s="3">
        <v>0</v>
      </c>
      <c r="P2589" s="3">
        <v>0.1</v>
      </c>
      <c r="Q2589" s="3">
        <v>3.46</v>
      </c>
      <c r="R2589" s="3">
        <v>2.2999999999999998</v>
      </c>
      <c r="S2589" s="3">
        <f>VLOOKUP(C2589,[1]page!$C$2:$M$3071,11,0)</f>
        <v>3.2</v>
      </c>
      <c r="T2589" s="6">
        <f t="shared" si="48"/>
        <v>0</v>
      </c>
    </row>
    <row r="2590" spans="1:20" x14ac:dyDescent="0.2">
      <c r="A2590" t="s">
        <v>8150</v>
      </c>
      <c r="B2590" t="s">
        <v>8468</v>
      </c>
      <c r="C2590" t="s">
        <v>8469</v>
      </c>
      <c r="D2590" t="s">
        <v>8470</v>
      </c>
      <c r="E2590" t="s">
        <v>6195</v>
      </c>
      <c r="F2590" t="s">
        <v>5855</v>
      </c>
      <c r="G2590" s="2">
        <v>4.7</v>
      </c>
      <c r="H2590" s="1">
        <v>24</v>
      </c>
      <c r="I2590" t="s">
        <v>5961</v>
      </c>
      <c r="L2590" s="1">
        <v>1</v>
      </c>
      <c r="M2590" s="3">
        <v>2.95</v>
      </c>
      <c r="N2590" s="3">
        <v>0.15</v>
      </c>
      <c r="O2590" s="3">
        <v>0</v>
      </c>
      <c r="P2590" s="3">
        <v>0.1</v>
      </c>
      <c r="Q2590" s="3">
        <v>3.2</v>
      </c>
      <c r="R2590" s="3">
        <v>2.2999999999999998</v>
      </c>
      <c r="S2590" s="3">
        <f>VLOOKUP(C2590,[1]page!$C$2:$M$3071,11,0)</f>
        <v>2.95</v>
      </c>
      <c r="T2590" s="6">
        <f t="shared" si="48"/>
        <v>0</v>
      </c>
    </row>
    <row r="2591" spans="1:20" x14ac:dyDescent="0.2">
      <c r="A2591" t="s">
        <v>8150</v>
      </c>
      <c r="B2591" t="s">
        <v>8471</v>
      </c>
      <c r="C2591" t="s">
        <v>8472</v>
      </c>
      <c r="D2591" t="s">
        <v>8473</v>
      </c>
      <c r="E2591" t="s">
        <v>6195</v>
      </c>
      <c r="F2591" t="s">
        <v>5855</v>
      </c>
      <c r="G2591" s="2">
        <v>4.7</v>
      </c>
      <c r="H2591" s="1">
        <v>24</v>
      </c>
      <c r="I2591" t="s">
        <v>5961</v>
      </c>
      <c r="L2591" s="1">
        <v>1</v>
      </c>
      <c r="M2591" s="3">
        <v>2.95</v>
      </c>
      <c r="N2591" s="3">
        <v>0.15</v>
      </c>
      <c r="O2591" s="3">
        <v>0</v>
      </c>
      <c r="P2591" s="3">
        <v>0.1</v>
      </c>
      <c r="Q2591" s="3">
        <v>3.2</v>
      </c>
      <c r="R2591" s="3">
        <v>2.2999999999999998</v>
      </c>
      <c r="S2591" s="3">
        <f>VLOOKUP(C2591,[1]page!$C$2:$M$3071,11,0)</f>
        <v>2.95</v>
      </c>
      <c r="T2591" s="6">
        <f t="shared" ref="T2591:T2653" si="53">SUM(M2591-S2591)</f>
        <v>0</v>
      </c>
    </row>
    <row r="2592" spans="1:20" x14ac:dyDescent="0.2">
      <c r="A2592" t="s">
        <v>8150</v>
      </c>
      <c r="B2592" t="s">
        <v>8474</v>
      </c>
      <c r="C2592" t="s">
        <v>8475</v>
      </c>
      <c r="D2592" t="s">
        <v>8476</v>
      </c>
      <c r="E2592" t="s">
        <v>6195</v>
      </c>
      <c r="F2592" t="s">
        <v>5855</v>
      </c>
      <c r="G2592" s="1">
        <v>7</v>
      </c>
      <c r="H2592" s="1">
        <v>24</v>
      </c>
      <c r="I2592" t="s">
        <v>5961</v>
      </c>
      <c r="L2592" s="1">
        <v>1</v>
      </c>
      <c r="M2592" s="3">
        <v>3.16</v>
      </c>
      <c r="N2592" s="3">
        <v>0.16</v>
      </c>
      <c r="O2592" s="3">
        <v>0</v>
      </c>
      <c r="P2592" s="3">
        <v>0.1</v>
      </c>
      <c r="Q2592" s="3">
        <v>3.42</v>
      </c>
      <c r="R2592" s="3">
        <v>2.7</v>
      </c>
      <c r="S2592" s="3">
        <f>VLOOKUP(C2592,[1]page!$C$2:$M$3071,11,0)</f>
        <v>3.16</v>
      </c>
      <c r="T2592" s="6">
        <f t="shared" si="53"/>
        <v>0</v>
      </c>
    </row>
    <row r="2593" spans="1:20" x14ac:dyDescent="0.2">
      <c r="A2593" t="s">
        <v>8150</v>
      </c>
      <c r="B2593" t="s">
        <v>8477</v>
      </c>
      <c r="C2593" t="s">
        <v>8478</v>
      </c>
      <c r="D2593" t="s">
        <v>8479</v>
      </c>
      <c r="E2593" t="s">
        <v>6195</v>
      </c>
      <c r="F2593" t="s">
        <v>5855</v>
      </c>
      <c r="G2593" s="1">
        <v>5</v>
      </c>
      <c r="H2593" s="1">
        <v>24</v>
      </c>
      <c r="I2593" t="s">
        <v>5961</v>
      </c>
      <c r="L2593" s="1">
        <v>1</v>
      </c>
      <c r="M2593" s="3">
        <v>2.99</v>
      </c>
      <c r="N2593" s="3">
        <v>0.15</v>
      </c>
      <c r="O2593" s="3">
        <v>0</v>
      </c>
      <c r="P2593" s="3">
        <v>0.1</v>
      </c>
      <c r="Q2593" s="3">
        <v>3.24</v>
      </c>
      <c r="R2593" s="3">
        <v>2.2999999999999998</v>
      </c>
      <c r="S2593" s="3">
        <f>VLOOKUP(C2593,[1]page!$C$2:$M$3071,11,0)</f>
        <v>2.99</v>
      </c>
      <c r="T2593" s="6">
        <f t="shared" si="53"/>
        <v>0</v>
      </c>
    </row>
    <row r="2594" spans="1:20" x14ac:dyDescent="0.2">
      <c r="A2594" t="s">
        <v>8150</v>
      </c>
      <c r="B2594" t="s">
        <v>8480</v>
      </c>
      <c r="C2594" t="s">
        <v>8481</v>
      </c>
      <c r="D2594" t="s">
        <v>8482</v>
      </c>
      <c r="E2594" t="s">
        <v>6195</v>
      </c>
      <c r="F2594" t="s">
        <v>5855</v>
      </c>
      <c r="G2594" s="1">
        <v>5</v>
      </c>
      <c r="H2594" s="1">
        <v>24</v>
      </c>
      <c r="I2594" t="s">
        <v>5961</v>
      </c>
      <c r="L2594" s="1">
        <v>1</v>
      </c>
      <c r="M2594" s="3">
        <v>3.16</v>
      </c>
      <c r="N2594" s="3">
        <v>0.16</v>
      </c>
      <c r="O2594" s="3">
        <v>0</v>
      </c>
      <c r="P2594" s="3">
        <v>0.1</v>
      </c>
      <c r="Q2594" s="3">
        <v>3.42</v>
      </c>
      <c r="R2594" s="3">
        <v>2.2999999999999998</v>
      </c>
      <c r="S2594" s="3">
        <f>VLOOKUP(C2594,[1]page!$C$2:$M$3071,11,0)</f>
        <v>3.16</v>
      </c>
      <c r="T2594" s="6">
        <f t="shared" si="53"/>
        <v>0</v>
      </c>
    </row>
    <row r="2595" spans="1:20" x14ac:dyDescent="0.2">
      <c r="A2595" t="s">
        <v>8150</v>
      </c>
      <c r="B2595" t="s">
        <v>8483</v>
      </c>
      <c r="C2595" t="s">
        <v>8484</v>
      </c>
      <c r="D2595" t="s">
        <v>8485</v>
      </c>
      <c r="E2595" t="s">
        <v>6195</v>
      </c>
      <c r="F2595" t="s">
        <v>5855</v>
      </c>
      <c r="G2595" s="1">
        <v>5</v>
      </c>
      <c r="H2595" s="1">
        <v>24</v>
      </c>
      <c r="I2595" t="s">
        <v>5961</v>
      </c>
      <c r="L2595" s="1">
        <v>1</v>
      </c>
      <c r="M2595" s="3">
        <v>2.99</v>
      </c>
      <c r="N2595" s="3">
        <v>0.15</v>
      </c>
      <c r="O2595" s="3">
        <v>0</v>
      </c>
      <c r="P2595" s="3">
        <v>0.1</v>
      </c>
      <c r="Q2595" s="3">
        <v>3.24</v>
      </c>
      <c r="R2595" s="3">
        <v>2.2999999999999998</v>
      </c>
      <c r="S2595" s="3">
        <f>VLOOKUP(C2595,[1]page!$C$2:$M$3071,11,0)</f>
        <v>2.99</v>
      </c>
      <c r="T2595" s="6">
        <f t="shared" si="53"/>
        <v>0</v>
      </c>
    </row>
    <row r="2596" spans="1:20" x14ac:dyDescent="0.2">
      <c r="A2596" t="s">
        <v>8150</v>
      </c>
      <c r="B2596" t="s">
        <v>8486</v>
      </c>
      <c r="C2596" t="s">
        <v>8487</v>
      </c>
      <c r="D2596" t="s">
        <v>8488</v>
      </c>
      <c r="E2596" t="s">
        <v>6195</v>
      </c>
      <c r="F2596" t="s">
        <v>5855</v>
      </c>
      <c r="G2596" s="1">
        <v>5</v>
      </c>
      <c r="H2596" s="1">
        <v>24</v>
      </c>
      <c r="I2596" t="s">
        <v>5961</v>
      </c>
      <c r="L2596" s="1">
        <v>1</v>
      </c>
      <c r="M2596" s="3">
        <v>3.01</v>
      </c>
      <c r="N2596" s="3">
        <v>0.15</v>
      </c>
      <c r="O2596" s="3">
        <v>0</v>
      </c>
      <c r="P2596" s="3">
        <v>0.1</v>
      </c>
      <c r="Q2596" s="3">
        <v>3.26</v>
      </c>
      <c r="R2596" s="3">
        <v>2.2999999999999998</v>
      </c>
      <c r="S2596" s="3">
        <f>VLOOKUP(C2596,[1]page!$C$2:$M$3071,11,0)</f>
        <v>3.01</v>
      </c>
      <c r="T2596" s="6">
        <f t="shared" si="53"/>
        <v>0</v>
      </c>
    </row>
    <row r="2597" spans="1:20" x14ac:dyDescent="0.2">
      <c r="A2597" t="s">
        <v>8150</v>
      </c>
      <c r="B2597" t="s">
        <v>8489</v>
      </c>
      <c r="C2597" t="s">
        <v>8490</v>
      </c>
      <c r="D2597" t="s">
        <v>8491</v>
      </c>
      <c r="E2597" t="s">
        <v>6284</v>
      </c>
      <c r="F2597" t="s">
        <v>5855</v>
      </c>
      <c r="G2597" s="1">
        <v>5</v>
      </c>
      <c r="H2597" s="1">
        <v>24</v>
      </c>
      <c r="I2597" t="s">
        <v>6285</v>
      </c>
      <c r="L2597" s="1">
        <v>1</v>
      </c>
      <c r="M2597" s="3">
        <v>3.05</v>
      </c>
      <c r="N2597" s="3">
        <v>0.15</v>
      </c>
      <c r="O2597" s="3">
        <v>0</v>
      </c>
      <c r="P2597" s="3">
        <v>0.1</v>
      </c>
      <c r="Q2597" s="3">
        <v>3.3</v>
      </c>
      <c r="R2597" s="3">
        <v>2.2999999999999998</v>
      </c>
      <c r="S2597" s="3">
        <f>VLOOKUP(C2597,[1]page!$C$2:$M$3071,11,0)</f>
        <v>3.05</v>
      </c>
      <c r="T2597" s="6">
        <f t="shared" si="53"/>
        <v>0</v>
      </c>
    </row>
    <row r="2598" spans="1:20" x14ac:dyDescent="0.2">
      <c r="A2598" t="s">
        <v>8150</v>
      </c>
      <c r="B2598" t="s">
        <v>8492</v>
      </c>
      <c r="C2598" t="s">
        <v>8493</v>
      </c>
      <c r="D2598" t="s">
        <v>8494</v>
      </c>
      <c r="E2598" t="s">
        <v>6284</v>
      </c>
      <c r="F2598" t="s">
        <v>6975</v>
      </c>
      <c r="G2598" s="1">
        <v>5</v>
      </c>
      <c r="H2598" s="1">
        <v>1</v>
      </c>
      <c r="I2598" t="s">
        <v>6285</v>
      </c>
      <c r="L2598" s="1">
        <v>1</v>
      </c>
      <c r="M2598" s="3">
        <v>212.31</v>
      </c>
      <c r="N2598" s="3">
        <v>10.62</v>
      </c>
      <c r="O2598" s="3">
        <v>0</v>
      </c>
      <c r="P2598" s="3">
        <v>20</v>
      </c>
      <c r="Q2598" s="3">
        <v>242.93</v>
      </c>
      <c r="S2598" s="3">
        <f>VLOOKUP(C2598,[1]page!$C$2:$M$3071,11,0)</f>
        <v>207.12</v>
      </c>
      <c r="T2598" s="6">
        <f t="shared" si="53"/>
        <v>5.1899999999999977</v>
      </c>
    </row>
    <row r="2599" spans="1:20" x14ac:dyDescent="0.2">
      <c r="A2599" t="s">
        <v>8150</v>
      </c>
      <c r="B2599" t="s">
        <v>8495</v>
      </c>
      <c r="C2599" t="s">
        <v>8496</v>
      </c>
      <c r="D2599" t="s">
        <v>8497</v>
      </c>
      <c r="E2599" t="s">
        <v>6284</v>
      </c>
      <c r="F2599" t="s">
        <v>6875</v>
      </c>
      <c r="G2599" s="1">
        <v>5</v>
      </c>
      <c r="H2599" s="1">
        <v>1</v>
      </c>
      <c r="I2599" t="s">
        <v>6285</v>
      </c>
      <c r="L2599" s="1">
        <v>1</v>
      </c>
      <c r="M2599" s="3">
        <v>212.84</v>
      </c>
      <c r="N2599" s="3">
        <v>10.64</v>
      </c>
      <c r="O2599" s="3">
        <v>0</v>
      </c>
      <c r="P2599" s="3">
        <v>20</v>
      </c>
      <c r="Q2599" s="3">
        <v>243.48</v>
      </c>
      <c r="S2599" s="3">
        <f>VLOOKUP(C2599,[1]page!$C$2:$M$3071,11,0)</f>
        <v>207.65</v>
      </c>
      <c r="T2599" s="6">
        <f t="shared" si="53"/>
        <v>5.1899999999999977</v>
      </c>
    </row>
    <row r="2600" spans="1:20" x14ac:dyDescent="0.2">
      <c r="A2600" t="s">
        <v>8150</v>
      </c>
      <c r="B2600" t="s">
        <v>8498</v>
      </c>
      <c r="C2600" t="s">
        <v>8499</v>
      </c>
      <c r="D2600" t="s">
        <v>8500</v>
      </c>
      <c r="E2600" t="s">
        <v>6284</v>
      </c>
      <c r="F2600" t="s">
        <v>6875</v>
      </c>
      <c r="G2600" s="1">
        <v>5</v>
      </c>
      <c r="H2600" s="1">
        <v>1</v>
      </c>
      <c r="I2600" t="s">
        <v>6285</v>
      </c>
      <c r="L2600" s="1">
        <v>1</v>
      </c>
      <c r="M2600" s="3">
        <v>212.84</v>
      </c>
      <c r="N2600" s="3">
        <v>10.64</v>
      </c>
      <c r="O2600" s="3">
        <v>0</v>
      </c>
      <c r="P2600" s="3">
        <v>20</v>
      </c>
      <c r="Q2600" s="3">
        <v>243.48</v>
      </c>
      <c r="S2600" s="3" t="e">
        <f>VLOOKUP(C2600,[1]page!$C$2:$M$3071,11,0)</f>
        <v>#N/A</v>
      </c>
      <c r="T2600" s="6" t="e">
        <f t="shared" si="53"/>
        <v>#N/A</v>
      </c>
    </row>
    <row r="2601" spans="1:20" x14ac:dyDescent="0.2">
      <c r="A2601" t="s">
        <v>8150</v>
      </c>
      <c r="B2601" t="s">
        <v>8501</v>
      </c>
      <c r="C2601" t="s">
        <v>8502</v>
      </c>
      <c r="D2601" t="s">
        <v>8503</v>
      </c>
      <c r="E2601" t="s">
        <v>6284</v>
      </c>
      <c r="F2601" t="s">
        <v>6875</v>
      </c>
      <c r="G2601" s="1">
        <v>5</v>
      </c>
      <c r="H2601" s="1">
        <v>1</v>
      </c>
      <c r="I2601" t="s">
        <v>6285</v>
      </c>
      <c r="L2601" s="1">
        <v>1</v>
      </c>
      <c r="M2601" s="3">
        <v>207.65</v>
      </c>
      <c r="N2601" s="3">
        <v>10.38</v>
      </c>
      <c r="O2601" s="3">
        <v>0</v>
      </c>
      <c r="P2601" s="3">
        <v>20</v>
      </c>
      <c r="Q2601" s="3">
        <v>238.03</v>
      </c>
      <c r="S2601" s="3">
        <f>VLOOKUP(C2601,[1]page!$C$2:$M$3071,11,0)</f>
        <v>207.65</v>
      </c>
      <c r="T2601" s="6">
        <f t="shared" si="53"/>
        <v>0</v>
      </c>
    </row>
    <row r="2602" spans="1:20" x14ac:dyDescent="0.2">
      <c r="A2602" t="s">
        <v>8150</v>
      </c>
      <c r="B2602" t="s">
        <v>8504</v>
      </c>
      <c r="C2602" t="s">
        <v>8505</v>
      </c>
      <c r="D2602" t="s">
        <v>8506</v>
      </c>
      <c r="E2602" t="s">
        <v>6284</v>
      </c>
      <c r="F2602" t="s">
        <v>6875</v>
      </c>
      <c r="G2602" s="1">
        <v>5</v>
      </c>
      <c r="H2602" s="1">
        <v>1</v>
      </c>
      <c r="I2602" t="s">
        <v>6285</v>
      </c>
      <c r="L2602" s="1">
        <v>1</v>
      </c>
      <c r="M2602" s="3">
        <v>212.84</v>
      </c>
      <c r="N2602" s="3">
        <v>10.64</v>
      </c>
      <c r="O2602" s="3">
        <v>0</v>
      </c>
      <c r="P2602" s="3">
        <v>20</v>
      </c>
      <c r="Q2602" s="3">
        <v>243.48</v>
      </c>
      <c r="S2602" s="3">
        <f>VLOOKUP(C2602,[1]page!$C$2:$M$3071,11,0)</f>
        <v>207.65</v>
      </c>
      <c r="T2602" s="6">
        <f t="shared" si="53"/>
        <v>5.1899999999999977</v>
      </c>
    </row>
    <row r="2603" spans="1:20" x14ac:dyDescent="0.2">
      <c r="A2603" t="s">
        <v>8150</v>
      </c>
      <c r="B2603" t="s">
        <v>8507</v>
      </c>
      <c r="C2603" t="s">
        <v>8508</v>
      </c>
      <c r="D2603" t="s">
        <v>8509</v>
      </c>
      <c r="E2603" t="s">
        <v>6284</v>
      </c>
      <c r="F2603" t="s">
        <v>6975</v>
      </c>
      <c r="G2603" s="1">
        <v>5</v>
      </c>
      <c r="H2603" s="1">
        <v>1</v>
      </c>
      <c r="I2603" t="s">
        <v>6285</v>
      </c>
      <c r="L2603" s="1">
        <v>1</v>
      </c>
      <c r="M2603" s="3">
        <v>212.84</v>
      </c>
      <c r="N2603" s="3">
        <v>10.64</v>
      </c>
      <c r="O2603" s="3">
        <v>0</v>
      </c>
      <c r="P2603" s="3">
        <v>20</v>
      </c>
      <c r="Q2603" s="3">
        <v>243.48</v>
      </c>
      <c r="S2603" s="3">
        <f>VLOOKUP(C2603,[1]page!$C$2:$M$3071,11,0)</f>
        <v>207.65</v>
      </c>
      <c r="T2603" s="6">
        <f t="shared" si="53"/>
        <v>5.1899999999999977</v>
      </c>
    </row>
    <row r="2604" spans="1:20" x14ac:dyDescent="0.2">
      <c r="A2604" t="s">
        <v>8150</v>
      </c>
      <c r="B2604" t="s">
        <v>8510</v>
      </c>
      <c r="C2604" t="s">
        <v>8511</v>
      </c>
      <c r="D2604" t="s">
        <v>8512</v>
      </c>
      <c r="E2604" t="s">
        <v>6284</v>
      </c>
      <c r="F2604" t="s">
        <v>6975</v>
      </c>
      <c r="G2604" s="1">
        <v>5</v>
      </c>
      <c r="H2604" s="1">
        <v>1</v>
      </c>
      <c r="I2604" t="s">
        <v>6285</v>
      </c>
      <c r="L2604" s="1">
        <v>1</v>
      </c>
      <c r="M2604" s="3">
        <v>212.84</v>
      </c>
      <c r="N2604" s="3">
        <v>10.64</v>
      </c>
      <c r="O2604" s="3">
        <v>0</v>
      </c>
      <c r="P2604" s="3">
        <v>20</v>
      </c>
      <c r="Q2604" s="3">
        <v>243.48</v>
      </c>
      <c r="S2604" s="3">
        <f>VLOOKUP(C2604,[1]page!$C$2:$M$3071,11,0)</f>
        <v>207.65</v>
      </c>
      <c r="T2604" s="6">
        <f t="shared" si="53"/>
        <v>5.1899999999999977</v>
      </c>
    </row>
    <row r="2605" spans="1:20" x14ac:dyDescent="0.2">
      <c r="A2605" t="s">
        <v>8150</v>
      </c>
      <c r="B2605" t="s">
        <v>8513</v>
      </c>
      <c r="C2605" t="s">
        <v>8514</v>
      </c>
      <c r="D2605" t="s">
        <v>8515</v>
      </c>
      <c r="E2605" t="s">
        <v>6284</v>
      </c>
      <c r="F2605" t="s">
        <v>6875</v>
      </c>
      <c r="G2605" s="1">
        <v>5</v>
      </c>
      <c r="H2605" s="1">
        <v>1</v>
      </c>
      <c r="I2605" t="s">
        <v>6285</v>
      </c>
      <c r="L2605" s="1">
        <v>1</v>
      </c>
      <c r="M2605" s="3">
        <v>212.84</v>
      </c>
      <c r="N2605" s="3">
        <v>10.64</v>
      </c>
      <c r="O2605" s="3">
        <v>0</v>
      </c>
      <c r="P2605" s="3">
        <v>20</v>
      </c>
      <c r="Q2605" s="3">
        <v>243.48</v>
      </c>
      <c r="S2605" s="3">
        <f>VLOOKUP(C2605,[1]page!$C$2:$M$3071,11,0)</f>
        <v>207.65</v>
      </c>
      <c r="T2605" s="6">
        <f t="shared" si="53"/>
        <v>5.1899999999999977</v>
      </c>
    </row>
    <row r="2606" spans="1:20" x14ac:dyDescent="0.2">
      <c r="A2606" t="s">
        <v>8150</v>
      </c>
      <c r="B2606" t="s">
        <v>8516</v>
      </c>
      <c r="C2606" t="s">
        <v>8517</v>
      </c>
      <c r="D2606" t="s">
        <v>8518</v>
      </c>
      <c r="E2606" t="s">
        <v>6284</v>
      </c>
      <c r="F2606" t="s">
        <v>6875</v>
      </c>
      <c r="G2606" s="1">
        <v>5</v>
      </c>
      <c r="H2606" s="1">
        <v>1</v>
      </c>
      <c r="I2606" t="s">
        <v>6285</v>
      </c>
      <c r="L2606" s="1">
        <v>1</v>
      </c>
      <c r="M2606" s="3">
        <v>207.65</v>
      </c>
      <c r="N2606" s="3">
        <v>10.38</v>
      </c>
      <c r="O2606" s="3">
        <v>0</v>
      </c>
      <c r="P2606" s="3">
        <v>20</v>
      </c>
      <c r="Q2606" s="3">
        <v>238.03</v>
      </c>
      <c r="S2606" s="3" t="e">
        <f>VLOOKUP(C2606,[1]page!$C$2:$M$3071,11,0)</f>
        <v>#N/A</v>
      </c>
      <c r="T2606" s="6" t="e">
        <f t="shared" si="53"/>
        <v>#N/A</v>
      </c>
    </row>
    <row r="2607" spans="1:20" x14ac:dyDescent="0.2">
      <c r="A2607" t="s">
        <v>8150</v>
      </c>
      <c r="B2607" t="s">
        <v>8519</v>
      </c>
      <c r="C2607" t="s">
        <v>8520</v>
      </c>
      <c r="D2607" t="s">
        <v>8521</v>
      </c>
      <c r="E2607" t="s">
        <v>6284</v>
      </c>
      <c r="F2607" t="s">
        <v>6975</v>
      </c>
      <c r="G2607" s="1">
        <v>5</v>
      </c>
      <c r="H2607" s="1">
        <v>1</v>
      </c>
      <c r="I2607" t="s">
        <v>6285</v>
      </c>
      <c r="L2607" s="1">
        <v>1</v>
      </c>
      <c r="M2607" s="3">
        <v>212.84</v>
      </c>
      <c r="N2607" s="3">
        <v>10.64</v>
      </c>
      <c r="O2607" s="3">
        <v>0</v>
      </c>
      <c r="P2607" s="3">
        <v>20</v>
      </c>
      <c r="Q2607" s="3">
        <v>243.48</v>
      </c>
      <c r="S2607" s="3">
        <f>VLOOKUP(C2607,[1]page!$C$2:$M$3071,11,0)</f>
        <v>207.65</v>
      </c>
      <c r="T2607" s="6">
        <f t="shared" si="53"/>
        <v>5.1899999999999977</v>
      </c>
    </row>
    <row r="2608" spans="1:20" x14ac:dyDescent="0.2">
      <c r="A2608" t="s">
        <v>8150</v>
      </c>
      <c r="B2608" t="s">
        <v>8522</v>
      </c>
      <c r="C2608" t="s">
        <v>8523</v>
      </c>
      <c r="D2608" t="s">
        <v>8524</v>
      </c>
      <c r="E2608" t="s">
        <v>6284</v>
      </c>
      <c r="F2608" t="s">
        <v>6875</v>
      </c>
      <c r="G2608" s="1">
        <v>4</v>
      </c>
      <c r="H2608" s="1">
        <v>1</v>
      </c>
      <c r="I2608" t="s">
        <v>6285</v>
      </c>
      <c r="L2608" s="1">
        <v>1</v>
      </c>
      <c r="M2608" s="3">
        <v>212.84</v>
      </c>
      <c r="N2608" s="3">
        <v>10.64</v>
      </c>
      <c r="O2608" s="3">
        <v>0</v>
      </c>
      <c r="P2608" s="3">
        <v>20</v>
      </c>
      <c r="Q2608" s="3">
        <v>243.48</v>
      </c>
      <c r="S2608" s="3">
        <f>VLOOKUP(C2608,[1]page!$C$2:$M$3071,11,0)</f>
        <v>207.65</v>
      </c>
      <c r="T2608" s="6">
        <f t="shared" si="53"/>
        <v>5.1899999999999977</v>
      </c>
    </row>
    <row r="2609" spans="1:20" x14ac:dyDescent="0.2">
      <c r="A2609" t="s">
        <v>8150</v>
      </c>
      <c r="B2609" t="s">
        <v>8525</v>
      </c>
      <c r="C2609" t="s">
        <v>8526</v>
      </c>
      <c r="D2609" t="s">
        <v>8527</v>
      </c>
      <c r="E2609" t="s">
        <v>6284</v>
      </c>
      <c r="F2609" t="s">
        <v>6045</v>
      </c>
      <c r="G2609" s="1">
        <v>5</v>
      </c>
      <c r="H2609" s="1">
        <v>1</v>
      </c>
      <c r="I2609" t="s">
        <v>6285</v>
      </c>
      <c r="L2609" s="1">
        <v>1</v>
      </c>
      <c r="M2609" s="3">
        <v>170.03</v>
      </c>
      <c r="N2609" s="3">
        <v>8.5</v>
      </c>
      <c r="O2609" s="3">
        <v>0</v>
      </c>
      <c r="P2609" s="3">
        <v>20</v>
      </c>
      <c r="Q2609" s="3">
        <v>198.53</v>
      </c>
      <c r="S2609" s="3">
        <f>VLOOKUP(C2609,[1]page!$C$2:$M$3071,11,0)</f>
        <v>170.03</v>
      </c>
      <c r="T2609" s="6">
        <f t="shared" si="53"/>
        <v>0</v>
      </c>
    </row>
    <row r="2610" spans="1:20" x14ac:dyDescent="0.2">
      <c r="A2610" t="s">
        <v>8150</v>
      </c>
      <c r="B2610" t="s">
        <v>8528</v>
      </c>
      <c r="C2610" t="s">
        <v>8529</v>
      </c>
      <c r="D2610" t="s">
        <v>8530</v>
      </c>
      <c r="E2610" t="s">
        <v>6423</v>
      </c>
      <c r="F2610" t="s">
        <v>8531</v>
      </c>
      <c r="G2610" s="1">
        <v>5</v>
      </c>
      <c r="H2610" s="1">
        <v>24</v>
      </c>
      <c r="I2610" t="s">
        <v>7966</v>
      </c>
      <c r="L2610" s="1">
        <v>1</v>
      </c>
      <c r="M2610" s="3">
        <v>3.2</v>
      </c>
      <c r="N2610" s="3">
        <v>0.16</v>
      </c>
      <c r="O2610" s="3">
        <v>0</v>
      </c>
      <c r="P2610" s="3">
        <v>0</v>
      </c>
      <c r="Q2610" s="3">
        <v>3.36</v>
      </c>
      <c r="R2610" s="3">
        <v>1.65</v>
      </c>
      <c r="S2610" s="3">
        <f>VLOOKUP(C2610,[1]page!$C$2:$M$3071,11,0)</f>
        <v>3.2</v>
      </c>
      <c r="T2610" s="6">
        <f t="shared" si="53"/>
        <v>0</v>
      </c>
    </row>
    <row r="2611" spans="1:20" x14ac:dyDescent="0.2">
      <c r="A2611" t="s">
        <v>8150</v>
      </c>
      <c r="B2611" t="s">
        <v>8532</v>
      </c>
      <c r="C2611" t="s">
        <v>8533</v>
      </c>
      <c r="D2611" t="s">
        <v>8534</v>
      </c>
      <c r="E2611" t="s">
        <v>6190</v>
      </c>
      <c r="F2611" t="s">
        <v>8531</v>
      </c>
      <c r="G2611" s="1">
        <v>5</v>
      </c>
      <c r="H2611" s="1">
        <v>24</v>
      </c>
      <c r="I2611" t="s">
        <v>7966</v>
      </c>
      <c r="L2611" s="1">
        <v>1</v>
      </c>
      <c r="M2611" s="3">
        <v>3.2</v>
      </c>
      <c r="N2611" s="3">
        <v>0.16</v>
      </c>
      <c r="O2611" s="3">
        <v>0</v>
      </c>
      <c r="P2611" s="3">
        <v>0</v>
      </c>
      <c r="Q2611" s="3">
        <v>3.36</v>
      </c>
      <c r="R2611" s="3">
        <v>1.65</v>
      </c>
      <c r="S2611" s="3">
        <f>VLOOKUP(C2611,[1]page!$C$2:$M$3071,11,0)</f>
        <v>3.2</v>
      </c>
      <c r="T2611" s="6">
        <f t="shared" si="53"/>
        <v>0</v>
      </c>
    </row>
    <row r="2612" spans="1:20" x14ac:dyDescent="0.2">
      <c r="A2612" t="s">
        <v>8150</v>
      </c>
      <c r="B2612" t="s">
        <v>8535</v>
      </c>
      <c r="C2612" t="s">
        <v>8536</v>
      </c>
      <c r="D2612" t="s">
        <v>8537</v>
      </c>
      <c r="E2612" t="s">
        <v>8267</v>
      </c>
      <c r="F2612" t="s">
        <v>26</v>
      </c>
      <c r="G2612" s="1">
        <v>5</v>
      </c>
      <c r="H2612" s="1">
        <v>1</v>
      </c>
      <c r="I2612" t="s">
        <v>7966</v>
      </c>
      <c r="L2612" s="1">
        <v>24</v>
      </c>
      <c r="M2612" s="3">
        <v>45.99</v>
      </c>
      <c r="N2612" s="3">
        <v>2.2999999999999998</v>
      </c>
      <c r="O2612" s="3">
        <v>0</v>
      </c>
      <c r="P2612" s="3">
        <v>4.8</v>
      </c>
      <c r="Q2612" s="3">
        <v>53.09</v>
      </c>
      <c r="R2612" s="3">
        <f t="shared" ref="R2612:R2621" si="54">SUM(F2612*0.0043)</f>
        <v>36.636000000000003</v>
      </c>
      <c r="S2612" s="3">
        <f>VLOOKUP(C2612,[1]page!$C$2:$M$3071,11,0)</f>
        <v>45.99</v>
      </c>
      <c r="T2612" s="6">
        <f t="shared" si="53"/>
        <v>0</v>
      </c>
    </row>
    <row r="2613" spans="1:20" x14ac:dyDescent="0.2">
      <c r="A2613" t="s">
        <v>8150</v>
      </c>
      <c r="B2613" t="s">
        <v>8538</v>
      </c>
      <c r="C2613" t="s">
        <v>8539</v>
      </c>
      <c r="D2613" t="s">
        <v>8540</v>
      </c>
      <c r="E2613" t="s">
        <v>6190</v>
      </c>
      <c r="F2613" t="s">
        <v>26</v>
      </c>
      <c r="G2613" s="1">
        <v>5</v>
      </c>
      <c r="H2613" s="1">
        <v>1</v>
      </c>
      <c r="I2613" t="s">
        <v>7966</v>
      </c>
      <c r="L2613" s="1">
        <v>24</v>
      </c>
      <c r="M2613" s="3">
        <v>50.4</v>
      </c>
      <c r="N2613" s="3">
        <v>2.52</v>
      </c>
      <c r="O2613" s="3">
        <v>0</v>
      </c>
      <c r="P2613" s="3">
        <v>2.4</v>
      </c>
      <c r="Q2613" s="3">
        <v>55.32</v>
      </c>
      <c r="R2613" s="3">
        <f t="shared" si="54"/>
        <v>36.636000000000003</v>
      </c>
      <c r="S2613" s="3">
        <f>VLOOKUP(C2613,[1]page!$C$2:$M$3071,11,0)</f>
        <v>50.4</v>
      </c>
      <c r="T2613" s="6">
        <f t="shared" si="53"/>
        <v>0</v>
      </c>
    </row>
    <row r="2614" spans="1:20" x14ac:dyDescent="0.2">
      <c r="A2614" t="s">
        <v>8150</v>
      </c>
      <c r="B2614" t="s">
        <v>8541</v>
      </c>
      <c r="C2614" t="s">
        <v>8542</v>
      </c>
      <c r="D2614" t="s">
        <v>8543</v>
      </c>
      <c r="E2614" t="s">
        <v>6195</v>
      </c>
      <c r="F2614" t="s">
        <v>26</v>
      </c>
      <c r="G2614" s="2">
        <v>4.5</v>
      </c>
      <c r="H2614" s="1">
        <v>1</v>
      </c>
      <c r="I2614" t="s">
        <v>5961</v>
      </c>
      <c r="L2614" s="1">
        <v>24</v>
      </c>
      <c r="M2614" s="3">
        <v>49.49</v>
      </c>
      <c r="N2614" s="3">
        <v>2.4700000000000002</v>
      </c>
      <c r="O2614" s="3">
        <v>0</v>
      </c>
      <c r="P2614" s="3">
        <v>2.4</v>
      </c>
      <c r="Q2614" s="3">
        <v>54.36</v>
      </c>
      <c r="R2614" s="3">
        <f t="shared" si="54"/>
        <v>36.636000000000003</v>
      </c>
      <c r="S2614" s="3">
        <f>VLOOKUP(C2614,[1]page!$C$2:$M$3071,11,0)</f>
        <v>49.49</v>
      </c>
      <c r="T2614" s="6">
        <f t="shared" si="53"/>
        <v>0</v>
      </c>
    </row>
    <row r="2615" spans="1:20" x14ac:dyDescent="0.2">
      <c r="A2615" t="s">
        <v>8150</v>
      </c>
      <c r="B2615" t="s">
        <v>8544</v>
      </c>
      <c r="C2615" t="s">
        <v>8545</v>
      </c>
      <c r="D2615" t="s">
        <v>8546</v>
      </c>
      <c r="E2615" t="s">
        <v>6190</v>
      </c>
      <c r="F2615" t="s">
        <v>26</v>
      </c>
      <c r="G2615" s="1">
        <v>5</v>
      </c>
      <c r="H2615" s="1">
        <v>1</v>
      </c>
      <c r="I2615" t="s">
        <v>6191</v>
      </c>
      <c r="L2615" s="1">
        <v>24</v>
      </c>
      <c r="M2615" s="3">
        <v>46.99</v>
      </c>
      <c r="N2615" s="3">
        <v>2.35</v>
      </c>
      <c r="O2615" s="3">
        <v>0</v>
      </c>
      <c r="P2615" s="3">
        <v>2.4</v>
      </c>
      <c r="Q2615" s="3">
        <v>51.74</v>
      </c>
      <c r="R2615" s="3">
        <f t="shared" si="54"/>
        <v>36.636000000000003</v>
      </c>
      <c r="S2615" s="3">
        <f>VLOOKUP(C2615,[1]page!$C$2:$M$3071,11,0)</f>
        <v>46.99</v>
      </c>
      <c r="T2615" s="6">
        <f t="shared" si="53"/>
        <v>0</v>
      </c>
    </row>
    <row r="2616" spans="1:20" x14ac:dyDescent="0.2">
      <c r="A2616" t="s">
        <v>8150</v>
      </c>
      <c r="B2616" t="s">
        <v>8547</v>
      </c>
      <c r="C2616" t="s">
        <v>8548</v>
      </c>
      <c r="D2616" t="s">
        <v>8549</v>
      </c>
      <c r="E2616" t="s">
        <v>6195</v>
      </c>
      <c r="F2616" t="s">
        <v>26</v>
      </c>
      <c r="G2616" s="1">
        <v>5</v>
      </c>
      <c r="H2616" s="1">
        <v>1</v>
      </c>
      <c r="I2616" t="s">
        <v>5961</v>
      </c>
      <c r="L2616" s="1">
        <v>24</v>
      </c>
      <c r="M2616" s="3">
        <v>49.49</v>
      </c>
      <c r="N2616" s="3">
        <v>2.4700000000000002</v>
      </c>
      <c r="O2616" s="3">
        <v>0</v>
      </c>
      <c r="P2616" s="3">
        <v>2.4</v>
      </c>
      <c r="Q2616" s="3">
        <v>54.36</v>
      </c>
      <c r="R2616" s="3">
        <f t="shared" si="54"/>
        <v>36.636000000000003</v>
      </c>
      <c r="S2616" s="3">
        <f>VLOOKUP(C2616,[1]page!$C$2:$M$3071,11,0)</f>
        <v>49.49</v>
      </c>
      <c r="T2616" s="6">
        <f t="shared" si="53"/>
        <v>0</v>
      </c>
    </row>
    <row r="2617" spans="1:20" x14ac:dyDescent="0.2">
      <c r="A2617" t="s">
        <v>8150</v>
      </c>
      <c r="B2617" t="s">
        <v>8551</v>
      </c>
      <c r="C2617" t="s">
        <v>8552</v>
      </c>
      <c r="D2617" t="s">
        <v>8553</v>
      </c>
      <c r="E2617" t="s">
        <v>6190</v>
      </c>
      <c r="F2617" t="s">
        <v>7430</v>
      </c>
      <c r="G2617" s="1">
        <v>5</v>
      </c>
      <c r="H2617" s="1">
        <v>1</v>
      </c>
      <c r="I2617" t="s">
        <v>7966</v>
      </c>
      <c r="L2617" s="1">
        <v>30</v>
      </c>
      <c r="M2617" s="3">
        <v>61.23</v>
      </c>
      <c r="N2617" s="3">
        <v>3.06</v>
      </c>
      <c r="O2617" s="3">
        <v>0</v>
      </c>
      <c r="P2617" s="3">
        <v>3</v>
      </c>
      <c r="Q2617" s="3">
        <v>67.290000000000006</v>
      </c>
      <c r="R2617" s="3">
        <f t="shared" si="54"/>
        <v>45.795000000000002</v>
      </c>
      <c r="S2617" s="3">
        <f>VLOOKUP(C2617,[1]page!$C$2:$M$3071,11,0)</f>
        <v>61.23</v>
      </c>
      <c r="T2617" s="6">
        <f t="shared" si="53"/>
        <v>0</v>
      </c>
    </row>
    <row r="2618" spans="1:20" x14ac:dyDescent="0.2">
      <c r="A2618" t="s">
        <v>8150</v>
      </c>
      <c r="B2618" t="s">
        <v>8554</v>
      </c>
      <c r="C2618" t="s">
        <v>8555</v>
      </c>
      <c r="D2618" t="s">
        <v>8556</v>
      </c>
      <c r="E2618" t="s">
        <v>6195</v>
      </c>
      <c r="F2618" t="s">
        <v>7430</v>
      </c>
      <c r="G2618" s="1">
        <v>5</v>
      </c>
      <c r="H2618" s="1">
        <v>1</v>
      </c>
      <c r="I2618" t="s">
        <v>5961</v>
      </c>
      <c r="L2618" s="1">
        <v>30</v>
      </c>
      <c r="M2618" s="3">
        <v>59.99</v>
      </c>
      <c r="N2618" s="3">
        <v>3</v>
      </c>
      <c r="O2618" s="3">
        <v>0</v>
      </c>
      <c r="P2618" s="3">
        <v>3</v>
      </c>
      <c r="Q2618" s="3">
        <v>65.989999999999995</v>
      </c>
      <c r="R2618" s="3">
        <f t="shared" si="54"/>
        <v>45.795000000000002</v>
      </c>
      <c r="S2618" s="3">
        <f>VLOOKUP(C2618,[1]page!$C$2:$M$3071,11,0)</f>
        <v>59.99</v>
      </c>
      <c r="T2618" s="6">
        <f t="shared" si="53"/>
        <v>0</v>
      </c>
    </row>
    <row r="2619" spans="1:20" x14ac:dyDescent="0.2">
      <c r="A2619" t="s">
        <v>8150</v>
      </c>
      <c r="B2619" t="s">
        <v>8557</v>
      </c>
      <c r="C2619" t="s">
        <v>8558</v>
      </c>
      <c r="D2619" t="s">
        <v>8559</v>
      </c>
      <c r="E2619" t="s">
        <v>6195</v>
      </c>
      <c r="F2619" t="s">
        <v>7430</v>
      </c>
      <c r="G2619" s="1">
        <v>5</v>
      </c>
      <c r="H2619" s="1">
        <v>1</v>
      </c>
      <c r="I2619" t="s">
        <v>5961</v>
      </c>
      <c r="L2619" s="1">
        <v>30</v>
      </c>
      <c r="M2619" s="3">
        <v>57.53</v>
      </c>
      <c r="N2619" s="3">
        <v>2.88</v>
      </c>
      <c r="O2619" s="3">
        <v>0</v>
      </c>
      <c r="P2619" s="3">
        <v>3</v>
      </c>
      <c r="Q2619" s="3">
        <v>63.41</v>
      </c>
      <c r="R2619" s="3">
        <f t="shared" si="54"/>
        <v>45.795000000000002</v>
      </c>
      <c r="S2619" s="3">
        <f>VLOOKUP(C2619,[1]page!$C$2:$M$3071,11,0)</f>
        <v>57.53</v>
      </c>
      <c r="T2619" s="6">
        <f t="shared" si="53"/>
        <v>0</v>
      </c>
    </row>
    <row r="2620" spans="1:20" x14ac:dyDescent="0.2">
      <c r="A2620" t="s">
        <v>8150</v>
      </c>
      <c r="B2620" t="s">
        <v>8560</v>
      </c>
      <c r="C2620" t="s">
        <v>8561</v>
      </c>
      <c r="D2620" t="s">
        <v>8562</v>
      </c>
      <c r="E2620" t="s">
        <v>8550</v>
      </c>
      <c r="F2620" t="s">
        <v>7430</v>
      </c>
      <c r="G2620" s="1">
        <v>5</v>
      </c>
      <c r="H2620" s="1">
        <v>1</v>
      </c>
      <c r="I2620" t="s">
        <v>7966</v>
      </c>
      <c r="L2620" s="1">
        <v>30</v>
      </c>
      <c r="M2620" s="3">
        <v>61.7</v>
      </c>
      <c r="N2620" s="3">
        <v>3.09</v>
      </c>
      <c r="O2620" s="3">
        <v>0</v>
      </c>
      <c r="P2620" s="3">
        <v>3</v>
      </c>
      <c r="Q2620" s="3">
        <v>67.790000000000006</v>
      </c>
      <c r="R2620" s="3">
        <f t="shared" si="54"/>
        <v>45.795000000000002</v>
      </c>
      <c r="S2620" s="3">
        <f>VLOOKUP(C2620,[1]page!$C$2:$M$3071,11,0)</f>
        <v>61.7</v>
      </c>
      <c r="T2620" s="6">
        <f t="shared" si="53"/>
        <v>0</v>
      </c>
    </row>
    <row r="2621" spans="1:20" x14ac:dyDescent="0.2">
      <c r="A2621" t="s">
        <v>8150</v>
      </c>
      <c r="B2621" t="s">
        <v>8563</v>
      </c>
      <c r="C2621" t="s">
        <v>8564</v>
      </c>
      <c r="D2621" t="s">
        <v>8565</v>
      </c>
      <c r="E2621" t="s">
        <v>6195</v>
      </c>
      <c r="F2621" t="s">
        <v>7430</v>
      </c>
      <c r="G2621" s="1">
        <v>5</v>
      </c>
      <c r="H2621" s="1">
        <v>1</v>
      </c>
      <c r="I2621" t="s">
        <v>5961</v>
      </c>
      <c r="L2621" s="1">
        <v>30</v>
      </c>
      <c r="M2621" s="3">
        <v>59.99</v>
      </c>
      <c r="N2621" s="3">
        <v>3</v>
      </c>
      <c r="O2621" s="3">
        <v>0</v>
      </c>
      <c r="P2621" s="3">
        <v>3</v>
      </c>
      <c r="Q2621" s="3">
        <v>65.989999999999995</v>
      </c>
      <c r="R2621" s="3">
        <f t="shared" si="54"/>
        <v>45.795000000000002</v>
      </c>
      <c r="S2621" s="3">
        <f>VLOOKUP(C2621,[1]page!$C$2:$M$3071,11,0)</f>
        <v>59.99</v>
      </c>
      <c r="T2621" s="6">
        <f t="shared" si="53"/>
        <v>0</v>
      </c>
    </row>
    <row r="2622" spans="1:20" x14ac:dyDescent="0.2">
      <c r="A2622" t="s">
        <v>8150</v>
      </c>
      <c r="B2622" t="s">
        <v>8566</v>
      </c>
      <c r="C2622" t="s">
        <v>8567</v>
      </c>
      <c r="D2622" t="s">
        <v>8568</v>
      </c>
      <c r="E2622" t="s">
        <v>6190</v>
      </c>
      <c r="F2622" t="s">
        <v>1041</v>
      </c>
      <c r="G2622" s="1">
        <v>11</v>
      </c>
      <c r="H2622" s="1">
        <v>1</v>
      </c>
      <c r="I2622" t="s">
        <v>7966</v>
      </c>
      <c r="L2622" s="1">
        <v>4</v>
      </c>
      <c r="M2622" s="3">
        <v>13.98</v>
      </c>
      <c r="N2622" s="3">
        <v>0.7</v>
      </c>
      <c r="O2622" s="3">
        <v>0</v>
      </c>
      <c r="P2622" s="3">
        <v>0.4</v>
      </c>
      <c r="Q2622" s="3">
        <v>15.08</v>
      </c>
      <c r="R2622" s="3">
        <v>7.5</v>
      </c>
      <c r="S2622" s="3">
        <f>VLOOKUP(C2622,[1]page!$C$2:$M$3071,11,0)</f>
        <v>13.98</v>
      </c>
      <c r="T2622" s="6">
        <f t="shared" si="53"/>
        <v>0</v>
      </c>
    </row>
    <row r="2623" spans="1:20" x14ac:dyDescent="0.2">
      <c r="A2623" t="s">
        <v>8150</v>
      </c>
      <c r="B2623" t="s">
        <v>8569</v>
      </c>
      <c r="C2623" t="s">
        <v>8570</v>
      </c>
      <c r="D2623" t="s">
        <v>8571</v>
      </c>
      <c r="E2623" t="s">
        <v>6190</v>
      </c>
      <c r="F2623" t="s">
        <v>1041</v>
      </c>
      <c r="G2623" s="2">
        <v>12.5</v>
      </c>
      <c r="H2623" s="1">
        <v>1</v>
      </c>
      <c r="I2623" t="s">
        <v>7966</v>
      </c>
      <c r="L2623" s="1">
        <v>4</v>
      </c>
      <c r="M2623" s="3">
        <v>14.18</v>
      </c>
      <c r="N2623" s="3">
        <v>0.71</v>
      </c>
      <c r="O2623" s="3">
        <v>0</v>
      </c>
      <c r="P2623" s="3">
        <v>0.4</v>
      </c>
      <c r="Q2623" s="3">
        <v>15.29</v>
      </c>
      <c r="R2623" s="3">
        <v>7.5</v>
      </c>
      <c r="S2623" s="3">
        <f>VLOOKUP(C2623,[1]page!$C$2:$M$3071,11,0)</f>
        <v>14.18</v>
      </c>
      <c r="T2623" s="6">
        <f t="shared" si="53"/>
        <v>0</v>
      </c>
    </row>
    <row r="2624" spans="1:20" x14ac:dyDescent="0.2">
      <c r="A2624" t="s">
        <v>8150</v>
      </c>
      <c r="B2624" t="s">
        <v>8572</v>
      </c>
      <c r="C2624" t="s">
        <v>8573</v>
      </c>
      <c r="D2624" t="s">
        <v>8574</v>
      </c>
      <c r="E2624" t="s">
        <v>6190</v>
      </c>
      <c r="F2624" t="s">
        <v>1041</v>
      </c>
      <c r="G2624" s="2">
        <v>12.5</v>
      </c>
      <c r="H2624" s="1">
        <v>1</v>
      </c>
      <c r="I2624" t="s">
        <v>6191</v>
      </c>
      <c r="L2624" s="1">
        <v>4</v>
      </c>
      <c r="M2624" s="3">
        <v>14.18</v>
      </c>
      <c r="N2624" s="3">
        <v>0.71</v>
      </c>
      <c r="O2624" s="3">
        <v>0</v>
      </c>
      <c r="P2624" s="3">
        <v>0.4</v>
      </c>
      <c r="Q2624" s="3">
        <v>15.29</v>
      </c>
      <c r="R2624" s="3">
        <v>7.5</v>
      </c>
      <c r="S2624" s="3">
        <f>VLOOKUP(C2624,[1]page!$C$2:$M$3071,11,0)</f>
        <v>14.18</v>
      </c>
      <c r="T2624" s="6">
        <f t="shared" si="53"/>
        <v>0</v>
      </c>
    </row>
    <row r="2625" spans="1:20" x14ac:dyDescent="0.2">
      <c r="A2625" t="s">
        <v>8150</v>
      </c>
      <c r="B2625" t="s">
        <v>8575</v>
      </c>
      <c r="C2625" t="s">
        <v>8576</v>
      </c>
      <c r="D2625" t="s">
        <v>8577</v>
      </c>
      <c r="E2625" t="s">
        <v>6190</v>
      </c>
      <c r="F2625" t="s">
        <v>1041</v>
      </c>
      <c r="G2625" s="2">
        <v>12.5</v>
      </c>
      <c r="H2625" s="1">
        <v>1</v>
      </c>
      <c r="I2625" t="s">
        <v>7966</v>
      </c>
      <c r="L2625" s="1">
        <v>4</v>
      </c>
      <c r="M2625" s="3">
        <v>14.18</v>
      </c>
      <c r="N2625" s="3">
        <v>0.71</v>
      </c>
      <c r="O2625" s="3">
        <v>0</v>
      </c>
      <c r="P2625" s="3">
        <v>0.4</v>
      </c>
      <c r="Q2625" s="3">
        <v>15.29</v>
      </c>
      <c r="R2625" s="3">
        <v>7.5</v>
      </c>
      <c r="S2625" s="3">
        <f>VLOOKUP(C2625,[1]page!$C$2:$M$3071,11,0)</f>
        <v>14.18</v>
      </c>
      <c r="T2625" s="6">
        <f t="shared" si="53"/>
        <v>0</v>
      </c>
    </row>
    <row r="2626" spans="1:20" x14ac:dyDescent="0.2">
      <c r="A2626" t="s">
        <v>8150</v>
      </c>
      <c r="B2626" t="s">
        <v>8578</v>
      </c>
      <c r="C2626" t="s">
        <v>8579</v>
      </c>
      <c r="D2626" t="s">
        <v>8580</v>
      </c>
      <c r="E2626" t="s">
        <v>6190</v>
      </c>
      <c r="F2626" t="s">
        <v>1041</v>
      </c>
      <c r="G2626" s="1">
        <v>7</v>
      </c>
      <c r="H2626" s="1">
        <v>1</v>
      </c>
      <c r="I2626" t="s">
        <v>7966</v>
      </c>
      <c r="L2626" s="1">
        <v>4</v>
      </c>
      <c r="M2626" s="3">
        <v>12.19</v>
      </c>
      <c r="N2626" s="3">
        <v>0.61</v>
      </c>
      <c r="O2626" s="3">
        <v>0</v>
      </c>
      <c r="P2626" s="3">
        <v>0.4</v>
      </c>
      <c r="Q2626" s="3">
        <v>13.2</v>
      </c>
      <c r="R2626" s="3">
        <v>7.5</v>
      </c>
      <c r="S2626" s="3">
        <f>VLOOKUP(C2626,[1]page!$C$2:$M$3071,11,0)</f>
        <v>12.19</v>
      </c>
      <c r="T2626" s="6">
        <f t="shared" si="53"/>
        <v>0</v>
      </c>
    </row>
    <row r="2627" spans="1:20" x14ac:dyDescent="0.2">
      <c r="A2627" t="s">
        <v>8150</v>
      </c>
      <c r="B2627" t="s">
        <v>8581</v>
      </c>
      <c r="C2627" t="s">
        <v>8582</v>
      </c>
      <c r="D2627" t="s">
        <v>8583</v>
      </c>
      <c r="E2627" t="s">
        <v>8304</v>
      </c>
      <c r="F2627" t="s">
        <v>1041</v>
      </c>
      <c r="G2627" s="1">
        <v>7</v>
      </c>
      <c r="H2627" s="1">
        <v>1</v>
      </c>
      <c r="I2627" t="s">
        <v>5617</v>
      </c>
      <c r="L2627" s="1">
        <v>4</v>
      </c>
      <c r="M2627" s="3">
        <v>11.9</v>
      </c>
      <c r="N2627" s="3">
        <v>0.6</v>
      </c>
      <c r="O2627" s="3">
        <v>0</v>
      </c>
      <c r="P2627" s="3">
        <v>0.4</v>
      </c>
      <c r="Q2627" s="3">
        <v>12.9</v>
      </c>
      <c r="R2627" s="3">
        <v>7.5</v>
      </c>
      <c r="S2627" s="3">
        <f>VLOOKUP(C2627,[1]page!$C$2:$M$3071,11,0)</f>
        <v>11.9</v>
      </c>
      <c r="T2627" s="6">
        <f t="shared" si="53"/>
        <v>0</v>
      </c>
    </row>
    <row r="2628" spans="1:20" x14ac:dyDescent="0.2">
      <c r="A2628" t="s">
        <v>8150</v>
      </c>
      <c r="B2628" t="s">
        <v>8584</v>
      </c>
      <c r="C2628" t="s">
        <v>8585</v>
      </c>
      <c r="D2628" t="s">
        <v>8586</v>
      </c>
      <c r="E2628" t="s">
        <v>6423</v>
      </c>
      <c r="F2628" t="s">
        <v>719</v>
      </c>
      <c r="G2628" s="1">
        <v>7</v>
      </c>
      <c r="H2628" s="1">
        <v>1</v>
      </c>
      <c r="I2628" t="s">
        <v>7966</v>
      </c>
      <c r="L2628" s="1">
        <v>6</v>
      </c>
      <c r="M2628" s="3">
        <v>14.53</v>
      </c>
      <c r="N2628" s="3">
        <v>0.73</v>
      </c>
      <c r="O2628" s="3">
        <v>0</v>
      </c>
      <c r="P2628" s="3">
        <v>1.2</v>
      </c>
      <c r="Q2628" s="3">
        <v>16.46</v>
      </c>
      <c r="R2628" s="3">
        <v>10.8</v>
      </c>
      <c r="S2628" s="3" t="e">
        <f>VLOOKUP(C2628,[1]page!$C$2:$M$3071,11,0)</f>
        <v>#N/A</v>
      </c>
      <c r="T2628" s="6" t="e">
        <f t="shared" si="53"/>
        <v>#N/A</v>
      </c>
    </row>
    <row r="2629" spans="1:20" x14ac:dyDescent="0.2">
      <c r="A2629" t="s">
        <v>8150</v>
      </c>
      <c r="B2629" t="s">
        <v>8587</v>
      </c>
      <c r="C2629" t="s">
        <v>8588</v>
      </c>
      <c r="D2629" t="s">
        <v>8589</v>
      </c>
      <c r="E2629" t="s">
        <v>8236</v>
      </c>
      <c r="F2629" t="s">
        <v>5984</v>
      </c>
      <c r="G2629" s="1">
        <v>5</v>
      </c>
      <c r="H2629" s="1">
        <v>1</v>
      </c>
      <c r="I2629" t="s">
        <v>7966</v>
      </c>
      <c r="L2629" s="1">
        <v>6</v>
      </c>
      <c r="M2629" s="3">
        <v>14.24</v>
      </c>
      <c r="N2629" s="3">
        <v>0.71</v>
      </c>
      <c r="O2629" s="3">
        <v>0</v>
      </c>
      <c r="P2629" s="3">
        <v>0.6</v>
      </c>
      <c r="Q2629" s="3">
        <v>15.55</v>
      </c>
      <c r="R2629" s="3">
        <v>9.25</v>
      </c>
      <c r="S2629" s="3">
        <f>VLOOKUP(C2629,[1]page!$C$2:$M$3071,11,0)</f>
        <v>14.24</v>
      </c>
      <c r="T2629" s="6">
        <f t="shared" si="53"/>
        <v>0</v>
      </c>
    </row>
    <row r="2630" spans="1:20" x14ac:dyDescent="0.2">
      <c r="A2630" t="s">
        <v>8150</v>
      </c>
      <c r="B2630" t="s">
        <v>8590</v>
      </c>
      <c r="C2630" t="s">
        <v>8591</v>
      </c>
      <c r="D2630" t="s">
        <v>8592</v>
      </c>
      <c r="E2630" t="s">
        <v>6195</v>
      </c>
      <c r="F2630" t="s">
        <v>5984</v>
      </c>
      <c r="G2630" s="1">
        <v>5</v>
      </c>
      <c r="H2630" s="1">
        <v>1</v>
      </c>
      <c r="I2630" t="s">
        <v>5961</v>
      </c>
      <c r="L2630" s="1">
        <v>6</v>
      </c>
      <c r="M2630" s="3">
        <v>13.25</v>
      </c>
      <c r="N2630" s="3">
        <v>0.66</v>
      </c>
      <c r="O2630" s="3">
        <v>0</v>
      </c>
      <c r="P2630" s="3">
        <v>0.6</v>
      </c>
      <c r="Q2630" s="3">
        <v>14.51</v>
      </c>
      <c r="R2630" s="3">
        <v>9.25</v>
      </c>
      <c r="S2630" s="3">
        <f>VLOOKUP(C2630,[1]page!$C$2:$M$3071,11,0)</f>
        <v>13.25</v>
      </c>
      <c r="T2630" s="6">
        <f t="shared" si="53"/>
        <v>0</v>
      </c>
    </row>
    <row r="2631" spans="1:20" x14ac:dyDescent="0.2">
      <c r="A2631" t="s">
        <v>8150</v>
      </c>
      <c r="B2631" t="s">
        <v>8593</v>
      </c>
      <c r="C2631" t="s">
        <v>8594</v>
      </c>
      <c r="D2631" t="s">
        <v>8595</v>
      </c>
      <c r="E2631" t="s">
        <v>8166</v>
      </c>
      <c r="F2631" t="s">
        <v>5984</v>
      </c>
      <c r="G2631" s="1">
        <v>5</v>
      </c>
      <c r="H2631" s="1">
        <v>1</v>
      </c>
      <c r="I2631" t="s">
        <v>5961</v>
      </c>
      <c r="L2631" s="1">
        <v>6</v>
      </c>
      <c r="M2631" s="3">
        <v>13.89</v>
      </c>
      <c r="N2631" s="3">
        <v>0.69</v>
      </c>
      <c r="O2631" s="3">
        <v>0</v>
      </c>
      <c r="P2631" s="3">
        <v>0.6</v>
      </c>
      <c r="Q2631" s="3">
        <v>15.18</v>
      </c>
      <c r="R2631" s="3">
        <v>9.25</v>
      </c>
      <c r="S2631" s="3">
        <f>VLOOKUP(C2631,[1]page!$C$2:$M$3071,11,0)</f>
        <v>13.89</v>
      </c>
      <c r="T2631" s="6">
        <f t="shared" si="53"/>
        <v>0</v>
      </c>
    </row>
    <row r="2632" spans="1:20" x14ac:dyDescent="0.2">
      <c r="A2632" t="s">
        <v>8150</v>
      </c>
      <c r="B2632" t="s">
        <v>8596</v>
      </c>
      <c r="C2632" t="s">
        <v>8597</v>
      </c>
      <c r="D2632" t="s">
        <v>8598</v>
      </c>
      <c r="E2632" t="s">
        <v>8166</v>
      </c>
      <c r="F2632" t="s">
        <v>5984</v>
      </c>
      <c r="G2632" s="1">
        <v>5</v>
      </c>
      <c r="H2632" s="1">
        <v>1</v>
      </c>
      <c r="I2632" t="s">
        <v>5961</v>
      </c>
      <c r="L2632" s="1">
        <v>6</v>
      </c>
      <c r="M2632" s="3">
        <v>13.3</v>
      </c>
      <c r="N2632" s="3">
        <v>0.67</v>
      </c>
      <c r="O2632" s="3">
        <v>0</v>
      </c>
      <c r="P2632" s="3">
        <v>0.6</v>
      </c>
      <c r="Q2632" s="3">
        <v>14.57</v>
      </c>
      <c r="R2632" s="3">
        <v>9.25</v>
      </c>
      <c r="S2632" s="3">
        <f>VLOOKUP(C2632,[1]page!$C$2:$M$3071,11,0)</f>
        <v>13.3</v>
      </c>
      <c r="T2632" s="6">
        <f t="shared" si="53"/>
        <v>0</v>
      </c>
    </row>
    <row r="2633" spans="1:20" x14ac:dyDescent="0.2">
      <c r="A2633" t="s">
        <v>8150</v>
      </c>
      <c r="B2633" t="s">
        <v>8599</v>
      </c>
      <c r="C2633" t="s">
        <v>8600</v>
      </c>
      <c r="D2633" t="s">
        <v>8601</v>
      </c>
      <c r="E2633" t="s">
        <v>8166</v>
      </c>
      <c r="F2633" t="s">
        <v>5984</v>
      </c>
      <c r="G2633" s="2">
        <v>4.5</v>
      </c>
      <c r="H2633" s="1">
        <v>1</v>
      </c>
      <c r="I2633" t="s">
        <v>5961</v>
      </c>
      <c r="L2633" s="1">
        <v>6</v>
      </c>
      <c r="M2633" s="3">
        <v>13.3</v>
      </c>
      <c r="N2633" s="3">
        <v>0.67</v>
      </c>
      <c r="O2633" s="3">
        <v>0</v>
      </c>
      <c r="P2633" s="3">
        <v>0.6</v>
      </c>
      <c r="Q2633" s="3">
        <v>14.57</v>
      </c>
      <c r="R2633" s="3">
        <v>9.25</v>
      </c>
      <c r="S2633" s="3">
        <f>VLOOKUP(C2633,[1]page!$C$2:$M$3071,11,0)</f>
        <v>13.3</v>
      </c>
      <c r="T2633" s="6">
        <f t="shared" si="53"/>
        <v>0</v>
      </c>
    </row>
    <row r="2634" spans="1:20" x14ac:dyDescent="0.2">
      <c r="A2634" t="s">
        <v>8150</v>
      </c>
      <c r="B2634" t="s">
        <v>8602</v>
      </c>
      <c r="C2634" t="s">
        <v>8603</v>
      </c>
      <c r="D2634" t="s">
        <v>8604</v>
      </c>
      <c r="E2634" t="s">
        <v>6423</v>
      </c>
      <c r="F2634" t="s">
        <v>5984</v>
      </c>
      <c r="G2634" s="1">
        <v>5</v>
      </c>
      <c r="H2634" s="1">
        <v>1</v>
      </c>
      <c r="I2634" t="s">
        <v>7966</v>
      </c>
      <c r="L2634" s="1">
        <v>6</v>
      </c>
      <c r="M2634" s="3">
        <v>13.89</v>
      </c>
      <c r="N2634" s="3">
        <v>0.69</v>
      </c>
      <c r="O2634" s="3">
        <v>0</v>
      </c>
      <c r="P2634" s="3">
        <v>0.6</v>
      </c>
      <c r="Q2634" s="3">
        <v>15.18</v>
      </c>
      <c r="R2634" s="3">
        <v>9.25</v>
      </c>
      <c r="S2634" s="3">
        <f>VLOOKUP(C2634,[1]page!$C$2:$M$3071,11,0)</f>
        <v>13.89</v>
      </c>
      <c r="T2634" s="6">
        <f t="shared" si="53"/>
        <v>0</v>
      </c>
    </row>
    <row r="2635" spans="1:20" x14ac:dyDescent="0.2">
      <c r="A2635" t="s">
        <v>8150</v>
      </c>
      <c r="B2635" t="s">
        <v>8605</v>
      </c>
      <c r="C2635" t="s">
        <v>8606</v>
      </c>
      <c r="D2635" t="s">
        <v>8607</v>
      </c>
      <c r="E2635" t="s">
        <v>6423</v>
      </c>
      <c r="F2635" t="s">
        <v>5984</v>
      </c>
      <c r="G2635" s="1">
        <v>5</v>
      </c>
      <c r="H2635" s="1">
        <v>1</v>
      </c>
      <c r="I2635" t="s">
        <v>7966</v>
      </c>
      <c r="L2635" s="1">
        <v>6</v>
      </c>
      <c r="M2635" s="3">
        <v>13.89</v>
      </c>
      <c r="N2635" s="3">
        <v>0.69</v>
      </c>
      <c r="O2635" s="3">
        <v>0</v>
      </c>
      <c r="P2635" s="3">
        <v>0.6</v>
      </c>
      <c r="Q2635" s="3">
        <v>15.18</v>
      </c>
      <c r="R2635" s="3">
        <v>9.25</v>
      </c>
      <c r="S2635" s="3">
        <f>VLOOKUP(C2635,[1]page!$C$2:$M$3071,11,0)</f>
        <v>13.89</v>
      </c>
      <c r="T2635" s="6">
        <f t="shared" si="53"/>
        <v>0</v>
      </c>
    </row>
    <row r="2636" spans="1:20" x14ac:dyDescent="0.2">
      <c r="A2636" t="s">
        <v>8150</v>
      </c>
      <c r="B2636" t="s">
        <v>8608</v>
      </c>
      <c r="C2636" t="s">
        <v>8609</v>
      </c>
      <c r="D2636" t="s">
        <v>8610</v>
      </c>
      <c r="E2636" t="s">
        <v>6423</v>
      </c>
      <c r="F2636" t="s">
        <v>5984</v>
      </c>
      <c r="G2636" s="1">
        <v>5</v>
      </c>
      <c r="H2636" s="1">
        <v>1</v>
      </c>
      <c r="I2636" t="s">
        <v>7966</v>
      </c>
      <c r="L2636" s="1">
        <v>6</v>
      </c>
      <c r="M2636" s="3">
        <v>13.89</v>
      </c>
      <c r="N2636" s="3">
        <v>0.69</v>
      </c>
      <c r="O2636" s="3">
        <v>0</v>
      </c>
      <c r="P2636" s="3">
        <v>0.6</v>
      </c>
      <c r="Q2636" s="3">
        <v>15.18</v>
      </c>
      <c r="R2636" s="3">
        <v>9.25</v>
      </c>
      <c r="S2636" s="3">
        <f>VLOOKUP(C2636,[1]page!$C$2:$M$3071,11,0)</f>
        <v>13.89</v>
      </c>
      <c r="T2636" s="6">
        <f t="shared" si="53"/>
        <v>0</v>
      </c>
    </row>
    <row r="2637" spans="1:20" x14ac:dyDescent="0.2">
      <c r="A2637" t="s">
        <v>8150</v>
      </c>
      <c r="B2637" t="s">
        <v>8611</v>
      </c>
      <c r="C2637" t="s">
        <v>8612</v>
      </c>
      <c r="D2637" t="s">
        <v>8613</v>
      </c>
      <c r="E2637" t="s">
        <v>6423</v>
      </c>
      <c r="F2637" t="s">
        <v>5984</v>
      </c>
      <c r="G2637" s="1">
        <v>5</v>
      </c>
      <c r="H2637" s="1">
        <v>1</v>
      </c>
      <c r="I2637" t="s">
        <v>7966</v>
      </c>
      <c r="L2637" s="1">
        <v>6</v>
      </c>
      <c r="M2637" s="3">
        <v>13.89</v>
      </c>
      <c r="N2637" s="3">
        <v>0.69</v>
      </c>
      <c r="O2637" s="3">
        <v>0</v>
      </c>
      <c r="P2637" s="3">
        <v>0.6</v>
      </c>
      <c r="Q2637" s="3">
        <v>15.18</v>
      </c>
      <c r="R2637" s="3">
        <v>9.25</v>
      </c>
      <c r="S2637" s="3">
        <f>VLOOKUP(C2637,[1]page!$C$2:$M$3071,11,0)</f>
        <v>13.89</v>
      </c>
      <c r="T2637" s="6">
        <f t="shared" si="53"/>
        <v>0</v>
      </c>
    </row>
    <row r="2638" spans="1:20" x14ac:dyDescent="0.2">
      <c r="A2638" t="s">
        <v>8150</v>
      </c>
      <c r="B2638" t="s">
        <v>8614</v>
      </c>
      <c r="C2638" t="s">
        <v>8615</v>
      </c>
      <c r="D2638" t="s">
        <v>8616</v>
      </c>
      <c r="E2638" t="s">
        <v>6423</v>
      </c>
      <c r="F2638" t="s">
        <v>5984</v>
      </c>
      <c r="G2638" s="1">
        <v>4</v>
      </c>
      <c r="H2638" s="1">
        <v>1</v>
      </c>
      <c r="I2638" t="s">
        <v>7966</v>
      </c>
      <c r="L2638" s="1">
        <v>6</v>
      </c>
      <c r="M2638" s="3">
        <v>13.98</v>
      </c>
      <c r="N2638" s="3">
        <v>0.7</v>
      </c>
      <c r="O2638" s="3">
        <v>0</v>
      </c>
      <c r="P2638" s="3">
        <v>0.6</v>
      </c>
      <c r="Q2638" s="3">
        <v>15.28</v>
      </c>
      <c r="R2638" s="3">
        <v>9.25</v>
      </c>
      <c r="S2638" s="3">
        <f>VLOOKUP(C2638,[1]page!$C$2:$M$3071,11,0)</f>
        <v>13.98</v>
      </c>
      <c r="T2638" s="6">
        <f t="shared" si="53"/>
        <v>0</v>
      </c>
    </row>
    <row r="2639" spans="1:20" x14ac:dyDescent="0.2">
      <c r="A2639" t="s">
        <v>8150</v>
      </c>
      <c r="B2639" t="s">
        <v>8617</v>
      </c>
      <c r="C2639" t="s">
        <v>8618</v>
      </c>
      <c r="D2639" t="s">
        <v>8619</v>
      </c>
      <c r="E2639" t="s">
        <v>6423</v>
      </c>
      <c r="F2639" t="s">
        <v>5984</v>
      </c>
      <c r="G2639" s="1">
        <v>4</v>
      </c>
      <c r="H2639" s="1">
        <v>1</v>
      </c>
      <c r="I2639" t="s">
        <v>7966</v>
      </c>
      <c r="L2639" s="1">
        <v>6</v>
      </c>
      <c r="M2639" s="3">
        <v>13.98</v>
      </c>
      <c r="N2639" s="3">
        <v>0.7</v>
      </c>
      <c r="O2639" s="3">
        <v>0</v>
      </c>
      <c r="P2639" s="3">
        <v>0.6</v>
      </c>
      <c r="Q2639" s="3">
        <v>15.28</v>
      </c>
      <c r="R2639" s="3">
        <v>9.25</v>
      </c>
      <c r="S2639" s="3">
        <f>VLOOKUP(C2639,[1]page!$C$2:$M$3071,11,0)</f>
        <v>13.98</v>
      </c>
      <c r="T2639" s="6">
        <f t="shared" si="53"/>
        <v>0</v>
      </c>
    </row>
    <row r="2640" spans="1:20" x14ac:dyDescent="0.2">
      <c r="A2640" t="s">
        <v>8150</v>
      </c>
      <c r="B2640" t="s">
        <v>8620</v>
      </c>
      <c r="C2640" t="s">
        <v>8621</v>
      </c>
      <c r="D2640" t="s">
        <v>8622</v>
      </c>
      <c r="E2640" t="s">
        <v>6190</v>
      </c>
      <c r="F2640" t="s">
        <v>5984</v>
      </c>
      <c r="G2640" s="1">
        <v>4</v>
      </c>
      <c r="H2640" s="1">
        <v>1</v>
      </c>
      <c r="I2640" t="s">
        <v>7966</v>
      </c>
      <c r="L2640" s="1">
        <v>6</v>
      </c>
      <c r="M2640" s="3">
        <v>13.98</v>
      </c>
      <c r="N2640" s="3">
        <v>0.7</v>
      </c>
      <c r="O2640" s="3">
        <v>0</v>
      </c>
      <c r="P2640" s="3">
        <v>0.6</v>
      </c>
      <c r="Q2640" s="3">
        <v>15.28</v>
      </c>
      <c r="R2640" s="3">
        <v>9.25</v>
      </c>
      <c r="S2640" s="3">
        <f>VLOOKUP(C2640,[1]page!$C$2:$M$3071,11,0)</f>
        <v>13.98</v>
      </c>
      <c r="T2640" s="6">
        <f t="shared" si="53"/>
        <v>0</v>
      </c>
    </row>
    <row r="2641" spans="1:20" x14ac:dyDescent="0.2">
      <c r="A2641" t="s">
        <v>8150</v>
      </c>
      <c r="B2641" t="s">
        <v>8623</v>
      </c>
      <c r="C2641" t="s">
        <v>8624</v>
      </c>
      <c r="D2641" t="s">
        <v>8625</v>
      </c>
      <c r="E2641" t="s">
        <v>6190</v>
      </c>
      <c r="F2641" t="s">
        <v>5984</v>
      </c>
      <c r="G2641" s="1">
        <v>4</v>
      </c>
      <c r="H2641" s="1">
        <v>1</v>
      </c>
      <c r="I2641" t="s">
        <v>7966</v>
      </c>
      <c r="L2641" s="1">
        <v>6</v>
      </c>
      <c r="M2641" s="3">
        <v>13.98</v>
      </c>
      <c r="N2641" s="3">
        <v>0.7</v>
      </c>
      <c r="O2641" s="3">
        <v>0</v>
      </c>
      <c r="P2641" s="3">
        <v>0.6</v>
      </c>
      <c r="Q2641" s="3">
        <v>15.28</v>
      </c>
      <c r="R2641" s="3">
        <v>9.25</v>
      </c>
      <c r="S2641" s="3">
        <f>VLOOKUP(C2641,[1]page!$C$2:$M$3071,11,0)</f>
        <v>13.98</v>
      </c>
      <c r="T2641" s="6">
        <f t="shared" si="53"/>
        <v>0</v>
      </c>
    </row>
    <row r="2642" spans="1:20" x14ac:dyDescent="0.2">
      <c r="A2642" t="s">
        <v>8150</v>
      </c>
      <c r="B2642" t="s">
        <v>8626</v>
      </c>
      <c r="C2642" t="s">
        <v>8627</v>
      </c>
      <c r="D2642" t="s">
        <v>8628</v>
      </c>
      <c r="E2642" t="s">
        <v>6423</v>
      </c>
      <c r="F2642" t="s">
        <v>5984</v>
      </c>
      <c r="G2642" s="1">
        <v>4</v>
      </c>
      <c r="H2642" s="1">
        <v>1</v>
      </c>
      <c r="I2642" t="s">
        <v>7966</v>
      </c>
      <c r="L2642" s="1">
        <v>6</v>
      </c>
      <c r="M2642" s="3">
        <v>13.98</v>
      </c>
      <c r="N2642" s="3">
        <v>0.7</v>
      </c>
      <c r="O2642" s="3">
        <v>0</v>
      </c>
      <c r="P2642" s="3">
        <v>0.6</v>
      </c>
      <c r="Q2642" s="3">
        <v>15.28</v>
      </c>
      <c r="R2642" s="3">
        <v>9.25</v>
      </c>
      <c r="S2642" s="3">
        <f>VLOOKUP(C2642,[1]page!$C$2:$M$3071,11,0)</f>
        <v>13.98</v>
      </c>
      <c r="T2642" s="6">
        <f t="shared" si="53"/>
        <v>0</v>
      </c>
    </row>
    <row r="2643" spans="1:20" x14ac:dyDescent="0.2">
      <c r="A2643" t="s">
        <v>8150</v>
      </c>
      <c r="B2643" t="s">
        <v>8629</v>
      </c>
      <c r="C2643" t="s">
        <v>8630</v>
      </c>
      <c r="D2643" t="s">
        <v>8631</v>
      </c>
      <c r="E2643" t="s">
        <v>6423</v>
      </c>
      <c r="F2643" t="s">
        <v>5984</v>
      </c>
      <c r="G2643" s="1">
        <v>4</v>
      </c>
      <c r="H2643" s="1">
        <v>1</v>
      </c>
      <c r="I2643" t="s">
        <v>7966</v>
      </c>
      <c r="L2643" s="1">
        <v>6</v>
      </c>
      <c r="M2643" s="3">
        <v>13.98</v>
      </c>
      <c r="N2643" s="3">
        <v>0.7</v>
      </c>
      <c r="O2643" s="3">
        <v>0</v>
      </c>
      <c r="P2643" s="3">
        <v>0.6</v>
      </c>
      <c r="Q2643" s="3">
        <v>15.28</v>
      </c>
      <c r="R2643" s="3">
        <v>9.25</v>
      </c>
      <c r="S2643" s="3">
        <f>VLOOKUP(C2643,[1]page!$C$2:$M$3071,11,0)</f>
        <v>13.98</v>
      </c>
      <c r="T2643" s="6">
        <f t="shared" si="53"/>
        <v>0</v>
      </c>
    </row>
    <row r="2644" spans="1:20" x14ac:dyDescent="0.2">
      <c r="A2644" t="s">
        <v>8150</v>
      </c>
      <c r="B2644" t="s">
        <v>8632</v>
      </c>
      <c r="C2644" t="s">
        <v>8633</v>
      </c>
      <c r="D2644" t="s">
        <v>8634</v>
      </c>
      <c r="E2644" t="s">
        <v>6190</v>
      </c>
      <c r="F2644" t="s">
        <v>5984</v>
      </c>
      <c r="G2644" s="1">
        <v>4</v>
      </c>
      <c r="H2644" s="1">
        <v>1</v>
      </c>
      <c r="I2644" t="s">
        <v>7966</v>
      </c>
      <c r="L2644" s="1">
        <v>6</v>
      </c>
      <c r="M2644" s="3">
        <v>13.98</v>
      </c>
      <c r="N2644" s="3">
        <v>0.7</v>
      </c>
      <c r="O2644" s="3">
        <v>0</v>
      </c>
      <c r="P2644" s="3">
        <v>0.6</v>
      </c>
      <c r="Q2644" s="3">
        <v>15.28</v>
      </c>
      <c r="R2644" s="3">
        <v>9.25</v>
      </c>
      <c r="S2644" s="3">
        <f>VLOOKUP(C2644,[1]page!$C$2:$M$3071,11,0)</f>
        <v>13.98</v>
      </c>
      <c r="T2644" s="6">
        <f t="shared" si="53"/>
        <v>0</v>
      </c>
    </row>
    <row r="2645" spans="1:20" x14ac:dyDescent="0.2">
      <c r="A2645" t="s">
        <v>8150</v>
      </c>
      <c r="B2645" t="s">
        <v>8635</v>
      </c>
      <c r="C2645" t="s">
        <v>8636</v>
      </c>
      <c r="D2645" t="s">
        <v>8637</v>
      </c>
      <c r="E2645" t="s">
        <v>6195</v>
      </c>
      <c r="F2645" t="s">
        <v>5984</v>
      </c>
      <c r="G2645" s="1">
        <v>5</v>
      </c>
      <c r="H2645" s="1">
        <v>1</v>
      </c>
      <c r="I2645" t="s">
        <v>5961</v>
      </c>
      <c r="L2645" s="1">
        <v>6</v>
      </c>
      <c r="M2645" s="3">
        <v>14.69</v>
      </c>
      <c r="N2645" s="3">
        <v>0.73</v>
      </c>
      <c r="O2645" s="3">
        <v>0</v>
      </c>
      <c r="P2645" s="3">
        <v>0.6</v>
      </c>
      <c r="Q2645" s="3">
        <v>16.02</v>
      </c>
      <c r="R2645" s="3">
        <v>9.25</v>
      </c>
      <c r="S2645" s="3">
        <f>VLOOKUP(C2645,[1]page!$C$2:$M$3071,11,0)</f>
        <v>14.69</v>
      </c>
      <c r="T2645" s="6">
        <f t="shared" si="53"/>
        <v>0</v>
      </c>
    </row>
    <row r="2646" spans="1:20" x14ac:dyDescent="0.2">
      <c r="A2646" t="s">
        <v>8150</v>
      </c>
      <c r="B2646" t="s">
        <v>8638</v>
      </c>
      <c r="C2646" t="s">
        <v>8639</v>
      </c>
      <c r="D2646" t="s">
        <v>8640</v>
      </c>
      <c r="E2646" t="s">
        <v>6195</v>
      </c>
      <c r="F2646" t="s">
        <v>5984</v>
      </c>
      <c r="G2646" s="2">
        <v>4.5</v>
      </c>
      <c r="H2646" s="1">
        <v>1</v>
      </c>
      <c r="I2646" t="s">
        <v>5961</v>
      </c>
      <c r="L2646" s="1">
        <v>6</v>
      </c>
      <c r="M2646" s="3">
        <v>14.69</v>
      </c>
      <c r="N2646" s="3">
        <v>0.73</v>
      </c>
      <c r="O2646" s="3">
        <v>0</v>
      </c>
      <c r="P2646" s="3">
        <v>0.6</v>
      </c>
      <c r="Q2646" s="3">
        <v>16.02</v>
      </c>
      <c r="R2646" s="3">
        <v>9.25</v>
      </c>
      <c r="S2646" s="3">
        <f>VLOOKUP(C2646,[1]page!$C$2:$M$3071,11,0)</f>
        <v>14.69</v>
      </c>
      <c r="T2646" s="6">
        <f t="shared" si="53"/>
        <v>0</v>
      </c>
    </row>
    <row r="2647" spans="1:20" x14ac:dyDescent="0.2">
      <c r="A2647" t="s">
        <v>8150</v>
      </c>
      <c r="B2647" t="s">
        <v>8641</v>
      </c>
      <c r="C2647" t="s">
        <v>8642</v>
      </c>
      <c r="D2647" t="s">
        <v>8643</v>
      </c>
      <c r="E2647" t="s">
        <v>6195</v>
      </c>
      <c r="F2647" t="s">
        <v>5984</v>
      </c>
      <c r="G2647" s="1">
        <v>7</v>
      </c>
      <c r="H2647" s="1">
        <v>1</v>
      </c>
      <c r="I2647" t="s">
        <v>5961</v>
      </c>
      <c r="L2647" s="1">
        <v>6</v>
      </c>
      <c r="M2647" s="3">
        <v>14.24</v>
      </c>
      <c r="N2647" s="3">
        <v>0.71</v>
      </c>
      <c r="O2647" s="3">
        <v>0</v>
      </c>
      <c r="P2647" s="3">
        <v>0.6</v>
      </c>
      <c r="Q2647" s="3">
        <v>15.55</v>
      </c>
      <c r="R2647" s="3">
        <v>10.9</v>
      </c>
      <c r="S2647" s="3" t="e">
        <f>VLOOKUP(C2647,[1]page!$C$2:$M$3071,11,0)</f>
        <v>#N/A</v>
      </c>
      <c r="T2647" s="6" t="e">
        <f t="shared" si="53"/>
        <v>#N/A</v>
      </c>
    </row>
    <row r="2648" spans="1:20" x14ac:dyDescent="0.2">
      <c r="A2648" t="s">
        <v>8150</v>
      </c>
      <c r="B2648" t="s">
        <v>8644</v>
      </c>
      <c r="C2648" t="s">
        <v>8645</v>
      </c>
      <c r="D2648" t="s">
        <v>8646</v>
      </c>
      <c r="E2648" t="s">
        <v>6195</v>
      </c>
      <c r="F2648" t="s">
        <v>5984</v>
      </c>
      <c r="G2648" s="1">
        <v>7</v>
      </c>
      <c r="H2648" s="1">
        <v>1</v>
      </c>
      <c r="I2648" t="s">
        <v>5961</v>
      </c>
      <c r="L2648" s="1">
        <v>6</v>
      </c>
      <c r="M2648" s="3">
        <v>14.69</v>
      </c>
      <c r="N2648" s="3">
        <v>0.73</v>
      </c>
      <c r="O2648" s="3">
        <v>0</v>
      </c>
      <c r="P2648" s="3">
        <v>0.6</v>
      </c>
      <c r="Q2648" s="3">
        <v>16.02</v>
      </c>
      <c r="R2648" s="3">
        <v>10.9</v>
      </c>
      <c r="S2648" s="3">
        <f>VLOOKUP(C2648,[1]page!$C$2:$M$3071,11,0)</f>
        <v>14.69</v>
      </c>
      <c r="T2648" s="6">
        <f t="shared" si="53"/>
        <v>0</v>
      </c>
    </row>
    <row r="2649" spans="1:20" x14ac:dyDescent="0.2">
      <c r="A2649" t="s">
        <v>8150</v>
      </c>
      <c r="B2649" t="s">
        <v>8647</v>
      </c>
      <c r="C2649" t="s">
        <v>8648</v>
      </c>
      <c r="D2649" t="s">
        <v>8649</v>
      </c>
      <c r="E2649" t="s">
        <v>6195</v>
      </c>
      <c r="F2649" t="s">
        <v>5984</v>
      </c>
      <c r="G2649" s="2">
        <v>4.5</v>
      </c>
      <c r="H2649" s="1">
        <v>1</v>
      </c>
      <c r="I2649" t="s">
        <v>5961</v>
      </c>
      <c r="L2649" s="1">
        <v>6</v>
      </c>
      <c r="M2649" s="3">
        <v>14.24</v>
      </c>
      <c r="N2649" s="3">
        <v>0.71</v>
      </c>
      <c r="O2649" s="3">
        <v>0</v>
      </c>
      <c r="P2649" s="3">
        <v>0.6</v>
      </c>
      <c r="Q2649" s="3">
        <v>15.55</v>
      </c>
      <c r="R2649" s="3">
        <v>9.25</v>
      </c>
      <c r="S2649" s="3" t="e">
        <f>VLOOKUP(C2649,[1]page!$C$2:$M$3071,11,0)</f>
        <v>#N/A</v>
      </c>
      <c r="T2649" s="6" t="e">
        <f t="shared" si="53"/>
        <v>#N/A</v>
      </c>
    </row>
    <row r="2650" spans="1:20" x14ac:dyDescent="0.2">
      <c r="A2650" t="s">
        <v>8150</v>
      </c>
      <c r="B2650" t="s">
        <v>8650</v>
      </c>
      <c r="C2650" t="s">
        <v>8651</v>
      </c>
      <c r="D2650" t="s">
        <v>8652</v>
      </c>
      <c r="E2650" t="s">
        <v>6423</v>
      </c>
      <c r="F2650" t="s">
        <v>5984</v>
      </c>
      <c r="G2650" s="2">
        <v>4.2</v>
      </c>
      <c r="H2650" s="1">
        <v>1</v>
      </c>
      <c r="I2650" t="s">
        <v>7966</v>
      </c>
      <c r="L2650" s="1">
        <v>6</v>
      </c>
      <c r="M2650" s="3">
        <v>14.99</v>
      </c>
      <c r="N2650" s="3">
        <v>0.75</v>
      </c>
      <c r="O2650" s="3">
        <v>0</v>
      </c>
      <c r="P2650" s="3">
        <v>0.6</v>
      </c>
      <c r="Q2650" s="3">
        <v>16.34</v>
      </c>
      <c r="R2650" s="3">
        <v>9.25</v>
      </c>
      <c r="S2650" s="3">
        <f>VLOOKUP(C2650,[1]page!$C$2:$M$3071,11,0)</f>
        <v>14.99</v>
      </c>
      <c r="T2650" s="6">
        <f t="shared" si="53"/>
        <v>0</v>
      </c>
    </row>
    <row r="2651" spans="1:20" x14ac:dyDescent="0.2">
      <c r="A2651" t="s">
        <v>8150</v>
      </c>
      <c r="B2651" t="s">
        <v>8653</v>
      </c>
      <c r="C2651" t="s">
        <v>8654</v>
      </c>
      <c r="D2651" t="s">
        <v>8655</v>
      </c>
      <c r="E2651" t="s">
        <v>6423</v>
      </c>
      <c r="F2651" t="s">
        <v>5984</v>
      </c>
      <c r="G2651" s="2">
        <v>4.2</v>
      </c>
      <c r="H2651" s="1">
        <v>1</v>
      </c>
      <c r="I2651" t="s">
        <v>7966</v>
      </c>
      <c r="L2651" s="1">
        <v>6</v>
      </c>
      <c r="M2651" s="3">
        <v>14.99</v>
      </c>
      <c r="N2651" s="3">
        <v>0.75</v>
      </c>
      <c r="O2651" s="3">
        <v>0</v>
      </c>
      <c r="P2651" s="3">
        <v>0.6</v>
      </c>
      <c r="Q2651" s="3">
        <v>16.34</v>
      </c>
      <c r="R2651" s="3">
        <v>9.25</v>
      </c>
      <c r="S2651" s="3">
        <f>VLOOKUP(C2651,[1]page!$C$2:$M$3071,11,0)</f>
        <v>14.99</v>
      </c>
      <c r="T2651" s="6">
        <f t="shared" si="53"/>
        <v>0</v>
      </c>
    </row>
    <row r="2652" spans="1:20" x14ac:dyDescent="0.2">
      <c r="A2652" t="s">
        <v>8150</v>
      </c>
      <c r="B2652" t="s">
        <v>8656</v>
      </c>
      <c r="C2652" t="s">
        <v>8657</v>
      </c>
      <c r="D2652" t="s">
        <v>8658</v>
      </c>
      <c r="E2652" t="s">
        <v>6423</v>
      </c>
      <c r="F2652" t="s">
        <v>5984</v>
      </c>
      <c r="G2652" s="2">
        <v>4.2</v>
      </c>
      <c r="H2652" s="1">
        <v>1</v>
      </c>
      <c r="I2652" t="s">
        <v>7966</v>
      </c>
      <c r="L2652" s="1">
        <v>6</v>
      </c>
      <c r="M2652" s="3">
        <v>14.99</v>
      </c>
      <c r="N2652" s="3">
        <v>0.75</v>
      </c>
      <c r="O2652" s="3">
        <v>0</v>
      </c>
      <c r="P2652" s="3">
        <v>0.6</v>
      </c>
      <c r="Q2652" s="3">
        <v>16.34</v>
      </c>
      <c r="R2652" s="3">
        <v>9.25</v>
      </c>
      <c r="S2652" s="3">
        <f>VLOOKUP(C2652,[1]page!$C$2:$M$3071,11,0)</f>
        <v>14.99</v>
      </c>
      <c r="T2652" s="6">
        <f t="shared" si="53"/>
        <v>0</v>
      </c>
    </row>
    <row r="2653" spans="1:20" x14ac:dyDescent="0.2">
      <c r="A2653" t="s">
        <v>8150</v>
      </c>
      <c r="B2653" t="s">
        <v>8659</v>
      </c>
      <c r="C2653" t="s">
        <v>8660</v>
      </c>
      <c r="D2653" t="s">
        <v>8661</v>
      </c>
      <c r="E2653" t="s">
        <v>6284</v>
      </c>
      <c r="F2653" t="s">
        <v>5984</v>
      </c>
      <c r="G2653" s="1">
        <v>5</v>
      </c>
      <c r="H2653" s="1">
        <v>1</v>
      </c>
      <c r="I2653" t="s">
        <v>6285</v>
      </c>
      <c r="L2653" s="1">
        <v>6</v>
      </c>
      <c r="M2653" s="3">
        <v>12.7</v>
      </c>
      <c r="N2653" s="3">
        <v>0.64</v>
      </c>
      <c r="O2653" s="3">
        <v>0</v>
      </c>
      <c r="P2653" s="3">
        <v>0.6</v>
      </c>
      <c r="Q2653" s="3">
        <v>13.94</v>
      </c>
      <c r="R2653" s="3">
        <v>9.25</v>
      </c>
      <c r="S2653" s="3">
        <f>VLOOKUP(C2653,[1]page!$C$2:$M$3071,11,0)</f>
        <v>12.57</v>
      </c>
      <c r="T2653" s="6">
        <f t="shared" si="53"/>
        <v>0.12999999999999901</v>
      </c>
    </row>
    <row r="2654" spans="1:20" x14ac:dyDescent="0.2">
      <c r="A2654" t="s">
        <v>8150</v>
      </c>
      <c r="B2654" t="s">
        <v>8662</v>
      </c>
      <c r="C2654" t="s">
        <v>8663</v>
      </c>
      <c r="D2654" t="s">
        <v>8664</v>
      </c>
      <c r="E2654" t="s">
        <v>6284</v>
      </c>
      <c r="F2654" t="s">
        <v>5984</v>
      </c>
      <c r="G2654" s="1">
        <v>5</v>
      </c>
      <c r="H2654" s="1">
        <v>1</v>
      </c>
      <c r="I2654" t="s">
        <v>6285</v>
      </c>
      <c r="L2654" s="1">
        <v>6</v>
      </c>
      <c r="M2654" s="3">
        <v>12.7</v>
      </c>
      <c r="N2654" s="3">
        <v>0.64</v>
      </c>
      <c r="O2654" s="3">
        <v>0</v>
      </c>
      <c r="P2654" s="3">
        <v>0.6</v>
      </c>
      <c r="Q2654" s="3">
        <v>13.94</v>
      </c>
      <c r="R2654" s="3">
        <v>9.25</v>
      </c>
      <c r="S2654" s="3">
        <f>VLOOKUP(C2654,[1]page!$C$2:$M$3071,11,0)</f>
        <v>12.57</v>
      </c>
      <c r="T2654" s="6">
        <f t="shared" ref="T2654:T2717" si="55">SUM(M2654-S2654)</f>
        <v>0.12999999999999901</v>
      </c>
    </row>
    <row r="2655" spans="1:20" x14ac:dyDescent="0.2">
      <c r="A2655" t="s">
        <v>8150</v>
      </c>
      <c r="B2655" t="s">
        <v>8665</v>
      </c>
      <c r="C2655" t="s">
        <v>8666</v>
      </c>
      <c r="D2655" t="s">
        <v>8667</v>
      </c>
      <c r="E2655" t="s">
        <v>6284</v>
      </c>
      <c r="F2655" t="s">
        <v>5984</v>
      </c>
      <c r="G2655" s="1">
        <v>5</v>
      </c>
      <c r="H2655" s="1">
        <v>1</v>
      </c>
      <c r="I2655" t="s">
        <v>6285</v>
      </c>
      <c r="L2655" s="1">
        <v>6</v>
      </c>
      <c r="M2655" s="3">
        <v>12.7</v>
      </c>
      <c r="N2655" s="3">
        <v>0.64</v>
      </c>
      <c r="O2655" s="3">
        <v>0</v>
      </c>
      <c r="P2655" s="3">
        <v>0.6</v>
      </c>
      <c r="Q2655" s="3">
        <v>13.94</v>
      </c>
      <c r="R2655" s="3">
        <v>9.25</v>
      </c>
      <c r="S2655" s="3">
        <f>VLOOKUP(C2655,[1]page!$C$2:$M$3071,11,0)</f>
        <v>12.57</v>
      </c>
      <c r="T2655" s="6">
        <f t="shared" si="55"/>
        <v>0.12999999999999901</v>
      </c>
    </row>
    <row r="2656" spans="1:20" x14ac:dyDescent="0.2">
      <c r="A2656" t="s">
        <v>8150</v>
      </c>
      <c r="B2656" t="s">
        <v>8668</v>
      </c>
      <c r="C2656" t="s">
        <v>8669</v>
      </c>
      <c r="D2656" t="s">
        <v>8670</v>
      </c>
      <c r="E2656" t="s">
        <v>6190</v>
      </c>
      <c r="F2656" t="s">
        <v>5984</v>
      </c>
      <c r="G2656" s="1">
        <v>7</v>
      </c>
      <c r="H2656" s="1">
        <v>1</v>
      </c>
      <c r="I2656" t="s">
        <v>7966</v>
      </c>
      <c r="L2656" s="1">
        <v>6</v>
      </c>
      <c r="M2656" s="3">
        <v>13.28</v>
      </c>
      <c r="N2656" s="3">
        <v>0.66</v>
      </c>
      <c r="O2656" s="3">
        <v>0</v>
      </c>
      <c r="P2656" s="3">
        <v>0.6</v>
      </c>
      <c r="Q2656" s="3">
        <v>14.54</v>
      </c>
      <c r="R2656" s="3">
        <v>10.9</v>
      </c>
      <c r="S2656" s="3">
        <f>VLOOKUP(C2656,[1]page!$C$2:$M$3071,11,0)</f>
        <v>13.28</v>
      </c>
      <c r="T2656" s="6">
        <f t="shared" si="55"/>
        <v>0</v>
      </c>
    </row>
    <row r="2657" spans="1:20" x14ac:dyDescent="0.2">
      <c r="A2657" t="s">
        <v>8150</v>
      </c>
      <c r="B2657" t="s">
        <v>8671</v>
      </c>
      <c r="C2657" t="s">
        <v>8672</v>
      </c>
      <c r="D2657" t="s">
        <v>8673</v>
      </c>
      <c r="E2657" t="s">
        <v>6423</v>
      </c>
      <c r="F2657" t="s">
        <v>5984</v>
      </c>
      <c r="G2657" s="1">
        <v>5</v>
      </c>
      <c r="H2657" s="1">
        <v>1</v>
      </c>
      <c r="I2657" t="s">
        <v>7966</v>
      </c>
      <c r="L2657" s="1">
        <v>6</v>
      </c>
      <c r="M2657" s="3">
        <v>14.54</v>
      </c>
      <c r="N2657" s="3">
        <v>0.73</v>
      </c>
      <c r="O2657" s="3">
        <v>0</v>
      </c>
      <c r="P2657" s="3">
        <v>0.6</v>
      </c>
      <c r="Q2657" s="3">
        <v>15.87</v>
      </c>
      <c r="R2657" s="3">
        <v>9.25</v>
      </c>
      <c r="S2657" s="3">
        <f>VLOOKUP(C2657,[1]page!$C$2:$M$3071,11,0)</f>
        <v>14.54</v>
      </c>
      <c r="T2657" s="6">
        <f t="shared" si="55"/>
        <v>0</v>
      </c>
    </row>
    <row r="2658" spans="1:20" x14ac:dyDescent="0.2">
      <c r="A2658" t="s">
        <v>8150</v>
      </c>
      <c r="B2658" t="s">
        <v>8674</v>
      </c>
      <c r="C2658" t="s">
        <v>8675</v>
      </c>
      <c r="D2658" t="s">
        <v>8676</v>
      </c>
      <c r="E2658" t="s">
        <v>6423</v>
      </c>
      <c r="F2658" t="s">
        <v>5984</v>
      </c>
      <c r="G2658" s="1">
        <v>5</v>
      </c>
      <c r="H2658" s="1">
        <v>1</v>
      </c>
      <c r="I2658" t="s">
        <v>7966</v>
      </c>
      <c r="L2658" s="1">
        <v>6</v>
      </c>
      <c r="M2658" s="3">
        <v>14.54</v>
      </c>
      <c r="N2658" s="3">
        <v>0.73</v>
      </c>
      <c r="O2658" s="3">
        <v>0</v>
      </c>
      <c r="P2658" s="3">
        <v>0.6</v>
      </c>
      <c r="Q2658" s="3">
        <v>15.87</v>
      </c>
      <c r="R2658" s="3">
        <v>9.25</v>
      </c>
      <c r="S2658" s="3">
        <f>VLOOKUP(C2658,[1]page!$C$2:$M$3071,11,0)</f>
        <v>14.54</v>
      </c>
      <c r="T2658" s="6">
        <f t="shared" si="55"/>
        <v>0</v>
      </c>
    </row>
    <row r="2659" spans="1:20" x14ac:dyDescent="0.2">
      <c r="A2659" t="s">
        <v>8150</v>
      </c>
      <c r="B2659" t="s">
        <v>8677</v>
      </c>
      <c r="C2659" t="s">
        <v>8678</v>
      </c>
      <c r="D2659" t="s">
        <v>8679</v>
      </c>
      <c r="E2659" t="s">
        <v>6423</v>
      </c>
      <c r="F2659" t="s">
        <v>5984</v>
      </c>
      <c r="G2659" s="1">
        <v>5</v>
      </c>
      <c r="H2659" s="1">
        <v>1</v>
      </c>
      <c r="I2659" t="s">
        <v>7966</v>
      </c>
      <c r="K2659" t="s">
        <v>20</v>
      </c>
      <c r="L2659" s="1">
        <v>6</v>
      </c>
      <c r="M2659" s="3">
        <v>14.54</v>
      </c>
      <c r="N2659" s="3">
        <v>0.73</v>
      </c>
      <c r="O2659" s="3">
        <v>0</v>
      </c>
      <c r="P2659" s="3">
        <v>0.6</v>
      </c>
      <c r="Q2659" s="3">
        <v>15.87</v>
      </c>
      <c r="R2659" s="3">
        <v>9.25</v>
      </c>
      <c r="S2659" s="3">
        <f>VLOOKUP(C2659,[1]page!$C$2:$M$3071,11,0)</f>
        <v>14.54</v>
      </c>
      <c r="T2659" s="6">
        <f t="shared" si="55"/>
        <v>0</v>
      </c>
    </row>
    <row r="2660" spans="1:20" x14ac:dyDescent="0.2">
      <c r="A2660" t="s">
        <v>8150</v>
      </c>
      <c r="B2660" t="s">
        <v>8680</v>
      </c>
      <c r="C2660" t="s">
        <v>8681</v>
      </c>
      <c r="D2660" t="s">
        <v>8682</v>
      </c>
      <c r="E2660" t="s">
        <v>6423</v>
      </c>
      <c r="F2660" t="s">
        <v>5984</v>
      </c>
      <c r="G2660" s="1">
        <v>5</v>
      </c>
      <c r="H2660" s="1">
        <v>1</v>
      </c>
      <c r="I2660" t="s">
        <v>7966</v>
      </c>
      <c r="L2660" s="1">
        <v>6</v>
      </c>
      <c r="M2660" s="3">
        <v>14.54</v>
      </c>
      <c r="N2660" s="3">
        <v>0.73</v>
      </c>
      <c r="O2660" s="3">
        <v>0</v>
      </c>
      <c r="P2660" s="3">
        <v>0.6</v>
      </c>
      <c r="Q2660" s="3">
        <v>15.87</v>
      </c>
      <c r="R2660" s="3">
        <v>9.25</v>
      </c>
      <c r="S2660" s="3">
        <f>VLOOKUP(C2660,[1]page!$C$2:$M$3071,11,0)</f>
        <v>14.54</v>
      </c>
      <c r="T2660" s="6">
        <f t="shared" si="55"/>
        <v>0</v>
      </c>
    </row>
    <row r="2661" spans="1:20" x14ac:dyDescent="0.2">
      <c r="A2661" t="s">
        <v>8150</v>
      </c>
      <c r="B2661" t="s">
        <v>8683</v>
      </c>
      <c r="C2661" t="s">
        <v>8684</v>
      </c>
      <c r="D2661" t="s">
        <v>8685</v>
      </c>
      <c r="E2661" t="s">
        <v>6423</v>
      </c>
      <c r="F2661" t="s">
        <v>5984</v>
      </c>
      <c r="G2661" s="1">
        <v>5</v>
      </c>
      <c r="H2661" s="1">
        <v>1</v>
      </c>
      <c r="I2661" t="s">
        <v>7966</v>
      </c>
      <c r="L2661" s="1">
        <v>6</v>
      </c>
      <c r="M2661" s="3">
        <v>14.54</v>
      </c>
      <c r="N2661" s="3">
        <v>0.73</v>
      </c>
      <c r="O2661" s="3">
        <v>0</v>
      </c>
      <c r="P2661" s="3">
        <v>0.6</v>
      </c>
      <c r="Q2661" s="3">
        <v>15.87</v>
      </c>
      <c r="R2661" s="3">
        <v>9.25</v>
      </c>
      <c r="S2661" s="3">
        <f>VLOOKUP(C2661,[1]page!$C$2:$M$3071,11,0)</f>
        <v>14.54</v>
      </c>
      <c r="T2661" s="6">
        <f t="shared" si="55"/>
        <v>0</v>
      </c>
    </row>
    <row r="2662" spans="1:20" x14ac:dyDescent="0.2">
      <c r="A2662" t="s">
        <v>8150</v>
      </c>
      <c r="B2662" t="s">
        <v>8686</v>
      </c>
      <c r="C2662" t="s">
        <v>8687</v>
      </c>
      <c r="D2662" t="s">
        <v>8688</v>
      </c>
      <c r="E2662" t="s">
        <v>8236</v>
      </c>
      <c r="F2662" t="s">
        <v>5984</v>
      </c>
      <c r="G2662" s="1">
        <v>5</v>
      </c>
      <c r="H2662" s="1">
        <v>1</v>
      </c>
      <c r="I2662" t="s">
        <v>7966</v>
      </c>
      <c r="L2662" s="1">
        <v>6</v>
      </c>
      <c r="M2662" s="3">
        <v>14.54</v>
      </c>
      <c r="N2662" s="3">
        <v>0.73</v>
      </c>
      <c r="O2662" s="3">
        <v>0</v>
      </c>
      <c r="P2662" s="3">
        <v>0.6</v>
      </c>
      <c r="Q2662" s="3">
        <v>15.87</v>
      </c>
      <c r="R2662" s="3">
        <v>9.25</v>
      </c>
      <c r="S2662" s="3">
        <f>VLOOKUP(C2662,[1]page!$C$2:$M$3071,11,0)</f>
        <v>14.54</v>
      </c>
      <c r="T2662" s="6">
        <f t="shared" si="55"/>
        <v>0</v>
      </c>
    </row>
    <row r="2663" spans="1:20" x14ac:dyDescent="0.2">
      <c r="A2663" t="s">
        <v>8150</v>
      </c>
      <c r="B2663" t="s">
        <v>8689</v>
      </c>
      <c r="C2663" t="s">
        <v>8690</v>
      </c>
      <c r="D2663" t="s">
        <v>8691</v>
      </c>
      <c r="E2663" t="s">
        <v>8236</v>
      </c>
      <c r="F2663" t="s">
        <v>5984</v>
      </c>
      <c r="G2663" s="1">
        <v>5</v>
      </c>
      <c r="H2663" s="1">
        <v>1</v>
      </c>
      <c r="I2663" t="s">
        <v>7966</v>
      </c>
      <c r="L2663" s="1">
        <v>6</v>
      </c>
      <c r="M2663" s="3">
        <v>14.54</v>
      </c>
      <c r="N2663" s="3">
        <v>0.73</v>
      </c>
      <c r="O2663" s="3">
        <v>0</v>
      </c>
      <c r="P2663" s="3">
        <v>0.6</v>
      </c>
      <c r="Q2663" s="3">
        <v>15.87</v>
      </c>
      <c r="R2663" s="3">
        <v>9.25</v>
      </c>
      <c r="S2663" s="3">
        <f>VLOOKUP(C2663,[1]page!$C$2:$M$3071,11,0)</f>
        <v>14.54</v>
      </c>
      <c r="T2663" s="6">
        <f t="shared" si="55"/>
        <v>0</v>
      </c>
    </row>
    <row r="2664" spans="1:20" x14ac:dyDescent="0.2">
      <c r="A2664" t="s">
        <v>8150</v>
      </c>
      <c r="B2664" t="s">
        <v>8692</v>
      </c>
      <c r="C2664" t="s">
        <v>8693</v>
      </c>
      <c r="D2664" t="s">
        <v>8694</v>
      </c>
      <c r="E2664" t="s">
        <v>6423</v>
      </c>
      <c r="F2664" t="s">
        <v>5984</v>
      </c>
      <c r="G2664" s="1">
        <v>5</v>
      </c>
      <c r="H2664" s="1">
        <v>1</v>
      </c>
      <c r="I2664" t="s">
        <v>7966</v>
      </c>
      <c r="L2664" s="1">
        <v>6</v>
      </c>
      <c r="M2664" s="3">
        <v>14.54</v>
      </c>
      <c r="N2664" s="3">
        <v>0.73</v>
      </c>
      <c r="O2664" s="3">
        <v>0</v>
      </c>
      <c r="P2664" s="3">
        <v>0.6</v>
      </c>
      <c r="Q2664" s="3">
        <v>15.87</v>
      </c>
      <c r="R2664" s="3">
        <v>9.25</v>
      </c>
      <c r="S2664" s="3">
        <f>VLOOKUP(C2664,[1]page!$C$2:$M$3071,11,0)</f>
        <v>14.54</v>
      </c>
      <c r="T2664" s="6">
        <f t="shared" si="55"/>
        <v>0</v>
      </c>
    </row>
    <row r="2665" spans="1:20" x14ac:dyDescent="0.2">
      <c r="A2665" t="s">
        <v>8150</v>
      </c>
      <c r="B2665" t="s">
        <v>8695</v>
      </c>
      <c r="C2665" t="s">
        <v>8696</v>
      </c>
      <c r="D2665" t="s">
        <v>8697</v>
      </c>
      <c r="E2665" t="s">
        <v>6190</v>
      </c>
      <c r="F2665" t="s">
        <v>5984</v>
      </c>
      <c r="G2665" s="1">
        <v>5</v>
      </c>
      <c r="H2665" s="1">
        <v>1</v>
      </c>
      <c r="I2665" t="s">
        <v>6191</v>
      </c>
      <c r="L2665" s="1">
        <v>6</v>
      </c>
      <c r="M2665" s="3">
        <v>13.89</v>
      </c>
      <c r="N2665" s="3">
        <v>0.69</v>
      </c>
      <c r="O2665" s="3">
        <v>0</v>
      </c>
      <c r="P2665" s="3">
        <v>0.6</v>
      </c>
      <c r="Q2665" s="3">
        <v>15.18</v>
      </c>
      <c r="R2665" s="3">
        <v>9.25</v>
      </c>
      <c r="S2665" s="3">
        <f>VLOOKUP(C2665,[1]page!$C$2:$M$3071,11,0)</f>
        <v>13.89</v>
      </c>
      <c r="T2665" s="6">
        <f t="shared" si="55"/>
        <v>0</v>
      </c>
    </row>
    <row r="2666" spans="1:20" x14ac:dyDescent="0.2">
      <c r="A2666" t="s">
        <v>8150</v>
      </c>
      <c r="B2666" t="s">
        <v>8698</v>
      </c>
      <c r="C2666" t="s">
        <v>8699</v>
      </c>
      <c r="D2666" t="s">
        <v>8700</v>
      </c>
      <c r="E2666" t="s">
        <v>8236</v>
      </c>
      <c r="F2666" t="s">
        <v>5984</v>
      </c>
      <c r="G2666" s="1">
        <v>5</v>
      </c>
      <c r="H2666" s="1">
        <v>1</v>
      </c>
      <c r="I2666" t="s">
        <v>7966</v>
      </c>
      <c r="L2666" s="1">
        <v>6</v>
      </c>
      <c r="M2666" s="3">
        <v>14.54</v>
      </c>
      <c r="N2666" s="3">
        <v>0.73</v>
      </c>
      <c r="O2666" s="3">
        <v>0</v>
      </c>
      <c r="P2666" s="3">
        <v>0.6</v>
      </c>
      <c r="Q2666" s="3">
        <v>15.87</v>
      </c>
      <c r="R2666" s="3">
        <v>9.25</v>
      </c>
      <c r="S2666" s="3">
        <f>VLOOKUP(C2666,[1]page!$C$2:$M$3071,11,0)</f>
        <v>14.54</v>
      </c>
      <c r="T2666" s="6">
        <f t="shared" si="55"/>
        <v>0</v>
      </c>
    </row>
    <row r="2667" spans="1:20" x14ac:dyDescent="0.2">
      <c r="A2667" t="s">
        <v>8150</v>
      </c>
      <c r="B2667" t="s">
        <v>8701</v>
      </c>
      <c r="C2667" t="s">
        <v>8702</v>
      </c>
      <c r="D2667" t="s">
        <v>8703</v>
      </c>
      <c r="E2667" t="s">
        <v>6190</v>
      </c>
      <c r="F2667" t="s">
        <v>5984</v>
      </c>
      <c r="G2667" s="1">
        <v>5</v>
      </c>
      <c r="H2667" s="1">
        <v>1</v>
      </c>
      <c r="I2667" t="s">
        <v>7966</v>
      </c>
      <c r="L2667" s="1">
        <v>6</v>
      </c>
      <c r="M2667" s="3">
        <v>14.24</v>
      </c>
      <c r="N2667" s="3">
        <v>0.71</v>
      </c>
      <c r="O2667" s="3">
        <v>0</v>
      </c>
      <c r="P2667" s="3">
        <v>0.6</v>
      </c>
      <c r="Q2667" s="3">
        <v>15.55</v>
      </c>
      <c r="R2667" s="3">
        <v>9.25</v>
      </c>
      <c r="S2667" s="3">
        <f>VLOOKUP(C2667,[1]page!$C$2:$M$3071,11,0)</f>
        <v>14.24</v>
      </c>
      <c r="T2667" s="6">
        <f t="shared" si="55"/>
        <v>0</v>
      </c>
    </row>
    <row r="2668" spans="1:20" x14ac:dyDescent="0.2">
      <c r="A2668" t="s">
        <v>8150</v>
      </c>
      <c r="B2668" t="s">
        <v>8704</v>
      </c>
      <c r="C2668" t="s">
        <v>8705</v>
      </c>
      <c r="D2668" t="s">
        <v>8706</v>
      </c>
      <c r="E2668" t="s">
        <v>8267</v>
      </c>
      <c r="F2668" t="s">
        <v>5984</v>
      </c>
      <c r="G2668" s="1">
        <v>5</v>
      </c>
      <c r="H2668" s="1">
        <v>1</v>
      </c>
      <c r="I2668" t="s">
        <v>7966</v>
      </c>
      <c r="L2668" s="1">
        <v>6</v>
      </c>
      <c r="M2668" s="3">
        <v>14.24</v>
      </c>
      <c r="N2668" s="3">
        <v>0.71</v>
      </c>
      <c r="O2668" s="3">
        <v>0</v>
      </c>
      <c r="P2668" s="3">
        <v>0.6</v>
      </c>
      <c r="Q2668" s="3">
        <v>15.55</v>
      </c>
      <c r="R2668" s="3">
        <v>9.25</v>
      </c>
      <c r="S2668" s="3">
        <f>VLOOKUP(C2668,[1]page!$C$2:$M$3071,11,0)</f>
        <v>14.24</v>
      </c>
      <c r="T2668" s="6">
        <f t="shared" si="55"/>
        <v>0</v>
      </c>
    </row>
    <row r="2669" spans="1:20" x14ac:dyDescent="0.2">
      <c r="A2669" t="s">
        <v>8150</v>
      </c>
      <c r="B2669" t="s">
        <v>8707</v>
      </c>
      <c r="C2669" t="s">
        <v>8708</v>
      </c>
      <c r="D2669" t="s">
        <v>8709</v>
      </c>
      <c r="E2669" t="s">
        <v>8267</v>
      </c>
      <c r="F2669" t="s">
        <v>5984</v>
      </c>
      <c r="G2669" s="1">
        <v>5</v>
      </c>
      <c r="H2669" s="1">
        <v>1</v>
      </c>
      <c r="I2669" t="s">
        <v>7966</v>
      </c>
      <c r="L2669" s="1">
        <v>6</v>
      </c>
      <c r="M2669" s="3">
        <v>14.24</v>
      </c>
      <c r="N2669" s="3">
        <v>0.71</v>
      </c>
      <c r="O2669" s="3">
        <v>0</v>
      </c>
      <c r="P2669" s="3">
        <v>0.6</v>
      </c>
      <c r="Q2669" s="3">
        <v>15.55</v>
      </c>
      <c r="R2669" s="3">
        <v>9.25</v>
      </c>
      <c r="S2669" s="3">
        <f>VLOOKUP(C2669,[1]page!$C$2:$M$3071,11,0)</f>
        <v>14.24</v>
      </c>
      <c r="T2669" s="6">
        <f t="shared" si="55"/>
        <v>0</v>
      </c>
    </row>
    <row r="2670" spans="1:20" x14ac:dyDescent="0.2">
      <c r="A2670" t="s">
        <v>8150</v>
      </c>
      <c r="B2670" t="s">
        <v>8710</v>
      </c>
      <c r="C2670" t="s">
        <v>8711</v>
      </c>
      <c r="D2670" t="s">
        <v>8712</v>
      </c>
      <c r="E2670" t="s">
        <v>8267</v>
      </c>
      <c r="F2670" t="s">
        <v>5984</v>
      </c>
      <c r="G2670" s="1">
        <v>5</v>
      </c>
      <c r="H2670" s="1">
        <v>1</v>
      </c>
      <c r="I2670" t="s">
        <v>7966</v>
      </c>
      <c r="L2670" s="1">
        <v>6</v>
      </c>
      <c r="M2670" s="3">
        <v>14.24</v>
      </c>
      <c r="N2670" s="3">
        <v>0.71</v>
      </c>
      <c r="O2670" s="3">
        <v>0</v>
      </c>
      <c r="P2670" s="3">
        <v>0.6</v>
      </c>
      <c r="Q2670" s="3">
        <v>15.55</v>
      </c>
      <c r="R2670" s="3">
        <v>9.25</v>
      </c>
      <c r="S2670" s="3">
        <f>VLOOKUP(C2670,[1]page!$C$2:$M$3071,11,0)</f>
        <v>14.24</v>
      </c>
      <c r="T2670" s="6">
        <f t="shared" si="55"/>
        <v>0</v>
      </c>
    </row>
    <row r="2671" spans="1:20" x14ac:dyDescent="0.2">
      <c r="A2671" t="s">
        <v>8150</v>
      </c>
      <c r="B2671" t="s">
        <v>8713</v>
      </c>
      <c r="C2671" t="s">
        <v>8714</v>
      </c>
      <c r="D2671" t="s">
        <v>8715</v>
      </c>
      <c r="E2671" t="s">
        <v>8236</v>
      </c>
      <c r="F2671" t="s">
        <v>5984</v>
      </c>
      <c r="G2671" s="1">
        <v>5</v>
      </c>
      <c r="H2671" s="1">
        <v>1</v>
      </c>
      <c r="I2671" t="s">
        <v>7966</v>
      </c>
      <c r="L2671" s="1">
        <v>6</v>
      </c>
      <c r="M2671" s="3">
        <v>14.24</v>
      </c>
      <c r="N2671" s="3">
        <v>0.71</v>
      </c>
      <c r="O2671" s="3">
        <v>0</v>
      </c>
      <c r="P2671" s="3">
        <v>0.6</v>
      </c>
      <c r="Q2671" s="3">
        <v>15.55</v>
      </c>
      <c r="R2671" s="3">
        <v>9.25</v>
      </c>
      <c r="S2671" s="3">
        <f>VLOOKUP(C2671,[1]page!$C$2:$M$3071,11,0)</f>
        <v>14.24</v>
      </c>
      <c r="T2671" s="6">
        <f t="shared" si="55"/>
        <v>0</v>
      </c>
    </row>
    <row r="2672" spans="1:20" x14ac:dyDescent="0.2">
      <c r="A2672" t="s">
        <v>8150</v>
      </c>
      <c r="B2672" t="s">
        <v>8716</v>
      </c>
      <c r="C2672" t="s">
        <v>8717</v>
      </c>
      <c r="D2672" t="s">
        <v>8718</v>
      </c>
      <c r="E2672" t="s">
        <v>6277</v>
      </c>
      <c r="F2672" t="s">
        <v>5984</v>
      </c>
      <c r="G2672" s="2">
        <v>4.8</v>
      </c>
      <c r="H2672" s="1">
        <v>1</v>
      </c>
      <c r="I2672" t="s">
        <v>5920</v>
      </c>
      <c r="L2672" s="1">
        <v>6</v>
      </c>
      <c r="M2672" s="3">
        <v>12.13</v>
      </c>
      <c r="N2672" s="3">
        <v>0.61</v>
      </c>
      <c r="O2672" s="3">
        <v>0</v>
      </c>
      <c r="P2672" s="3">
        <v>0.6</v>
      </c>
      <c r="Q2672" s="3">
        <v>13.34</v>
      </c>
      <c r="R2672" s="3">
        <v>9.25</v>
      </c>
      <c r="S2672" s="3">
        <f>VLOOKUP(C2672,[1]page!$C$2:$M$3071,11,0)</f>
        <v>12.13</v>
      </c>
      <c r="T2672" s="6">
        <f t="shared" si="55"/>
        <v>0</v>
      </c>
    </row>
    <row r="2673" spans="1:20" x14ac:dyDescent="0.2">
      <c r="A2673" t="s">
        <v>8150</v>
      </c>
      <c r="B2673" t="s">
        <v>8719</v>
      </c>
      <c r="C2673" t="s">
        <v>8720</v>
      </c>
      <c r="D2673" t="s">
        <v>8721</v>
      </c>
      <c r="E2673" t="s">
        <v>6277</v>
      </c>
      <c r="F2673" t="s">
        <v>5984</v>
      </c>
      <c r="G2673" s="2">
        <v>4.8</v>
      </c>
      <c r="H2673" s="1">
        <v>1</v>
      </c>
      <c r="I2673" t="s">
        <v>5920</v>
      </c>
      <c r="L2673" s="1">
        <v>6</v>
      </c>
      <c r="M2673" s="3">
        <v>12.13</v>
      </c>
      <c r="N2673" s="3">
        <v>0.61</v>
      </c>
      <c r="O2673" s="3">
        <v>0</v>
      </c>
      <c r="P2673" s="3">
        <v>0.6</v>
      </c>
      <c r="Q2673" s="3">
        <v>13.34</v>
      </c>
      <c r="R2673" s="3">
        <v>9.25</v>
      </c>
      <c r="S2673" s="3">
        <f>VLOOKUP(C2673,[1]page!$C$2:$M$3071,11,0)</f>
        <v>12.13</v>
      </c>
      <c r="T2673" s="6">
        <f t="shared" si="55"/>
        <v>0</v>
      </c>
    </row>
    <row r="2674" spans="1:20" x14ac:dyDescent="0.2">
      <c r="A2674" t="s">
        <v>8150</v>
      </c>
      <c r="B2674" t="s">
        <v>8722</v>
      </c>
      <c r="C2674" t="s">
        <v>8723</v>
      </c>
      <c r="D2674" t="s">
        <v>8724</v>
      </c>
      <c r="E2674" t="s">
        <v>6277</v>
      </c>
      <c r="F2674" t="s">
        <v>5984</v>
      </c>
      <c r="G2674" s="2">
        <v>4.8</v>
      </c>
      <c r="H2674" s="1">
        <v>1</v>
      </c>
      <c r="I2674" t="s">
        <v>5920</v>
      </c>
      <c r="L2674" s="1">
        <v>6</v>
      </c>
      <c r="M2674" s="3">
        <v>12.13</v>
      </c>
      <c r="N2674" s="3">
        <v>0.61</v>
      </c>
      <c r="O2674" s="3">
        <v>0</v>
      </c>
      <c r="P2674" s="3">
        <v>0.6</v>
      </c>
      <c r="Q2674" s="3">
        <v>13.34</v>
      </c>
      <c r="R2674" s="3">
        <v>9.25</v>
      </c>
      <c r="S2674" s="3">
        <f>VLOOKUP(C2674,[1]page!$C$2:$M$3071,11,0)</f>
        <v>12.13</v>
      </c>
      <c r="T2674" s="6">
        <f t="shared" si="55"/>
        <v>0</v>
      </c>
    </row>
    <row r="2675" spans="1:20" x14ac:dyDescent="0.2">
      <c r="A2675" t="s">
        <v>8150</v>
      </c>
      <c r="B2675" t="s">
        <v>8725</v>
      </c>
      <c r="C2675" t="s">
        <v>8726</v>
      </c>
      <c r="D2675" t="s">
        <v>8727</v>
      </c>
      <c r="E2675" t="s">
        <v>6277</v>
      </c>
      <c r="F2675" t="s">
        <v>5984</v>
      </c>
      <c r="G2675" s="2">
        <v>4.8</v>
      </c>
      <c r="H2675" s="1">
        <v>1</v>
      </c>
      <c r="I2675" t="s">
        <v>5920</v>
      </c>
      <c r="L2675" s="1">
        <v>6</v>
      </c>
      <c r="M2675" s="3">
        <v>12.13</v>
      </c>
      <c r="N2675" s="3">
        <v>0.61</v>
      </c>
      <c r="O2675" s="3">
        <v>0</v>
      </c>
      <c r="P2675" s="3">
        <v>0.6</v>
      </c>
      <c r="Q2675" s="3">
        <v>13.34</v>
      </c>
      <c r="R2675" s="3">
        <v>9.25</v>
      </c>
      <c r="S2675" s="3">
        <f>VLOOKUP(C2675,[1]page!$C$2:$M$3071,11,0)</f>
        <v>12.13</v>
      </c>
      <c r="T2675" s="6">
        <f t="shared" si="55"/>
        <v>0</v>
      </c>
    </row>
    <row r="2676" spans="1:20" x14ac:dyDescent="0.2">
      <c r="A2676" t="s">
        <v>8150</v>
      </c>
      <c r="B2676" t="s">
        <v>8728</v>
      </c>
      <c r="C2676" t="s">
        <v>8729</v>
      </c>
      <c r="D2676" t="s">
        <v>8730</v>
      </c>
      <c r="E2676" t="s">
        <v>6423</v>
      </c>
      <c r="F2676" t="s">
        <v>5984</v>
      </c>
      <c r="G2676" s="1">
        <v>5</v>
      </c>
      <c r="H2676" s="1">
        <v>1</v>
      </c>
      <c r="I2676" t="s">
        <v>7966</v>
      </c>
      <c r="K2676" t="s">
        <v>20</v>
      </c>
      <c r="L2676" s="1">
        <v>6</v>
      </c>
      <c r="M2676" s="3">
        <v>14.84</v>
      </c>
      <c r="N2676" s="3">
        <v>0.74</v>
      </c>
      <c r="O2676" s="3">
        <v>0</v>
      </c>
      <c r="P2676" s="3">
        <v>0.6</v>
      </c>
      <c r="Q2676" s="3">
        <v>16.18</v>
      </c>
      <c r="R2676" s="3">
        <v>9.25</v>
      </c>
      <c r="S2676" s="3">
        <f>VLOOKUP(C2676,[1]page!$C$2:$M$3071,11,0)</f>
        <v>14.84</v>
      </c>
      <c r="T2676" s="6">
        <f t="shared" si="55"/>
        <v>0</v>
      </c>
    </row>
    <row r="2677" spans="1:20" x14ac:dyDescent="0.2">
      <c r="A2677" t="s">
        <v>8150</v>
      </c>
      <c r="B2677" t="s">
        <v>8731</v>
      </c>
      <c r="C2677" t="s">
        <v>8732</v>
      </c>
      <c r="D2677" t="s">
        <v>8733</v>
      </c>
      <c r="E2677" t="s">
        <v>6423</v>
      </c>
      <c r="F2677" t="s">
        <v>5984</v>
      </c>
      <c r="G2677" s="1">
        <v>5</v>
      </c>
      <c r="H2677" s="1">
        <v>1</v>
      </c>
      <c r="I2677" t="s">
        <v>7966</v>
      </c>
      <c r="L2677" s="1">
        <v>6</v>
      </c>
      <c r="M2677" s="3">
        <v>14.84</v>
      </c>
      <c r="N2677" s="3">
        <v>0.74</v>
      </c>
      <c r="O2677" s="3">
        <v>0</v>
      </c>
      <c r="P2677" s="3">
        <v>0.6</v>
      </c>
      <c r="Q2677" s="3">
        <v>16.18</v>
      </c>
      <c r="R2677" s="3">
        <v>9.25</v>
      </c>
      <c r="S2677" s="3">
        <f>VLOOKUP(C2677,[1]page!$C$2:$M$3071,11,0)</f>
        <v>14.84</v>
      </c>
      <c r="T2677" s="6">
        <f t="shared" si="55"/>
        <v>0</v>
      </c>
    </row>
    <row r="2678" spans="1:20" x14ac:dyDescent="0.2">
      <c r="A2678" t="s">
        <v>8150</v>
      </c>
      <c r="B2678" t="s">
        <v>8734</v>
      </c>
      <c r="C2678" t="s">
        <v>8735</v>
      </c>
      <c r="D2678" t="s">
        <v>8736</v>
      </c>
      <c r="E2678" t="s">
        <v>6423</v>
      </c>
      <c r="F2678" t="s">
        <v>5984</v>
      </c>
      <c r="G2678" s="1">
        <v>5</v>
      </c>
      <c r="H2678" s="1">
        <v>1</v>
      </c>
      <c r="I2678" t="s">
        <v>7966</v>
      </c>
      <c r="K2678" t="s">
        <v>20</v>
      </c>
      <c r="L2678" s="1">
        <v>6</v>
      </c>
      <c r="M2678" s="3">
        <v>14.84</v>
      </c>
      <c r="N2678" s="3">
        <v>0.74</v>
      </c>
      <c r="O2678" s="3">
        <v>0</v>
      </c>
      <c r="P2678" s="3">
        <v>0.6</v>
      </c>
      <c r="Q2678" s="3">
        <v>16.18</v>
      </c>
      <c r="R2678" s="3">
        <v>9.25</v>
      </c>
      <c r="S2678" s="3">
        <f>VLOOKUP(C2678,[1]page!$C$2:$M$3071,11,0)</f>
        <v>14.84</v>
      </c>
      <c r="T2678" s="6">
        <f t="shared" si="55"/>
        <v>0</v>
      </c>
    </row>
    <row r="2679" spans="1:20" x14ac:dyDescent="0.2">
      <c r="A2679" t="s">
        <v>8150</v>
      </c>
      <c r="B2679" t="s">
        <v>8737</v>
      </c>
      <c r="C2679" t="s">
        <v>8738</v>
      </c>
      <c r="D2679" t="s">
        <v>8739</v>
      </c>
      <c r="E2679" t="s">
        <v>6195</v>
      </c>
      <c r="F2679" t="s">
        <v>5984</v>
      </c>
      <c r="G2679" s="1">
        <v>7</v>
      </c>
      <c r="H2679" s="1">
        <v>1</v>
      </c>
      <c r="I2679" t="s">
        <v>5961</v>
      </c>
      <c r="L2679" s="1">
        <v>6</v>
      </c>
      <c r="M2679" s="3">
        <v>14.69</v>
      </c>
      <c r="N2679" s="3">
        <v>0.73</v>
      </c>
      <c r="O2679" s="3">
        <v>0</v>
      </c>
      <c r="P2679" s="3">
        <v>0.6</v>
      </c>
      <c r="Q2679" s="3">
        <v>16.02</v>
      </c>
      <c r="R2679" s="3">
        <v>10.9</v>
      </c>
      <c r="S2679" s="3">
        <f>VLOOKUP(C2679,[1]page!$C$2:$M$3071,11,0)</f>
        <v>14.69</v>
      </c>
      <c r="T2679" s="6">
        <f t="shared" si="55"/>
        <v>0</v>
      </c>
    </row>
    <row r="2680" spans="1:20" x14ac:dyDescent="0.2">
      <c r="A2680" t="s">
        <v>8150</v>
      </c>
      <c r="B2680" t="s">
        <v>8740</v>
      </c>
      <c r="C2680" t="s">
        <v>8741</v>
      </c>
      <c r="D2680" t="s">
        <v>8742</v>
      </c>
      <c r="E2680" t="s">
        <v>6195</v>
      </c>
      <c r="F2680" t="s">
        <v>5984</v>
      </c>
      <c r="G2680" s="1">
        <v>5</v>
      </c>
      <c r="H2680" s="1">
        <v>1</v>
      </c>
      <c r="I2680" t="s">
        <v>5961</v>
      </c>
      <c r="L2680" s="1">
        <v>6</v>
      </c>
      <c r="M2680" s="3">
        <v>14.07</v>
      </c>
      <c r="N2680" s="3">
        <v>0.7</v>
      </c>
      <c r="O2680" s="3">
        <v>0</v>
      </c>
      <c r="P2680" s="3">
        <v>0.6</v>
      </c>
      <c r="Q2680" s="3">
        <v>15.37</v>
      </c>
      <c r="R2680" s="3">
        <v>9.25</v>
      </c>
      <c r="S2680" s="3">
        <f>VLOOKUP(C2680,[1]page!$C$2:$M$3071,11,0)</f>
        <v>14.07</v>
      </c>
      <c r="T2680" s="6">
        <f t="shared" si="55"/>
        <v>0</v>
      </c>
    </row>
    <row r="2681" spans="1:20" x14ac:dyDescent="0.2">
      <c r="A2681" t="s">
        <v>8150</v>
      </c>
      <c r="B2681" t="s">
        <v>8743</v>
      </c>
      <c r="C2681" t="s">
        <v>8744</v>
      </c>
      <c r="D2681" t="s">
        <v>8745</v>
      </c>
      <c r="E2681" t="s">
        <v>6195</v>
      </c>
      <c r="F2681" t="s">
        <v>5984</v>
      </c>
      <c r="G2681" s="1">
        <v>5</v>
      </c>
      <c r="H2681" s="1">
        <v>1</v>
      </c>
      <c r="I2681" t="s">
        <v>5961</v>
      </c>
      <c r="L2681" s="1">
        <v>6</v>
      </c>
      <c r="M2681" s="3">
        <v>14.69</v>
      </c>
      <c r="N2681" s="3">
        <v>0.73</v>
      </c>
      <c r="O2681" s="3">
        <v>0</v>
      </c>
      <c r="P2681" s="3">
        <v>0.6</v>
      </c>
      <c r="Q2681" s="3">
        <v>16.02</v>
      </c>
      <c r="R2681" s="3">
        <v>9.25</v>
      </c>
      <c r="S2681" s="3">
        <f>VLOOKUP(C2681,[1]page!$C$2:$M$3071,11,0)</f>
        <v>14.69</v>
      </c>
      <c r="T2681" s="6">
        <f t="shared" si="55"/>
        <v>0</v>
      </c>
    </row>
    <row r="2682" spans="1:20" x14ac:dyDescent="0.2">
      <c r="A2682" t="s">
        <v>8150</v>
      </c>
      <c r="B2682" t="s">
        <v>8746</v>
      </c>
      <c r="C2682" t="s">
        <v>8747</v>
      </c>
      <c r="D2682" t="s">
        <v>8748</v>
      </c>
      <c r="E2682" t="s">
        <v>8304</v>
      </c>
      <c r="F2682" t="s">
        <v>5984</v>
      </c>
      <c r="G2682" s="1">
        <v>5</v>
      </c>
      <c r="H2682" s="1">
        <v>1</v>
      </c>
      <c r="I2682" t="s">
        <v>5617</v>
      </c>
      <c r="L2682" s="1">
        <v>6</v>
      </c>
      <c r="M2682" s="3">
        <v>14.07</v>
      </c>
      <c r="N2682" s="3">
        <v>0.7</v>
      </c>
      <c r="O2682" s="3">
        <v>0</v>
      </c>
      <c r="P2682" s="3">
        <v>0.6</v>
      </c>
      <c r="Q2682" s="3">
        <v>15.37</v>
      </c>
      <c r="R2682" s="3">
        <v>9.25</v>
      </c>
      <c r="S2682" s="3">
        <f>VLOOKUP(C2682,[1]page!$C$2:$M$3071,11,0)</f>
        <v>14.07</v>
      </c>
      <c r="T2682" s="6">
        <f t="shared" si="55"/>
        <v>0</v>
      </c>
    </row>
    <row r="2683" spans="1:20" x14ac:dyDescent="0.2">
      <c r="A2683" t="s">
        <v>8150</v>
      </c>
      <c r="B2683" t="s">
        <v>8749</v>
      </c>
      <c r="C2683" t="s">
        <v>8750</v>
      </c>
      <c r="D2683" t="s">
        <v>8751</v>
      </c>
      <c r="E2683" t="s">
        <v>6190</v>
      </c>
      <c r="F2683" t="s">
        <v>5984</v>
      </c>
      <c r="G2683" s="1">
        <v>7</v>
      </c>
      <c r="H2683" s="1">
        <v>1</v>
      </c>
      <c r="I2683" t="s">
        <v>6191</v>
      </c>
      <c r="L2683" s="1">
        <v>6</v>
      </c>
      <c r="M2683" s="3">
        <v>14.69</v>
      </c>
      <c r="N2683" s="3">
        <v>0.73</v>
      </c>
      <c r="O2683" s="3">
        <v>0</v>
      </c>
      <c r="P2683" s="3">
        <v>0.6</v>
      </c>
      <c r="Q2683" s="3">
        <v>16.02</v>
      </c>
      <c r="R2683" s="3">
        <v>10.9</v>
      </c>
      <c r="S2683" s="3">
        <f>VLOOKUP(C2683,[1]page!$C$2:$M$3071,11,0)</f>
        <v>14.69</v>
      </c>
      <c r="T2683" s="6">
        <f t="shared" si="55"/>
        <v>0</v>
      </c>
    </row>
    <row r="2684" spans="1:20" x14ac:dyDescent="0.2">
      <c r="A2684" t="s">
        <v>8150</v>
      </c>
      <c r="B2684" t="s">
        <v>8752</v>
      </c>
      <c r="C2684" t="s">
        <v>8753</v>
      </c>
      <c r="D2684" t="s">
        <v>8754</v>
      </c>
      <c r="E2684" t="s">
        <v>6190</v>
      </c>
      <c r="F2684" t="s">
        <v>5984</v>
      </c>
      <c r="G2684" s="1">
        <v>7</v>
      </c>
      <c r="H2684" s="1">
        <v>1</v>
      </c>
      <c r="I2684" t="s">
        <v>6191</v>
      </c>
      <c r="L2684" s="1">
        <v>6</v>
      </c>
      <c r="M2684" s="3">
        <v>14.69</v>
      </c>
      <c r="N2684" s="3">
        <v>0.73</v>
      </c>
      <c r="O2684" s="3">
        <v>0</v>
      </c>
      <c r="P2684" s="3">
        <v>0.6</v>
      </c>
      <c r="Q2684" s="3">
        <v>16.02</v>
      </c>
      <c r="R2684" s="3">
        <v>10.9</v>
      </c>
      <c r="S2684" s="3">
        <f>VLOOKUP(C2684,[1]page!$C$2:$M$3071,11,0)</f>
        <v>14.69</v>
      </c>
      <c r="T2684" s="6">
        <f t="shared" si="55"/>
        <v>0</v>
      </c>
    </row>
    <row r="2685" spans="1:20" x14ac:dyDescent="0.2">
      <c r="A2685" t="s">
        <v>8150</v>
      </c>
      <c r="B2685" t="s">
        <v>8755</v>
      </c>
      <c r="C2685" t="s">
        <v>8756</v>
      </c>
      <c r="D2685" t="s">
        <v>8757</v>
      </c>
      <c r="E2685" t="s">
        <v>6264</v>
      </c>
      <c r="F2685" t="s">
        <v>5984</v>
      </c>
      <c r="G2685" s="1">
        <v>5</v>
      </c>
      <c r="H2685" s="1">
        <v>1</v>
      </c>
      <c r="I2685" t="s">
        <v>7966</v>
      </c>
      <c r="L2685" s="1">
        <v>6</v>
      </c>
      <c r="M2685" s="3">
        <v>13.89</v>
      </c>
      <c r="N2685" s="3">
        <v>0.69</v>
      </c>
      <c r="O2685" s="3">
        <v>0</v>
      </c>
      <c r="P2685" s="3">
        <v>0.6</v>
      </c>
      <c r="Q2685" s="3">
        <v>15.18</v>
      </c>
      <c r="R2685" s="3">
        <v>9.25</v>
      </c>
      <c r="S2685" s="3">
        <f>VLOOKUP(C2685,[1]page!$C$2:$M$3071,11,0)</f>
        <v>13.89</v>
      </c>
      <c r="T2685" s="6">
        <f t="shared" si="55"/>
        <v>0</v>
      </c>
    </row>
    <row r="2686" spans="1:20" x14ac:dyDescent="0.2">
      <c r="A2686" t="s">
        <v>8150</v>
      </c>
      <c r="B2686" t="s">
        <v>8758</v>
      </c>
      <c r="C2686" t="s">
        <v>8759</v>
      </c>
      <c r="D2686" t="s">
        <v>8760</v>
      </c>
      <c r="E2686" t="s">
        <v>8267</v>
      </c>
      <c r="F2686" t="s">
        <v>5984</v>
      </c>
      <c r="G2686" s="1">
        <v>5</v>
      </c>
      <c r="H2686" s="1">
        <v>1</v>
      </c>
      <c r="I2686" t="s">
        <v>6191</v>
      </c>
      <c r="L2686" s="1">
        <v>6</v>
      </c>
      <c r="M2686" s="3">
        <v>14.84</v>
      </c>
      <c r="N2686" s="3">
        <v>0.74</v>
      </c>
      <c r="O2686" s="3">
        <v>0</v>
      </c>
      <c r="P2686" s="3">
        <v>0.6</v>
      </c>
      <c r="Q2686" s="3">
        <v>16.18</v>
      </c>
      <c r="R2686" s="3">
        <v>9.25</v>
      </c>
      <c r="S2686" s="3">
        <f>VLOOKUP(C2686,[1]page!$C$2:$M$3071,11,0)</f>
        <v>14.84</v>
      </c>
      <c r="T2686" s="6">
        <f t="shared" si="55"/>
        <v>0</v>
      </c>
    </row>
    <row r="2687" spans="1:20" x14ac:dyDescent="0.2">
      <c r="A2687" t="s">
        <v>8150</v>
      </c>
      <c r="B2687" t="s">
        <v>8761</v>
      </c>
      <c r="C2687" t="s">
        <v>8762</v>
      </c>
      <c r="D2687" t="s">
        <v>8763</v>
      </c>
      <c r="E2687" t="s">
        <v>8236</v>
      </c>
      <c r="F2687" t="s">
        <v>5984</v>
      </c>
      <c r="G2687" s="1">
        <v>5</v>
      </c>
      <c r="H2687" s="1">
        <v>1</v>
      </c>
      <c r="I2687" t="s">
        <v>7966</v>
      </c>
      <c r="L2687" s="1">
        <v>6</v>
      </c>
      <c r="M2687" s="3">
        <v>14.84</v>
      </c>
      <c r="N2687" s="3">
        <v>0.74</v>
      </c>
      <c r="O2687" s="3">
        <v>0</v>
      </c>
      <c r="P2687" s="3">
        <v>0.6</v>
      </c>
      <c r="Q2687" s="3">
        <v>16.18</v>
      </c>
      <c r="R2687" s="3">
        <v>9.25</v>
      </c>
      <c r="S2687" s="3">
        <f>VLOOKUP(C2687,[1]page!$C$2:$M$3071,11,0)</f>
        <v>14.84</v>
      </c>
      <c r="T2687" s="6">
        <f t="shared" si="55"/>
        <v>0</v>
      </c>
    </row>
    <row r="2688" spans="1:20" x14ac:dyDescent="0.2">
      <c r="A2688" t="s">
        <v>8150</v>
      </c>
      <c r="B2688" t="s">
        <v>8764</v>
      </c>
      <c r="C2688" t="s">
        <v>8765</v>
      </c>
      <c r="D2688" t="s">
        <v>8766</v>
      </c>
      <c r="E2688" t="s">
        <v>8267</v>
      </c>
      <c r="F2688" t="s">
        <v>5984</v>
      </c>
      <c r="G2688" s="1">
        <v>5</v>
      </c>
      <c r="H2688" s="1">
        <v>1</v>
      </c>
      <c r="I2688" t="s">
        <v>7966</v>
      </c>
      <c r="L2688" s="1">
        <v>6</v>
      </c>
      <c r="M2688" s="3">
        <v>14.84</v>
      </c>
      <c r="N2688" s="3">
        <v>0.74</v>
      </c>
      <c r="O2688" s="3">
        <v>0</v>
      </c>
      <c r="P2688" s="3">
        <v>0.6</v>
      </c>
      <c r="Q2688" s="3">
        <v>16.18</v>
      </c>
      <c r="R2688" s="3">
        <v>9.25</v>
      </c>
      <c r="S2688" s="3">
        <f>VLOOKUP(C2688,[1]page!$C$2:$M$3071,11,0)</f>
        <v>14.84</v>
      </c>
      <c r="T2688" s="6">
        <f t="shared" si="55"/>
        <v>0</v>
      </c>
    </row>
    <row r="2689" spans="1:20" x14ac:dyDescent="0.2">
      <c r="A2689" t="s">
        <v>8150</v>
      </c>
      <c r="B2689" t="s">
        <v>8767</v>
      </c>
      <c r="C2689" t="s">
        <v>8768</v>
      </c>
      <c r="D2689" t="s">
        <v>8769</v>
      </c>
      <c r="E2689" t="s">
        <v>6195</v>
      </c>
      <c r="F2689" t="s">
        <v>5984</v>
      </c>
      <c r="G2689" s="1">
        <v>5</v>
      </c>
      <c r="H2689" s="1">
        <v>1</v>
      </c>
      <c r="I2689" t="s">
        <v>5961</v>
      </c>
      <c r="L2689" s="1">
        <v>6</v>
      </c>
      <c r="M2689" s="3">
        <v>13.49</v>
      </c>
      <c r="N2689" s="3">
        <v>0.67</v>
      </c>
      <c r="O2689" s="3">
        <v>0</v>
      </c>
      <c r="P2689" s="3">
        <v>0.6</v>
      </c>
      <c r="Q2689" s="3">
        <v>14.76</v>
      </c>
      <c r="R2689" s="3">
        <v>9.25</v>
      </c>
      <c r="S2689" s="3">
        <f>VLOOKUP(C2689,[1]page!$C$2:$M$3071,11,0)</f>
        <v>13.49</v>
      </c>
      <c r="T2689" s="6">
        <f t="shared" si="55"/>
        <v>0</v>
      </c>
    </row>
    <row r="2690" spans="1:20" x14ac:dyDescent="0.2">
      <c r="A2690" t="s">
        <v>8150</v>
      </c>
      <c r="B2690" t="s">
        <v>8770</v>
      </c>
      <c r="C2690" t="s">
        <v>8771</v>
      </c>
      <c r="D2690" t="s">
        <v>8772</v>
      </c>
      <c r="E2690" t="s">
        <v>6195</v>
      </c>
      <c r="F2690" t="s">
        <v>5984</v>
      </c>
      <c r="G2690" s="2">
        <v>4.7</v>
      </c>
      <c r="H2690" s="1">
        <v>1</v>
      </c>
      <c r="I2690" t="s">
        <v>5961</v>
      </c>
      <c r="L2690" s="1">
        <v>6</v>
      </c>
      <c r="M2690" s="3">
        <v>13.49</v>
      </c>
      <c r="N2690" s="3">
        <v>0.67</v>
      </c>
      <c r="O2690" s="3">
        <v>0</v>
      </c>
      <c r="P2690" s="3">
        <v>0.6</v>
      </c>
      <c r="Q2690" s="3">
        <v>14.76</v>
      </c>
      <c r="R2690" s="3">
        <v>9.25</v>
      </c>
      <c r="S2690" s="3">
        <f>VLOOKUP(C2690,[1]page!$C$2:$M$3071,11,0)</f>
        <v>13.49</v>
      </c>
      <c r="T2690" s="6">
        <f t="shared" si="55"/>
        <v>0</v>
      </c>
    </row>
    <row r="2691" spans="1:20" x14ac:dyDescent="0.2">
      <c r="A2691" t="s">
        <v>8150</v>
      </c>
      <c r="B2691" t="s">
        <v>8773</v>
      </c>
      <c r="C2691" t="s">
        <v>8774</v>
      </c>
      <c r="D2691" t="s">
        <v>8775</v>
      </c>
      <c r="E2691" t="s">
        <v>6195</v>
      </c>
      <c r="F2691" t="s">
        <v>5984</v>
      </c>
      <c r="G2691" s="1">
        <v>7</v>
      </c>
      <c r="H2691" s="1">
        <v>1</v>
      </c>
      <c r="I2691" t="s">
        <v>5961</v>
      </c>
      <c r="L2691" s="1">
        <v>6</v>
      </c>
      <c r="M2691" s="3">
        <v>14.69</v>
      </c>
      <c r="N2691" s="3">
        <v>0.73</v>
      </c>
      <c r="O2691" s="3">
        <v>0</v>
      </c>
      <c r="P2691" s="3">
        <v>0.6</v>
      </c>
      <c r="Q2691" s="3">
        <v>16.02</v>
      </c>
      <c r="R2691" s="3">
        <v>10.9</v>
      </c>
      <c r="S2691" s="3">
        <f>VLOOKUP(C2691,[1]page!$C$2:$M$3071,11,0)</f>
        <v>14.69</v>
      </c>
      <c r="T2691" s="6">
        <f t="shared" si="55"/>
        <v>0</v>
      </c>
    </row>
    <row r="2692" spans="1:20" x14ac:dyDescent="0.2">
      <c r="A2692" t="s">
        <v>8150</v>
      </c>
      <c r="B2692" t="s">
        <v>8776</v>
      </c>
      <c r="C2692" t="s">
        <v>8777</v>
      </c>
      <c r="D2692" t="s">
        <v>8778</v>
      </c>
      <c r="E2692" t="s">
        <v>6195</v>
      </c>
      <c r="F2692" t="s">
        <v>5984</v>
      </c>
      <c r="G2692" s="1">
        <v>5</v>
      </c>
      <c r="H2692" s="1">
        <v>1</v>
      </c>
      <c r="I2692" t="s">
        <v>5961</v>
      </c>
      <c r="L2692" s="1">
        <v>6</v>
      </c>
      <c r="M2692" s="3">
        <v>14.69</v>
      </c>
      <c r="N2692" s="3">
        <v>0.73</v>
      </c>
      <c r="O2692" s="3">
        <v>0</v>
      </c>
      <c r="P2692" s="3">
        <v>0.6</v>
      </c>
      <c r="Q2692" s="3">
        <v>16.02</v>
      </c>
      <c r="R2692" s="3">
        <v>9.25</v>
      </c>
      <c r="S2692" s="3">
        <f>VLOOKUP(C2692,[1]page!$C$2:$M$3071,11,0)</f>
        <v>14.69</v>
      </c>
      <c r="T2692" s="6">
        <f t="shared" si="55"/>
        <v>0</v>
      </c>
    </row>
    <row r="2693" spans="1:20" x14ac:dyDescent="0.2">
      <c r="A2693" t="s">
        <v>8150</v>
      </c>
      <c r="B2693" t="s">
        <v>8779</v>
      </c>
      <c r="C2693" t="s">
        <v>8780</v>
      </c>
      <c r="D2693" t="s">
        <v>8781</v>
      </c>
      <c r="E2693" t="s">
        <v>6195</v>
      </c>
      <c r="F2693" t="s">
        <v>5984</v>
      </c>
      <c r="G2693" s="1">
        <v>5</v>
      </c>
      <c r="H2693" s="1">
        <v>1</v>
      </c>
      <c r="I2693" t="s">
        <v>5961</v>
      </c>
      <c r="L2693" s="1">
        <v>6</v>
      </c>
      <c r="M2693" s="3">
        <v>14.24</v>
      </c>
      <c r="N2693" s="3">
        <v>0.71</v>
      </c>
      <c r="O2693" s="3">
        <v>0</v>
      </c>
      <c r="P2693" s="3">
        <v>0.6</v>
      </c>
      <c r="Q2693" s="3">
        <v>15.55</v>
      </c>
      <c r="R2693" s="3">
        <v>9.25</v>
      </c>
      <c r="S2693" s="3">
        <f>VLOOKUP(C2693,[1]page!$C$2:$M$3071,11,0)</f>
        <v>14.24</v>
      </c>
      <c r="T2693" s="6">
        <f t="shared" si="55"/>
        <v>0</v>
      </c>
    </row>
    <row r="2694" spans="1:20" x14ac:dyDescent="0.2">
      <c r="A2694" t="s">
        <v>8150</v>
      </c>
      <c r="B2694" t="s">
        <v>8782</v>
      </c>
      <c r="C2694" t="s">
        <v>8783</v>
      </c>
      <c r="D2694" t="s">
        <v>8784</v>
      </c>
      <c r="E2694" t="s">
        <v>6195</v>
      </c>
      <c r="F2694" t="s">
        <v>5984</v>
      </c>
      <c r="G2694" s="1">
        <v>5</v>
      </c>
      <c r="H2694" s="1">
        <v>1</v>
      </c>
      <c r="I2694" t="s">
        <v>5961</v>
      </c>
      <c r="L2694" s="1">
        <v>6</v>
      </c>
      <c r="M2694" s="3">
        <v>14.24</v>
      </c>
      <c r="N2694" s="3">
        <v>0.71</v>
      </c>
      <c r="O2694" s="3">
        <v>0</v>
      </c>
      <c r="P2694" s="3">
        <v>0.6</v>
      </c>
      <c r="Q2694" s="3">
        <v>15.55</v>
      </c>
      <c r="R2694" s="3">
        <v>9.25</v>
      </c>
      <c r="S2694" s="3">
        <f>VLOOKUP(C2694,[1]page!$C$2:$M$3071,11,0)</f>
        <v>14.24</v>
      </c>
      <c r="T2694" s="6">
        <f t="shared" si="55"/>
        <v>0</v>
      </c>
    </row>
    <row r="2695" spans="1:20" x14ac:dyDescent="0.2">
      <c r="A2695" t="s">
        <v>8150</v>
      </c>
      <c r="B2695" t="s">
        <v>8785</v>
      </c>
      <c r="C2695" t="s">
        <v>8786</v>
      </c>
      <c r="D2695" t="s">
        <v>8787</v>
      </c>
      <c r="E2695" t="s">
        <v>6284</v>
      </c>
      <c r="F2695" t="s">
        <v>5984</v>
      </c>
      <c r="G2695" s="1">
        <v>5</v>
      </c>
      <c r="H2695" s="1">
        <v>1</v>
      </c>
      <c r="I2695" t="s">
        <v>6285</v>
      </c>
      <c r="L2695" s="1">
        <v>6</v>
      </c>
      <c r="M2695" s="3">
        <v>13.49</v>
      </c>
      <c r="N2695" s="3">
        <v>0.67</v>
      </c>
      <c r="O2695" s="3">
        <v>0</v>
      </c>
      <c r="P2695" s="3">
        <v>0.6</v>
      </c>
      <c r="Q2695" s="3">
        <v>14.76</v>
      </c>
      <c r="R2695" s="3">
        <v>9.25</v>
      </c>
      <c r="S2695" s="3">
        <f>VLOOKUP(C2695,[1]page!$C$2:$M$3071,11,0)</f>
        <v>13.49</v>
      </c>
      <c r="T2695" s="6">
        <f t="shared" si="55"/>
        <v>0</v>
      </c>
    </row>
    <row r="2696" spans="1:20" x14ac:dyDescent="0.2">
      <c r="A2696" t="s">
        <v>8150</v>
      </c>
      <c r="B2696" t="s">
        <v>8788</v>
      </c>
      <c r="C2696" t="s">
        <v>8789</v>
      </c>
      <c r="D2696" t="s">
        <v>8790</v>
      </c>
      <c r="E2696" t="s">
        <v>6284</v>
      </c>
      <c r="F2696" t="s">
        <v>5984</v>
      </c>
      <c r="G2696" s="1">
        <v>5</v>
      </c>
      <c r="H2696" s="1">
        <v>1</v>
      </c>
      <c r="I2696" t="s">
        <v>6285</v>
      </c>
      <c r="L2696" s="1">
        <v>6</v>
      </c>
      <c r="M2696" s="3">
        <v>14.05</v>
      </c>
      <c r="N2696" s="3">
        <v>0.7</v>
      </c>
      <c r="O2696" s="3">
        <v>0</v>
      </c>
      <c r="P2696" s="3">
        <v>0.6</v>
      </c>
      <c r="Q2696" s="3">
        <v>15.35</v>
      </c>
      <c r="R2696" s="3">
        <v>9.25</v>
      </c>
      <c r="S2696" s="3">
        <f>VLOOKUP(C2696,[1]page!$C$2:$M$3071,11,0)</f>
        <v>14.05</v>
      </c>
      <c r="T2696" s="6">
        <f t="shared" si="55"/>
        <v>0</v>
      </c>
    </row>
    <row r="2697" spans="1:20" x14ac:dyDescent="0.2">
      <c r="A2697" t="s">
        <v>8150</v>
      </c>
      <c r="B2697" t="s">
        <v>8791</v>
      </c>
      <c r="C2697" t="s">
        <v>8792</v>
      </c>
      <c r="D2697" t="s">
        <v>8793</v>
      </c>
      <c r="E2697" t="s">
        <v>6284</v>
      </c>
      <c r="F2697" t="s">
        <v>5984</v>
      </c>
      <c r="G2697" s="1">
        <v>5</v>
      </c>
      <c r="H2697" s="1">
        <v>1</v>
      </c>
      <c r="I2697" t="s">
        <v>6285</v>
      </c>
      <c r="L2697" s="1">
        <v>6</v>
      </c>
      <c r="M2697" s="3">
        <v>14.05</v>
      </c>
      <c r="N2697" s="3">
        <v>0.7</v>
      </c>
      <c r="O2697" s="3">
        <v>0</v>
      </c>
      <c r="P2697" s="3">
        <v>0.6</v>
      </c>
      <c r="Q2697" s="3">
        <v>15.35</v>
      </c>
      <c r="R2697" s="3">
        <v>9.25</v>
      </c>
      <c r="S2697" s="3">
        <f>VLOOKUP(C2697,[1]page!$C$2:$M$3071,11,0)</f>
        <v>14.05</v>
      </c>
      <c r="T2697" s="6">
        <f t="shared" si="55"/>
        <v>0</v>
      </c>
    </row>
    <row r="2698" spans="1:20" x14ac:dyDescent="0.2">
      <c r="A2698" t="s">
        <v>8150</v>
      </c>
      <c r="B2698" t="s">
        <v>8794</v>
      </c>
      <c r="C2698" t="s">
        <v>8795</v>
      </c>
      <c r="D2698" t="s">
        <v>8796</v>
      </c>
      <c r="E2698" t="s">
        <v>8267</v>
      </c>
      <c r="F2698" t="s">
        <v>5984</v>
      </c>
      <c r="G2698" s="1">
        <v>5</v>
      </c>
      <c r="H2698" s="1">
        <v>1</v>
      </c>
      <c r="I2698" t="s">
        <v>7966</v>
      </c>
      <c r="L2698" s="1">
        <v>6</v>
      </c>
      <c r="M2698" s="3">
        <v>11.99</v>
      </c>
      <c r="N2698" s="3">
        <v>0.6</v>
      </c>
      <c r="O2698" s="3">
        <v>0</v>
      </c>
      <c r="P2698" s="3">
        <v>0.6</v>
      </c>
      <c r="Q2698" s="3">
        <v>13.19</v>
      </c>
      <c r="R2698" s="3">
        <v>9.25</v>
      </c>
      <c r="S2698" s="3">
        <f>VLOOKUP(C2698,[1]page!$C$2:$M$3071,11,0)</f>
        <v>11.99</v>
      </c>
      <c r="T2698" s="6">
        <f t="shared" si="55"/>
        <v>0</v>
      </c>
    </row>
    <row r="2699" spans="1:20" x14ac:dyDescent="0.2">
      <c r="A2699" t="s">
        <v>8150</v>
      </c>
      <c r="B2699" t="s">
        <v>8797</v>
      </c>
      <c r="C2699" t="s">
        <v>8798</v>
      </c>
      <c r="D2699" t="s">
        <v>8799</v>
      </c>
      <c r="E2699" t="s">
        <v>8267</v>
      </c>
      <c r="F2699" t="s">
        <v>5984</v>
      </c>
      <c r="G2699" s="1">
        <v>5</v>
      </c>
      <c r="H2699" s="1">
        <v>1</v>
      </c>
      <c r="I2699" t="s">
        <v>7966</v>
      </c>
      <c r="L2699" s="1">
        <v>6</v>
      </c>
      <c r="M2699" s="3">
        <v>11.99</v>
      </c>
      <c r="N2699" s="3">
        <v>0.6</v>
      </c>
      <c r="O2699" s="3">
        <v>0</v>
      </c>
      <c r="P2699" s="3">
        <v>0.6</v>
      </c>
      <c r="Q2699" s="3">
        <v>13.19</v>
      </c>
      <c r="R2699" s="3">
        <v>9.25</v>
      </c>
      <c r="S2699" s="3">
        <f>VLOOKUP(C2699,[1]page!$C$2:$M$3071,11,0)</f>
        <v>11.99</v>
      </c>
      <c r="T2699" s="6">
        <f t="shared" si="55"/>
        <v>0</v>
      </c>
    </row>
    <row r="2700" spans="1:20" x14ac:dyDescent="0.2">
      <c r="A2700" t="s">
        <v>8150</v>
      </c>
      <c r="B2700" t="s">
        <v>8800</v>
      </c>
      <c r="C2700" t="s">
        <v>8801</v>
      </c>
      <c r="D2700" t="s">
        <v>8802</v>
      </c>
      <c r="E2700" t="s">
        <v>8267</v>
      </c>
      <c r="F2700" t="s">
        <v>5984</v>
      </c>
      <c r="G2700" s="1">
        <v>5</v>
      </c>
      <c r="H2700" s="1">
        <v>1</v>
      </c>
      <c r="I2700" t="s">
        <v>7966</v>
      </c>
      <c r="L2700" s="1">
        <v>6</v>
      </c>
      <c r="M2700" s="3">
        <v>11.99</v>
      </c>
      <c r="N2700" s="3">
        <v>0.6</v>
      </c>
      <c r="O2700" s="3">
        <v>0</v>
      </c>
      <c r="P2700" s="3">
        <v>0.6</v>
      </c>
      <c r="Q2700" s="3">
        <v>13.19</v>
      </c>
      <c r="R2700" s="3">
        <v>9.25</v>
      </c>
      <c r="S2700" s="3">
        <f>VLOOKUP(C2700,[1]page!$C$2:$M$3071,11,0)</f>
        <v>11.99</v>
      </c>
      <c r="T2700" s="6">
        <f t="shared" si="55"/>
        <v>0</v>
      </c>
    </row>
    <row r="2701" spans="1:20" x14ac:dyDescent="0.2">
      <c r="A2701" t="s">
        <v>8150</v>
      </c>
      <c r="B2701" t="s">
        <v>8803</v>
      </c>
      <c r="C2701" t="s">
        <v>8804</v>
      </c>
      <c r="D2701" t="s">
        <v>8805</v>
      </c>
      <c r="E2701" t="s">
        <v>8267</v>
      </c>
      <c r="F2701" t="s">
        <v>5984</v>
      </c>
      <c r="G2701" s="1">
        <v>5</v>
      </c>
      <c r="H2701" s="1">
        <v>1</v>
      </c>
      <c r="I2701" t="s">
        <v>7966</v>
      </c>
      <c r="L2701" s="1">
        <v>6</v>
      </c>
      <c r="M2701" s="3">
        <v>11.99</v>
      </c>
      <c r="N2701" s="3">
        <v>0.6</v>
      </c>
      <c r="O2701" s="3">
        <v>0</v>
      </c>
      <c r="P2701" s="3">
        <v>0.6</v>
      </c>
      <c r="Q2701" s="3">
        <v>13.19</v>
      </c>
      <c r="R2701" s="3">
        <v>9.25</v>
      </c>
      <c r="S2701" s="3">
        <f>VLOOKUP(C2701,[1]page!$C$2:$M$3071,11,0)</f>
        <v>11.99</v>
      </c>
      <c r="T2701" s="6">
        <f t="shared" si="55"/>
        <v>0</v>
      </c>
    </row>
    <row r="2702" spans="1:20" x14ac:dyDescent="0.2">
      <c r="A2702" t="s">
        <v>8150</v>
      </c>
      <c r="B2702" t="s">
        <v>8806</v>
      </c>
      <c r="C2702" t="s">
        <v>8807</v>
      </c>
      <c r="D2702" t="s">
        <v>8808</v>
      </c>
      <c r="E2702" t="s">
        <v>6190</v>
      </c>
      <c r="F2702" t="s">
        <v>7091</v>
      </c>
      <c r="G2702" s="2">
        <v>11.13</v>
      </c>
      <c r="H2702" s="1">
        <v>1</v>
      </c>
      <c r="I2702" t="s">
        <v>7966</v>
      </c>
      <c r="L2702" s="1">
        <v>8</v>
      </c>
      <c r="M2702" s="3">
        <v>26.38</v>
      </c>
      <c r="N2702" s="3">
        <v>1.32</v>
      </c>
      <c r="O2702" s="3">
        <v>0</v>
      </c>
      <c r="P2702" s="3">
        <v>0.8</v>
      </c>
      <c r="Q2702" s="3">
        <v>28.5</v>
      </c>
      <c r="R2702" s="3">
        <v>20.25</v>
      </c>
      <c r="S2702" s="3">
        <f>VLOOKUP(C2702,[1]page!$C$2:$M$3071,11,0)</f>
        <v>26.38</v>
      </c>
      <c r="T2702" s="6">
        <f t="shared" si="55"/>
        <v>0</v>
      </c>
    </row>
    <row r="2703" spans="1:20" x14ac:dyDescent="0.2">
      <c r="A2703" t="s">
        <v>8150</v>
      </c>
      <c r="B2703" t="s">
        <v>8809</v>
      </c>
      <c r="C2703" t="s">
        <v>8810</v>
      </c>
      <c r="D2703" t="s">
        <v>8811</v>
      </c>
      <c r="E2703" t="s">
        <v>6277</v>
      </c>
      <c r="F2703" t="s">
        <v>7091</v>
      </c>
      <c r="G2703" s="1">
        <v>5</v>
      </c>
      <c r="H2703" s="1">
        <v>1</v>
      </c>
      <c r="I2703" t="s">
        <v>5920</v>
      </c>
      <c r="L2703" s="1">
        <v>8</v>
      </c>
      <c r="M2703" s="3">
        <v>18.18</v>
      </c>
      <c r="N2703" s="3">
        <v>0.91</v>
      </c>
      <c r="O2703" s="3">
        <v>0</v>
      </c>
      <c r="P2703" s="3">
        <v>0.8</v>
      </c>
      <c r="Q2703" s="3">
        <v>19.89</v>
      </c>
      <c r="R2703" s="3">
        <v>17.149999999999999</v>
      </c>
      <c r="S2703" s="3">
        <f>VLOOKUP(C2703,[1]page!$C$2:$M$3071,11,0)</f>
        <v>18.18</v>
      </c>
      <c r="T2703" s="6">
        <f t="shared" si="55"/>
        <v>0</v>
      </c>
    </row>
    <row r="2704" spans="1:20" x14ac:dyDescent="0.2">
      <c r="A2704" t="s">
        <v>8150</v>
      </c>
      <c r="B2704" t="s">
        <v>8812</v>
      </c>
      <c r="C2704" t="s">
        <v>8813</v>
      </c>
      <c r="D2704" t="s">
        <v>8814</v>
      </c>
      <c r="E2704" t="s">
        <v>6190</v>
      </c>
      <c r="F2704" t="s">
        <v>7091</v>
      </c>
      <c r="G2704" s="1">
        <v>5</v>
      </c>
      <c r="H2704" s="1">
        <v>1</v>
      </c>
      <c r="I2704" t="s">
        <v>7966</v>
      </c>
      <c r="L2704" s="1">
        <v>8</v>
      </c>
      <c r="M2704" s="3">
        <v>18.2</v>
      </c>
      <c r="N2704" s="3">
        <v>0.91</v>
      </c>
      <c r="O2704" s="3">
        <v>0</v>
      </c>
      <c r="P2704" s="3">
        <v>0.8</v>
      </c>
      <c r="Q2704" s="3">
        <v>19.91</v>
      </c>
      <c r="R2704" s="3">
        <v>17.149999999999999</v>
      </c>
      <c r="S2704" s="3">
        <f>VLOOKUP(C2704,[1]page!$C$2:$M$3071,11,0)</f>
        <v>18.2</v>
      </c>
      <c r="T2704" s="6">
        <f t="shared" si="55"/>
        <v>0</v>
      </c>
    </row>
    <row r="2705" spans="1:20" x14ac:dyDescent="0.2">
      <c r="A2705" t="s">
        <v>8150</v>
      </c>
      <c r="B2705" t="s">
        <v>8815</v>
      </c>
      <c r="C2705" t="s">
        <v>8816</v>
      </c>
      <c r="D2705" t="s">
        <v>8817</v>
      </c>
      <c r="E2705" t="s">
        <v>6195</v>
      </c>
      <c r="F2705" t="s">
        <v>7091</v>
      </c>
      <c r="G2705" s="1">
        <v>7</v>
      </c>
      <c r="H2705" s="1">
        <v>1</v>
      </c>
      <c r="I2705" t="s">
        <v>5961</v>
      </c>
      <c r="L2705" s="1">
        <v>8</v>
      </c>
      <c r="M2705" s="3">
        <v>17.989999999999998</v>
      </c>
      <c r="N2705" s="3">
        <v>0.9</v>
      </c>
      <c r="O2705" s="3">
        <v>0</v>
      </c>
      <c r="P2705" s="3">
        <v>0.8</v>
      </c>
      <c r="Q2705" s="3">
        <v>19.690000000000001</v>
      </c>
      <c r="R2705" s="3">
        <v>20.25</v>
      </c>
      <c r="S2705" s="3">
        <f>VLOOKUP(C2705,[1]page!$C$2:$M$3071,11,0)</f>
        <v>17.989999999999998</v>
      </c>
      <c r="T2705" s="6">
        <f t="shared" si="55"/>
        <v>0</v>
      </c>
    </row>
    <row r="2706" spans="1:20" x14ac:dyDescent="0.2">
      <c r="A2706" t="s">
        <v>8150</v>
      </c>
      <c r="B2706" t="s">
        <v>8818</v>
      </c>
      <c r="C2706" t="s">
        <v>8819</v>
      </c>
      <c r="D2706" t="s">
        <v>8820</v>
      </c>
      <c r="E2706" t="s">
        <v>8304</v>
      </c>
      <c r="F2706" t="s">
        <v>7091</v>
      </c>
      <c r="G2706" s="1">
        <v>5</v>
      </c>
      <c r="H2706" s="1">
        <v>1</v>
      </c>
      <c r="I2706" t="s">
        <v>5617</v>
      </c>
      <c r="L2706" s="1">
        <v>8</v>
      </c>
      <c r="M2706" s="3">
        <v>17.11</v>
      </c>
      <c r="N2706" s="3">
        <v>0.86</v>
      </c>
      <c r="O2706" s="3">
        <v>0</v>
      </c>
      <c r="P2706" s="3">
        <v>0.8</v>
      </c>
      <c r="Q2706" s="3">
        <v>18.77</v>
      </c>
      <c r="R2706" s="3">
        <v>17.149999999999999</v>
      </c>
      <c r="S2706" s="3">
        <f>VLOOKUP(C2706,[1]page!$C$2:$M$3071,11,0)</f>
        <v>17.11</v>
      </c>
      <c r="T2706" s="6">
        <f t="shared" si="55"/>
        <v>0</v>
      </c>
    </row>
    <row r="2707" spans="1:20" x14ac:dyDescent="0.2">
      <c r="A2707" t="s">
        <v>8821</v>
      </c>
      <c r="B2707" t="s">
        <v>8822</v>
      </c>
      <c r="C2707" t="s">
        <v>8823</v>
      </c>
      <c r="D2707" t="s">
        <v>8824</v>
      </c>
      <c r="E2707" t="s">
        <v>8825</v>
      </c>
      <c r="F2707" t="s">
        <v>5984</v>
      </c>
      <c r="G2707" s="1">
        <v>5</v>
      </c>
      <c r="H2707" s="1">
        <v>4</v>
      </c>
      <c r="I2707" t="s">
        <v>169</v>
      </c>
      <c r="K2707" t="s">
        <v>20</v>
      </c>
      <c r="L2707" s="1">
        <v>6</v>
      </c>
      <c r="M2707" s="3">
        <v>13.16</v>
      </c>
      <c r="N2707" s="3">
        <v>0.66</v>
      </c>
      <c r="O2707" s="3">
        <v>0</v>
      </c>
      <c r="P2707" s="3">
        <v>1.2</v>
      </c>
      <c r="Q2707" s="3">
        <v>15.02</v>
      </c>
      <c r="R2707" s="3">
        <v>9.25</v>
      </c>
      <c r="S2707" s="3">
        <f>VLOOKUP(C2707,[1]page!$C$2:$M$3071,11,0)</f>
        <v>13.16</v>
      </c>
      <c r="T2707" s="6">
        <f t="shared" si="55"/>
        <v>0</v>
      </c>
    </row>
    <row r="2708" spans="1:20" x14ac:dyDescent="0.2">
      <c r="A2708" t="s">
        <v>8821</v>
      </c>
      <c r="B2708" t="s">
        <v>8826</v>
      </c>
      <c r="C2708" t="s">
        <v>8827</v>
      </c>
      <c r="D2708" t="s">
        <v>8828</v>
      </c>
      <c r="E2708" t="s">
        <v>6132</v>
      </c>
      <c r="F2708" t="s">
        <v>5984</v>
      </c>
      <c r="G2708" s="1">
        <v>7</v>
      </c>
      <c r="H2708" s="1">
        <v>4</v>
      </c>
      <c r="I2708" t="s">
        <v>6133</v>
      </c>
      <c r="L2708" s="1">
        <v>6</v>
      </c>
      <c r="M2708" s="3">
        <v>11.07</v>
      </c>
      <c r="N2708" s="3">
        <v>0.55000000000000004</v>
      </c>
      <c r="O2708" s="3">
        <v>0</v>
      </c>
      <c r="P2708" s="3">
        <v>0.6</v>
      </c>
      <c r="Q2708" s="3">
        <v>12.22</v>
      </c>
      <c r="R2708" s="3">
        <v>10.9</v>
      </c>
      <c r="S2708" s="3">
        <f>VLOOKUP(C2708,[1]page!$C$2:$M$3071,11,0)</f>
        <v>11.07</v>
      </c>
      <c r="T2708" s="6">
        <f t="shared" si="55"/>
        <v>0</v>
      </c>
    </row>
    <row r="2709" spans="1:20" x14ac:dyDescent="0.2">
      <c r="A2709" t="s">
        <v>8821</v>
      </c>
      <c r="B2709" t="s">
        <v>8829</v>
      </c>
      <c r="C2709" t="s">
        <v>8830</v>
      </c>
      <c r="D2709" t="s">
        <v>8831</v>
      </c>
      <c r="E2709" t="s">
        <v>6132</v>
      </c>
      <c r="F2709" t="s">
        <v>5861</v>
      </c>
      <c r="G2709" s="1">
        <v>7</v>
      </c>
      <c r="H2709" s="1">
        <v>2</v>
      </c>
      <c r="I2709" t="s">
        <v>6133</v>
      </c>
      <c r="L2709" s="1">
        <v>12</v>
      </c>
      <c r="M2709" s="3">
        <v>22.16</v>
      </c>
      <c r="N2709" s="3">
        <v>1.1100000000000001</v>
      </c>
      <c r="O2709" s="3">
        <v>0</v>
      </c>
      <c r="P2709" s="3">
        <v>1.2</v>
      </c>
      <c r="Q2709" s="3">
        <v>24.47</v>
      </c>
      <c r="R2709" s="3">
        <f>SUM(F2709*0.0051)</f>
        <v>21.726000000000003</v>
      </c>
      <c r="S2709" s="3">
        <f>VLOOKUP(C2709,[1]page!$C$2:$M$3071,11,0)</f>
        <v>22.16</v>
      </c>
      <c r="T2709" s="6">
        <f t="shared" si="55"/>
        <v>0</v>
      </c>
    </row>
    <row r="2710" spans="1:20" x14ac:dyDescent="0.2">
      <c r="A2710" t="s">
        <v>8821</v>
      </c>
      <c r="B2710" t="s">
        <v>8832</v>
      </c>
      <c r="C2710" t="s">
        <v>8833</v>
      </c>
      <c r="D2710" t="s">
        <v>8834</v>
      </c>
      <c r="E2710" t="s">
        <v>6132</v>
      </c>
      <c r="F2710" t="s">
        <v>5984</v>
      </c>
      <c r="G2710" s="1">
        <v>7</v>
      </c>
      <c r="H2710" s="1">
        <v>4</v>
      </c>
      <c r="I2710" t="s">
        <v>6133</v>
      </c>
      <c r="L2710" s="1">
        <v>6</v>
      </c>
      <c r="M2710" s="3">
        <v>11.07</v>
      </c>
      <c r="N2710" s="3">
        <v>0.55000000000000004</v>
      </c>
      <c r="O2710" s="3">
        <v>0</v>
      </c>
      <c r="P2710" s="3">
        <v>0.6</v>
      </c>
      <c r="Q2710" s="3">
        <v>12.22</v>
      </c>
      <c r="R2710" s="3">
        <v>10.9</v>
      </c>
      <c r="S2710" s="3">
        <f>VLOOKUP(C2710,[1]page!$C$2:$M$3071,11,0)</f>
        <v>11.07</v>
      </c>
      <c r="T2710" s="6">
        <f t="shared" si="55"/>
        <v>0</v>
      </c>
    </row>
    <row r="2711" spans="1:20" x14ac:dyDescent="0.2">
      <c r="A2711" t="s">
        <v>8821</v>
      </c>
      <c r="B2711" t="s">
        <v>8835</v>
      </c>
      <c r="C2711" t="s">
        <v>8836</v>
      </c>
      <c r="D2711" t="s">
        <v>8837</v>
      </c>
      <c r="E2711" t="s">
        <v>8838</v>
      </c>
      <c r="F2711" t="s">
        <v>8839</v>
      </c>
      <c r="G2711" s="2">
        <v>4.5</v>
      </c>
      <c r="H2711" s="1">
        <v>1</v>
      </c>
      <c r="I2711" t="s">
        <v>6038</v>
      </c>
      <c r="K2711" t="s">
        <v>20</v>
      </c>
      <c r="L2711" s="1">
        <v>1</v>
      </c>
      <c r="M2711" s="3">
        <v>119.22</v>
      </c>
      <c r="N2711" s="3">
        <v>5.96</v>
      </c>
      <c r="O2711" s="3">
        <v>0</v>
      </c>
      <c r="P2711" s="3">
        <v>0</v>
      </c>
      <c r="Q2711" s="3">
        <v>125.18</v>
      </c>
      <c r="S2711" s="3">
        <f>VLOOKUP(C2711,[1]page!$C$2:$M$3071,11,0)</f>
        <v>119.22</v>
      </c>
      <c r="T2711" s="6">
        <f t="shared" si="55"/>
        <v>0</v>
      </c>
    </row>
    <row r="2712" spans="1:20" x14ac:dyDescent="0.2">
      <c r="A2712" t="s">
        <v>8821</v>
      </c>
      <c r="B2712" t="s">
        <v>8840</v>
      </c>
      <c r="C2712" t="s">
        <v>8841</v>
      </c>
      <c r="D2712" t="s">
        <v>8842</v>
      </c>
      <c r="E2712" t="s">
        <v>2699</v>
      </c>
      <c r="F2712" t="s">
        <v>3080</v>
      </c>
      <c r="G2712" s="1">
        <v>7</v>
      </c>
      <c r="H2712" s="1">
        <v>8</v>
      </c>
      <c r="I2712" t="s">
        <v>2700</v>
      </c>
      <c r="K2712" t="s">
        <v>20</v>
      </c>
      <c r="L2712" s="1">
        <v>1</v>
      </c>
      <c r="M2712" s="3">
        <v>9.64</v>
      </c>
      <c r="N2712" s="3">
        <v>0.48</v>
      </c>
      <c r="O2712" s="3">
        <v>0</v>
      </c>
      <c r="P2712" s="3">
        <v>0.25</v>
      </c>
      <c r="Q2712" s="3">
        <v>10.37</v>
      </c>
      <c r="R2712" s="3">
        <v>10.55</v>
      </c>
      <c r="S2712" s="3">
        <f>VLOOKUP(C2712,[1]page!$C$2:$M$3071,11,0)</f>
        <v>9.64</v>
      </c>
      <c r="T2712" s="6">
        <f t="shared" si="55"/>
        <v>0</v>
      </c>
    </row>
    <row r="2713" spans="1:20" x14ac:dyDescent="0.2">
      <c r="A2713" t="s">
        <v>8821</v>
      </c>
      <c r="B2713" t="s">
        <v>8843</v>
      </c>
      <c r="C2713" t="s">
        <v>8844</v>
      </c>
      <c r="D2713" t="s">
        <v>8845</v>
      </c>
      <c r="E2713" t="s">
        <v>2699</v>
      </c>
      <c r="F2713" t="s">
        <v>3080</v>
      </c>
      <c r="G2713" s="1">
        <v>6</v>
      </c>
      <c r="H2713" s="1">
        <v>8</v>
      </c>
      <c r="I2713" t="s">
        <v>2700</v>
      </c>
      <c r="K2713" t="s">
        <v>20</v>
      </c>
      <c r="L2713" s="1">
        <v>1</v>
      </c>
      <c r="M2713" s="3">
        <v>9.64</v>
      </c>
      <c r="N2713" s="3">
        <v>0.48</v>
      </c>
      <c r="O2713" s="3">
        <v>0</v>
      </c>
      <c r="P2713" s="3">
        <v>0.25</v>
      </c>
      <c r="Q2713" s="3">
        <v>10.37</v>
      </c>
      <c r="R2713" s="3">
        <v>10.55</v>
      </c>
      <c r="S2713" s="3">
        <f>VLOOKUP(C2713,[1]page!$C$2:$M$3071,11,0)</f>
        <v>9.64</v>
      </c>
      <c r="T2713" s="6">
        <f t="shared" si="55"/>
        <v>0</v>
      </c>
    </row>
    <row r="2714" spans="1:20" x14ac:dyDescent="0.2">
      <c r="A2714" t="s">
        <v>8821</v>
      </c>
      <c r="B2714" t="s">
        <v>8846</v>
      </c>
      <c r="C2714" t="s">
        <v>8847</v>
      </c>
      <c r="D2714" t="s">
        <v>8848</v>
      </c>
      <c r="E2714" t="s">
        <v>2699</v>
      </c>
      <c r="F2714" t="s">
        <v>3080</v>
      </c>
      <c r="G2714" s="1">
        <v>7</v>
      </c>
      <c r="H2714" s="1">
        <v>8</v>
      </c>
      <c r="I2714" t="s">
        <v>2700</v>
      </c>
      <c r="K2714" t="s">
        <v>20</v>
      </c>
      <c r="L2714" s="1">
        <v>1</v>
      </c>
      <c r="M2714" s="3">
        <v>9.64</v>
      </c>
      <c r="N2714" s="3">
        <v>0.48</v>
      </c>
      <c r="O2714" s="3">
        <v>0</v>
      </c>
      <c r="P2714" s="3">
        <v>0.25</v>
      </c>
      <c r="Q2714" s="3">
        <v>10.37</v>
      </c>
      <c r="R2714" s="3">
        <v>10.55</v>
      </c>
      <c r="S2714" s="3">
        <f>VLOOKUP(C2714,[1]page!$C$2:$M$3071,11,0)</f>
        <v>9.64</v>
      </c>
      <c r="T2714" s="6">
        <f t="shared" si="55"/>
        <v>0</v>
      </c>
    </row>
    <row r="2715" spans="1:20" x14ac:dyDescent="0.2">
      <c r="A2715" t="s">
        <v>8821</v>
      </c>
      <c r="B2715" t="s">
        <v>8849</v>
      </c>
      <c r="C2715" t="s">
        <v>8850</v>
      </c>
      <c r="D2715" t="s">
        <v>8851</v>
      </c>
      <c r="E2715" t="s">
        <v>2699</v>
      </c>
      <c r="F2715" t="s">
        <v>3080</v>
      </c>
      <c r="G2715" s="1">
        <v>6</v>
      </c>
      <c r="H2715" s="1">
        <v>8</v>
      </c>
      <c r="I2715" t="s">
        <v>2700</v>
      </c>
      <c r="K2715" t="s">
        <v>20</v>
      </c>
      <c r="L2715" s="1">
        <v>1</v>
      </c>
      <c r="M2715" s="3">
        <v>9.64</v>
      </c>
      <c r="N2715" s="3">
        <v>0.48</v>
      </c>
      <c r="O2715" s="3">
        <v>0</v>
      </c>
      <c r="P2715" s="3">
        <v>0.25</v>
      </c>
      <c r="Q2715" s="3">
        <v>10.37</v>
      </c>
      <c r="R2715" s="3">
        <v>10.55</v>
      </c>
      <c r="S2715" s="3">
        <f>VLOOKUP(C2715,[1]page!$C$2:$M$3071,11,0)</f>
        <v>9.64</v>
      </c>
      <c r="T2715" s="6">
        <f t="shared" si="55"/>
        <v>0</v>
      </c>
    </row>
    <row r="2716" spans="1:20" x14ac:dyDescent="0.2">
      <c r="A2716" t="s">
        <v>8821</v>
      </c>
      <c r="B2716" t="s">
        <v>8852</v>
      </c>
      <c r="C2716" t="s">
        <v>8853</v>
      </c>
      <c r="D2716" t="s">
        <v>8854</v>
      </c>
      <c r="E2716" t="s">
        <v>2699</v>
      </c>
      <c r="F2716" t="s">
        <v>1599</v>
      </c>
      <c r="G2716" s="1">
        <v>5</v>
      </c>
      <c r="H2716" s="1">
        <v>12</v>
      </c>
      <c r="I2716" t="s">
        <v>2700</v>
      </c>
      <c r="L2716" s="1">
        <v>1</v>
      </c>
      <c r="M2716" s="3">
        <v>6.04</v>
      </c>
      <c r="N2716" s="3">
        <v>0.3</v>
      </c>
      <c r="O2716" s="3">
        <v>0</v>
      </c>
      <c r="P2716" s="3">
        <v>0.25</v>
      </c>
      <c r="Q2716" s="3">
        <v>6.59</v>
      </c>
      <c r="R2716" s="3">
        <v>4.45</v>
      </c>
      <c r="S2716" s="3">
        <f>VLOOKUP(C2716,[1]page!$C$2:$M$3071,11,0)</f>
        <v>6.04</v>
      </c>
      <c r="T2716" s="6">
        <f t="shared" si="55"/>
        <v>0</v>
      </c>
    </row>
    <row r="2717" spans="1:20" x14ac:dyDescent="0.2">
      <c r="A2717" t="s">
        <v>8821</v>
      </c>
      <c r="B2717" t="s">
        <v>8855</v>
      </c>
      <c r="C2717" t="s">
        <v>8856</v>
      </c>
      <c r="D2717" t="s">
        <v>8857</v>
      </c>
      <c r="E2717" t="s">
        <v>2699</v>
      </c>
      <c r="F2717" t="s">
        <v>3080</v>
      </c>
      <c r="G2717" s="1">
        <v>7</v>
      </c>
      <c r="H2717" s="1">
        <v>8</v>
      </c>
      <c r="I2717" t="s">
        <v>2700</v>
      </c>
      <c r="K2717" t="s">
        <v>20</v>
      </c>
      <c r="L2717" s="1">
        <v>1</v>
      </c>
      <c r="M2717" s="3">
        <v>9.64</v>
      </c>
      <c r="N2717" s="3">
        <v>0.48</v>
      </c>
      <c r="O2717" s="3">
        <v>0</v>
      </c>
      <c r="P2717" s="3">
        <v>0.25</v>
      </c>
      <c r="Q2717" s="3">
        <v>10.37</v>
      </c>
      <c r="R2717" s="3">
        <v>10.55</v>
      </c>
      <c r="S2717" s="3">
        <f>VLOOKUP(C2717,[1]page!$C$2:$M$3071,11,0)</f>
        <v>9.64</v>
      </c>
      <c r="T2717" s="6">
        <f t="shared" si="55"/>
        <v>0</v>
      </c>
    </row>
    <row r="2718" spans="1:20" x14ac:dyDescent="0.2">
      <c r="A2718" t="s">
        <v>8821</v>
      </c>
      <c r="B2718" t="s">
        <v>8858</v>
      </c>
      <c r="C2718" t="s">
        <v>8859</v>
      </c>
      <c r="D2718" t="s">
        <v>8860</v>
      </c>
      <c r="E2718" t="s">
        <v>2699</v>
      </c>
      <c r="F2718" t="s">
        <v>5861</v>
      </c>
      <c r="G2718" s="1">
        <v>5</v>
      </c>
      <c r="H2718" s="1">
        <v>2</v>
      </c>
      <c r="I2718" t="s">
        <v>2700</v>
      </c>
      <c r="L2718" s="1">
        <v>12</v>
      </c>
      <c r="M2718" s="3">
        <v>23.33</v>
      </c>
      <c r="N2718" s="3">
        <v>1.17</v>
      </c>
      <c r="O2718" s="3">
        <v>0</v>
      </c>
      <c r="P2718" s="3">
        <v>1.2</v>
      </c>
      <c r="Q2718" s="3">
        <v>25.7</v>
      </c>
      <c r="R2718" s="3">
        <f t="shared" ref="R2718" si="56">SUM(F2718*0.0043)</f>
        <v>18.318000000000001</v>
      </c>
      <c r="S2718" s="3">
        <f>VLOOKUP(C2718,[1]page!$C$2:$M$3071,11,0)</f>
        <v>23.33</v>
      </c>
      <c r="T2718" s="6">
        <f t="shared" ref="T2718:T2781" si="57">SUM(M2718-S2718)</f>
        <v>0</v>
      </c>
    </row>
    <row r="2719" spans="1:20" x14ac:dyDescent="0.2">
      <c r="A2719" t="s">
        <v>8821</v>
      </c>
      <c r="B2719" t="s">
        <v>8861</v>
      </c>
      <c r="C2719" t="s">
        <v>8862</v>
      </c>
      <c r="D2719" t="s">
        <v>8863</v>
      </c>
      <c r="E2719" t="s">
        <v>2699</v>
      </c>
      <c r="F2719" t="s">
        <v>1599</v>
      </c>
      <c r="G2719" s="1">
        <v>7</v>
      </c>
      <c r="H2719" s="1">
        <v>12</v>
      </c>
      <c r="I2719" t="s">
        <v>2700</v>
      </c>
      <c r="L2719" s="1">
        <v>1</v>
      </c>
      <c r="M2719" s="3">
        <v>6.04</v>
      </c>
      <c r="N2719" s="3">
        <v>0.3</v>
      </c>
      <c r="O2719" s="3">
        <v>0</v>
      </c>
      <c r="P2719" s="3">
        <v>0.25</v>
      </c>
      <c r="Q2719" s="3">
        <v>6.59</v>
      </c>
      <c r="R2719" s="3">
        <v>5.25</v>
      </c>
      <c r="S2719" s="3">
        <f>VLOOKUP(C2719,[1]page!$C$2:$M$3071,11,0)</f>
        <v>6.04</v>
      </c>
      <c r="T2719" s="6">
        <f t="shared" si="57"/>
        <v>0</v>
      </c>
    </row>
    <row r="2720" spans="1:20" x14ac:dyDescent="0.2">
      <c r="A2720" t="s">
        <v>8821</v>
      </c>
      <c r="B2720" t="s">
        <v>8864</v>
      </c>
      <c r="C2720" t="s">
        <v>8865</v>
      </c>
      <c r="D2720" t="s">
        <v>8866</v>
      </c>
      <c r="E2720" t="s">
        <v>6132</v>
      </c>
      <c r="F2720" t="s">
        <v>5984</v>
      </c>
      <c r="G2720" s="2">
        <v>5.5</v>
      </c>
      <c r="H2720" s="1">
        <v>4</v>
      </c>
      <c r="I2720" t="s">
        <v>6133</v>
      </c>
      <c r="L2720" s="1">
        <v>6</v>
      </c>
      <c r="M2720" s="3">
        <v>12.57</v>
      </c>
      <c r="N2720" s="3">
        <v>0.63</v>
      </c>
      <c r="O2720" s="3">
        <v>0</v>
      </c>
      <c r="P2720" s="3">
        <v>0.6</v>
      </c>
      <c r="Q2720" s="3">
        <v>13.8</v>
      </c>
      <c r="R2720" s="3">
        <v>9.25</v>
      </c>
      <c r="S2720" s="3">
        <f>VLOOKUP(C2720,[1]page!$C$2:$M$3071,11,0)</f>
        <v>12.57</v>
      </c>
      <c r="T2720" s="6">
        <f t="shared" si="57"/>
        <v>0</v>
      </c>
    </row>
    <row r="2721" spans="1:20" x14ac:dyDescent="0.2">
      <c r="A2721" t="s">
        <v>8821</v>
      </c>
      <c r="B2721" t="s">
        <v>8867</v>
      </c>
      <c r="C2721" t="s">
        <v>8868</v>
      </c>
      <c r="D2721" t="s">
        <v>8869</v>
      </c>
      <c r="E2721" t="s">
        <v>6132</v>
      </c>
      <c r="F2721" t="s">
        <v>5984</v>
      </c>
      <c r="G2721" s="2">
        <v>5.5</v>
      </c>
      <c r="H2721" s="1">
        <v>4</v>
      </c>
      <c r="I2721" t="s">
        <v>6133</v>
      </c>
      <c r="L2721" s="1">
        <v>6</v>
      </c>
      <c r="M2721" s="3">
        <v>12.57</v>
      </c>
      <c r="N2721" s="3">
        <v>0.63</v>
      </c>
      <c r="O2721" s="3">
        <v>0</v>
      </c>
      <c r="P2721" s="3">
        <v>0.6</v>
      </c>
      <c r="Q2721" s="3">
        <v>13.8</v>
      </c>
      <c r="R2721" s="3">
        <v>9.25</v>
      </c>
      <c r="S2721" s="3">
        <f>VLOOKUP(C2721,[1]page!$C$2:$M$3071,11,0)</f>
        <v>12.57</v>
      </c>
      <c r="T2721" s="6">
        <f t="shared" si="57"/>
        <v>0</v>
      </c>
    </row>
    <row r="2722" spans="1:20" x14ac:dyDescent="0.2">
      <c r="A2722" t="s">
        <v>8821</v>
      </c>
      <c r="B2722" t="s">
        <v>8870</v>
      </c>
      <c r="C2722" t="s">
        <v>8871</v>
      </c>
      <c r="D2722" t="s">
        <v>8872</v>
      </c>
      <c r="E2722" t="s">
        <v>8873</v>
      </c>
      <c r="F2722" t="s">
        <v>3080</v>
      </c>
      <c r="G2722" s="2">
        <v>4.5</v>
      </c>
      <c r="H2722" s="1">
        <v>6</v>
      </c>
      <c r="I2722" t="s">
        <v>2802</v>
      </c>
      <c r="K2722" t="s">
        <v>20</v>
      </c>
      <c r="L2722" s="1">
        <v>4</v>
      </c>
      <c r="M2722" s="3">
        <v>13.58</v>
      </c>
      <c r="N2722" s="3">
        <v>0.68</v>
      </c>
      <c r="O2722" s="3">
        <v>0</v>
      </c>
      <c r="P2722" s="3">
        <v>0.4</v>
      </c>
      <c r="Q2722" s="3">
        <v>14.66</v>
      </c>
      <c r="R2722" s="3">
        <v>8.9499999999999993</v>
      </c>
      <c r="S2722" s="3">
        <f>VLOOKUP(C2722,[1]page!$C$2:$M$3071,11,0)</f>
        <v>13.58</v>
      </c>
      <c r="T2722" s="6">
        <f t="shared" si="57"/>
        <v>0</v>
      </c>
    </row>
    <row r="2723" spans="1:20" x14ac:dyDescent="0.2">
      <c r="A2723" t="s">
        <v>8821</v>
      </c>
      <c r="B2723" t="s">
        <v>8874</v>
      </c>
      <c r="C2723" t="s">
        <v>8875</v>
      </c>
      <c r="D2723" t="s">
        <v>8876</v>
      </c>
      <c r="E2723" t="s">
        <v>200</v>
      </c>
      <c r="F2723" t="s">
        <v>5872</v>
      </c>
      <c r="G2723" s="1">
        <v>5</v>
      </c>
      <c r="H2723" s="1">
        <v>6</v>
      </c>
      <c r="I2723" t="s">
        <v>201</v>
      </c>
      <c r="L2723" s="1">
        <v>4</v>
      </c>
      <c r="M2723" s="3">
        <v>16.09</v>
      </c>
      <c r="N2723" s="3">
        <v>0.8</v>
      </c>
      <c r="O2723" s="3">
        <v>0</v>
      </c>
      <c r="P2723" s="3">
        <v>0.4</v>
      </c>
      <c r="Q2723" s="3">
        <v>17.29</v>
      </c>
      <c r="R2723" s="3">
        <v>8.85</v>
      </c>
      <c r="S2723" s="3">
        <f>VLOOKUP(C2723,[1]page!$C$2:$M$3071,11,0)</f>
        <v>16.03</v>
      </c>
      <c r="T2723" s="6">
        <f t="shared" si="57"/>
        <v>5.9999999999998721E-2</v>
      </c>
    </row>
    <row r="2724" spans="1:20" x14ac:dyDescent="0.2">
      <c r="A2724" t="s">
        <v>8821</v>
      </c>
      <c r="B2724" t="s">
        <v>8877</v>
      </c>
      <c r="C2724" t="s">
        <v>8878</v>
      </c>
      <c r="D2724" t="s">
        <v>8879</v>
      </c>
      <c r="E2724" t="s">
        <v>5919</v>
      </c>
      <c r="F2724" t="s">
        <v>5872</v>
      </c>
      <c r="G2724" s="2">
        <v>4.5</v>
      </c>
      <c r="H2724" s="1">
        <v>6</v>
      </c>
      <c r="I2724" t="s">
        <v>5920</v>
      </c>
      <c r="L2724" s="1">
        <v>4</v>
      </c>
      <c r="M2724" s="3">
        <v>12.39</v>
      </c>
      <c r="N2724" s="3">
        <v>0.62</v>
      </c>
      <c r="O2724" s="3">
        <v>0</v>
      </c>
      <c r="P2724" s="3">
        <v>0.4</v>
      </c>
      <c r="Q2724" s="3">
        <v>13.41</v>
      </c>
      <c r="R2724" s="3">
        <v>8.85</v>
      </c>
      <c r="S2724" s="3">
        <f>VLOOKUP(C2724,[1]page!$C$2:$M$3071,11,0)</f>
        <v>12.39</v>
      </c>
      <c r="T2724" s="6">
        <f t="shared" si="57"/>
        <v>0</v>
      </c>
    </row>
    <row r="2725" spans="1:20" x14ac:dyDescent="0.2">
      <c r="A2725" t="s">
        <v>8821</v>
      </c>
      <c r="B2725" t="s">
        <v>8880</v>
      </c>
      <c r="C2725" t="s">
        <v>8881</v>
      </c>
      <c r="D2725" t="s">
        <v>8882</v>
      </c>
      <c r="E2725" t="s">
        <v>5919</v>
      </c>
      <c r="F2725" t="s">
        <v>5872</v>
      </c>
      <c r="G2725" s="2">
        <v>4.5</v>
      </c>
      <c r="H2725" s="1">
        <v>6</v>
      </c>
      <c r="I2725" t="s">
        <v>5920</v>
      </c>
      <c r="L2725" s="1">
        <v>4</v>
      </c>
      <c r="M2725" s="3">
        <v>12.39</v>
      </c>
      <c r="N2725" s="3">
        <v>0.62</v>
      </c>
      <c r="O2725" s="3">
        <v>0</v>
      </c>
      <c r="P2725" s="3">
        <v>0.4</v>
      </c>
      <c r="Q2725" s="3">
        <v>13.41</v>
      </c>
      <c r="R2725" s="3">
        <v>8.85</v>
      </c>
      <c r="S2725" s="3">
        <f>VLOOKUP(C2725,[1]page!$C$2:$M$3071,11,0)</f>
        <v>12.39</v>
      </c>
      <c r="T2725" s="6">
        <f t="shared" si="57"/>
        <v>0</v>
      </c>
    </row>
    <row r="2726" spans="1:20" x14ac:dyDescent="0.2">
      <c r="A2726" t="s">
        <v>8821</v>
      </c>
      <c r="B2726" t="s">
        <v>8883</v>
      </c>
      <c r="C2726" t="s">
        <v>8884</v>
      </c>
      <c r="D2726" t="s">
        <v>8885</v>
      </c>
      <c r="E2726" t="s">
        <v>5919</v>
      </c>
      <c r="F2726" t="s">
        <v>5902</v>
      </c>
      <c r="G2726" s="2">
        <v>4.5</v>
      </c>
      <c r="H2726" s="1">
        <v>3</v>
      </c>
      <c r="I2726" t="s">
        <v>5920</v>
      </c>
      <c r="L2726" s="1">
        <v>8</v>
      </c>
      <c r="M2726" s="3">
        <v>24.04</v>
      </c>
      <c r="N2726" s="3">
        <v>1.2</v>
      </c>
      <c r="O2726" s="3">
        <v>0</v>
      </c>
      <c r="P2726" s="3">
        <v>0.8</v>
      </c>
      <c r="Q2726" s="3">
        <v>26.04</v>
      </c>
      <c r="R2726" s="3">
        <v>17.149999999999999</v>
      </c>
      <c r="S2726" s="3">
        <f>VLOOKUP(C2726,[1]page!$C$2:$M$3071,11,0)</f>
        <v>24.04</v>
      </c>
      <c r="T2726" s="6">
        <f t="shared" si="57"/>
        <v>0</v>
      </c>
    </row>
    <row r="2727" spans="1:20" x14ac:dyDescent="0.2">
      <c r="A2727" t="s">
        <v>8821</v>
      </c>
      <c r="B2727" t="s">
        <v>8886</v>
      </c>
      <c r="C2727" t="s">
        <v>8887</v>
      </c>
      <c r="D2727" t="s">
        <v>8888</v>
      </c>
      <c r="E2727" t="s">
        <v>8838</v>
      </c>
      <c r="F2727" t="s">
        <v>5855</v>
      </c>
      <c r="G2727" s="2">
        <v>4.5</v>
      </c>
      <c r="H2727" s="1">
        <v>24</v>
      </c>
      <c r="I2727" t="s">
        <v>5920</v>
      </c>
      <c r="L2727" s="1">
        <v>1</v>
      </c>
      <c r="M2727" s="3">
        <v>2.94</v>
      </c>
      <c r="N2727" s="3">
        <v>0.15</v>
      </c>
      <c r="O2727" s="3">
        <v>0</v>
      </c>
      <c r="P2727" s="3">
        <v>0.1</v>
      </c>
      <c r="Q2727" s="3">
        <v>3.19</v>
      </c>
      <c r="R2727" s="3">
        <v>2.2999999999999998</v>
      </c>
      <c r="S2727" s="3">
        <f>VLOOKUP(C2727,[1]page!$C$2:$M$3071,11,0)</f>
        <v>2.94</v>
      </c>
      <c r="T2727" s="6">
        <f t="shared" si="57"/>
        <v>0</v>
      </c>
    </row>
    <row r="2728" spans="1:20" x14ac:dyDescent="0.2">
      <c r="A2728" t="s">
        <v>8821</v>
      </c>
      <c r="B2728" t="s">
        <v>8889</v>
      </c>
      <c r="C2728" t="s">
        <v>8890</v>
      </c>
      <c r="D2728" t="s">
        <v>8891</v>
      </c>
      <c r="E2728" t="s">
        <v>5919</v>
      </c>
      <c r="F2728" t="s">
        <v>5872</v>
      </c>
      <c r="G2728" s="2">
        <v>4.5</v>
      </c>
      <c r="H2728" s="1">
        <v>6</v>
      </c>
      <c r="I2728" t="s">
        <v>5920</v>
      </c>
      <c r="L2728" s="1">
        <v>4</v>
      </c>
      <c r="M2728" s="3">
        <v>12.84</v>
      </c>
      <c r="N2728" s="3">
        <v>0.64</v>
      </c>
      <c r="O2728" s="3">
        <v>0</v>
      </c>
      <c r="P2728" s="3">
        <v>0.4</v>
      </c>
      <c r="Q2728" s="3">
        <v>13.88</v>
      </c>
      <c r="R2728" s="3">
        <v>8.85</v>
      </c>
      <c r="S2728" s="3">
        <f>VLOOKUP(C2728,[1]page!$C$2:$M$3071,11,0)</f>
        <v>12.84</v>
      </c>
      <c r="T2728" s="6">
        <f t="shared" si="57"/>
        <v>0</v>
      </c>
    </row>
    <row r="2729" spans="1:20" x14ac:dyDescent="0.2">
      <c r="A2729" t="s">
        <v>8821</v>
      </c>
      <c r="B2729" t="s">
        <v>8892</v>
      </c>
      <c r="C2729" t="s">
        <v>8893</v>
      </c>
      <c r="D2729" t="s">
        <v>8894</v>
      </c>
      <c r="E2729" t="s">
        <v>5919</v>
      </c>
      <c r="F2729" t="s">
        <v>5872</v>
      </c>
      <c r="G2729" s="2">
        <v>4.5</v>
      </c>
      <c r="H2729" s="1">
        <v>6</v>
      </c>
      <c r="I2729" t="s">
        <v>5920</v>
      </c>
      <c r="L2729" s="1">
        <v>4</v>
      </c>
      <c r="M2729" s="3">
        <v>12.84</v>
      </c>
      <c r="N2729" s="3">
        <v>0.64</v>
      </c>
      <c r="O2729" s="3">
        <v>0</v>
      </c>
      <c r="P2729" s="3">
        <v>0.4</v>
      </c>
      <c r="Q2729" s="3">
        <v>13.88</v>
      </c>
      <c r="R2729" s="3">
        <v>8.85</v>
      </c>
      <c r="S2729" s="3">
        <f>VLOOKUP(C2729,[1]page!$C$2:$M$3071,11,0)</f>
        <v>12.84</v>
      </c>
      <c r="T2729" s="6">
        <f t="shared" si="57"/>
        <v>0</v>
      </c>
    </row>
    <row r="2730" spans="1:20" x14ac:dyDescent="0.2">
      <c r="A2730" t="s">
        <v>8895</v>
      </c>
      <c r="B2730" t="s">
        <v>8896</v>
      </c>
      <c r="C2730" t="s">
        <v>8897</v>
      </c>
      <c r="D2730" t="s">
        <v>8898</v>
      </c>
      <c r="E2730" t="s">
        <v>8899</v>
      </c>
      <c r="F2730" t="s">
        <v>5872</v>
      </c>
      <c r="G2730" s="1">
        <v>6</v>
      </c>
      <c r="H2730" s="1">
        <v>6</v>
      </c>
      <c r="I2730" t="s">
        <v>8900</v>
      </c>
      <c r="L2730" s="1">
        <v>4</v>
      </c>
      <c r="M2730" s="3">
        <v>17.23</v>
      </c>
      <c r="N2730" s="3">
        <v>0.86</v>
      </c>
      <c r="O2730" s="3">
        <v>0</v>
      </c>
      <c r="P2730" s="3">
        <v>0.4</v>
      </c>
      <c r="Q2730" s="3">
        <v>18.489999999999998</v>
      </c>
      <c r="R2730" s="3">
        <v>10.45</v>
      </c>
      <c r="S2730" s="3">
        <f>VLOOKUP(C2730,[1]page!$C$2:$M$3071,11,0)</f>
        <v>17.23</v>
      </c>
      <c r="T2730" s="6">
        <f t="shared" si="57"/>
        <v>0</v>
      </c>
    </row>
    <row r="2731" spans="1:20" x14ac:dyDescent="0.2">
      <c r="A2731" t="s">
        <v>8895</v>
      </c>
      <c r="B2731" t="s">
        <v>8901</v>
      </c>
      <c r="C2731" t="s">
        <v>8902</v>
      </c>
      <c r="D2731" t="s">
        <v>8903</v>
      </c>
      <c r="E2731" t="s">
        <v>8825</v>
      </c>
      <c r="F2731" t="s">
        <v>5984</v>
      </c>
      <c r="G2731" s="1">
        <v>5</v>
      </c>
      <c r="H2731" s="1">
        <v>4</v>
      </c>
      <c r="I2731" t="s">
        <v>169</v>
      </c>
      <c r="K2731" t="s">
        <v>20</v>
      </c>
      <c r="L2731" s="1">
        <v>6</v>
      </c>
      <c r="M2731" s="3">
        <v>13.93</v>
      </c>
      <c r="N2731" s="3">
        <v>0.7</v>
      </c>
      <c r="O2731" s="3">
        <v>0</v>
      </c>
      <c r="P2731" s="3">
        <v>1.2</v>
      </c>
      <c r="Q2731" s="3">
        <v>15.83</v>
      </c>
      <c r="R2731" s="3">
        <v>9.25</v>
      </c>
      <c r="S2731" s="3">
        <f>VLOOKUP(C2731,[1]page!$C$2:$M$3071,11,0)</f>
        <v>13.93</v>
      </c>
      <c r="T2731" s="6">
        <f t="shared" si="57"/>
        <v>0</v>
      </c>
    </row>
    <row r="2732" spans="1:20" x14ac:dyDescent="0.2">
      <c r="A2732" t="s">
        <v>8904</v>
      </c>
      <c r="B2732" t="s">
        <v>8905</v>
      </c>
      <c r="C2732" t="s">
        <v>8906</v>
      </c>
      <c r="D2732" t="s">
        <v>8907</v>
      </c>
      <c r="E2732" t="s">
        <v>1016</v>
      </c>
      <c r="F2732" t="s">
        <v>1041</v>
      </c>
      <c r="G2732" s="1">
        <v>6</v>
      </c>
      <c r="H2732" s="1">
        <v>6</v>
      </c>
      <c r="I2732" t="s">
        <v>62</v>
      </c>
      <c r="L2732" s="1">
        <v>4</v>
      </c>
      <c r="M2732" s="3">
        <v>8.76</v>
      </c>
      <c r="N2732" s="3">
        <v>0.44</v>
      </c>
      <c r="O2732" s="3">
        <v>0</v>
      </c>
      <c r="P2732" s="3">
        <v>0.4</v>
      </c>
      <c r="Q2732" s="3">
        <v>9.6</v>
      </c>
      <c r="R2732" s="3">
        <v>7.5</v>
      </c>
      <c r="S2732" s="3">
        <f>VLOOKUP(C2732,[1]page!$C$2:$M$3071,11,0)</f>
        <v>8.74</v>
      </c>
      <c r="T2732" s="6">
        <f t="shared" si="57"/>
        <v>1.9999999999999574E-2</v>
      </c>
    </row>
    <row r="2733" spans="1:20" x14ac:dyDescent="0.2">
      <c r="A2733" t="s">
        <v>8904</v>
      </c>
      <c r="B2733" t="s">
        <v>8908</v>
      </c>
      <c r="C2733" t="s">
        <v>8909</v>
      </c>
      <c r="D2733" t="s">
        <v>8910</v>
      </c>
      <c r="E2733" t="s">
        <v>1016</v>
      </c>
      <c r="F2733" t="s">
        <v>7091</v>
      </c>
      <c r="G2733" s="1">
        <v>6</v>
      </c>
      <c r="H2733" s="1">
        <v>3</v>
      </c>
      <c r="I2733" t="s">
        <v>62</v>
      </c>
      <c r="L2733" s="1">
        <v>8</v>
      </c>
      <c r="M2733" s="3">
        <v>16.16</v>
      </c>
      <c r="N2733" s="3">
        <v>0.81</v>
      </c>
      <c r="O2733" s="3">
        <v>0</v>
      </c>
      <c r="P2733" s="3">
        <v>0.8</v>
      </c>
      <c r="Q2733" s="3">
        <v>17.77</v>
      </c>
      <c r="R2733" s="3">
        <v>20.25</v>
      </c>
      <c r="S2733" s="3">
        <f>VLOOKUP(C2733,[1]page!$C$2:$M$3071,11,0)</f>
        <v>16.12</v>
      </c>
      <c r="T2733" s="6">
        <f t="shared" si="57"/>
        <v>3.9999999999999147E-2</v>
      </c>
    </row>
    <row r="2734" spans="1:20" x14ac:dyDescent="0.2">
      <c r="A2734" t="s">
        <v>8904</v>
      </c>
      <c r="B2734" t="s">
        <v>8911</v>
      </c>
      <c r="C2734" t="s">
        <v>8912</v>
      </c>
      <c r="D2734" t="s">
        <v>8913</v>
      </c>
      <c r="E2734" t="s">
        <v>2980</v>
      </c>
      <c r="F2734" t="s">
        <v>5861</v>
      </c>
      <c r="G2734" s="1">
        <v>5</v>
      </c>
      <c r="H2734" s="1">
        <v>2</v>
      </c>
      <c r="I2734" t="s">
        <v>57</v>
      </c>
      <c r="L2734" s="1">
        <v>12</v>
      </c>
      <c r="M2734" s="3">
        <v>28.14</v>
      </c>
      <c r="N2734" s="3">
        <v>1.41</v>
      </c>
      <c r="O2734" s="3">
        <v>0</v>
      </c>
      <c r="P2734" s="3">
        <v>1.2</v>
      </c>
      <c r="Q2734" s="3">
        <v>30.75</v>
      </c>
      <c r="R2734" s="3">
        <f t="shared" ref="R2734" si="58">SUM(F2734*0.0043)</f>
        <v>18.318000000000001</v>
      </c>
      <c r="S2734" s="3">
        <f>VLOOKUP(C2734,[1]page!$C$2:$M$3071,11,0)</f>
        <v>28.09</v>
      </c>
      <c r="T2734" s="6">
        <f t="shared" si="57"/>
        <v>5.0000000000000711E-2</v>
      </c>
    </row>
    <row r="2735" spans="1:20" x14ac:dyDescent="0.2">
      <c r="A2735" t="s">
        <v>8904</v>
      </c>
      <c r="B2735" t="s">
        <v>8914</v>
      </c>
      <c r="C2735" t="s">
        <v>8915</v>
      </c>
      <c r="D2735" t="s">
        <v>8916</v>
      </c>
      <c r="E2735" t="s">
        <v>2980</v>
      </c>
      <c r="F2735" t="s">
        <v>2835</v>
      </c>
      <c r="G2735" s="1">
        <v>5</v>
      </c>
      <c r="H2735" s="1">
        <v>4</v>
      </c>
      <c r="I2735" t="s">
        <v>57</v>
      </c>
      <c r="L2735" s="1">
        <v>1</v>
      </c>
      <c r="M2735" s="3">
        <v>21.71</v>
      </c>
      <c r="N2735" s="3">
        <v>1.0900000000000001</v>
      </c>
      <c r="O2735" s="3">
        <v>0</v>
      </c>
      <c r="P2735" s="3">
        <v>0</v>
      </c>
      <c r="Q2735" s="3">
        <v>22.8</v>
      </c>
      <c r="R2735" s="3">
        <v>17.75</v>
      </c>
      <c r="S2735" s="3">
        <f>VLOOKUP(C2735,[1]page!$C$2:$M$3071,11,0)</f>
        <v>21.65</v>
      </c>
      <c r="T2735" s="6">
        <f t="shared" si="57"/>
        <v>6.0000000000002274E-2</v>
      </c>
    </row>
    <row r="2736" spans="1:20" x14ac:dyDescent="0.2">
      <c r="A2736" t="s">
        <v>8904</v>
      </c>
      <c r="B2736" t="s">
        <v>8917</v>
      </c>
      <c r="C2736" t="s">
        <v>8918</v>
      </c>
      <c r="D2736" t="s">
        <v>8919</v>
      </c>
      <c r="E2736" t="s">
        <v>43</v>
      </c>
      <c r="F2736" t="s">
        <v>1041</v>
      </c>
      <c r="G2736" s="1">
        <v>7</v>
      </c>
      <c r="H2736" s="1">
        <v>6</v>
      </c>
      <c r="I2736" t="s">
        <v>8920</v>
      </c>
      <c r="L2736" s="1">
        <v>4</v>
      </c>
      <c r="M2736" s="3">
        <v>13.53</v>
      </c>
      <c r="N2736" s="3">
        <v>0.68</v>
      </c>
      <c r="O2736" s="3">
        <v>0</v>
      </c>
      <c r="P2736" s="3">
        <v>0.4</v>
      </c>
      <c r="Q2736" s="3">
        <v>14.61</v>
      </c>
      <c r="R2736" s="3">
        <v>7.5</v>
      </c>
      <c r="S2736" s="3">
        <f>VLOOKUP(C2736,[1]page!$C$2:$M$3071,11,0)</f>
        <v>13.52</v>
      </c>
      <c r="T2736" s="6">
        <f t="shared" si="57"/>
        <v>9.9999999999997868E-3</v>
      </c>
    </row>
    <row r="2737" spans="1:20" x14ac:dyDescent="0.2">
      <c r="A2737" t="s">
        <v>8904</v>
      </c>
      <c r="B2737" t="s">
        <v>8921</v>
      </c>
      <c r="C2737" t="s">
        <v>8922</v>
      </c>
      <c r="D2737" t="s">
        <v>8923</v>
      </c>
      <c r="E2737" t="s">
        <v>43</v>
      </c>
      <c r="F2737" t="s">
        <v>7091</v>
      </c>
      <c r="G2737" s="1">
        <v>7</v>
      </c>
      <c r="H2737" s="1">
        <v>3</v>
      </c>
      <c r="I2737" t="s">
        <v>8920</v>
      </c>
      <c r="L2737" s="1">
        <v>8</v>
      </c>
      <c r="M2737" s="3">
        <v>21.18</v>
      </c>
      <c r="N2737" s="3">
        <v>1.06</v>
      </c>
      <c r="O2737" s="3">
        <v>0</v>
      </c>
      <c r="P2737" s="3">
        <v>0.8</v>
      </c>
      <c r="Q2737" s="3">
        <v>23.04</v>
      </c>
      <c r="R2737" s="3">
        <v>20.25</v>
      </c>
      <c r="S2737" s="3">
        <f>VLOOKUP(C2737,[1]page!$C$2:$M$3071,11,0)</f>
        <v>21.14</v>
      </c>
      <c r="T2737" s="6">
        <f t="shared" si="57"/>
        <v>3.9999999999999147E-2</v>
      </c>
    </row>
    <row r="2738" spans="1:20" x14ac:dyDescent="0.2">
      <c r="A2738" t="s">
        <v>8904</v>
      </c>
      <c r="B2738" t="s">
        <v>8924</v>
      </c>
      <c r="C2738" t="s">
        <v>8925</v>
      </c>
      <c r="D2738" t="s">
        <v>8926</v>
      </c>
      <c r="E2738" t="s">
        <v>43</v>
      </c>
      <c r="F2738" t="s">
        <v>1041</v>
      </c>
      <c r="G2738" s="1">
        <v>7</v>
      </c>
      <c r="H2738" s="1">
        <v>6</v>
      </c>
      <c r="I2738" t="s">
        <v>8920</v>
      </c>
      <c r="L2738" s="1">
        <v>4</v>
      </c>
      <c r="M2738" s="3">
        <v>13.54</v>
      </c>
      <c r="N2738" s="3">
        <v>0.68</v>
      </c>
      <c r="O2738" s="3">
        <v>0</v>
      </c>
      <c r="P2738" s="3">
        <v>0.4</v>
      </c>
      <c r="Q2738" s="3">
        <v>14.62</v>
      </c>
      <c r="R2738" s="3">
        <v>7.5</v>
      </c>
      <c r="S2738" s="3">
        <f>VLOOKUP(C2738,[1]page!$C$2:$M$3071,11,0)</f>
        <v>13.52</v>
      </c>
      <c r="T2738" s="6">
        <f t="shared" si="57"/>
        <v>1.9999999999999574E-2</v>
      </c>
    </row>
    <row r="2739" spans="1:20" x14ac:dyDescent="0.2">
      <c r="A2739" t="s">
        <v>8904</v>
      </c>
      <c r="B2739" t="s">
        <v>8927</v>
      </c>
      <c r="C2739" t="s">
        <v>8928</v>
      </c>
      <c r="D2739" t="s">
        <v>8929</v>
      </c>
      <c r="E2739" t="s">
        <v>43</v>
      </c>
      <c r="F2739" t="s">
        <v>7091</v>
      </c>
      <c r="G2739" s="2">
        <v>4.5</v>
      </c>
      <c r="H2739" s="1">
        <v>3</v>
      </c>
      <c r="I2739" t="s">
        <v>8920</v>
      </c>
      <c r="L2739" s="1">
        <v>8</v>
      </c>
      <c r="M2739" s="3">
        <v>21.18</v>
      </c>
      <c r="N2739" s="3">
        <v>1.06</v>
      </c>
      <c r="O2739" s="3">
        <v>0</v>
      </c>
      <c r="P2739" s="3">
        <v>0.8</v>
      </c>
      <c r="Q2739" s="3">
        <v>23.04</v>
      </c>
      <c r="R2739" s="3">
        <v>17.149999999999999</v>
      </c>
      <c r="S2739" s="3">
        <f>VLOOKUP(C2739,[1]page!$C$2:$M$3071,11,0)</f>
        <v>21.14</v>
      </c>
      <c r="T2739" s="6">
        <f t="shared" si="57"/>
        <v>3.9999999999999147E-2</v>
      </c>
    </row>
    <row r="2740" spans="1:20" x14ac:dyDescent="0.2">
      <c r="A2740" t="s">
        <v>8904</v>
      </c>
      <c r="B2740" t="s">
        <v>8930</v>
      </c>
      <c r="C2740" t="s">
        <v>8931</v>
      </c>
      <c r="D2740" t="s">
        <v>8932</v>
      </c>
      <c r="E2740" t="s">
        <v>1124</v>
      </c>
      <c r="F2740" t="s">
        <v>23</v>
      </c>
      <c r="G2740" s="2">
        <v>12.5</v>
      </c>
      <c r="H2740" s="1">
        <v>12</v>
      </c>
      <c r="I2740" t="s">
        <v>444</v>
      </c>
      <c r="L2740" s="1">
        <v>1</v>
      </c>
      <c r="M2740" s="3">
        <v>13.01</v>
      </c>
      <c r="N2740" s="3">
        <v>0.65</v>
      </c>
      <c r="O2740" s="3">
        <v>0</v>
      </c>
      <c r="P2740" s="3">
        <v>0.2</v>
      </c>
      <c r="Q2740" s="3">
        <v>13.86</v>
      </c>
      <c r="R2740" s="3">
        <v>5.25</v>
      </c>
      <c r="S2740" s="3">
        <f>VLOOKUP(C2740,[1]page!$C$2:$M$3071,11,0)</f>
        <v>13.01</v>
      </c>
      <c r="T2740" s="6">
        <f t="shared" si="57"/>
        <v>0</v>
      </c>
    </row>
    <row r="2741" spans="1:20" x14ac:dyDescent="0.2">
      <c r="A2741" t="s">
        <v>8904</v>
      </c>
      <c r="B2741" t="s">
        <v>8933</v>
      </c>
      <c r="C2741" t="s">
        <v>8934</v>
      </c>
      <c r="D2741" t="s">
        <v>8932</v>
      </c>
      <c r="E2741" t="s">
        <v>926</v>
      </c>
      <c r="F2741" t="s">
        <v>5984</v>
      </c>
      <c r="G2741" s="1">
        <v>5</v>
      </c>
      <c r="H2741" s="1">
        <v>4</v>
      </c>
      <c r="I2741" t="s">
        <v>444</v>
      </c>
      <c r="L2741" s="1">
        <v>6</v>
      </c>
      <c r="M2741" s="3">
        <v>14.5</v>
      </c>
      <c r="N2741" s="3">
        <v>0.73</v>
      </c>
      <c r="O2741" s="3">
        <v>0</v>
      </c>
      <c r="P2741" s="3">
        <v>0.6</v>
      </c>
      <c r="Q2741" s="3">
        <v>15.83</v>
      </c>
      <c r="R2741" s="3">
        <v>9.25</v>
      </c>
      <c r="S2741" s="3">
        <f>VLOOKUP(C2741,[1]page!$C$2:$M$3071,11,0)</f>
        <v>14.5</v>
      </c>
      <c r="T2741" s="6">
        <f t="shared" si="57"/>
        <v>0</v>
      </c>
    </row>
    <row r="2742" spans="1:20" x14ac:dyDescent="0.2">
      <c r="A2742" t="s">
        <v>8904</v>
      </c>
      <c r="B2742" t="s">
        <v>8935</v>
      </c>
      <c r="C2742" t="s">
        <v>8936</v>
      </c>
      <c r="D2742" t="s">
        <v>8937</v>
      </c>
      <c r="E2742" t="s">
        <v>1116</v>
      </c>
      <c r="F2742" t="s">
        <v>5984</v>
      </c>
      <c r="G2742" s="1">
        <v>5</v>
      </c>
      <c r="H2742" s="1">
        <v>4</v>
      </c>
      <c r="I2742" t="s">
        <v>444</v>
      </c>
      <c r="L2742" s="1">
        <v>6</v>
      </c>
      <c r="M2742" s="3">
        <v>14.5</v>
      </c>
      <c r="N2742" s="3">
        <v>0.73</v>
      </c>
      <c r="O2742" s="3">
        <v>0</v>
      </c>
      <c r="P2742" s="3">
        <v>0.6</v>
      </c>
      <c r="Q2742" s="3">
        <v>15.83</v>
      </c>
      <c r="R2742" s="3">
        <v>9.25</v>
      </c>
      <c r="S2742" s="3">
        <f>VLOOKUP(C2742,[1]page!$C$2:$M$3071,11,0)</f>
        <v>14.5</v>
      </c>
      <c r="T2742" s="6">
        <f t="shared" si="57"/>
        <v>0</v>
      </c>
    </row>
    <row r="2743" spans="1:20" x14ac:dyDescent="0.2">
      <c r="A2743" t="s">
        <v>8904</v>
      </c>
      <c r="B2743" t="s">
        <v>8938</v>
      </c>
      <c r="C2743" t="s">
        <v>8939</v>
      </c>
      <c r="D2743" t="s">
        <v>8940</v>
      </c>
      <c r="E2743" t="s">
        <v>1116</v>
      </c>
      <c r="F2743" t="s">
        <v>5861</v>
      </c>
      <c r="G2743" s="1">
        <v>5</v>
      </c>
      <c r="H2743" s="1">
        <v>2</v>
      </c>
      <c r="I2743" t="s">
        <v>444</v>
      </c>
      <c r="L2743" s="1">
        <v>12</v>
      </c>
      <c r="M2743" s="3">
        <v>25.7</v>
      </c>
      <c r="N2743" s="3">
        <v>1.29</v>
      </c>
      <c r="O2743" s="3">
        <v>0</v>
      </c>
      <c r="P2743" s="3">
        <v>1.2</v>
      </c>
      <c r="Q2743" s="3">
        <v>28.19</v>
      </c>
      <c r="R2743" s="3">
        <f t="shared" ref="R2743" si="59">SUM(F2743*0.0043)</f>
        <v>18.318000000000001</v>
      </c>
      <c r="S2743" s="3">
        <f>VLOOKUP(C2743,[1]page!$C$2:$M$3071,11,0)</f>
        <v>25.7</v>
      </c>
      <c r="T2743" s="6">
        <f t="shared" si="57"/>
        <v>0</v>
      </c>
    </row>
    <row r="2744" spans="1:20" x14ac:dyDescent="0.2">
      <c r="A2744" t="s">
        <v>8904</v>
      </c>
      <c r="B2744" t="s">
        <v>8941</v>
      </c>
      <c r="C2744" t="s">
        <v>8942</v>
      </c>
      <c r="D2744" t="s">
        <v>8943</v>
      </c>
      <c r="E2744" t="s">
        <v>1116</v>
      </c>
      <c r="F2744" t="s">
        <v>5984</v>
      </c>
      <c r="G2744" s="1">
        <v>5</v>
      </c>
      <c r="H2744" s="1">
        <v>4</v>
      </c>
      <c r="I2744" t="s">
        <v>444</v>
      </c>
      <c r="L2744" s="1">
        <v>6</v>
      </c>
      <c r="M2744" s="3">
        <v>14.5</v>
      </c>
      <c r="N2744" s="3">
        <v>0.73</v>
      </c>
      <c r="O2744" s="3">
        <v>0</v>
      </c>
      <c r="P2744" s="3">
        <v>0.6</v>
      </c>
      <c r="Q2744" s="3">
        <v>15.83</v>
      </c>
      <c r="R2744" s="3">
        <v>9.25</v>
      </c>
      <c r="S2744" s="3">
        <f>VLOOKUP(C2744,[1]page!$C$2:$M$3071,11,0)</f>
        <v>14.5</v>
      </c>
      <c r="T2744" s="6">
        <f t="shared" si="57"/>
        <v>0</v>
      </c>
    </row>
    <row r="2745" spans="1:20" x14ac:dyDescent="0.2">
      <c r="A2745" t="s">
        <v>8904</v>
      </c>
      <c r="B2745" t="s">
        <v>8944</v>
      </c>
      <c r="C2745" t="s">
        <v>8945</v>
      </c>
      <c r="D2745" t="s">
        <v>8946</v>
      </c>
      <c r="E2745" t="s">
        <v>1116</v>
      </c>
      <c r="F2745" t="s">
        <v>5855</v>
      </c>
      <c r="G2745" s="1">
        <v>7</v>
      </c>
      <c r="H2745" s="1">
        <v>24</v>
      </c>
      <c r="I2745" t="s">
        <v>444</v>
      </c>
      <c r="K2745" t="s">
        <v>20</v>
      </c>
      <c r="L2745" s="1">
        <v>1</v>
      </c>
      <c r="M2745" s="3">
        <v>3.5</v>
      </c>
      <c r="N2745" s="3">
        <v>0.18</v>
      </c>
      <c r="O2745" s="3">
        <v>0</v>
      </c>
      <c r="P2745" s="3">
        <v>0.1</v>
      </c>
      <c r="Q2745" s="3">
        <v>3.78</v>
      </c>
      <c r="R2745" s="3">
        <v>2.7</v>
      </c>
      <c r="S2745" s="3">
        <f>VLOOKUP(C2745,[1]page!$C$2:$M$3071,11,0)</f>
        <v>3.5</v>
      </c>
      <c r="T2745" s="6">
        <f t="shared" si="57"/>
        <v>0</v>
      </c>
    </row>
    <row r="2746" spans="1:20" x14ac:dyDescent="0.2">
      <c r="A2746" t="s">
        <v>8904</v>
      </c>
      <c r="B2746" t="s">
        <v>8947</v>
      </c>
      <c r="C2746" t="s">
        <v>8948</v>
      </c>
      <c r="D2746" t="s">
        <v>8949</v>
      </c>
      <c r="E2746" t="s">
        <v>8950</v>
      </c>
      <c r="F2746" t="s">
        <v>7091</v>
      </c>
      <c r="G2746" s="1">
        <v>5</v>
      </c>
      <c r="H2746" s="1">
        <v>3</v>
      </c>
      <c r="I2746" t="s">
        <v>178</v>
      </c>
      <c r="L2746" s="1">
        <v>8</v>
      </c>
      <c r="M2746" s="3">
        <v>25.06</v>
      </c>
      <c r="N2746" s="3">
        <v>1.25</v>
      </c>
      <c r="O2746" s="3">
        <v>0</v>
      </c>
      <c r="P2746" s="3">
        <v>0.8</v>
      </c>
      <c r="Q2746" s="3">
        <v>27.11</v>
      </c>
      <c r="R2746" s="3">
        <v>17.149999999999999</v>
      </c>
      <c r="S2746" s="3">
        <f>VLOOKUP(C2746,[1]page!$C$2:$M$3071,11,0)</f>
        <v>25.06</v>
      </c>
      <c r="T2746" s="6">
        <f t="shared" si="57"/>
        <v>0</v>
      </c>
    </row>
    <row r="2747" spans="1:20" x14ac:dyDescent="0.2">
      <c r="A2747" t="s">
        <v>8904</v>
      </c>
      <c r="B2747" t="s">
        <v>8951</v>
      </c>
      <c r="C2747" t="s">
        <v>8952</v>
      </c>
      <c r="D2747" t="s">
        <v>8953</v>
      </c>
      <c r="E2747" t="s">
        <v>8954</v>
      </c>
      <c r="F2747" t="s">
        <v>23</v>
      </c>
      <c r="G2747" s="2">
        <v>12.5</v>
      </c>
      <c r="H2747" s="1">
        <v>12</v>
      </c>
      <c r="I2747" t="s">
        <v>178</v>
      </c>
      <c r="L2747" s="1">
        <v>1</v>
      </c>
      <c r="M2747" s="3">
        <v>23.36</v>
      </c>
      <c r="N2747" s="3">
        <v>1.17</v>
      </c>
      <c r="O2747" s="3">
        <v>0</v>
      </c>
      <c r="P2747" s="3">
        <v>0.2</v>
      </c>
      <c r="Q2747" s="3">
        <v>24.73</v>
      </c>
      <c r="R2747" s="3">
        <v>5.25</v>
      </c>
      <c r="S2747" s="3">
        <f>VLOOKUP(C2747,[1]page!$C$2:$M$3071,11,0)</f>
        <v>23.33</v>
      </c>
      <c r="T2747" s="6">
        <f t="shared" si="57"/>
        <v>3.0000000000001137E-2</v>
      </c>
    </row>
    <row r="2748" spans="1:20" x14ac:dyDescent="0.2">
      <c r="A2748" t="s">
        <v>8904</v>
      </c>
      <c r="B2748" t="s">
        <v>8955</v>
      </c>
      <c r="C2748" t="s">
        <v>8956</v>
      </c>
      <c r="D2748" t="s">
        <v>8957</v>
      </c>
      <c r="E2748" t="s">
        <v>8954</v>
      </c>
      <c r="F2748" t="s">
        <v>23</v>
      </c>
      <c r="G2748" s="2">
        <v>12.5</v>
      </c>
      <c r="H2748" s="1">
        <v>12</v>
      </c>
      <c r="I2748" t="s">
        <v>178</v>
      </c>
      <c r="L2748" s="1">
        <v>1</v>
      </c>
      <c r="M2748" s="3">
        <v>23.36</v>
      </c>
      <c r="N2748" s="3">
        <v>1.17</v>
      </c>
      <c r="O2748" s="3">
        <v>0</v>
      </c>
      <c r="P2748" s="3">
        <v>0.2</v>
      </c>
      <c r="Q2748" s="3">
        <v>24.73</v>
      </c>
      <c r="R2748" s="3">
        <v>5.25</v>
      </c>
      <c r="S2748" s="3">
        <f>VLOOKUP(C2748,[1]page!$C$2:$M$3071,11,0)</f>
        <v>23.33</v>
      </c>
      <c r="T2748" s="6">
        <f t="shared" si="57"/>
        <v>3.0000000000001137E-2</v>
      </c>
    </row>
    <row r="2749" spans="1:20" x14ac:dyDescent="0.2">
      <c r="A2749" t="s">
        <v>8904</v>
      </c>
      <c r="B2749" t="s">
        <v>8958</v>
      </c>
      <c r="C2749" t="s">
        <v>8959</v>
      </c>
      <c r="D2749" t="s">
        <v>8960</v>
      </c>
      <c r="E2749" t="s">
        <v>8961</v>
      </c>
      <c r="F2749" t="s">
        <v>5984</v>
      </c>
      <c r="G2749" s="1">
        <v>5</v>
      </c>
      <c r="H2749" s="1">
        <v>4</v>
      </c>
      <c r="I2749" t="s">
        <v>8962</v>
      </c>
      <c r="L2749" s="1">
        <v>6</v>
      </c>
      <c r="M2749" s="3">
        <v>20.09</v>
      </c>
      <c r="N2749" s="3">
        <v>1</v>
      </c>
      <c r="O2749" s="3">
        <v>0</v>
      </c>
      <c r="P2749" s="3">
        <v>0.6</v>
      </c>
      <c r="Q2749" s="3">
        <v>21.69</v>
      </c>
      <c r="R2749" s="3">
        <v>9.25</v>
      </c>
      <c r="S2749" s="3">
        <f>VLOOKUP(C2749,[1]page!$C$2:$M$3071,11,0)</f>
        <v>15.06</v>
      </c>
      <c r="T2749" s="6">
        <f t="shared" si="57"/>
        <v>5.0299999999999994</v>
      </c>
    </row>
    <row r="2750" spans="1:20" x14ac:dyDescent="0.2">
      <c r="A2750" t="s">
        <v>8904</v>
      </c>
      <c r="B2750" t="s">
        <v>8963</v>
      </c>
      <c r="C2750" t="s">
        <v>8964</v>
      </c>
      <c r="D2750" t="s">
        <v>8965</v>
      </c>
      <c r="E2750" t="s">
        <v>7847</v>
      </c>
      <c r="F2750" t="s">
        <v>6139</v>
      </c>
      <c r="G2750" s="1">
        <v>7</v>
      </c>
      <c r="H2750" s="1">
        <v>12</v>
      </c>
      <c r="I2750" t="s">
        <v>8966</v>
      </c>
      <c r="L2750" s="1">
        <v>1</v>
      </c>
      <c r="M2750" s="3">
        <v>4.25</v>
      </c>
      <c r="N2750" s="3">
        <v>0.21</v>
      </c>
      <c r="O2750" s="3">
        <v>0</v>
      </c>
      <c r="P2750" s="3">
        <v>0.1</v>
      </c>
      <c r="Q2750" s="3">
        <v>4.5599999999999996</v>
      </c>
      <c r="R2750" s="3">
        <v>5.25</v>
      </c>
      <c r="S2750" s="3">
        <f>VLOOKUP(C2750,[1]page!$C$2:$M$3071,11,0)</f>
        <v>4.25</v>
      </c>
      <c r="T2750" s="6">
        <f t="shared" si="57"/>
        <v>0</v>
      </c>
    </row>
    <row r="2751" spans="1:20" x14ac:dyDescent="0.2">
      <c r="A2751" t="s">
        <v>8904</v>
      </c>
      <c r="B2751" t="s">
        <v>8967</v>
      </c>
      <c r="C2751" t="s">
        <v>8968</v>
      </c>
      <c r="D2751" t="s">
        <v>8969</v>
      </c>
      <c r="E2751" t="s">
        <v>7847</v>
      </c>
      <c r="F2751" t="s">
        <v>5861</v>
      </c>
      <c r="G2751" s="1">
        <v>7</v>
      </c>
      <c r="H2751" s="1">
        <v>2</v>
      </c>
      <c r="I2751" t="s">
        <v>8966</v>
      </c>
      <c r="L2751" s="1">
        <v>12</v>
      </c>
      <c r="M2751" s="3">
        <v>28</v>
      </c>
      <c r="N2751" s="3">
        <v>1.4</v>
      </c>
      <c r="O2751" s="3">
        <v>0</v>
      </c>
      <c r="P2751" s="3">
        <v>1.2</v>
      </c>
      <c r="Q2751" s="3">
        <v>30.6</v>
      </c>
      <c r="R2751" s="3">
        <f t="shared" ref="R2751:R2752" si="60">SUM(F2751*0.0051)</f>
        <v>21.726000000000003</v>
      </c>
      <c r="S2751" s="3">
        <f>VLOOKUP(C2751,[1]page!$C$2:$M$3071,11,0)</f>
        <v>28</v>
      </c>
      <c r="T2751" s="6">
        <f t="shared" si="57"/>
        <v>0</v>
      </c>
    </row>
    <row r="2752" spans="1:20" x14ac:dyDescent="0.2">
      <c r="A2752" t="s">
        <v>8904</v>
      </c>
      <c r="B2752" t="s">
        <v>8970</v>
      </c>
      <c r="C2752" t="s">
        <v>8971</v>
      </c>
      <c r="D2752" t="s">
        <v>8972</v>
      </c>
      <c r="E2752" t="s">
        <v>7847</v>
      </c>
      <c r="F2752" t="s">
        <v>7430</v>
      </c>
      <c r="G2752" s="1">
        <v>7</v>
      </c>
      <c r="H2752" s="1">
        <v>1</v>
      </c>
      <c r="I2752" t="s">
        <v>8966</v>
      </c>
      <c r="L2752" s="1">
        <v>30</v>
      </c>
      <c r="M2752" s="3">
        <v>60.35</v>
      </c>
      <c r="N2752" s="3">
        <v>3.02</v>
      </c>
      <c r="O2752" s="3">
        <v>0</v>
      </c>
      <c r="P2752" s="3">
        <v>3</v>
      </c>
      <c r="Q2752" s="3">
        <v>66.37</v>
      </c>
      <c r="R2752" s="3">
        <f t="shared" si="60"/>
        <v>54.315000000000005</v>
      </c>
      <c r="S2752" s="3">
        <f>VLOOKUP(C2752,[1]page!$C$2:$M$3071,11,0)</f>
        <v>60.21</v>
      </c>
      <c r="T2752" s="6">
        <f t="shared" si="57"/>
        <v>0.14000000000000057</v>
      </c>
    </row>
    <row r="2753" spans="1:20" x14ac:dyDescent="0.2">
      <c r="A2753" t="s">
        <v>8904</v>
      </c>
      <c r="B2753" t="s">
        <v>8973</v>
      </c>
      <c r="C2753" t="s">
        <v>8974</v>
      </c>
      <c r="D2753" t="s">
        <v>8975</v>
      </c>
      <c r="E2753" t="s">
        <v>7847</v>
      </c>
      <c r="F2753" t="s">
        <v>6139</v>
      </c>
      <c r="G2753" s="1">
        <v>7</v>
      </c>
      <c r="H2753" s="1">
        <v>12</v>
      </c>
      <c r="I2753" t="s">
        <v>8966</v>
      </c>
      <c r="L2753" s="1">
        <v>1</v>
      </c>
      <c r="M2753" s="3">
        <v>4.25</v>
      </c>
      <c r="N2753" s="3">
        <v>0.21</v>
      </c>
      <c r="O2753" s="3">
        <v>0</v>
      </c>
      <c r="P2753" s="3">
        <v>0.1</v>
      </c>
      <c r="Q2753" s="3">
        <v>4.5599999999999996</v>
      </c>
      <c r="R2753" s="3">
        <v>5.25</v>
      </c>
      <c r="S2753" s="3">
        <f>VLOOKUP(C2753,[1]page!$C$2:$M$3071,11,0)</f>
        <v>4.25</v>
      </c>
      <c r="T2753" s="6">
        <f t="shared" si="57"/>
        <v>0</v>
      </c>
    </row>
    <row r="2754" spans="1:20" x14ac:dyDescent="0.2">
      <c r="A2754" t="s">
        <v>8904</v>
      </c>
      <c r="B2754" t="s">
        <v>8976</v>
      </c>
      <c r="C2754" t="s">
        <v>8977</v>
      </c>
      <c r="D2754" t="s">
        <v>8978</v>
      </c>
      <c r="E2754" t="s">
        <v>7847</v>
      </c>
      <c r="F2754" t="s">
        <v>5855</v>
      </c>
      <c r="G2754" s="1">
        <v>7</v>
      </c>
      <c r="H2754" s="1">
        <v>24</v>
      </c>
      <c r="I2754" t="s">
        <v>8966</v>
      </c>
      <c r="L2754" s="1">
        <v>1</v>
      </c>
      <c r="M2754" s="3">
        <v>3.17</v>
      </c>
      <c r="N2754" s="3">
        <v>0.16</v>
      </c>
      <c r="O2754" s="3">
        <v>0</v>
      </c>
      <c r="P2754" s="3">
        <v>0.1</v>
      </c>
      <c r="Q2754" s="3">
        <v>3.43</v>
      </c>
      <c r="R2754" s="3">
        <v>2.7</v>
      </c>
      <c r="S2754" s="3">
        <f>VLOOKUP(C2754,[1]page!$C$2:$M$3071,11,0)</f>
        <v>3.17</v>
      </c>
      <c r="T2754" s="6">
        <f t="shared" si="57"/>
        <v>0</v>
      </c>
    </row>
    <row r="2755" spans="1:20" x14ac:dyDescent="0.2">
      <c r="A2755" t="s">
        <v>8904</v>
      </c>
      <c r="B2755" t="s">
        <v>8979</v>
      </c>
      <c r="C2755" t="s">
        <v>8980</v>
      </c>
      <c r="D2755" t="s">
        <v>8981</v>
      </c>
      <c r="E2755" t="s">
        <v>7847</v>
      </c>
      <c r="F2755" t="s">
        <v>5855</v>
      </c>
      <c r="G2755" s="1">
        <v>7</v>
      </c>
      <c r="H2755" s="1">
        <v>24</v>
      </c>
      <c r="I2755" t="s">
        <v>8966</v>
      </c>
      <c r="L2755" s="1">
        <v>1</v>
      </c>
      <c r="M2755" s="3">
        <v>3.17</v>
      </c>
      <c r="N2755" s="3">
        <v>0.16</v>
      </c>
      <c r="O2755" s="3">
        <v>0</v>
      </c>
      <c r="P2755" s="3">
        <v>0.1</v>
      </c>
      <c r="Q2755" s="3">
        <v>3.43</v>
      </c>
      <c r="R2755" s="3">
        <v>2.7</v>
      </c>
      <c r="S2755" s="3">
        <f>VLOOKUP(C2755,[1]page!$C$2:$M$3071,11,0)</f>
        <v>3.17</v>
      </c>
      <c r="T2755" s="6">
        <f t="shared" si="57"/>
        <v>0</v>
      </c>
    </row>
    <row r="2756" spans="1:20" x14ac:dyDescent="0.2">
      <c r="A2756" t="s">
        <v>8904</v>
      </c>
      <c r="B2756" t="s">
        <v>8982</v>
      </c>
      <c r="C2756" t="s">
        <v>8983</v>
      </c>
      <c r="D2756" t="s">
        <v>8984</v>
      </c>
      <c r="E2756" t="s">
        <v>7847</v>
      </c>
      <c r="F2756" t="s">
        <v>1041</v>
      </c>
      <c r="G2756" s="1">
        <v>7</v>
      </c>
      <c r="H2756" s="1">
        <v>6</v>
      </c>
      <c r="I2756" t="s">
        <v>8966</v>
      </c>
      <c r="L2756" s="1">
        <v>4</v>
      </c>
      <c r="M2756" s="3">
        <v>10.199999999999999</v>
      </c>
      <c r="N2756" s="3">
        <v>0.51</v>
      </c>
      <c r="O2756" s="3">
        <v>0</v>
      </c>
      <c r="P2756" s="3">
        <v>0.4</v>
      </c>
      <c r="Q2756" s="3">
        <v>11.11</v>
      </c>
      <c r="R2756" s="3">
        <v>7.5</v>
      </c>
      <c r="S2756" s="3">
        <f>VLOOKUP(C2756,[1]page!$C$2:$M$3071,11,0)</f>
        <v>10.199999999999999</v>
      </c>
      <c r="T2756" s="6">
        <f t="shared" si="57"/>
        <v>0</v>
      </c>
    </row>
    <row r="2757" spans="1:20" x14ac:dyDescent="0.2">
      <c r="A2757" t="s">
        <v>8904</v>
      </c>
      <c r="B2757" t="s">
        <v>8985</v>
      </c>
      <c r="C2757" t="s">
        <v>8986</v>
      </c>
      <c r="D2757" t="s">
        <v>8987</v>
      </c>
      <c r="E2757" t="s">
        <v>7847</v>
      </c>
      <c r="F2757" t="s">
        <v>7091</v>
      </c>
      <c r="G2757" s="1">
        <v>7</v>
      </c>
      <c r="H2757" s="1">
        <v>3</v>
      </c>
      <c r="I2757" t="s">
        <v>8966</v>
      </c>
      <c r="L2757" s="1">
        <v>8</v>
      </c>
      <c r="M2757" s="3">
        <v>21</v>
      </c>
      <c r="N2757" s="3">
        <v>1.05</v>
      </c>
      <c r="O2757" s="3">
        <v>0</v>
      </c>
      <c r="P2757" s="3">
        <v>0.8</v>
      </c>
      <c r="Q2757" s="3">
        <v>22.85</v>
      </c>
      <c r="R2757" s="3">
        <v>20.25</v>
      </c>
      <c r="S2757" s="3">
        <f>VLOOKUP(C2757,[1]page!$C$2:$M$3071,11,0)</f>
        <v>21</v>
      </c>
      <c r="T2757" s="6">
        <f t="shared" si="57"/>
        <v>0</v>
      </c>
    </row>
    <row r="2758" spans="1:20" x14ac:dyDescent="0.2">
      <c r="A2758" t="s">
        <v>8904</v>
      </c>
      <c r="B2758" t="s">
        <v>8988</v>
      </c>
      <c r="C2758" t="s">
        <v>8989</v>
      </c>
      <c r="D2758" t="s">
        <v>8990</v>
      </c>
      <c r="E2758" t="s">
        <v>7847</v>
      </c>
      <c r="F2758" t="s">
        <v>5855</v>
      </c>
      <c r="G2758" s="1">
        <v>7</v>
      </c>
      <c r="H2758" s="1">
        <v>24</v>
      </c>
      <c r="I2758" t="s">
        <v>8966</v>
      </c>
      <c r="L2758" s="1">
        <v>1</v>
      </c>
      <c r="M2758" s="3">
        <v>3.17</v>
      </c>
      <c r="N2758" s="3">
        <v>0.16</v>
      </c>
      <c r="O2758" s="3">
        <v>0</v>
      </c>
      <c r="P2758" s="3">
        <v>0.1</v>
      </c>
      <c r="Q2758" s="3">
        <v>3.43</v>
      </c>
      <c r="R2758" s="3">
        <v>2.7</v>
      </c>
      <c r="S2758" s="3">
        <f>VLOOKUP(C2758,[1]page!$C$2:$M$3071,11,0)</f>
        <v>3.17</v>
      </c>
      <c r="T2758" s="6">
        <f t="shared" si="57"/>
        <v>0</v>
      </c>
    </row>
    <row r="2759" spans="1:20" x14ac:dyDescent="0.2">
      <c r="A2759" t="s">
        <v>8904</v>
      </c>
      <c r="B2759" t="s">
        <v>8991</v>
      </c>
      <c r="C2759" t="s">
        <v>8992</v>
      </c>
      <c r="D2759" t="s">
        <v>8993</v>
      </c>
      <c r="E2759" t="s">
        <v>7847</v>
      </c>
      <c r="F2759" t="s">
        <v>5855</v>
      </c>
      <c r="G2759" s="1">
        <v>7</v>
      </c>
      <c r="H2759" s="1">
        <v>24</v>
      </c>
      <c r="I2759" t="s">
        <v>8966</v>
      </c>
      <c r="L2759" s="1">
        <v>1</v>
      </c>
      <c r="M2759" s="3">
        <v>3.17</v>
      </c>
      <c r="N2759" s="3">
        <v>0.16</v>
      </c>
      <c r="O2759" s="3">
        <v>0</v>
      </c>
      <c r="P2759" s="3">
        <v>0.1</v>
      </c>
      <c r="Q2759" s="3">
        <v>3.43</v>
      </c>
      <c r="R2759" s="3">
        <v>2.7</v>
      </c>
      <c r="S2759" s="3">
        <f>VLOOKUP(C2759,[1]page!$C$2:$M$3071,11,0)</f>
        <v>3.17</v>
      </c>
      <c r="T2759" s="6">
        <f t="shared" si="57"/>
        <v>0</v>
      </c>
    </row>
    <row r="2760" spans="1:20" x14ac:dyDescent="0.2">
      <c r="A2760" t="s">
        <v>8904</v>
      </c>
      <c r="B2760" t="s">
        <v>8994</v>
      </c>
      <c r="C2760" t="s">
        <v>8995</v>
      </c>
      <c r="D2760" t="s">
        <v>8996</v>
      </c>
      <c r="E2760" t="s">
        <v>7847</v>
      </c>
      <c r="F2760" t="s">
        <v>5855</v>
      </c>
      <c r="G2760" s="1">
        <v>7</v>
      </c>
      <c r="H2760" s="1">
        <v>24</v>
      </c>
      <c r="I2760" t="s">
        <v>8966</v>
      </c>
      <c r="L2760" s="1">
        <v>1</v>
      </c>
      <c r="M2760" s="3">
        <v>3.17</v>
      </c>
      <c r="N2760" s="3">
        <v>0.16</v>
      </c>
      <c r="O2760" s="3">
        <v>0</v>
      </c>
      <c r="P2760" s="3">
        <v>0.1</v>
      </c>
      <c r="Q2760" s="3">
        <v>3.43</v>
      </c>
      <c r="R2760" s="3">
        <v>2.7</v>
      </c>
      <c r="S2760" s="3">
        <f>VLOOKUP(C2760,[1]page!$C$2:$M$3071,11,0)</f>
        <v>3.17</v>
      </c>
      <c r="T2760" s="6">
        <f t="shared" si="57"/>
        <v>0</v>
      </c>
    </row>
    <row r="2761" spans="1:20" x14ac:dyDescent="0.2">
      <c r="A2761" t="s">
        <v>8904</v>
      </c>
      <c r="B2761" t="s">
        <v>8997</v>
      </c>
      <c r="C2761" t="s">
        <v>8998</v>
      </c>
      <c r="D2761" t="s">
        <v>8996</v>
      </c>
      <c r="E2761" t="s">
        <v>7847</v>
      </c>
      <c r="F2761" t="s">
        <v>8999</v>
      </c>
      <c r="G2761" s="1">
        <v>7</v>
      </c>
      <c r="H2761" s="1">
        <v>6</v>
      </c>
      <c r="I2761" t="s">
        <v>8966</v>
      </c>
      <c r="L2761" s="1">
        <v>4</v>
      </c>
      <c r="M2761" s="3">
        <v>11.5</v>
      </c>
      <c r="N2761" s="3">
        <v>0.57999999999999996</v>
      </c>
      <c r="O2761" s="3">
        <v>0</v>
      </c>
      <c r="P2761" s="3">
        <v>0.4</v>
      </c>
      <c r="Q2761" s="3">
        <v>12.48</v>
      </c>
      <c r="R2761" s="3">
        <v>10.45</v>
      </c>
      <c r="S2761" s="3">
        <f>VLOOKUP(C2761,[1]page!$C$2:$M$3071,11,0)</f>
        <v>11.5</v>
      </c>
      <c r="T2761" s="6">
        <f t="shared" si="57"/>
        <v>0</v>
      </c>
    </row>
    <row r="2762" spans="1:20" x14ac:dyDescent="0.2">
      <c r="A2762" t="s">
        <v>8904</v>
      </c>
      <c r="B2762" t="s">
        <v>9000</v>
      </c>
      <c r="C2762" t="s">
        <v>9001</v>
      </c>
      <c r="D2762" t="s">
        <v>9002</v>
      </c>
      <c r="E2762" t="s">
        <v>7847</v>
      </c>
      <c r="F2762" t="s">
        <v>5578</v>
      </c>
      <c r="G2762" s="1">
        <v>12</v>
      </c>
      <c r="H2762" s="1">
        <v>24</v>
      </c>
      <c r="I2762" t="s">
        <v>8966</v>
      </c>
      <c r="L2762" s="1">
        <v>1</v>
      </c>
      <c r="M2762" s="3">
        <v>3.11</v>
      </c>
      <c r="N2762" s="3">
        <v>0.16</v>
      </c>
      <c r="O2762" s="3">
        <v>0</v>
      </c>
      <c r="P2762" s="3">
        <v>0.1</v>
      </c>
      <c r="Q2762" s="3">
        <v>3.37</v>
      </c>
      <c r="R2762" s="3">
        <v>1.95</v>
      </c>
      <c r="S2762" s="3">
        <f>VLOOKUP(C2762,[1]page!$C$2:$M$3071,11,0)</f>
        <v>3.11</v>
      </c>
      <c r="T2762" s="6">
        <f t="shared" si="57"/>
        <v>0</v>
      </c>
    </row>
    <row r="2763" spans="1:20" x14ac:dyDescent="0.2">
      <c r="A2763" t="s">
        <v>8904</v>
      </c>
      <c r="B2763" t="s">
        <v>9003</v>
      </c>
      <c r="C2763" t="s">
        <v>9004</v>
      </c>
      <c r="D2763" t="s">
        <v>9005</v>
      </c>
      <c r="E2763" t="s">
        <v>7847</v>
      </c>
      <c r="F2763" t="s">
        <v>5578</v>
      </c>
      <c r="G2763" s="1">
        <v>12</v>
      </c>
      <c r="H2763" s="1">
        <v>24</v>
      </c>
      <c r="I2763" t="s">
        <v>8966</v>
      </c>
      <c r="L2763" s="1">
        <v>1</v>
      </c>
      <c r="M2763" s="3">
        <v>3.11</v>
      </c>
      <c r="N2763" s="3">
        <v>0.16</v>
      </c>
      <c r="O2763" s="3">
        <v>0</v>
      </c>
      <c r="P2763" s="3">
        <v>0.1</v>
      </c>
      <c r="Q2763" s="3">
        <v>3.37</v>
      </c>
      <c r="R2763" s="3">
        <v>1.95</v>
      </c>
      <c r="S2763" s="3">
        <f>VLOOKUP(C2763,[1]page!$C$2:$M$3071,11,0)</f>
        <v>3.11</v>
      </c>
      <c r="T2763" s="6">
        <f t="shared" si="57"/>
        <v>0</v>
      </c>
    </row>
    <row r="2764" spans="1:20" x14ac:dyDescent="0.2">
      <c r="A2764" t="s">
        <v>8904</v>
      </c>
      <c r="B2764" t="s">
        <v>9006</v>
      </c>
      <c r="C2764" t="s">
        <v>9007</v>
      </c>
      <c r="D2764" t="s">
        <v>9008</v>
      </c>
      <c r="E2764" t="s">
        <v>7847</v>
      </c>
      <c r="F2764" t="s">
        <v>5578</v>
      </c>
      <c r="G2764" s="1">
        <v>12</v>
      </c>
      <c r="H2764" s="1">
        <v>24</v>
      </c>
      <c r="I2764" t="s">
        <v>8966</v>
      </c>
      <c r="L2764" s="1">
        <v>1</v>
      </c>
      <c r="M2764" s="3">
        <v>3.11</v>
      </c>
      <c r="N2764" s="3">
        <v>0.16</v>
      </c>
      <c r="O2764" s="3">
        <v>0</v>
      </c>
      <c r="P2764" s="3">
        <v>0.1</v>
      </c>
      <c r="Q2764" s="3">
        <v>3.37</v>
      </c>
      <c r="R2764" s="3">
        <v>1.95</v>
      </c>
      <c r="S2764" s="3">
        <f>VLOOKUP(C2764,[1]page!$C$2:$M$3071,11,0)</f>
        <v>3.11</v>
      </c>
      <c r="T2764" s="6">
        <f t="shared" si="57"/>
        <v>0</v>
      </c>
    </row>
    <row r="2765" spans="1:20" x14ac:dyDescent="0.2">
      <c r="A2765" t="s">
        <v>8904</v>
      </c>
      <c r="B2765" t="s">
        <v>9009</v>
      </c>
      <c r="C2765" t="s">
        <v>9010</v>
      </c>
      <c r="D2765" t="s">
        <v>9011</v>
      </c>
      <c r="E2765" t="s">
        <v>7847</v>
      </c>
      <c r="F2765" t="s">
        <v>5861</v>
      </c>
      <c r="G2765" s="1">
        <v>7</v>
      </c>
      <c r="H2765" s="1">
        <v>2</v>
      </c>
      <c r="I2765" t="s">
        <v>8966</v>
      </c>
      <c r="L2765" s="1">
        <v>12</v>
      </c>
      <c r="M2765" s="3">
        <v>28</v>
      </c>
      <c r="N2765" s="3">
        <v>1.4</v>
      </c>
      <c r="O2765" s="3">
        <v>0</v>
      </c>
      <c r="P2765" s="3">
        <v>1.2</v>
      </c>
      <c r="Q2765" s="3">
        <v>30.6</v>
      </c>
      <c r="R2765" s="3">
        <f>SUM(F2765*0.0051)</f>
        <v>21.726000000000003</v>
      </c>
      <c r="S2765" s="3">
        <f>VLOOKUP(C2765,[1]page!$C$2:$M$3071,11,0)</f>
        <v>28</v>
      </c>
      <c r="T2765" s="6">
        <f t="shared" si="57"/>
        <v>0</v>
      </c>
    </row>
    <row r="2766" spans="1:20" x14ac:dyDescent="0.2">
      <c r="A2766" t="s">
        <v>8904</v>
      </c>
      <c r="B2766" t="s">
        <v>9012</v>
      </c>
      <c r="C2766" t="s">
        <v>9013</v>
      </c>
      <c r="D2766" t="s">
        <v>9014</v>
      </c>
      <c r="E2766" t="s">
        <v>7847</v>
      </c>
      <c r="F2766" t="s">
        <v>8999</v>
      </c>
      <c r="G2766" s="1">
        <v>7</v>
      </c>
      <c r="H2766" s="1">
        <v>6</v>
      </c>
      <c r="I2766" t="s">
        <v>8966</v>
      </c>
      <c r="L2766" s="1">
        <v>4</v>
      </c>
      <c r="M2766" s="3">
        <v>11.5</v>
      </c>
      <c r="N2766" s="3">
        <v>0.57999999999999996</v>
      </c>
      <c r="O2766" s="3">
        <v>0</v>
      </c>
      <c r="P2766" s="3">
        <v>0.4</v>
      </c>
      <c r="Q2766" s="3">
        <v>12.48</v>
      </c>
      <c r="R2766" s="3">
        <v>10.45</v>
      </c>
      <c r="S2766" s="3">
        <f>VLOOKUP(C2766,[1]page!$C$2:$M$3071,11,0)</f>
        <v>11.5</v>
      </c>
      <c r="T2766" s="6">
        <f t="shared" si="57"/>
        <v>0</v>
      </c>
    </row>
    <row r="2767" spans="1:20" x14ac:dyDescent="0.2">
      <c r="A2767" t="s">
        <v>8904</v>
      </c>
      <c r="B2767" t="s">
        <v>9015</v>
      </c>
      <c r="C2767" t="s">
        <v>9016</v>
      </c>
      <c r="D2767" t="s">
        <v>9017</v>
      </c>
      <c r="E2767" t="s">
        <v>7847</v>
      </c>
      <c r="F2767" t="s">
        <v>5855</v>
      </c>
      <c r="G2767" s="1">
        <v>7</v>
      </c>
      <c r="H2767" s="1">
        <v>24</v>
      </c>
      <c r="I2767" t="s">
        <v>8966</v>
      </c>
      <c r="L2767" s="1">
        <v>1</v>
      </c>
      <c r="M2767" s="3">
        <v>3.17</v>
      </c>
      <c r="N2767" s="3">
        <v>0.16</v>
      </c>
      <c r="O2767" s="3">
        <v>0</v>
      </c>
      <c r="P2767" s="3">
        <v>0.1</v>
      </c>
      <c r="Q2767" s="3">
        <v>3.43</v>
      </c>
      <c r="R2767" s="3">
        <v>2.7</v>
      </c>
      <c r="S2767" s="3">
        <f>VLOOKUP(C2767,[1]page!$C$2:$M$3071,11,0)</f>
        <v>3.17</v>
      </c>
      <c r="T2767" s="6">
        <f t="shared" si="57"/>
        <v>0</v>
      </c>
    </row>
    <row r="2768" spans="1:20" x14ac:dyDescent="0.2">
      <c r="A2768" t="s">
        <v>8904</v>
      </c>
      <c r="B2768" t="s">
        <v>9018</v>
      </c>
      <c r="C2768" t="s">
        <v>9019</v>
      </c>
      <c r="D2768" t="s">
        <v>9020</v>
      </c>
      <c r="E2768" t="s">
        <v>7847</v>
      </c>
      <c r="F2768" t="s">
        <v>8999</v>
      </c>
      <c r="G2768" s="1">
        <v>7</v>
      </c>
      <c r="H2768" s="1">
        <v>6</v>
      </c>
      <c r="I2768" t="s">
        <v>8966</v>
      </c>
      <c r="L2768" s="1">
        <v>4</v>
      </c>
      <c r="M2768" s="3">
        <v>11.5</v>
      </c>
      <c r="N2768" s="3">
        <v>0.57999999999999996</v>
      </c>
      <c r="O2768" s="3">
        <v>0</v>
      </c>
      <c r="P2768" s="3">
        <v>0.4</v>
      </c>
      <c r="Q2768" s="3">
        <v>12.48</v>
      </c>
      <c r="R2768" s="3">
        <v>10.45</v>
      </c>
      <c r="S2768" s="3">
        <f>VLOOKUP(C2768,[1]page!$C$2:$M$3071,11,0)</f>
        <v>11.5</v>
      </c>
      <c r="T2768" s="6">
        <f t="shared" si="57"/>
        <v>0</v>
      </c>
    </row>
    <row r="2769" spans="1:20" x14ac:dyDescent="0.2">
      <c r="A2769" t="s">
        <v>8904</v>
      </c>
      <c r="B2769" t="s">
        <v>9021</v>
      </c>
      <c r="C2769" t="s">
        <v>9022</v>
      </c>
      <c r="D2769" t="s">
        <v>9023</v>
      </c>
      <c r="E2769" t="s">
        <v>7847</v>
      </c>
      <c r="F2769" t="s">
        <v>8999</v>
      </c>
      <c r="G2769" s="1">
        <v>7</v>
      </c>
      <c r="H2769" s="1">
        <v>6</v>
      </c>
      <c r="I2769" t="s">
        <v>8966</v>
      </c>
      <c r="L2769" s="1">
        <v>4</v>
      </c>
      <c r="M2769" s="3">
        <v>11.5</v>
      </c>
      <c r="N2769" s="3">
        <v>0.57999999999999996</v>
      </c>
      <c r="O2769" s="3">
        <v>0</v>
      </c>
      <c r="P2769" s="3">
        <v>0.4</v>
      </c>
      <c r="Q2769" s="3">
        <v>12.48</v>
      </c>
      <c r="R2769" s="3">
        <v>10.45</v>
      </c>
      <c r="S2769" s="3">
        <f>VLOOKUP(C2769,[1]page!$C$2:$M$3071,11,0)</f>
        <v>11.5</v>
      </c>
      <c r="T2769" s="6">
        <f t="shared" si="57"/>
        <v>0</v>
      </c>
    </row>
    <row r="2770" spans="1:20" x14ac:dyDescent="0.2">
      <c r="A2770" t="s">
        <v>8904</v>
      </c>
      <c r="B2770" t="s">
        <v>9024</v>
      </c>
      <c r="C2770" t="s">
        <v>9025</v>
      </c>
      <c r="D2770" t="s">
        <v>9026</v>
      </c>
      <c r="E2770" t="s">
        <v>7847</v>
      </c>
      <c r="F2770" t="s">
        <v>8999</v>
      </c>
      <c r="G2770" s="1">
        <v>7</v>
      </c>
      <c r="H2770" s="1">
        <v>8</v>
      </c>
      <c r="I2770" t="s">
        <v>8966</v>
      </c>
      <c r="L2770" s="1">
        <v>4</v>
      </c>
      <c r="M2770" s="3">
        <v>10.15</v>
      </c>
      <c r="N2770" s="3">
        <v>0.51</v>
      </c>
      <c r="O2770" s="3">
        <v>0</v>
      </c>
      <c r="P2770" s="3">
        <v>0.4</v>
      </c>
      <c r="Q2770" s="3">
        <v>11.06</v>
      </c>
      <c r="R2770" s="3">
        <v>10.45</v>
      </c>
      <c r="S2770" s="3">
        <f>VLOOKUP(C2770,[1]page!$C$2:$M$3071,11,0)</f>
        <v>10.15</v>
      </c>
      <c r="T2770" s="6">
        <f t="shared" si="57"/>
        <v>0</v>
      </c>
    </row>
    <row r="2771" spans="1:20" x14ac:dyDescent="0.2">
      <c r="A2771" t="s">
        <v>8904</v>
      </c>
      <c r="B2771" t="s">
        <v>9027</v>
      </c>
      <c r="C2771" t="s">
        <v>9028</v>
      </c>
      <c r="D2771" t="s">
        <v>9029</v>
      </c>
      <c r="E2771" t="s">
        <v>7847</v>
      </c>
      <c r="F2771" t="s">
        <v>5855</v>
      </c>
      <c r="G2771" s="1">
        <v>7</v>
      </c>
      <c r="H2771" s="1">
        <v>24</v>
      </c>
      <c r="I2771" t="s">
        <v>8966</v>
      </c>
      <c r="L2771" s="1">
        <v>1</v>
      </c>
      <c r="M2771" s="3">
        <v>3.17</v>
      </c>
      <c r="N2771" s="3">
        <v>0.16</v>
      </c>
      <c r="O2771" s="3">
        <v>0</v>
      </c>
      <c r="P2771" s="3">
        <v>0.1</v>
      </c>
      <c r="Q2771" s="3">
        <v>3.43</v>
      </c>
      <c r="R2771" s="3">
        <v>2.7</v>
      </c>
      <c r="S2771" s="3">
        <f>VLOOKUP(C2771,[1]page!$C$2:$M$3071,11,0)</f>
        <v>3.17</v>
      </c>
      <c r="T2771" s="6">
        <f t="shared" si="57"/>
        <v>0</v>
      </c>
    </row>
    <row r="2772" spans="1:20" x14ac:dyDescent="0.2">
      <c r="A2772" t="s">
        <v>8904</v>
      </c>
      <c r="B2772" t="s">
        <v>9030</v>
      </c>
      <c r="C2772" t="s">
        <v>9031</v>
      </c>
      <c r="D2772" t="s">
        <v>9032</v>
      </c>
      <c r="E2772" t="s">
        <v>7847</v>
      </c>
      <c r="F2772" t="s">
        <v>5855</v>
      </c>
      <c r="G2772" s="1">
        <v>7</v>
      </c>
      <c r="H2772" s="1">
        <v>24</v>
      </c>
      <c r="I2772" t="s">
        <v>8966</v>
      </c>
      <c r="L2772" s="1">
        <v>1</v>
      </c>
      <c r="M2772" s="3">
        <v>3.17</v>
      </c>
      <c r="N2772" s="3">
        <v>0.16</v>
      </c>
      <c r="O2772" s="3">
        <v>0</v>
      </c>
      <c r="P2772" s="3">
        <v>0.1</v>
      </c>
      <c r="Q2772" s="3">
        <v>3.43</v>
      </c>
      <c r="R2772" s="3">
        <v>2.7</v>
      </c>
      <c r="S2772" s="3">
        <f>VLOOKUP(C2772,[1]page!$C$2:$M$3071,11,0)</f>
        <v>3.17</v>
      </c>
      <c r="T2772" s="6">
        <f t="shared" si="57"/>
        <v>0</v>
      </c>
    </row>
    <row r="2773" spans="1:20" x14ac:dyDescent="0.2">
      <c r="A2773" t="s">
        <v>8904</v>
      </c>
      <c r="B2773" t="s">
        <v>9033</v>
      </c>
      <c r="C2773" t="s">
        <v>9034</v>
      </c>
      <c r="D2773" t="s">
        <v>9032</v>
      </c>
      <c r="E2773" t="s">
        <v>7847</v>
      </c>
      <c r="F2773" t="s">
        <v>8999</v>
      </c>
      <c r="G2773" s="1">
        <v>7</v>
      </c>
      <c r="H2773" s="1">
        <v>6</v>
      </c>
      <c r="I2773" t="s">
        <v>8966</v>
      </c>
      <c r="L2773" s="1">
        <v>4</v>
      </c>
      <c r="M2773" s="3">
        <v>11.5</v>
      </c>
      <c r="N2773" s="3">
        <v>0.57999999999999996</v>
      </c>
      <c r="O2773" s="3">
        <v>0</v>
      </c>
      <c r="P2773" s="3">
        <v>0.4</v>
      </c>
      <c r="Q2773" s="3">
        <v>12.48</v>
      </c>
      <c r="R2773" s="3">
        <v>10.45</v>
      </c>
      <c r="S2773" s="3">
        <f>VLOOKUP(C2773,[1]page!$C$2:$M$3071,11,0)</f>
        <v>11.5</v>
      </c>
      <c r="T2773" s="6">
        <f t="shared" si="57"/>
        <v>0</v>
      </c>
    </row>
    <row r="2774" spans="1:20" x14ac:dyDescent="0.2">
      <c r="A2774" t="s">
        <v>8904</v>
      </c>
      <c r="B2774" t="s">
        <v>9035</v>
      </c>
      <c r="C2774" t="s">
        <v>9036</v>
      </c>
      <c r="D2774" t="s">
        <v>9037</v>
      </c>
      <c r="E2774" t="s">
        <v>7847</v>
      </c>
      <c r="F2774" t="s">
        <v>5855</v>
      </c>
      <c r="G2774" s="1">
        <v>7</v>
      </c>
      <c r="H2774" s="1">
        <v>24</v>
      </c>
      <c r="I2774" t="s">
        <v>8966</v>
      </c>
      <c r="L2774" s="1">
        <v>1</v>
      </c>
      <c r="M2774" s="3">
        <v>3.17</v>
      </c>
      <c r="N2774" s="3">
        <v>0.16</v>
      </c>
      <c r="O2774" s="3">
        <v>0</v>
      </c>
      <c r="P2774" s="3">
        <v>0.1</v>
      </c>
      <c r="Q2774" s="3">
        <v>3.43</v>
      </c>
      <c r="R2774" s="3">
        <v>2.7</v>
      </c>
      <c r="S2774" s="3">
        <f>VLOOKUP(C2774,[1]page!$C$2:$M$3071,11,0)</f>
        <v>3.17</v>
      </c>
      <c r="T2774" s="6">
        <f t="shared" si="57"/>
        <v>0</v>
      </c>
    </row>
    <row r="2775" spans="1:20" x14ac:dyDescent="0.2">
      <c r="A2775" t="s">
        <v>8904</v>
      </c>
      <c r="B2775" t="s">
        <v>9038</v>
      </c>
      <c r="C2775" t="s">
        <v>9039</v>
      </c>
      <c r="D2775" t="s">
        <v>9040</v>
      </c>
      <c r="E2775" t="s">
        <v>7847</v>
      </c>
      <c r="F2775" t="s">
        <v>8999</v>
      </c>
      <c r="G2775" s="1">
        <v>7</v>
      </c>
      <c r="H2775" s="1">
        <v>6</v>
      </c>
      <c r="I2775" t="s">
        <v>8966</v>
      </c>
      <c r="L2775" s="1">
        <v>4</v>
      </c>
      <c r="M2775" s="3">
        <v>11.5</v>
      </c>
      <c r="N2775" s="3">
        <v>0.57999999999999996</v>
      </c>
      <c r="O2775" s="3">
        <v>0</v>
      </c>
      <c r="P2775" s="3">
        <v>0.4</v>
      </c>
      <c r="Q2775" s="3">
        <v>12.48</v>
      </c>
      <c r="R2775" s="3">
        <v>10.45</v>
      </c>
      <c r="S2775" s="3">
        <f>VLOOKUP(C2775,[1]page!$C$2:$M$3071,11,0)</f>
        <v>11.5</v>
      </c>
      <c r="T2775" s="6">
        <f t="shared" si="57"/>
        <v>0</v>
      </c>
    </row>
    <row r="2776" spans="1:20" x14ac:dyDescent="0.2">
      <c r="A2776" t="s">
        <v>8904</v>
      </c>
      <c r="B2776" t="s">
        <v>9041</v>
      </c>
      <c r="C2776" t="s">
        <v>9042</v>
      </c>
      <c r="D2776" t="s">
        <v>9043</v>
      </c>
      <c r="E2776" t="s">
        <v>7847</v>
      </c>
      <c r="F2776" t="s">
        <v>8999</v>
      </c>
      <c r="G2776" s="1">
        <v>7</v>
      </c>
      <c r="H2776" s="1">
        <v>6</v>
      </c>
      <c r="I2776" t="s">
        <v>8966</v>
      </c>
      <c r="L2776" s="1">
        <v>4</v>
      </c>
      <c r="M2776" s="3">
        <v>11.5</v>
      </c>
      <c r="N2776" s="3">
        <v>0.57999999999999996</v>
      </c>
      <c r="O2776" s="3">
        <v>0</v>
      </c>
      <c r="P2776" s="3">
        <v>0.4</v>
      </c>
      <c r="Q2776" s="3">
        <v>12.48</v>
      </c>
      <c r="R2776" s="3">
        <v>10.45</v>
      </c>
      <c r="S2776" s="3">
        <f>VLOOKUP(C2776,[1]page!$C$2:$M$3071,11,0)</f>
        <v>11.5</v>
      </c>
      <c r="T2776" s="6">
        <f t="shared" si="57"/>
        <v>0</v>
      </c>
    </row>
    <row r="2777" spans="1:20" x14ac:dyDescent="0.2">
      <c r="A2777" t="s">
        <v>8904</v>
      </c>
      <c r="B2777" t="s">
        <v>9044</v>
      </c>
      <c r="C2777" t="s">
        <v>9045</v>
      </c>
      <c r="D2777" t="s">
        <v>9046</v>
      </c>
      <c r="E2777" t="s">
        <v>7847</v>
      </c>
      <c r="F2777" t="s">
        <v>5855</v>
      </c>
      <c r="G2777" s="1">
        <v>7</v>
      </c>
      <c r="H2777" s="1">
        <v>24</v>
      </c>
      <c r="I2777" t="s">
        <v>8966</v>
      </c>
      <c r="L2777" s="1">
        <v>1</v>
      </c>
      <c r="M2777" s="3">
        <v>3.17</v>
      </c>
      <c r="N2777" s="3">
        <v>0.16</v>
      </c>
      <c r="O2777" s="3">
        <v>0</v>
      </c>
      <c r="P2777" s="3">
        <v>0.1</v>
      </c>
      <c r="Q2777" s="3">
        <v>3.43</v>
      </c>
      <c r="R2777" s="3">
        <v>2.7</v>
      </c>
      <c r="S2777" s="3">
        <f>VLOOKUP(C2777,[1]page!$C$2:$M$3071,11,0)</f>
        <v>3.17</v>
      </c>
      <c r="T2777" s="6">
        <f t="shared" si="57"/>
        <v>0</v>
      </c>
    </row>
    <row r="2778" spans="1:20" x14ac:dyDescent="0.2">
      <c r="A2778" t="s">
        <v>8904</v>
      </c>
      <c r="B2778" t="s">
        <v>9047</v>
      </c>
      <c r="C2778" t="s">
        <v>9048</v>
      </c>
      <c r="D2778" t="s">
        <v>9049</v>
      </c>
      <c r="E2778" t="s">
        <v>7847</v>
      </c>
      <c r="F2778" t="s">
        <v>8999</v>
      </c>
      <c r="G2778" s="1">
        <v>7</v>
      </c>
      <c r="H2778" s="1">
        <v>6</v>
      </c>
      <c r="I2778" t="s">
        <v>8966</v>
      </c>
      <c r="L2778" s="1">
        <v>4</v>
      </c>
      <c r="M2778" s="3">
        <v>11.5</v>
      </c>
      <c r="N2778" s="3">
        <v>0.57999999999999996</v>
      </c>
      <c r="O2778" s="3">
        <v>0</v>
      </c>
      <c r="P2778" s="3">
        <v>0.4</v>
      </c>
      <c r="Q2778" s="3">
        <v>12.48</v>
      </c>
      <c r="R2778" s="3">
        <v>10.45</v>
      </c>
      <c r="S2778" s="3">
        <f>VLOOKUP(C2778,[1]page!$C$2:$M$3071,11,0)</f>
        <v>11.5</v>
      </c>
      <c r="T2778" s="6">
        <f t="shared" si="57"/>
        <v>0</v>
      </c>
    </row>
    <row r="2779" spans="1:20" x14ac:dyDescent="0.2">
      <c r="A2779" t="s">
        <v>8904</v>
      </c>
      <c r="B2779" t="s">
        <v>9050</v>
      </c>
      <c r="C2779" t="s">
        <v>9051</v>
      </c>
      <c r="D2779" t="s">
        <v>9052</v>
      </c>
      <c r="E2779" t="s">
        <v>7847</v>
      </c>
      <c r="F2779" t="s">
        <v>87</v>
      </c>
      <c r="G2779" s="1">
        <v>7</v>
      </c>
      <c r="H2779" s="1">
        <v>4</v>
      </c>
      <c r="I2779" t="s">
        <v>8966</v>
      </c>
      <c r="L2779" s="1">
        <v>1</v>
      </c>
      <c r="M2779" s="3">
        <v>17.11</v>
      </c>
      <c r="N2779" s="3">
        <v>0.86</v>
      </c>
      <c r="O2779" s="3">
        <v>0</v>
      </c>
      <c r="P2779" s="3">
        <v>0</v>
      </c>
      <c r="Q2779" s="3">
        <v>17.97</v>
      </c>
      <c r="R2779" s="3">
        <v>20.25</v>
      </c>
      <c r="S2779" s="3">
        <f>VLOOKUP(C2779,[1]page!$C$2:$M$3071,11,0)</f>
        <v>17.11</v>
      </c>
      <c r="T2779" s="6">
        <f t="shared" si="57"/>
        <v>0</v>
      </c>
    </row>
    <row r="2780" spans="1:20" x14ac:dyDescent="0.2">
      <c r="A2780" t="s">
        <v>8904</v>
      </c>
      <c r="B2780" t="s">
        <v>9053</v>
      </c>
      <c r="C2780" t="s">
        <v>9054</v>
      </c>
      <c r="D2780" t="s">
        <v>9055</v>
      </c>
      <c r="E2780" t="s">
        <v>7847</v>
      </c>
      <c r="F2780" t="s">
        <v>5855</v>
      </c>
      <c r="G2780" s="1">
        <v>7</v>
      </c>
      <c r="H2780" s="1">
        <v>24</v>
      </c>
      <c r="I2780" t="s">
        <v>8966</v>
      </c>
      <c r="L2780" s="1">
        <v>1</v>
      </c>
      <c r="M2780" s="3">
        <v>3.17</v>
      </c>
      <c r="N2780" s="3">
        <v>0.16</v>
      </c>
      <c r="O2780" s="3">
        <v>0</v>
      </c>
      <c r="P2780" s="3">
        <v>0.1</v>
      </c>
      <c r="Q2780" s="3">
        <v>3.43</v>
      </c>
      <c r="R2780" s="3">
        <v>2.7</v>
      </c>
      <c r="S2780" s="3">
        <f>VLOOKUP(C2780,[1]page!$C$2:$M$3071,11,0)</f>
        <v>3.17</v>
      </c>
      <c r="T2780" s="6">
        <f t="shared" si="57"/>
        <v>0</v>
      </c>
    </row>
    <row r="2781" spans="1:20" x14ac:dyDescent="0.2">
      <c r="A2781" t="s">
        <v>8904</v>
      </c>
      <c r="B2781" t="s">
        <v>9056</v>
      </c>
      <c r="C2781" t="s">
        <v>9057</v>
      </c>
      <c r="D2781" t="s">
        <v>9058</v>
      </c>
      <c r="E2781" t="s">
        <v>7847</v>
      </c>
      <c r="F2781" t="s">
        <v>5855</v>
      </c>
      <c r="G2781" s="1">
        <v>7</v>
      </c>
      <c r="H2781" s="1">
        <v>24</v>
      </c>
      <c r="I2781" t="s">
        <v>8966</v>
      </c>
      <c r="L2781" s="1">
        <v>1</v>
      </c>
      <c r="M2781" s="3">
        <v>3.17</v>
      </c>
      <c r="N2781" s="3">
        <v>0.16</v>
      </c>
      <c r="O2781" s="3">
        <v>0</v>
      </c>
      <c r="P2781" s="3">
        <v>0.1</v>
      </c>
      <c r="Q2781" s="3">
        <v>3.43</v>
      </c>
      <c r="R2781" s="3">
        <v>2.7</v>
      </c>
      <c r="S2781" s="3">
        <f>VLOOKUP(C2781,[1]page!$C$2:$M$3071,11,0)</f>
        <v>3.17</v>
      </c>
      <c r="T2781" s="6">
        <f t="shared" si="57"/>
        <v>0</v>
      </c>
    </row>
    <row r="2782" spans="1:20" x14ac:dyDescent="0.2">
      <c r="A2782" t="s">
        <v>8904</v>
      </c>
      <c r="B2782" t="s">
        <v>9059</v>
      </c>
      <c r="C2782" t="s">
        <v>9060</v>
      </c>
      <c r="D2782" t="s">
        <v>9061</v>
      </c>
      <c r="E2782" t="s">
        <v>7847</v>
      </c>
      <c r="F2782" t="s">
        <v>5861</v>
      </c>
      <c r="G2782" s="1">
        <v>7</v>
      </c>
      <c r="H2782" s="1">
        <v>2</v>
      </c>
      <c r="I2782" t="s">
        <v>8966</v>
      </c>
      <c r="L2782" s="1">
        <v>12</v>
      </c>
      <c r="M2782" s="3">
        <v>27</v>
      </c>
      <c r="N2782" s="3">
        <v>1.35</v>
      </c>
      <c r="O2782" s="3">
        <v>0</v>
      </c>
      <c r="P2782" s="3">
        <v>1.2</v>
      </c>
      <c r="Q2782" s="3">
        <v>29.55</v>
      </c>
      <c r="R2782" s="3">
        <f t="shared" ref="R2782:R2783" si="61">SUM(F2782*0.0051)</f>
        <v>21.726000000000003</v>
      </c>
      <c r="S2782" s="3">
        <f>VLOOKUP(C2782,[1]page!$C$2:$M$3071,11,0)</f>
        <v>27</v>
      </c>
      <c r="T2782" s="6">
        <f t="shared" ref="T2782:T2845" si="62">SUM(M2782-S2782)</f>
        <v>0</v>
      </c>
    </row>
    <row r="2783" spans="1:20" x14ac:dyDescent="0.2">
      <c r="A2783" t="s">
        <v>8904</v>
      </c>
      <c r="B2783" t="s">
        <v>9062</v>
      </c>
      <c r="C2783" t="s">
        <v>9063</v>
      </c>
      <c r="D2783" t="s">
        <v>9064</v>
      </c>
      <c r="E2783" t="s">
        <v>7847</v>
      </c>
      <c r="F2783" t="s">
        <v>5861</v>
      </c>
      <c r="G2783" s="1">
        <v>7</v>
      </c>
      <c r="H2783" s="1">
        <v>2</v>
      </c>
      <c r="I2783" t="s">
        <v>8966</v>
      </c>
      <c r="L2783" s="1">
        <v>12</v>
      </c>
      <c r="M2783" s="3">
        <v>27</v>
      </c>
      <c r="N2783" s="3">
        <v>1.35</v>
      </c>
      <c r="O2783" s="3">
        <v>0</v>
      </c>
      <c r="P2783" s="3">
        <v>1.2</v>
      </c>
      <c r="Q2783" s="3">
        <v>29.55</v>
      </c>
      <c r="R2783" s="3">
        <f t="shared" si="61"/>
        <v>21.726000000000003</v>
      </c>
      <c r="S2783" s="3">
        <f>VLOOKUP(C2783,[1]page!$C$2:$M$3071,11,0)</f>
        <v>27</v>
      </c>
      <c r="T2783" s="6">
        <f t="shared" si="62"/>
        <v>0</v>
      </c>
    </row>
    <row r="2784" spans="1:20" x14ac:dyDescent="0.2">
      <c r="A2784" t="s">
        <v>8904</v>
      </c>
      <c r="B2784" t="s">
        <v>9065</v>
      </c>
      <c r="C2784" t="s">
        <v>9066</v>
      </c>
      <c r="D2784" t="s">
        <v>9067</v>
      </c>
      <c r="E2784" t="s">
        <v>7847</v>
      </c>
      <c r="F2784" t="s">
        <v>5855</v>
      </c>
      <c r="G2784" s="1">
        <v>7</v>
      </c>
      <c r="H2784" s="1">
        <v>24</v>
      </c>
      <c r="I2784" t="s">
        <v>8966</v>
      </c>
      <c r="L2784" s="1">
        <v>1</v>
      </c>
      <c r="M2784" s="3">
        <v>3.17</v>
      </c>
      <c r="N2784" s="3">
        <v>0.16</v>
      </c>
      <c r="O2784" s="3">
        <v>0</v>
      </c>
      <c r="P2784" s="3">
        <v>0.1</v>
      </c>
      <c r="Q2784" s="3">
        <v>3.43</v>
      </c>
      <c r="R2784" s="3">
        <v>2.7</v>
      </c>
      <c r="S2784" s="3">
        <f>VLOOKUP(C2784,[1]page!$C$2:$M$3071,11,0)</f>
        <v>3.17</v>
      </c>
      <c r="T2784" s="6">
        <f t="shared" si="62"/>
        <v>0</v>
      </c>
    </row>
    <row r="2785" spans="1:20" x14ac:dyDescent="0.2">
      <c r="A2785" t="s">
        <v>8904</v>
      </c>
      <c r="B2785" t="s">
        <v>9068</v>
      </c>
      <c r="C2785" t="s">
        <v>9069</v>
      </c>
      <c r="D2785" t="s">
        <v>9070</v>
      </c>
      <c r="E2785" t="s">
        <v>7847</v>
      </c>
      <c r="F2785" t="s">
        <v>5855</v>
      </c>
      <c r="G2785" s="1">
        <v>7</v>
      </c>
      <c r="H2785" s="1">
        <v>24</v>
      </c>
      <c r="I2785" t="s">
        <v>8966</v>
      </c>
      <c r="L2785" s="1">
        <v>1</v>
      </c>
      <c r="M2785" s="3">
        <v>3.17</v>
      </c>
      <c r="N2785" s="3">
        <v>0.16</v>
      </c>
      <c r="O2785" s="3">
        <v>0</v>
      </c>
      <c r="P2785" s="3">
        <v>0.1</v>
      </c>
      <c r="Q2785" s="3">
        <v>3.43</v>
      </c>
      <c r="R2785" s="3">
        <v>2.7</v>
      </c>
      <c r="S2785" s="3">
        <f>VLOOKUP(C2785,[1]page!$C$2:$M$3071,11,0)</f>
        <v>3.17</v>
      </c>
      <c r="T2785" s="6">
        <f t="shared" si="62"/>
        <v>0</v>
      </c>
    </row>
    <row r="2786" spans="1:20" x14ac:dyDescent="0.2">
      <c r="A2786" t="s">
        <v>8904</v>
      </c>
      <c r="B2786" t="s">
        <v>9071</v>
      </c>
      <c r="C2786" t="s">
        <v>9072</v>
      </c>
      <c r="D2786" t="s">
        <v>9073</v>
      </c>
      <c r="E2786" t="s">
        <v>7847</v>
      </c>
      <c r="F2786" t="s">
        <v>8999</v>
      </c>
      <c r="G2786" s="1">
        <v>7</v>
      </c>
      <c r="H2786" s="1">
        <v>6</v>
      </c>
      <c r="I2786" t="s">
        <v>8966</v>
      </c>
      <c r="L2786" s="1">
        <v>4</v>
      </c>
      <c r="M2786" s="3">
        <v>11.5</v>
      </c>
      <c r="N2786" s="3">
        <v>0.57999999999999996</v>
      </c>
      <c r="O2786" s="3">
        <v>0</v>
      </c>
      <c r="P2786" s="3">
        <v>0.4</v>
      </c>
      <c r="Q2786" s="3">
        <v>12.48</v>
      </c>
      <c r="R2786" s="3">
        <v>10.45</v>
      </c>
      <c r="S2786" s="3">
        <f>VLOOKUP(C2786,[1]page!$C$2:$M$3071,11,0)</f>
        <v>11.5</v>
      </c>
      <c r="T2786" s="6">
        <f t="shared" si="62"/>
        <v>0</v>
      </c>
    </row>
    <row r="2787" spans="1:20" x14ac:dyDescent="0.2">
      <c r="A2787" t="s">
        <v>8904</v>
      </c>
      <c r="B2787" t="s">
        <v>9074</v>
      </c>
      <c r="C2787" t="s">
        <v>9075</v>
      </c>
      <c r="D2787" t="s">
        <v>9076</v>
      </c>
      <c r="E2787" t="s">
        <v>7847</v>
      </c>
      <c r="F2787" t="s">
        <v>5855</v>
      </c>
      <c r="G2787" s="1">
        <v>7</v>
      </c>
      <c r="H2787" s="1">
        <v>24</v>
      </c>
      <c r="I2787" t="s">
        <v>8966</v>
      </c>
      <c r="L2787" s="1">
        <v>1</v>
      </c>
      <c r="M2787" s="3">
        <v>3.17</v>
      </c>
      <c r="N2787" s="3">
        <v>0.16</v>
      </c>
      <c r="O2787" s="3">
        <v>0</v>
      </c>
      <c r="P2787" s="3">
        <v>0.1</v>
      </c>
      <c r="Q2787" s="3">
        <v>3.43</v>
      </c>
      <c r="R2787" s="3">
        <v>2.7</v>
      </c>
      <c r="S2787" s="3">
        <f>VLOOKUP(C2787,[1]page!$C$2:$M$3071,11,0)</f>
        <v>3.17</v>
      </c>
      <c r="T2787" s="6">
        <f t="shared" si="62"/>
        <v>0</v>
      </c>
    </row>
    <row r="2788" spans="1:20" x14ac:dyDescent="0.2">
      <c r="A2788" t="s">
        <v>8904</v>
      </c>
      <c r="B2788" t="s">
        <v>9077</v>
      </c>
      <c r="C2788" t="s">
        <v>9078</v>
      </c>
      <c r="D2788" t="s">
        <v>9079</v>
      </c>
      <c r="E2788" t="s">
        <v>7847</v>
      </c>
      <c r="F2788" t="s">
        <v>5861</v>
      </c>
      <c r="G2788" s="1">
        <v>7</v>
      </c>
      <c r="H2788" s="1">
        <v>2</v>
      </c>
      <c r="I2788" t="s">
        <v>8966</v>
      </c>
      <c r="L2788" s="1">
        <v>12</v>
      </c>
      <c r="M2788" s="3">
        <v>27</v>
      </c>
      <c r="N2788" s="3">
        <v>1.35</v>
      </c>
      <c r="O2788" s="3">
        <v>0</v>
      </c>
      <c r="P2788" s="3">
        <v>1.2</v>
      </c>
      <c r="Q2788" s="3">
        <v>29.55</v>
      </c>
      <c r="R2788" s="3">
        <f>SUM(F2788*0.0051)</f>
        <v>21.726000000000003</v>
      </c>
      <c r="S2788" s="3">
        <f>VLOOKUP(C2788,[1]page!$C$2:$M$3071,11,0)</f>
        <v>27</v>
      </c>
      <c r="T2788" s="6">
        <f t="shared" si="62"/>
        <v>0</v>
      </c>
    </row>
    <row r="2789" spans="1:20" x14ac:dyDescent="0.2">
      <c r="A2789" t="s">
        <v>8904</v>
      </c>
      <c r="B2789" t="s">
        <v>9080</v>
      </c>
      <c r="C2789" t="s">
        <v>9081</v>
      </c>
      <c r="D2789" t="s">
        <v>9082</v>
      </c>
      <c r="E2789" t="s">
        <v>7847</v>
      </c>
      <c r="F2789" t="s">
        <v>5855</v>
      </c>
      <c r="G2789" s="1">
        <v>7</v>
      </c>
      <c r="H2789" s="1">
        <v>24</v>
      </c>
      <c r="I2789" t="s">
        <v>8966</v>
      </c>
      <c r="L2789" s="1">
        <v>1</v>
      </c>
      <c r="M2789" s="3">
        <v>3.17</v>
      </c>
      <c r="N2789" s="3">
        <v>0.16</v>
      </c>
      <c r="O2789" s="3">
        <v>0</v>
      </c>
      <c r="P2789" s="3">
        <v>0.1</v>
      </c>
      <c r="Q2789" s="3">
        <v>3.43</v>
      </c>
      <c r="R2789" s="3">
        <v>2.7</v>
      </c>
      <c r="S2789" s="3">
        <f>VLOOKUP(C2789,[1]page!$C$2:$M$3071,11,0)</f>
        <v>3.17</v>
      </c>
      <c r="T2789" s="6">
        <f t="shared" si="62"/>
        <v>0</v>
      </c>
    </row>
    <row r="2790" spans="1:20" x14ac:dyDescent="0.2">
      <c r="A2790" t="s">
        <v>8904</v>
      </c>
      <c r="B2790" t="s">
        <v>9083</v>
      </c>
      <c r="C2790" t="s">
        <v>9084</v>
      </c>
      <c r="D2790" t="s">
        <v>9085</v>
      </c>
      <c r="E2790" t="s">
        <v>1116</v>
      </c>
      <c r="F2790" t="s">
        <v>1599</v>
      </c>
      <c r="G2790" s="1">
        <v>5</v>
      </c>
      <c r="H2790" s="1">
        <v>12</v>
      </c>
      <c r="I2790" t="s">
        <v>444</v>
      </c>
      <c r="K2790" t="s">
        <v>20</v>
      </c>
      <c r="L2790" s="1">
        <v>1</v>
      </c>
      <c r="M2790" s="3">
        <v>10</v>
      </c>
      <c r="N2790" s="3">
        <v>0.5</v>
      </c>
      <c r="O2790" s="3">
        <v>0</v>
      </c>
      <c r="P2790" s="3">
        <v>0.25</v>
      </c>
      <c r="Q2790" s="3">
        <v>10.75</v>
      </c>
      <c r="R2790" s="3">
        <v>4.45</v>
      </c>
      <c r="S2790" s="3">
        <f>VLOOKUP(C2790,[1]page!$C$2:$M$3071,11,0)</f>
        <v>10</v>
      </c>
      <c r="T2790" s="6">
        <f t="shared" si="62"/>
        <v>0</v>
      </c>
    </row>
    <row r="2791" spans="1:20" x14ac:dyDescent="0.2">
      <c r="A2791" t="s">
        <v>8904</v>
      </c>
      <c r="B2791" t="s">
        <v>9086</v>
      </c>
      <c r="C2791" t="s">
        <v>9087</v>
      </c>
      <c r="D2791" t="s">
        <v>9088</v>
      </c>
      <c r="E2791" t="s">
        <v>9089</v>
      </c>
      <c r="F2791" t="s">
        <v>5855</v>
      </c>
      <c r="G2791" s="1">
        <v>7</v>
      </c>
      <c r="H2791" s="1">
        <v>24</v>
      </c>
      <c r="I2791" t="s">
        <v>8920</v>
      </c>
      <c r="L2791" s="1">
        <v>1</v>
      </c>
      <c r="M2791" s="3">
        <v>3.07</v>
      </c>
      <c r="N2791" s="3">
        <v>0.15</v>
      </c>
      <c r="O2791" s="3">
        <v>0</v>
      </c>
      <c r="P2791" s="3">
        <v>0.1</v>
      </c>
      <c r="Q2791" s="3">
        <v>3.32</v>
      </c>
      <c r="R2791" s="3">
        <v>2.7</v>
      </c>
      <c r="S2791" s="3">
        <f>VLOOKUP(C2791,[1]page!$C$2:$M$3071,11,0)</f>
        <v>3.06</v>
      </c>
      <c r="T2791" s="6">
        <f t="shared" si="62"/>
        <v>9.9999999999997868E-3</v>
      </c>
    </row>
    <row r="2792" spans="1:20" x14ac:dyDescent="0.2">
      <c r="A2792" t="s">
        <v>8904</v>
      </c>
      <c r="B2792" t="s">
        <v>9090</v>
      </c>
      <c r="C2792" t="s">
        <v>9091</v>
      </c>
      <c r="D2792" t="s">
        <v>9092</v>
      </c>
      <c r="E2792" t="s">
        <v>6132</v>
      </c>
      <c r="F2792" t="s">
        <v>5861</v>
      </c>
      <c r="G2792" s="1">
        <v>5</v>
      </c>
      <c r="H2792" s="1">
        <v>2</v>
      </c>
      <c r="I2792" t="s">
        <v>6133</v>
      </c>
      <c r="L2792" s="1">
        <v>12</v>
      </c>
      <c r="M2792" s="3">
        <v>26.27</v>
      </c>
      <c r="N2792" s="3">
        <v>1.31</v>
      </c>
      <c r="O2792" s="3">
        <v>0</v>
      </c>
      <c r="P2792" s="3">
        <v>1.2</v>
      </c>
      <c r="Q2792" s="3">
        <v>28.78</v>
      </c>
      <c r="R2792" s="3">
        <f t="shared" ref="R2792" si="63">SUM(F2792*0.0043)</f>
        <v>18.318000000000001</v>
      </c>
      <c r="S2792" s="3">
        <f>VLOOKUP(C2792,[1]page!$C$2:$M$3071,11,0)</f>
        <v>26.22</v>
      </c>
      <c r="T2792" s="6">
        <f t="shared" si="62"/>
        <v>5.0000000000000711E-2</v>
      </c>
    </row>
    <row r="2793" spans="1:20" x14ac:dyDescent="0.2">
      <c r="A2793" t="s">
        <v>8904</v>
      </c>
      <c r="B2793" t="s">
        <v>9093</v>
      </c>
      <c r="C2793" t="s">
        <v>9094</v>
      </c>
      <c r="D2793" t="s">
        <v>9095</v>
      </c>
      <c r="E2793" t="s">
        <v>43</v>
      </c>
      <c r="F2793" t="s">
        <v>5855</v>
      </c>
      <c r="G2793" s="1">
        <v>5</v>
      </c>
      <c r="H2793" s="1">
        <v>24</v>
      </c>
      <c r="I2793" t="s">
        <v>62</v>
      </c>
      <c r="L2793" s="1">
        <v>1</v>
      </c>
      <c r="M2793" s="3">
        <v>2.5499999999999998</v>
      </c>
      <c r="N2793" s="3">
        <v>0.13</v>
      </c>
      <c r="O2793" s="3">
        <v>0</v>
      </c>
      <c r="P2793" s="3">
        <v>0.1</v>
      </c>
      <c r="Q2793" s="3">
        <v>2.78</v>
      </c>
      <c r="R2793" s="3">
        <v>2.2999999999999998</v>
      </c>
      <c r="S2793" s="3">
        <f>VLOOKUP(C2793,[1]page!$C$2:$M$3071,11,0)</f>
        <v>2.54</v>
      </c>
      <c r="T2793" s="6">
        <f t="shared" si="62"/>
        <v>9.9999999999997868E-3</v>
      </c>
    </row>
    <row r="2794" spans="1:20" x14ac:dyDescent="0.2">
      <c r="A2794" t="s">
        <v>8904</v>
      </c>
      <c r="B2794" t="s">
        <v>9096</v>
      </c>
      <c r="C2794" t="s">
        <v>9097</v>
      </c>
      <c r="D2794" t="s">
        <v>9098</v>
      </c>
      <c r="E2794" t="s">
        <v>9099</v>
      </c>
      <c r="F2794" t="s">
        <v>5861</v>
      </c>
      <c r="G2794" s="1">
        <v>5</v>
      </c>
      <c r="H2794" s="1">
        <v>2</v>
      </c>
      <c r="I2794" t="s">
        <v>62</v>
      </c>
      <c r="L2794" s="1">
        <v>12</v>
      </c>
      <c r="M2794" s="3">
        <v>27.86</v>
      </c>
      <c r="N2794" s="3">
        <v>1.39</v>
      </c>
      <c r="O2794" s="3">
        <v>0</v>
      </c>
      <c r="P2794" s="3">
        <v>1.2</v>
      </c>
      <c r="Q2794" s="3">
        <v>30.45</v>
      </c>
      <c r="R2794" s="3">
        <f t="shared" ref="R2794:R2795" si="64">SUM(F2794*0.0043)</f>
        <v>18.318000000000001</v>
      </c>
      <c r="S2794" s="3" t="e">
        <f>VLOOKUP(C2794,[1]page!$C$2:$M$3071,11,0)</f>
        <v>#N/A</v>
      </c>
      <c r="T2794" s="6" t="e">
        <f t="shared" si="62"/>
        <v>#N/A</v>
      </c>
    </row>
    <row r="2795" spans="1:20" x14ac:dyDescent="0.2">
      <c r="A2795" t="s">
        <v>8904</v>
      </c>
      <c r="B2795" t="s">
        <v>9100</v>
      </c>
      <c r="C2795" t="s">
        <v>9101</v>
      </c>
      <c r="D2795" t="s">
        <v>9102</v>
      </c>
      <c r="E2795" t="s">
        <v>9103</v>
      </c>
      <c r="F2795" t="s">
        <v>5861</v>
      </c>
      <c r="G2795" s="1">
        <v>5</v>
      </c>
      <c r="H2795" s="1">
        <v>2</v>
      </c>
      <c r="I2795" t="s">
        <v>62</v>
      </c>
      <c r="L2795" s="1">
        <v>12</v>
      </c>
      <c r="M2795" s="3">
        <v>26.69</v>
      </c>
      <c r="N2795" s="3">
        <v>1.33</v>
      </c>
      <c r="O2795" s="3">
        <v>0</v>
      </c>
      <c r="P2795" s="3">
        <v>1.2</v>
      </c>
      <c r="Q2795" s="3">
        <v>29.22</v>
      </c>
      <c r="R2795" s="3">
        <f t="shared" si="64"/>
        <v>18.318000000000001</v>
      </c>
      <c r="S2795" s="3">
        <f>VLOOKUP(C2795,[1]page!$C$2:$M$3071,11,0)</f>
        <v>26.63</v>
      </c>
      <c r="T2795" s="6">
        <f t="shared" si="62"/>
        <v>6.0000000000002274E-2</v>
      </c>
    </row>
    <row r="2796" spans="1:20" x14ac:dyDescent="0.2">
      <c r="A2796" t="s">
        <v>8904</v>
      </c>
      <c r="B2796" t="s">
        <v>9104</v>
      </c>
      <c r="C2796" t="s">
        <v>9105</v>
      </c>
      <c r="D2796" t="s">
        <v>9106</v>
      </c>
      <c r="E2796" t="s">
        <v>96</v>
      </c>
      <c r="F2796" t="s">
        <v>5861</v>
      </c>
      <c r="G2796" s="1">
        <v>6</v>
      </c>
      <c r="H2796" s="1">
        <v>2</v>
      </c>
      <c r="I2796" t="s">
        <v>24</v>
      </c>
      <c r="L2796" s="1">
        <v>12</v>
      </c>
      <c r="M2796" s="3">
        <v>28.99</v>
      </c>
      <c r="N2796" s="3">
        <v>1.45</v>
      </c>
      <c r="O2796" s="3">
        <v>0</v>
      </c>
      <c r="P2796" s="3">
        <v>1.2</v>
      </c>
      <c r="Q2796" s="3">
        <v>31.64</v>
      </c>
      <c r="R2796" s="3">
        <f>SUM(F2796*0.0051)</f>
        <v>21.726000000000003</v>
      </c>
      <c r="S2796" s="3">
        <f>VLOOKUP(C2796,[1]page!$C$2:$M$3071,11,0)</f>
        <v>29</v>
      </c>
      <c r="T2796" s="6">
        <f t="shared" si="62"/>
        <v>-1.0000000000001563E-2</v>
      </c>
    </row>
    <row r="2797" spans="1:20" x14ac:dyDescent="0.2">
      <c r="A2797" t="s">
        <v>8904</v>
      </c>
      <c r="B2797" t="s">
        <v>9107</v>
      </c>
      <c r="C2797" t="s">
        <v>9108</v>
      </c>
      <c r="D2797" t="s">
        <v>9109</v>
      </c>
      <c r="E2797" t="s">
        <v>96</v>
      </c>
      <c r="F2797" t="s">
        <v>1041</v>
      </c>
      <c r="G2797" s="1">
        <v>6</v>
      </c>
      <c r="H2797" s="1">
        <v>6</v>
      </c>
      <c r="I2797" t="s">
        <v>24</v>
      </c>
      <c r="L2797" s="1">
        <v>4</v>
      </c>
      <c r="M2797" s="3">
        <v>11.49</v>
      </c>
      <c r="N2797" s="3">
        <v>0.56999999999999995</v>
      </c>
      <c r="O2797" s="3">
        <v>0</v>
      </c>
      <c r="P2797" s="3">
        <v>0.4</v>
      </c>
      <c r="Q2797" s="3">
        <v>12.46</v>
      </c>
      <c r="R2797" s="3">
        <v>7.5</v>
      </c>
      <c r="S2797" s="3">
        <f>VLOOKUP(C2797,[1]page!$C$2:$M$3071,11,0)</f>
        <v>11.49</v>
      </c>
      <c r="T2797" s="6">
        <f t="shared" si="62"/>
        <v>0</v>
      </c>
    </row>
    <row r="2798" spans="1:20" x14ac:dyDescent="0.2">
      <c r="A2798" t="s">
        <v>8904</v>
      </c>
      <c r="B2798" t="s">
        <v>9110</v>
      </c>
      <c r="C2798" t="s">
        <v>9111</v>
      </c>
      <c r="D2798" t="s">
        <v>9112</v>
      </c>
      <c r="E2798" t="s">
        <v>96</v>
      </c>
      <c r="F2798" t="s">
        <v>1041</v>
      </c>
      <c r="G2798" s="1">
        <v>6</v>
      </c>
      <c r="H2798" s="1">
        <v>6</v>
      </c>
      <c r="I2798" t="s">
        <v>24</v>
      </c>
      <c r="L2798" s="1">
        <v>4</v>
      </c>
      <c r="M2798" s="3">
        <v>11.2</v>
      </c>
      <c r="N2798" s="3">
        <v>0.56000000000000005</v>
      </c>
      <c r="O2798" s="3">
        <v>0</v>
      </c>
      <c r="P2798" s="3">
        <v>0.4</v>
      </c>
      <c r="Q2798" s="3">
        <v>12.16</v>
      </c>
      <c r="R2798" s="3">
        <v>7.5</v>
      </c>
      <c r="S2798" s="3">
        <f>VLOOKUP(C2798,[1]page!$C$2:$M$3071,11,0)</f>
        <v>11.2</v>
      </c>
      <c r="T2798" s="6">
        <f t="shared" si="62"/>
        <v>0</v>
      </c>
    </row>
    <row r="2799" spans="1:20" x14ac:dyDescent="0.2">
      <c r="A2799" t="s">
        <v>8904</v>
      </c>
      <c r="B2799" t="s">
        <v>9113</v>
      </c>
      <c r="C2799" t="s">
        <v>9114</v>
      </c>
      <c r="D2799" t="s">
        <v>9115</v>
      </c>
      <c r="E2799" t="s">
        <v>96</v>
      </c>
      <c r="F2799" t="s">
        <v>1041</v>
      </c>
      <c r="G2799" s="1">
        <v>6</v>
      </c>
      <c r="H2799" s="1">
        <v>6</v>
      </c>
      <c r="I2799" t="s">
        <v>24</v>
      </c>
      <c r="L2799" s="1">
        <v>4</v>
      </c>
      <c r="M2799" s="3">
        <v>11.2</v>
      </c>
      <c r="N2799" s="3">
        <v>0.56000000000000005</v>
      </c>
      <c r="O2799" s="3">
        <v>0</v>
      </c>
      <c r="P2799" s="3">
        <v>0.4</v>
      </c>
      <c r="Q2799" s="3">
        <v>12.16</v>
      </c>
      <c r="R2799" s="3">
        <v>7.5</v>
      </c>
      <c r="S2799" s="3">
        <f>VLOOKUP(C2799,[1]page!$C$2:$M$3071,11,0)</f>
        <v>11.19</v>
      </c>
      <c r="T2799" s="6">
        <f t="shared" si="62"/>
        <v>9.9999999999997868E-3</v>
      </c>
    </row>
    <row r="2800" spans="1:20" x14ac:dyDescent="0.2">
      <c r="A2800" t="s">
        <v>8904</v>
      </c>
      <c r="B2800" t="s">
        <v>9116</v>
      </c>
      <c r="C2800" t="s">
        <v>9117</v>
      </c>
      <c r="D2800" t="s">
        <v>9118</v>
      </c>
      <c r="E2800" t="s">
        <v>96</v>
      </c>
      <c r="F2800" t="s">
        <v>5855</v>
      </c>
      <c r="G2800" s="1">
        <v>7</v>
      </c>
      <c r="H2800" s="1">
        <v>24</v>
      </c>
      <c r="I2800" t="s">
        <v>24</v>
      </c>
      <c r="L2800" s="1">
        <v>1</v>
      </c>
      <c r="M2800" s="3">
        <v>3.79</v>
      </c>
      <c r="N2800" s="3">
        <v>0.19</v>
      </c>
      <c r="O2800" s="3">
        <v>0</v>
      </c>
      <c r="P2800" s="3">
        <v>0.1</v>
      </c>
      <c r="Q2800" s="3">
        <v>4.08</v>
      </c>
      <c r="R2800" s="3">
        <v>2.7</v>
      </c>
      <c r="S2800" s="3" t="e">
        <f>VLOOKUP(C2800,[1]page!$C$2:$M$3071,11,0)</f>
        <v>#N/A</v>
      </c>
      <c r="T2800" s="6" t="e">
        <f t="shared" si="62"/>
        <v>#N/A</v>
      </c>
    </row>
    <row r="2801" spans="1:20" x14ac:dyDescent="0.2">
      <c r="A2801" t="s">
        <v>8904</v>
      </c>
      <c r="B2801" t="s">
        <v>9119</v>
      </c>
      <c r="C2801" t="s">
        <v>9120</v>
      </c>
      <c r="D2801" t="s">
        <v>9121</v>
      </c>
      <c r="E2801" t="s">
        <v>96</v>
      </c>
      <c r="F2801" t="s">
        <v>5855</v>
      </c>
      <c r="G2801" s="1">
        <v>7</v>
      </c>
      <c r="H2801" s="1">
        <v>24</v>
      </c>
      <c r="I2801" t="s">
        <v>24</v>
      </c>
      <c r="L2801" s="1">
        <v>1</v>
      </c>
      <c r="M2801" s="3">
        <v>3.79</v>
      </c>
      <c r="N2801" s="3">
        <v>0.19</v>
      </c>
      <c r="O2801" s="3">
        <v>0</v>
      </c>
      <c r="P2801" s="3">
        <v>0.1</v>
      </c>
      <c r="Q2801" s="3">
        <v>4.08</v>
      </c>
      <c r="R2801" s="3">
        <v>2.7</v>
      </c>
      <c r="S2801" s="3" t="e">
        <f>VLOOKUP(C2801,[1]page!$C$2:$M$3071,11,0)</f>
        <v>#N/A</v>
      </c>
      <c r="T2801" s="6" t="e">
        <f t="shared" si="62"/>
        <v>#N/A</v>
      </c>
    </row>
    <row r="2802" spans="1:20" x14ac:dyDescent="0.2">
      <c r="A2802" t="s">
        <v>8904</v>
      </c>
      <c r="B2802" t="s">
        <v>9122</v>
      </c>
      <c r="C2802" t="s">
        <v>9123</v>
      </c>
      <c r="D2802" t="s">
        <v>9124</v>
      </c>
      <c r="E2802" t="s">
        <v>96</v>
      </c>
      <c r="F2802" t="s">
        <v>5861</v>
      </c>
      <c r="G2802" s="1">
        <v>7</v>
      </c>
      <c r="H2802" s="1">
        <v>2</v>
      </c>
      <c r="I2802" t="s">
        <v>24</v>
      </c>
      <c r="L2802" s="1">
        <v>12</v>
      </c>
      <c r="M2802" s="3">
        <v>25.99</v>
      </c>
      <c r="N2802" s="3">
        <v>1.3</v>
      </c>
      <c r="O2802" s="3">
        <v>0</v>
      </c>
      <c r="P2802" s="3">
        <v>1.2</v>
      </c>
      <c r="Q2802" s="3">
        <v>28.49</v>
      </c>
      <c r="R2802" s="3">
        <f>SUM(F2802*0.0051)</f>
        <v>21.726000000000003</v>
      </c>
      <c r="S2802" s="3" t="e">
        <f>VLOOKUP(C2802,[1]page!$C$2:$M$3071,11,0)</f>
        <v>#N/A</v>
      </c>
      <c r="T2802" s="6" t="e">
        <f t="shared" si="62"/>
        <v>#N/A</v>
      </c>
    </row>
    <row r="2803" spans="1:20" x14ac:dyDescent="0.2">
      <c r="A2803" t="s">
        <v>8904</v>
      </c>
      <c r="B2803" t="s">
        <v>9125</v>
      </c>
      <c r="C2803" t="s">
        <v>9126</v>
      </c>
      <c r="D2803" t="s">
        <v>9127</v>
      </c>
      <c r="E2803" t="s">
        <v>9128</v>
      </c>
      <c r="F2803" t="s">
        <v>5984</v>
      </c>
      <c r="G2803" s="1">
        <v>5</v>
      </c>
      <c r="H2803" s="1">
        <v>4</v>
      </c>
      <c r="I2803" t="s">
        <v>8920</v>
      </c>
      <c r="L2803" s="1">
        <v>6</v>
      </c>
      <c r="M2803" s="3">
        <v>17.399999999999999</v>
      </c>
      <c r="N2803" s="3">
        <v>0.87</v>
      </c>
      <c r="O2803" s="3">
        <v>0</v>
      </c>
      <c r="P2803" s="3">
        <v>0.6</v>
      </c>
      <c r="Q2803" s="3">
        <v>18.87</v>
      </c>
      <c r="R2803" s="3">
        <v>9.25</v>
      </c>
      <c r="S2803" s="3">
        <f>VLOOKUP(C2803,[1]page!$C$2:$M$3071,11,0)</f>
        <v>17.37</v>
      </c>
      <c r="T2803" s="6">
        <f t="shared" si="62"/>
        <v>2.9999999999997584E-2</v>
      </c>
    </row>
    <row r="2804" spans="1:20" x14ac:dyDescent="0.2">
      <c r="A2804" t="s">
        <v>8904</v>
      </c>
      <c r="B2804" t="s">
        <v>9129</v>
      </c>
      <c r="C2804" t="s">
        <v>9130</v>
      </c>
      <c r="D2804" t="s">
        <v>9131</v>
      </c>
      <c r="E2804" t="s">
        <v>9132</v>
      </c>
      <c r="F2804" t="s">
        <v>2097</v>
      </c>
      <c r="G2804" s="1">
        <v>12</v>
      </c>
      <c r="H2804" s="1">
        <v>20</v>
      </c>
      <c r="I2804" t="s">
        <v>2802</v>
      </c>
      <c r="L2804" s="1">
        <v>1</v>
      </c>
      <c r="M2804" s="3">
        <v>6.98</v>
      </c>
      <c r="N2804" s="3">
        <v>0.35</v>
      </c>
      <c r="O2804" s="3">
        <v>0</v>
      </c>
      <c r="P2804" s="3">
        <v>0.2</v>
      </c>
      <c r="Q2804" s="3">
        <v>7.53</v>
      </c>
      <c r="R2804" s="3">
        <v>2.7</v>
      </c>
      <c r="S2804" s="3">
        <f>VLOOKUP(C2804,[1]page!$C$2:$M$3071,11,0)</f>
        <v>6.98</v>
      </c>
      <c r="T2804" s="6">
        <f t="shared" si="62"/>
        <v>0</v>
      </c>
    </row>
    <row r="2805" spans="1:20" x14ac:dyDescent="0.2">
      <c r="A2805" t="s">
        <v>8904</v>
      </c>
      <c r="B2805" t="s">
        <v>9133</v>
      </c>
      <c r="C2805" t="s">
        <v>9134</v>
      </c>
      <c r="D2805" t="s">
        <v>9135</v>
      </c>
      <c r="E2805" t="s">
        <v>9132</v>
      </c>
      <c r="F2805" t="s">
        <v>2097</v>
      </c>
      <c r="G2805" s="1">
        <v>12</v>
      </c>
      <c r="H2805" s="1">
        <v>20</v>
      </c>
      <c r="I2805" t="s">
        <v>9136</v>
      </c>
      <c r="L2805" s="1">
        <v>1</v>
      </c>
      <c r="M2805" s="3">
        <v>6.98</v>
      </c>
      <c r="N2805" s="3">
        <v>0.35</v>
      </c>
      <c r="O2805" s="3">
        <v>0</v>
      </c>
      <c r="P2805" s="3">
        <v>0.2</v>
      </c>
      <c r="Q2805" s="3">
        <v>7.53</v>
      </c>
      <c r="R2805" s="3">
        <v>2.7</v>
      </c>
      <c r="S2805" s="3">
        <f>VLOOKUP(C2805,[1]page!$C$2:$M$3071,11,0)</f>
        <v>6.98</v>
      </c>
      <c r="T2805" s="6">
        <f t="shared" si="62"/>
        <v>0</v>
      </c>
    </row>
    <row r="2806" spans="1:20" x14ac:dyDescent="0.2">
      <c r="A2806" t="s">
        <v>8904</v>
      </c>
      <c r="B2806" t="s">
        <v>9137</v>
      </c>
      <c r="C2806" t="s">
        <v>9138</v>
      </c>
      <c r="D2806" t="s">
        <v>9139</v>
      </c>
      <c r="E2806" t="s">
        <v>9132</v>
      </c>
      <c r="F2806" t="s">
        <v>2097</v>
      </c>
      <c r="G2806" s="1">
        <v>12</v>
      </c>
      <c r="H2806" s="1">
        <v>20</v>
      </c>
      <c r="I2806" t="s">
        <v>9136</v>
      </c>
      <c r="L2806" s="1">
        <v>1</v>
      </c>
      <c r="M2806" s="3">
        <v>6.98</v>
      </c>
      <c r="N2806" s="3">
        <v>0.35</v>
      </c>
      <c r="O2806" s="3">
        <v>0</v>
      </c>
      <c r="P2806" s="3">
        <v>0.2</v>
      </c>
      <c r="Q2806" s="3">
        <v>7.53</v>
      </c>
      <c r="R2806" s="3">
        <v>2.7</v>
      </c>
      <c r="S2806" s="3">
        <f>VLOOKUP(C2806,[1]page!$C$2:$M$3071,11,0)</f>
        <v>6.98</v>
      </c>
      <c r="T2806" s="6">
        <f t="shared" si="62"/>
        <v>0</v>
      </c>
    </row>
    <row r="2807" spans="1:20" x14ac:dyDescent="0.2">
      <c r="A2807" t="s">
        <v>8904</v>
      </c>
      <c r="B2807" t="s">
        <v>9140</v>
      </c>
      <c r="C2807" t="s">
        <v>9141</v>
      </c>
      <c r="D2807" t="s">
        <v>9142</v>
      </c>
      <c r="E2807" t="s">
        <v>9132</v>
      </c>
      <c r="F2807" t="s">
        <v>2097</v>
      </c>
      <c r="G2807" s="1">
        <v>12</v>
      </c>
      <c r="H2807" s="1">
        <v>20</v>
      </c>
      <c r="I2807" t="s">
        <v>9136</v>
      </c>
      <c r="L2807" s="1">
        <v>1</v>
      </c>
      <c r="M2807" s="3">
        <v>6.98</v>
      </c>
      <c r="N2807" s="3">
        <v>0.35</v>
      </c>
      <c r="O2807" s="3">
        <v>0</v>
      </c>
      <c r="P2807" s="3">
        <v>0.2</v>
      </c>
      <c r="Q2807" s="3">
        <v>7.53</v>
      </c>
      <c r="R2807" s="3">
        <v>2.7</v>
      </c>
      <c r="S2807" s="3">
        <f>VLOOKUP(C2807,[1]page!$C$2:$M$3071,11,0)</f>
        <v>6.98</v>
      </c>
      <c r="T2807" s="6">
        <f t="shared" si="62"/>
        <v>0</v>
      </c>
    </row>
    <row r="2808" spans="1:20" x14ac:dyDescent="0.2">
      <c r="A2808" t="s">
        <v>8904</v>
      </c>
      <c r="B2808" t="s">
        <v>9143</v>
      </c>
      <c r="C2808" t="s">
        <v>9144</v>
      </c>
      <c r="D2808" t="s">
        <v>9145</v>
      </c>
      <c r="E2808" t="s">
        <v>9132</v>
      </c>
      <c r="F2808" t="s">
        <v>2097</v>
      </c>
      <c r="G2808" s="1">
        <v>12</v>
      </c>
      <c r="H2808" s="1">
        <v>20</v>
      </c>
      <c r="I2808" t="s">
        <v>9136</v>
      </c>
      <c r="L2808" s="1">
        <v>1</v>
      </c>
      <c r="M2808" s="3">
        <v>6.98</v>
      </c>
      <c r="N2808" s="3">
        <v>0.35</v>
      </c>
      <c r="O2808" s="3">
        <v>0</v>
      </c>
      <c r="P2808" s="3">
        <v>0.2</v>
      </c>
      <c r="Q2808" s="3">
        <v>7.53</v>
      </c>
      <c r="R2808" s="3">
        <v>2.7</v>
      </c>
      <c r="S2808" s="3">
        <f>VLOOKUP(C2808,[1]page!$C$2:$M$3071,11,0)</f>
        <v>6.98</v>
      </c>
      <c r="T2808" s="6">
        <f t="shared" si="62"/>
        <v>0</v>
      </c>
    </row>
    <row r="2809" spans="1:20" x14ac:dyDescent="0.2">
      <c r="A2809" t="s">
        <v>8904</v>
      </c>
      <c r="B2809" t="s">
        <v>9146</v>
      </c>
      <c r="C2809" t="s">
        <v>9147</v>
      </c>
      <c r="D2809" t="s">
        <v>9148</v>
      </c>
      <c r="E2809" t="s">
        <v>9132</v>
      </c>
      <c r="F2809" t="s">
        <v>2097</v>
      </c>
      <c r="G2809" s="1">
        <v>12</v>
      </c>
      <c r="H2809" s="1">
        <v>20</v>
      </c>
      <c r="I2809" t="s">
        <v>2802</v>
      </c>
      <c r="L2809" s="1">
        <v>1</v>
      </c>
      <c r="M2809" s="3">
        <v>7.01</v>
      </c>
      <c r="N2809" s="3">
        <v>0.35</v>
      </c>
      <c r="O2809" s="3">
        <v>0</v>
      </c>
      <c r="P2809" s="3">
        <v>0.2</v>
      </c>
      <c r="Q2809" s="3">
        <v>7.56</v>
      </c>
      <c r="R2809" s="3">
        <v>2.7</v>
      </c>
      <c r="S2809" s="3">
        <f>VLOOKUP(C2809,[1]page!$C$2:$M$3071,11,0)</f>
        <v>7.01</v>
      </c>
      <c r="T2809" s="6">
        <f t="shared" si="62"/>
        <v>0</v>
      </c>
    </row>
    <row r="2810" spans="1:20" x14ac:dyDescent="0.2">
      <c r="A2810" t="s">
        <v>8904</v>
      </c>
      <c r="B2810" t="s">
        <v>9149</v>
      </c>
      <c r="C2810" t="s">
        <v>9150</v>
      </c>
      <c r="D2810" t="s">
        <v>9151</v>
      </c>
      <c r="E2810" t="s">
        <v>9152</v>
      </c>
      <c r="F2810" t="s">
        <v>1041</v>
      </c>
      <c r="G2810" s="1">
        <v>5</v>
      </c>
      <c r="H2810" s="1">
        <v>6</v>
      </c>
      <c r="I2810" t="s">
        <v>9153</v>
      </c>
      <c r="L2810" s="1">
        <v>4</v>
      </c>
      <c r="M2810" s="3">
        <v>13.99</v>
      </c>
      <c r="N2810" s="3">
        <v>0.7</v>
      </c>
      <c r="O2810" s="3">
        <v>0</v>
      </c>
      <c r="P2810" s="3">
        <v>0.4</v>
      </c>
      <c r="Q2810" s="3">
        <v>15.09</v>
      </c>
      <c r="R2810" s="3">
        <v>6.35</v>
      </c>
      <c r="S2810" s="3">
        <f>VLOOKUP(C2810,[1]page!$C$2:$M$3071,11,0)</f>
        <v>13.99</v>
      </c>
      <c r="T2810" s="6">
        <f t="shared" si="62"/>
        <v>0</v>
      </c>
    </row>
    <row r="2811" spans="1:20" x14ac:dyDescent="0.2">
      <c r="A2811" t="s">
        <v>8904</v>
      </c>
      <c r="B2811" t="s">
        <v>9154</v>
      </c>
      <c r="C2811" t="s">
        <v>9155</v>
      </c>
      <c r="D2811" t="s">
        <v>9156</v>
      </c>
      <c r="E2811" t="s">
        <v>9152</v>
      </c>
      <c r="F2811" t="s">
        <v>1041</v>
      </c>
      <c r="G2811" s="1">
        <v>5</v>
      </c>
      <c r="H2811" s="1">
        <v>6</v>
      </c>
      <c r="I2811" t="s">
        <v>9153</v>
      </c>
      <c r="L2811" s="1">
        <v>4</v>
      </c>
      <c r="M2811" s="3">
        <v>13.99</v>
      </c>
      <c r="N2811" s="3">
        <v>0.7</v>
      </c>
      <c r="O2811" s="3">
        <v>0</v>
      </c>
      <c r="P2811" s="3">
        <v>0.4</v>
      </c>
      <c r="Q2811" s="3">
        <v>15.09</v>
      </c>
      <c r="R2811" s="3">
        <v>6.35</v>
      </c>
      <c r="S2811" s="3">
        <f>VLOOKUP(C2811,[1]page!$C$2:$M$3071,11,0)</f>
        <v>13.99</v>
      </c>
      <c r="T2811" s="6">
        <f t="shared" si="62"/>
        <v>0</v>
      </c>
    </row>
    <row r="2812" spans="1:20" x14ac:dyDescent="0.2">
      <c r="A2812" t="s">
        <v>8904</v>
      </c>
      <c r="B2812" t="s">
        <v>9157</v>
      </c>
      <c r="C2812" t="s">
        <v>9158</v>
      </c>
      <c r="D2812" t="s">
        <v>9159</v>
      </c>
      <c r="E2812" t="s">
        <v>9160</v>
      </c>
      <c r="F2812" t="s">
        <v>1041</v>
      </c>
      <c r="G2812" s="1">
        <v>5</v>
      </c>
      <c r="H2812" s="1">
        <v>6</v>
      </c>
      <c r="I2812" t="s">
        <v>2759</v>
      </c>
      <c r="L2812" s="1">
        <v>4</v>
      </c>
      <c r="M2812" s="3">
        <v>12.34</v>
      </c>
      <c r="N2812" s="3">
        <v>0.62</v>
      </c>
      <c r="O2812" s="3">
        <v>0</v>
      </c>
      <c r="P2812" s="3">
        <v>0.4</v>
      </c>
      <c r="Q2812" s="3">
        <v>13.36</v>
      </c>
      <c r="R2812" s="3">
        <v>6.35</v>
      </c>
      <c r="S2812" s="3">
        <f>VLOOKUP(C2812,[1]page!$C$2:$M$3071,11,0)</f>
        <v>12.32</v>
      </c>
      <c r="T2812" s="6">
        <f t="shared" si="62"/>
        <v>1.9999999999999574E-2</v>
      </c>
    </row>
    <row r="2813" spans="1:20" x14ac:dyDescent="0.2">
      <c r="A2813" t="s">
        <v>8904</v>
      </c>
      <c r="B2813" t="s">
        <v>9161</v>
      </c>
      <c r="C2813" t="s">
        <v>9162</v>
      </c>
      <c r="D2813" t="s">
        <v>9163</v>
      </c>
      <c r="E2813" t="s">
        <v>9160</v>
      </c>
      <c r="F2813" t="s">
        <v>1041</v>
      </c>
      <c r="G2813" s="1">
        <v>5</v>
      </c>
      <c r="H2813" s="1">
        <v>6</v>
      </c>
      <c r="I2813" t="s">
        <v>2759</v>
      </c>
      <c r="L2813" s="1">
        <v>4</v>
      </c>
      <c r="M2813" s="3">
        <v>12.34</v>
      </c>
      <c r="N2813" s="3">
        <v>0.62</v>
      </c>
      <c r="O2813" s="3">
        <v>0</v>
      </c>
      <c r="P2813" s="3">
        <v>0.4</v>
      </c>
      <c r="Q2813" s="3">
        <v>13.36</v>
      </c>
      <c r="R2813" s="3">
        <v>6.35</v>
      </c>
      <c r="S2813" s="3">
        <f>VLOOKUP(C2813,[1]page!$C$2:$M$3071,11,0)</f>
        <v>12.32</v>
      </c>
      <c r="T2813" s="6">
        <f t="shared" si="62"/>
        <v>1.9999999999999574E-2</v>
      </c>
    </row>
    <row r="2814" spans="1:20" x14ac:dyDescent="0.2">
      <c r="A2814" t="s">
        <v>8904</v>
      </c>
      <c r="B2814" t="s">
        <v>9164</v>
      </c>
      <c r="C2814" t="s">
        <v>9165</v>
      </c>
      <c r="D2814" t="s">
        <v>9166</v>
      </c>
      <c r="E2814" t="s">
        <v>9160</v>
      </c>
      <c r="F2814" t="s">
        <v>1041</v>
      </c>
      <c r="G2814" s="1">
        <v>5</v>
      </c>
      <c r="H2814" s="1">
        <v>6</v>
      </c>
      <c r="I2814" t="s">
        <v>2759</v>
      </c>
      <c r="L2814" s="1">
        <v>4</v>
      </c>
      <c r="M2814" s="3">
        <v>12.34</v>
      </c>
      <c r="N2814" s="3">
        <v>0.62</v>
      </c>
      <c r="O2814" s="3">
        <v>0</v>
      </c>
      <c r="P2814" s="3">
        <v>0.4</v>
      </c>
      <c r="Q2814" s="3">
        <v>13.36</v>
      </c>
      <c r="R2814" s="3">
        <v>6.35</v>
      </c>
      <c r="S2814" s="3">
        <f>VLOOKUP(C2814,[1]page!$C$2:$M$3071,11,0)</f>
        <v>12.32</v>
      </c>
      <c r="T2814" s="6">
        <f t="shared" si="62"/>
        <v>1.9999999999999574E-2</v>
      </c>
    </row>
    <row r="2815" spans="1:20" x14ac:dyDescent="0.2">
      <c r="A2815" t="s">
        <v>8904</v>
      </c>
      <c r="B2815" t="s">
        <v>9167</v>
      </c>
      <c r="C2815" t="s">
        <v>9168</v>
      </c>
      <c r="D2815" t="s">
        <v>9169</v>
      </c>
      <c r="E2815" t="s">
        <v>9160</v>
      </c>
      <c r="F2815" t="s">
        <v>1041</v>
      </c>
      <c r="G2815" s="1">
        <v>5</v>
      </c>
      <c r="H2815" s="1">
        <v>6</v>
      </c>
      <c r="I2815" t="s">
        <v>2759</v>
      </c>
      <c r="L2815" s="1">
        <v>4</v>
      </c>
      <c r="M2815" s="3">
        <v>12.34</v>
      </c>
      <c r="N2815" s="3">
        <v>0.62</v>
      </c>
      <c r="O2815" s="3">
        <v>0</v>
      </c>
      <c r="P2815" s="3">
        <v>0.4</v>
      </c>
      <c r="Q2815" s="3">
        <v>13.36</v>
      </c>
      <c r="R2815" s="3">
        <v>6.35</v>
      </c>
      <c r="S2815" s="3">
        <f>VLOOKUP(C2815,[1]page!$C$2:$M$3071,11,0)</f>
        <v>12.32</v>
      </c>
      <c r="T2815" s="6">
        <f t="shared" si="62"/>
        <v>1.9999999999999574E-2</v>
      </c>
    </row>
    <row r="2816" spans="1:20" x14ac:dyDescent="0.2">
      <c r="A2816" t="s">
        <v>8904</v>
      </c>
      <c r="B2816" t="s">
        <v>9170</v>
      </c>
      <c r="C2816" t="s">
        <v>9171</v>
      </c>
      <c r="D2816" t="s">
        <v>9172</v>
      </c>
      <c r="E2816" t="s">
        <v>9160</v>
      </c>
      <c r="F2816" t="s">
        <v>1041</v>
      </c>
      <c r="G2816" s="1">
        <v>5</v>
      </c>
      <c r="H2816" s="1">
        <v>6</v>
      </c>
      <c r="I2816" t="s">
        <v>2759</v>
      </c>
      <c r="L2816" s="1">
        <v>4</v>
      </c>
      <c r="M2816" s="3">
        <v>12.34</v>
      </c>
      <c r="N2816" s="3">
        <v>0.62</v>
      </c>
      <c r="O2816" s="3">
        <v>0</v>
      </c>
      <c r="P2816" s="3">
        <v>0.4</v>
      </c>
      <c r="Q2816" s="3">
        <v>13.36</v>
      </c>
      <c r="R2816" s="3">
        <v>6.35</v>
      </c>
      <c r="S2816" s="3">
        <f>VLOOKUP(C2816,[1]page!$C$2:$M$3071,11,0)</f>
        <v>12.32</v>
      </c>
      <c r="T2816" s="6">
        <f t="shared" si="62"/>
        <v>1.9999999999999574E-2</v>
      </c>
    </row>
    <row r="2817" spans="1:20" x14ac:dyDescent="0.2">
      <c r="A2817" t="s">
        <v>8904</v>
      </c>
      <c r="B2817" t="s">
        <v>9173</v>
      </c>
      <c r="C2817" t="s">
        <v>9174</v>
      </c>
      <c r="D2817" t="s">
        <v>9175</v>
      </c>
      <c r="E2817" t="s">
        <v>9128</v>
      </c>
      <c r="F2817" t="s">
        <v>2835</v>
      </c>
      <c r="G2817" s="1">
        <v>5</v>
      </c>
      <c r="H2817" s="1">
        <v>4</v>
      </c>
      <c r="I2817" t="s">
        <v>8920</v>
      </c>
      <c r="L2817" s="1">
        <v>1</v>
      </c>
      <c r="M2817" s="3">
        <v>21.56</v>
      </c>
      <c r="N2817" s="3">
        <v>1.08</v>
      </c>
      <c r="O2817" s="3">
        <v>0</v>
      </c>
      <c r="P2817" s="3">
        <v>0</v>
      </c>
      <c r="Q2817" s="3">
        <v>22.64</v>
      </c>
      <c r="R2817" s="3">
        <v>17.75</v>
      </c>
      <c r="S2817" s="3">
        <f>VLOOKUP(C2817,[1]page!$C$2:$M$3071,11,0)</f>
        <v>21.5</v>
      </c>
      <c r="T2817" s="6">
        <f t="shared" si="62"/>
        <v>5.9999999999998721E-2</v>
      </c>
    </row>
    <row r="2818" spans="1:20" x14ac:dyDescent="0.2">
      <c r="A2818" t="s">
        <v>8904</v>
      </c>
      <c r="B2818" t="s">
        <v>9176</v>
      </c>
      <c r="C2818" t="s">
        <v>9177</v>
      </c>
      <c r="D2818" t="s">
        <v>9178</v>
      </c>
      <c r="E2818" t="s">
        <v>9128</v>
      </c>
      <c r="F2818" t="s">
        <v>5861</v>
      </c>
      <c r="G2818" s="1">
        <v>5</v>
      </c>
      <c r="H2818" s="1">
        <v>2</v>
      </c>
      <c r="I2818" t="s">
        <v>8920</v>
      </c>
      <c r="L2818" s="1">
        <v>12</v>
      </c>
      <c r="M2818" s="3">
        <v>27.32</v>
      </c>
      <c r="N2818" s="3">
        <v>1.37</v>
      </c>
      <c r="O2818" s="3">
        <v>0</v>
      </c>
      <c r="P2818" s="3">
        <v>1.2</v>
      </c>
      <c r="Q2818" s="3">
        <v>29.89</v>
      </c>
      <c r="R2818" s="3">
        <f t="shared" ref="R2818" si="65">SUM(F2818*0.0043)</f>
        <v>18.318000000000001</v>
      </c>
      <c r="S2818" s="3">
        <f>VLOOKUP(C2818,[1]page!$C$2:$M$3071,11,0)</f>
        <v>27.27</v>
      </c>
      <c r="T2818" s="6">
        <f t="shared" si="62"/>
        <v>5.0000000000000711E-2</v>
      </c>
    </row>
    <row r="2819" spans="1:20" x14ac:dyDescent="0.2">
      <c r="A2819" t="s">
        <v>8904</v>
      </c>
      <c r="B2819" t="s">
        <v>9179</v>
      </c>
      <c r="C2819" t="s">
        <v>9180</v>
      </c>
      <c r="D2819" t="s">
        <v>9181</v>
      </c>
      <c r="E2819" t="s">
        <v>9128</v>
      </c>
      <c r="F2819" t="s">
        <v>2835</v>
      </c>
      <c r="G2819" s="1">
        <v>5</v>
      </c>
      <c r="H2819" s="1">
        <v>4</v>
      </c>
      <c r="I2819" t="s">
        <v>8920</v>
      </c>
      <c r="L2819" s="1">
        <v>1</v>
      </c>
      <c r="M2819" s="3">
        <v>21.56</v>
      </c>
      <c r="N2819" s="3">
        <v>1.08</v>
      </c>
      <c r="O2819" s="3">
        <v>0</v>
      </c>
      <c r="P2819" s="3">
        <v>0</v>
      </c>
      <c r="Q2819" s="3">
        <v>22.64</v>
      </c>
      <c r="R2819" s="3">
        <v>17.75</v>
      </c>
      <c r="S2819" s="3">
        <f>VLOOKUP(C2819,[1]page!$C$2:$M$3071,11,0)</f>
        <v>21.5</v>
      </c>
      <c r="T2819" s="6">
        <f t="shared" si="62"/>
        <v>5.9999999999998721E-2</v>
      </c>
    </row>
    <row r="2820" spans="1:20" x14ac:dyDescent="0.2">
      <c r="A2820" t="s">
        <v>8904</v>
      </c>
      <c r="B2820" t="s">
        <v>9182</v>
      </c>
      <c r="C2820" t="s">
        <v>9183</v>
      </c>
      <c r="D2820" t="s">
        <v>9184</v>
      </c>
      <c r="E2820" t="s">
        <v>9128</v>
      </c>
      <c r="F2820" t="s">
        <v>3080</v>
      </c>
      <c r="G2820" s="1">
        <v>5</v>
      </c>
      <c r="H2820" s="1">
        <v>5</v>
      </c>
      <c r="I2820" t="s">
        <v>8920</v>
      </c>
      <c r="L2820" s="1">
        <v>1</v>
      </c>
      <c r="M2820" s="3">
        <v>14.89</v>
      </c>
      <c r="N2820" s="3">
        <v>0.74</v>
      </c>
      <c r="O2820" s="3">
        <v>0</v>
      </c>
      <c r="P2820" s="3">
        <v>0</v>
      </c>
      <c r="Q2820" s="3">
        <v>15.63</v>
      </c>
      <c r="R2820" s="3">
        <v>8.9499999999999993</v>
      </c>
      <c r="S2820" s="3">
        <f>VLOOKUP(C2820,[1]page!$C$2:$M$3071,11,0)</f>
        <v>14.87</v>
      </c>
      <c r="T2820" s="6">
        <f t="shared" si="62"/>
        <v>2.000000000000135E-2</v>
      </c>
    </row>
    <row r="2821" spans="1:20" x14ac:dyDescent="0.2">
      <c r="A2821" t="s">
        <v>8904</v>
      </c>
      <c r="B2821" t="s">
        <v>9185</v>
      </c>
      <c r="C2821" t="s">
        <v>9186</v>
      </c>
      <c r="D2821" t="s">
        <v>9187</v>
      </c>
      <c r="E2821" t="s">
        <v>9128</v>
      </c>
      <c r="F2821" t="s">
        <v>5861</v>
      </c>
      <c r="G2821" s="1">
        <v>5</v>
      </c>
      <c r="H2821" s="1">
        <v>2</v>
      </c>
      <c r="I2821" t="s">
        <v>8920</v>
      </c>
      <c r="L2821" s="1">
        <v>12</v>
      </c>
      <c r="M2821" s="3">
        <v>27.85</v>
      </c>
      <c r="N2821" s="3">
        <v>1.39</v>
      </c>
      <c r="O2821" s="3">
        <v>0</v>
      </c>
      <c r="P2821" s="3">
        <v>1.2</v>
      </c>
      <c r="Q2821" s="3">
        <v>30.44</v>
      </c>
      <c r="R2821" s="3">
        <f t="shared" ref="R2821:R2823" si="66">SUM(F2821*0.0043)</f>
        <v>18.318000000000001</v>
      </c>
      <c r="S2821" s="3">
        <f>VLOOKUP(C2821,[1]page!$C$2:$M$3071,11,0)</f>
        <v>27.79</v>
      </c>
      <c r="T2821" s="6">
        <f t="shared" si="62"/>
        <v>6.0000000000002274E-2</v>
      </c>
    </row>
    <row r="2822" spans="1:20" x14ac:dyDescent="0.2">
      <c r="A2822" t="s">
        <v>8904</v>
      </c>
      <c r="B2822" t="s">
        <v>9188</v>
      </c>
      <c r="C2822" t="s">
        <v>9189</v>
      </c>
      <c r="D2822" t="s">
        <v>9190</v>
      </c>
      <c r="E2822" t="s">
        <v>9191</v>
      </c>
      <c r="F2822" t="s">
        <v>5861</v>
      </c>
      <c r="G2822" s="1">
        <v>5</v>
      </c>
      <c r="H2822" s="1">
        <v>2</v>
      </c>
      <c r="I2822" t="s">
        <v>8920</v>
      </c>
      <c r="L2822" s="1">
        <v>12</v>
      </c>
      <c r="M2822" s="3">
        <v>26.33</v>
      </c>
      <c r="N2822" s="3">
        <v>1.32</v>
      </c>
      <c r="O2822" s="3">
        <v>0</v>
      </c>
      <c r="P2822" s="3">
        <v>1.2</v>
      </c>
      <c r="Q2822" s="3">
        <v>28.85</v>
      </c>
      <c r="R2822" s="3">
        <f t="shared" si="66"/>
        <v>18.318000000000001</v>
      </c>
      <c r="S2822" s="3">
        <f>VLOOKUP(C2822,[1]page!$C$2:$M$3071,11,0)</f>
        <v>26.27</v>
      </c>
      <c r="T2822" s="6">
        <f t="shared" si="62"/>
        <v>5.9999999999998721E-2</v>
      </c>
    </row>
    <row r="2823" spans="1:20" x14ac:dyDescent="0.2">
      <c r="A2823" t="s">
        <v>8904</v>
      </c>
      <c r="B2823" t="s">
        <v>9192</v>
      </c>
      <c r="C2823" t="s">
        <v>9193</v>
      </c>
      <c r="D2823" t="s">
        <v>9194</v>
      </c>
      <c r="E2823" t="s">
        <v>9128</v>
      </c>
      <c r="F2823" t="s">
        <v>5861</v>
      </c>
      <c r="G2823" s="1">
        <v>5</v>
      </c>
      <c r="H2823" s="1">
        <v>2</v>
      </c>
      <c r="I2823" t="s">
        <v>8920</v>
      </c>
      <c r="L2823" s="1">
        <v>12</v>
      </c>
      <c r="M2823" s="3">
        <v>26.33</v>
      </c>
      <c r="N2823" s="3">
        <v>1.32</v>
      </c>
      <c r="O2823" s="3">
        <v>0</v>
      </c>
      <c r="P2823" s="3">
        <v>1.2</v>
      </c>
      <c r="Q2823" s="3">
        <v>28.85</v>
      </c>
      <c r="R2823" s="3">
        <f t="shared" si="66"/>
        <v>18.318000000000001</v>
      </c>
      <c r="S2823" s="3">
        <f>VLOOKUP(C2823,[1]page!$C$2:$M$3071,11,0)</f>
        <v>26.27</v>
      </c>
      <c r="T2823" s="6">
        <f t="shared" si="62"/>
        <v>5.9999999999998721E-2</v>
      </c>
    </row>
    <row r="2824" spans="1:20" x14ac:dyDescent="0.2">
      <c r="A2824" t="s">
        <v>8904</v>
      </c>
      <c r="B2824" t="s">
        <v>9195</v>
      </c>
      <c r="C2824" t="s">
        <v>9196</v>
      </c>
      <c r="D2824" t="s">
        <v>9197</v>
      </c>
      <c r="E2824" t="s">
        <v>9128</v>
      </c>
      <c r="F2824" t="s">
        <v>5855</v>
      </c>
      <c r="G2824" s="1">
        <v>5</v>
      </c>
      <c r="H2824" s="1">
        <v>24</v>
      </c>
      <c r="I2824" t="s">
        <v>8920</v>
      </c>
      <c r="L2824" s="1">
        <v>1</v>
      </c>
      <c r="M2824" s="3">
        <v>3.12</v>
      </c>
      <c r="N2824" s="3">
        <v>0.16</v>
      </c>
      <c r="O2824" s="3">
        <v>0</v>
      </c>
      <c r="P2824" s="3">
        <v>0.1</v>
      </c>
      <c r="Q2824" s="3">
        <v>3.38</v>
      </c>
      <c r="R2824" s="3">
        <v>2.2999999999999998</v>
      </c>
      <c r="S2824" s="3">
        <f>VLOOKUP(C2824,[1]page!$C$2:$M$3071,11,0)</f>
        <v>3.11</v>
      </c>
      <c r="T2824" s="6">
        <f t="shared" si="62"/>
        <v>1.0000000000000231E-2</v>
      </c>
    </row>
    <row r="2825" spans="1:20" x14ac:dyDescent="0.2">
      <c r="A2825" t="s">
        <v>8904</v>
      </c>
      <c r="B2825" t="s">
        <v>9198</v>
      </c>
      <c r="C2825" t="s">
        <v>9199</v>
      </c>
      <c r="D2825" t="s">
        <v>9200</v>
      </c>
      <c r="E2825" t="s">
        <v>9128</v>
      </c>
      <c r="F2825" t="s">
        <v>7091</v>
      </c>
      <c r="G2825" s="1">
        <v>7</v>
      </c>
      <c r="H2825" s="1">
        <v>3</v>
      </c>
      <c r="I2825" t="s">
        <v>8920</v>
      </c>
      <c r="L2825" s="1">
        <v>8</v>
      </c>
      <c r="M2825" s="3">
        <v>20.48</v>
      </c>
      <c r="N2825" s="3">
        <v>1.02</v>
      </c>
      <c r="O2825" s="3">
        <v>0</v>
      </c>
      <c r="P2825" s="3">
        <v>0.8</v>
      </c>
      <c r="Q2825" s="3">
        <v>22.3</v>
      </c>
      <c r="R2825" s="3">
        <v>20.25</v>
      </c>
      <c r="S2825" s="3">
        <f>VLOOKUP(C2825,[1]page!$C$2:$M$3071,11,0)</f>
        <v>20.440000000000001</v>
      </c>
      <c r="T2825" s="6">
        <f t="shared" si="62"/>
        <v>3.9999999999999147E-2</v>
      </c>
    </row>
    <row r="2826" spans="1:20" x14ac:dyDescent="0.2">
      <c r="A2826" t="s">
        <v>8904</v>
      </c>
      <c r="B2826" t="s">
        <v>9201</v>
      </c>
      <c r="C2826" t="s">
        <v>9202</v>
      </c>
      <c r="D2826" t="s">
        <v>9203</v>
      </c>
      <c r="E2826" t="s">
        <v>9128</v>
      </c>
      <c r="F2826" t="s">
        <v>5861</v>
      </c>
      <c r="G2826" s="1">
        <v>5</v>
      </c>
      <c r="H2826" s="1">
        <v>1</v>
      </c>
      <c r="I2826" t="s">
        <v>39</v>
      </c>
      <c r="L2826" s="1">
        <v>12</v>
      </c>
      <c r="M2826" s="3">
        <v>26.33</v>
      </c>
      <c r="N2826" s="3">
        <v>1.32</v>
      </c>
      <c r="O2826" s="3">
        <v>0</v>
      </c>
      <c r="P2826" s="3">
        <v>1.2</v>
      </c>
      <c r="Q2826" s="3">
        <v>28.85</v>
      </c>
      <c r="R2826" s="3">
        <f t="shared" ref="R2826:R2827" si="67">SUM(F2826*0.0043)</f>
        <v>18.318000000000001</v>
      </c>
      <c r="S2826" s="3">
        <f>VLOOKUP(C2826,[1]page!$C$2:$M$3071,11,0)</f>
        <v>26.27</v>
      </c>
      <c r="T2826" s="6">
        <f t="shared" si="62"/>
        <v>5.9999999999998721E-2</v>
      </c>
    </row>
    <row r="2827" spans="1:20" x14ac:dyDescent="0.2">
      <c r="A2827" t="s">
        <v>8904</v>
      </c>
      <c r="B2827" t="s">
        <v>9204</v>
      </c>
      <c r="C2827" t="s">
        <v>9205</v>
      </c>
      <c r="D2827" t="s">
        <v>9206</v>
      </c>
      <c r="E2827" t="s">
        <v>9191</v>
      </c>
      <c r="F2827" t="s">
        <v>5861</v>
      </c>
      <c r="G2827" s="1">
        <v>5</v>
      </c>
      <c r="H2827" s="1">
        <v>2</v>
      </c>
      <c r="I2827" t="s">
        <v>8920</v>
      </c>
      <c r="L2827" s="1">
        <v>12</v>
      </c>
      <c r="M2827" s="3">
        <v>26.33</v>
      </c>
      <c r="N2827" s="3">
        <v>1.32</v>
      </c>
      <c r="O2827" s="3">
        <v>0</v>
      </c>
      <c r="P2827" s="3">
        <v>1.2</v>
      </c>
      <c r="Q2827" s="3">
        <v>28.85</v>
      </c>
      <c r="R2827" s="3">
        <f t="shared" si="67"/>
        <v>18.318000000000001</v>
      </c>
      <c r="S2827" s="3">
        <f>VLOOKUP(C2827,[1]page!$C$2:$M$3071,11,0)</f>
        <v>26.27</v>
      </c>
      <c r="T2827" s="6">
        <f t="shared" si="62"/>
        <v>5.9999999999998721E-2</v>
      </c>
    </row>
    <row r="2828" spans="1:20" x14ac:dyDescent="0.2">
      <c r="A2828" t="s">
        <v>8904</v>
      </c>
      <c r="B2828" t="s">
        <v>9207</v>
      </c>
      <c r="C2828" t="s">
        <v>9208</v>
      </c>
      <c r="D2828" t="s">
        <v>9209</v>
      </c>
      <c r="E2828" t="s">
        <v>9191</v>
      </c>
      <c r="F2828" t="s">
        <v>2835</v>
      </c>
      <c r="G2828" s="1">
        <v>5</v>
      </c>
      <c r="H2828" s="1">
        <v>4</v>
      </c>
      <c r="I2828" t="s">
        <v>8920</v>
      </c>
      <c r="L2828" s="1">
        <v>1</v>
      </c>
      <c r="M2828" s="3">
        <v>21.63</v>
      </c>
      <c r="N2828" s="3">
        <v>1.08</v>
      </c>
      <c r="O2828" s="3">
        <v>0</v>
      </c>
      <c r="P2828" s="3">
        <v>0</v>
      </c>
      <c r="Q2828" s="3">
        <v>22.71</v>
      </c>
      <c r="R2828" s="3">
        <v>17.75</v>
      </c>
      <c r="S2828" s="3">
        <f>VLOOKUP(C2828,[1]page!$C$2:$M$3071,11,0)</f>
        <v>21.57</v>
      </c>
      <c r="T2828" s="6">
        <f t="shared" si="62"/>
        <v>5.9999999999998721E-2</v>
      </c>
    </row>
    <row r="2829" spans="1:20" x14ac:dyDescent="0.2">
      <c r="A2829" t="s">
        <v>8904</v>
      </c>
      <c r="B2829" t="s">
        <v>9210</v>
      </c>
      <c r="C2829" t="s">
        <v>9211</v>
      </c>
      <c r="D2829" t="s">
        <v>9212</v>
      </c>
      <c r="E2829" t="s">
        <v>9213</v>
      </c>
      <c r="F2829" t="s">
        <v>5855</v>
      </c>
      <c r="G2829" s="1">
        <v>5</v>
      </c>
      <c r="H2829" s="1">
        <v>24</v>
      </c>
      <c r="I2829" t="s">
        <v>9214</v>
      </c>
      <c r="L2829" s="1">
        <v>1</v>
      </c>
      <c r="M2829" s="3">
        <v>3.55</v>
      </c>
      <c r="N2829" s="3">
        <v>0.18</v>
      </c>
      <c r="O2829" s="3">
        <v>0</v>
      </c>
      <c r="P2829" s="3">
        <v>0.1</v>
      </c>
      <c r="Q2829" s="3">
        <v>3.83</v>
      </c>
      <c r="R2829" s="3">
        <v>2.2999999999999998</v>
      </c>
      <c r="S2829" s="3">
        <f>VLOOKUP(C2829,[1]page!$C$2:$M$3071,11,0)</f>
        <v>3.55</v>
      </c>
      <c r="T2829" s="6">
        <f t="shared" si="62"/>
        <v>0</v>
      </c>
    </row>
    <row r="2830" spans="1:20" x14ac:dyDescent="0.2">
      <c r="A2830" t="s">
        <v>8904</v>
      </c>
      <c r="B2830" t="s">
        <v>9215</v>
      </c>
      <c r="C2830" t="s">
        <v>9216</v>
      </c>
      <c r="D2830" t="s">
        <v>9217</v>
      </c>
      <c r="E2830" t="s">
        <v>9213</v>
      </c>
      <c r="F2830" t="s">
        <v>5855</v>
      </c>
      <c r="G2830" s="1">
        <v>5</v>
      </c>
      <c r="H2830" s="1">
        <v>24</v>
      </c>
      <c r="I2830" t="s">
        <v>9214</v>
      </c>
      <c r="L2830" s="1">
        <v>1</v>
      </c>
      <c r="M2830" s="3">
        <v>3.55</v>
      </c>
      <c r="N2830" s="3">
        <v>0.18</v>
      </c>
      <c r="O2830" s="3">
        <v>0</v>
      </c>
      <c r="P2830" s="3">
        <v>0.1</v>
      </c>
      <c r="Q2830" s="3">
        <v>3.83</v>
      </c>
      <c r="R2830" s="3">
        <v>2.2999999999999998</v>
      </c>
      <c r="S2830" s="3">
        <f>VLOOKUP(C2830,[1]page!$C$2:$M$3071,11,0)</f>
        <v>3.55</v>
      </c>
      <c r="T2830" s="6">
        <f t="shared" si="62"/>
        <v>0</v>
      </c>
    </row>
    <row r="2831" spans="1:20" x14ac:dyDescent="0.2">
      <c r="A2831" t="s">
        <v>8904</v>
      </c>
      <c r="B2831" t="s">
        <v>9218</v>
      </c>
      <c r="C2831" t="s">
        <v>9219</v>
      </c>
      <c r="D2831" t="s">
        <v>9220</v>
      </c>
      <c r="E2831" t="s">
        <v>9213</v>
      </c>
      <c r="F2831" t="s">
        <v>5855</v>
      </c>
      <c r="G2831" s="1">
        <v>5</v>
      </c>
      <c r="H2831" s="1">
        <v>24</v>
      </c>
      <c r="I2831" t="s">
        <v>9214</v>
      </c>
      <c r="L2831" s="1">
        <v>1</v>
      </c>
      <c r="M2831" s="3">
        <v>3.55</v>
      </c>
      <c r="N2831" s="3">
        <v>0.18</v>
      </c>
      <c r="O2831" s="3">
        <v>0</v>
      </c>
      <c r="P2831" s="3">
        <v>0.1</v>
      </c>
      <c r="Q2831" s="3">
        <v>3.83</v>
      </c>
      <c r="R2831" s="3">
        <v>2.2999999999999998</v>
      </c>
      <c r="S2831" s="3">
        <f>VLOOKUP(C2831,[1]page!$C$2:$M$3071,11,0)</f>
        <v>3.55</v>
      </c>
      <c r="T2831" s="6">
        <f t="shared" si="62"/>
        <v>0</v>
      </c>
    </row>
    <row r="2832" spans="1:20" x14ac:dyDescent="0.2">
      <c r="A2832" t="s">
        <v>8904</v>
      </c>
      <c r="B2832" t="s">
        <v>9221</v>
      </c>
      <c r="C2832" t="s">
        <v>9222</v>
      </c>
      <c r="D2832" t="s">
        <v>9223</v>
      </c>
      <c r="E2832" t="s">
        <v>9213</v>
      </c>
      <c r="F2832" t="s">
        <v>5855</v>
      </c>
      <c r="G2832" s="1">
        <v>5</v>
      </c>
      <c r="H2832" s="1">
        <v>24</v>
      </c>
      <c r="I2832" t="s">
        <v>9214</v>
      </c>
      <c r="L2832" s="1">
        <v>1</v>
      </c>
      <c r="M2832" s="3">
        <v>3.55</v>
      </c>
      <c r="N2832" s="3">
        <v>0.18</v>
      </c>
      <c r="O2832" s="3">
        <v>0</v>
      </c>
      <c r="P2832" s="3">
        <v>0.1</v>
      </c>
      <c r="Q2832" s="3">
        <v>3.83</v>
      </c>
      <c r="R2832" s="3">
        <v>2.2999999999999998</v>
      </c>
      <c r="S2832" s="3">
        <f>VLOOKUP(C2832,[1]page!$C$2:$M$3071,11,0)</f>
        <v>3.55</v>
      </c>
      <c r="T2832" s="6">
        <f t="shared" si="62"/>
        <v>0</v>
      </c>
    </row>
    <row r="2833" spans="1:20" x14ac:dyDescent="0.2">
      <c r="A2833" t="s">
        <v>8904</v>
      </c>
      <c r="B2833" t="s">
        <v>9224</v>
      </c>
      <c r="C2833" t="s">
        <v>9225</v>
      </c>
      <c r="D2833" t="s">
        <v>9226</v>
      </c>
      <c r="E2833" t="s">
        <v>96</v>
      </c>
      <c r="F2833" t="s">
        <v>1041</v>
      </c>
      <c r="G2833" s="1">
        <v>7</v>
      </c>
      <c r="H2833" s="1">
        <v>6</v>
      </c>
      <c r="I2833" t="s">
        <v>24</v>
      </c>
      <c r="L2833" s="1">
        <v>4</v>
      </c>
      <c r="M2833" s="3">
        <v>11.49</v>
      </c>
      <c r="N2833" s="3">
        <v>0.56999999999999995</v>
      </c>
      <c r="O2833" s="3">
        <v>0</v>
      </c>
      <c r="P2833" s="3">
        <v>0.4</v>
      </c>
      <c r="Q2833" s="3">
        <v>12.46</v>
      </c>
      <c r="R2833" s="3">
        <v>7.5</v>
      </c>
      <c r="S2833" s="3">
        <f>VLOOKUP(C2833,[1]page!$C$2:$M$3071,11,0)</f>
        <v>11.49</v>
      </c>
      <c r="T2833" s="6">
        <f t="shared" si="62"/>
        <v>0</v>
      </c>
    </row>
    <row r="2834" spans="1:20" x14ac:dyDescent="0.2">
      <c r="A2834" t="s">
        <v>8904</v>
      </c>
      <c r="B2834" t="s">
        <v>9227</v>
      </c>
      <c r="C2834" t="s">
        <v>9228</v>
      </c>
      <c r="D2834" t="s">
        <v>9229</v>
      </c>
      <c r="E2834" t="s">
        <v>96</v>
      </c>
      <c r="F2834" t="s">
        <v>5984</v>
      </c>
      <c r="G2834" s="1">
        <v>7</v>
      </c>
      <c r="H2834" s="1">
        <v>4</v>
      </c>
      <c r="I2834" t="s">
        <v>24</v>
      </c>
      <c r="L2834" s="1">
        <v>6</v>
      </c>
      <c r="M2834" s="3">
        <v>14.59</v>
      </c>
      <c r="N2834" s="3">
        <v>0.73</v>
      </c>
      <c r="O2834" s="3">
        <v>0</v>
      </c>
      <c r="P2834" s="3">
        <v>0.6</v>
      </c>
      <c r="Q2834" s="3">
        <v>15.92</v>
      </c>
      <c r="R2834" s="3">
        <v>10.9</v>
      </c>
      <c r="S2834" s="3">
        <f>VLOOKUP(C2834,[1]page!$C$2:$M$3071,11,0)</f>
        <v>14.49</v>
      </c>
      <c r="T2834" s="6">
        <f t="shared" si="62"/>
        <v>9.9999999999999645E-2</v>
      </c>
    </row>
    <row r="2835" spans="1:20" x14ac:dyDescent="0.2">
      <c r="A2835" t="s">
        <v>8904</v>
      </c>
      <c r="B2835" t="s">
        <v>9230</v>
      </c>
      <c r="C2835" t="s">
        <v>9231</v>
      </c>
      <c r="D2835" t="s">
        <v>9232</v>
      </c>
      <c r="E2835" t="s">
        <v>96</v>
      </c>
      <c r="F2835" t="s">
        <v>7091</v>
      </c>
      <c r="G2835" s="1">
        <v>7</v>
      </c>
      <c r="H2835" s="1">
        <v>3</v>
      </c>
      <c r="I2835" t="s">
        <v>24</v>
      </c>
      <c r="L2835" s="1">
        <v>8</v>
      </c>
      <c r="M2835" s="3">
        <v>22.95</v>
      </c>
      <c r="N2835" s="3">
        <v>1.1499999999999999</v>
      </c>
      <c r="O2835" s="3">
        <v>0</v>
      </c>
      <c r="P2835" s="3">
        <v>0.8</v>
      </c>
      <c r="Q2835" s="3">
        <v>24.9</v>
      </c>
      <c r="R2835" s="3">
        <v>20.25</v>
      </c>
      <c r="S2835" s="3" t="e">
        <f>VLOOKUP(C2835,[1]page!$C$2:$M$3071,11,0)</f>
        <v>#N/A</v>
      </c>
      <c r="T2835" s="6" t="e">
        <f t="shared" si="62"/>
        <v>#N/A</v>
      </c>
    </row>
    <row r="2836" spans="1:20" x14ac:dyDescent="0.2">
      <c r="A2836" t="s">
        <v>8904</v>
      </c>
      <c r="B2836" t="s">
        <v>9233</v>
      </c>
      <c r="C2836" t="s">
        <v>9234</v>
      </c>
      <c r="D2836" t="s">
        <v>9235</v>
      </c>
      <c r="E2836" t="s">
        <v>1705</v>
      </c>
      <c r="F2836" t="s">
        <v>5984</v>
      </c>
      <c r="G2836" s="1">
        <v>5</v>
      </c>
      <c r="H2836" s="1">
        <v>4</v>
      </c>
      <c r="I2836" t="s">
        <v>1706</v>
      </c>
      <c r="L2836" s="1">
        <v>6</v>
      </c>
      <c r="M2836" s="3">
        <v>13.28</v>
      </c>
      <c r="N2836" s="3">
        <v>0.66</v>
      </c>
      <c r="O2836" s="3">
        <v>0</v>
      </c>
      <c r="P2836" s="3">
        <v>0.6</v>
      </c>
      <c r="Q2836" s="3">
        <v>14.54</v>
      </c>
      <c r="R2836" s="3">
        <v>9.25</v>
      </c>
      <c r="S2836" s="3">
        <f>VLOOKUP(C2836,[1]page!$C$2:$M$3071,11,0)</f>
        <v>13.28</v>
      </c>
      <c r="T2836" s="6">
        <f t="shared" si="62"/>
        <v>0</v>
      </c>
    </row>
    <row r="2837" spans="1:20" x14ac:dyDescent="0.2">
      <c r="A2837" t="s">
        <v>8904</v>
      </c>
      <c r="B2837" t="s">
        <v>9236</v>
      </c>
      <c r="C2837" t="s">
        <v>9237</v>
      </c>
      <c r="D2837" t="s">
        <v>9235</v>
      </c>
      <c r="E2837" t="s">
        <v>1705</v>
      </c>
      <c r="F2837" t="s">
        <v>5861</v>
      </c>
      <c r="G2837" s="1">
        <v>5</v>
      </c>
      <c r="H2837" s="1">
        <v>1</v>
      </c>
      <c r="I2837" t="s">
        <v>1706</v>
      </c>
      <c r="L2837" s="1">
        <v>12</v>
      </c>
      <c r="M2837" s="3">
        <v>25.3</v>
      </c>
      <c r="N2837" s="3">
        <v>1.27</v>
      </c>
      <c r="O2837" s="3">
        <v>0</v>
      </c>
      <c r="P2837" s="3">
        <v>1.2</v>
      </c>
      <c r="Q2837" s="3">
        <v>27.77</v>
      </c>
      <c r="R2837" s="3">
        <f t="shared" ref="R2837:R2838" si="68">SUM(F2837*0.0043)</f>
        <v>18.318000000000001</v>
      </c>
      <c r="S2837" s="3">
        <f>VLOOKUP(C2837,[1]page!$C$2:$M$3071,11,0)</f>
        <v>25.3</v>
      </c>
      <c r="T2837" s="6">
        <f t="shared" si="62"/>
        <v>0</v>
      </c>
    </row>
    <row r="2838" spans="1:20" x14ac:dyDescent="0.2">
      <c r="A2838" t="s">
        <v>8904</v>
      </c>
      <c r="B2838" t="s">
        <v>9238</v>
      </c>
      <c r="C2838" t="s">
        <v>9239</v>
      </c>
      <c r="D2838" t="s">
        <v>9235</v>
      </c>
      <c r="E2838" t="s">
        <v>1705</v>
      </c>
      <c r="F2838" t="s">
        <v>26</v>
      </c>
      <c r="G2838" s="1">
        <v>5</v>
      </c>
      <c r="H2838" s="1">
        <v>1</v>
      </c>
      <c r="I2838" t="s">
        <v>1706</v>
      </c>
      <c r="L2838" s="1">
        <v>24</v>
      </c>
      <c r="M2838" s="3">
        <v>50.57</v>
      </c>
      <c r="N2838" s="3">
        <v>2.5299999999999998</v>
      </c>
      <c r="O2838" s="3">
        <v>0</v>
      </c>
      <c r="P2838" s="3">
        <v>2.4</v>
      </c>
      <c r="Q2838" s="3">
        <v>55.5</v>
      </c>
      <c r="R2838" s="3">
        <f t="shared" si="68"/>
        <v>36.636000000000003</v>
      </c>
      <c r="S2838" s="3">
        <f>VLOOKUP(C2838,[1]page!$C$2:$M$3071,11,0)</f>
        <v>50.57</v>
      </c>
      <c r="T2838" s="6">
        <f t="shared" si="62"/>
        <v>0</v>
      </c>
    </row>
    <row r="2839" spans="1:20" x14ac:dyDescent="0.2">
      <c r="A2839" t="s">
        <v>8904</v>
      </c>
      <c r="B2839" t="s">
        <v>9240</v>
      </c>
      <c r="C2839" t="s">
        <v>9241</v>
      </c>
      <c r="D2839" t="s">
        <v>9242</v>
      </c>
      <c r="E2839" t="s">
        <v>9243</v>
      </c>
      <c r="F2839" t="s">
        <v>7577</v>
      </c>
      <c r="G2839" s="2">
        <v>12.5</v>
      </c>
      <c r="H2839" s="1">
        <v>6</v>
      </c>
      <c r="I2839" t="s">
        <v>57</v>
      </c>
      <c r="L2839" s="1">
        <v>4</v>
      </c>
      <c r="M2839" s="3">
        <v>14.06</v>
      </c>
      <c r="N2839" s="3">
        <v>0.7</v>
      </c>
      <c r="O2839" s="3">
        <v>0</v>
      </c>
      <c r="P2839" s="3">
        <v>0.4</v>
      </c>
      <c r="Q2839" s="3">
        <v>15.16</v>
      </c>
      <c r="R2839" s="3">
        <v>5.25</v>
      </c>
      <c r="S2839" s="3">
        <f>VLOOKUP(C2839,[1]page!$C$2:$M$3071,11,0)</f>
        <v>13.99</v>
      </c>
      <c r="T2839" s="6">
        <f t="shared" si="62"/>
        <v>7.0000000000000284E-2</v>
      </c>
    </row>
    <row r="2840" spans="1:20" x14ac:dyDescent="0.2">
      <c r="A2840" t="s">
        <v>8904</v>
      </c>
      <c r="B2840" t="s">
        <v>9244</v>
      </c>
      <c r="C2840" t="s">
        <v>9245</v>
      </c>
      <c r="D2840" t="s">
        <v>9246</v>
      </c>
      <c r="E2840" t="s">
        <v>9243</v>
      </c>
      <c r="F2840" t="s">
        <v>26</v>
      </c>
      <c r="G2840" s="1">
        <v>5</v>
      </c>
      <c r="H2840" s="1">
        <v>1</v>
      </c>
      <c r="I2840" t="s">
        <v>57</v>
      </c>
      <c r="L2840" s="1">
        <v>24</v>
      </c>
      <c r="M2840" s="3">
        <v>53.59</v>
      </c>
      <c r="N2840" s="3">
        <v>2.68</v>
      </c>
      <c r="O2840" s="3">
        <v>0</v>
      </c>
      <c r="P2840" s="3">
        <v>2.4</v>
      </c>
      <c r="Q2840" s="3">
        <v>58.67</v>
      </c>
      <c r="R2840" s="3">
        <f t="shared" ref="R2840:R2841" si="69">SUM(F2840*0.0043)</f>
        <v>36.636000000000003</v>
      </c>
      <c r="S2840" s="3">
        <f>VLOOKUP(C2840,[1]page!$C$2:$M$3071,11,0)</f>
        <v>53.48</v>
      </c>
      <c r="T2840" s="6">
        <f t="shared" si="62"/>
        <v>0.11000000000000654</v>
      </c>
    </row>
    <row r="2841" spans="1:20" x14ac:dyDescent="0.2">
      <c r="A2841" t="s">
        <v>8904</v>
      </c>
      <c r="B2841" t="s">
        <v>9247</v>
      </c>
      <c r="C2841" t="s">
        <v>9248</v>
      </c>
      <c r="D2841" t="s">
        <v>9249</v>
      </c>
      <c r="E2841" t="s">
        <v>9243</v>
      </c>
      <c r="F2841" t="s">
        <v>5861</v>
      </c>
      <c r="G2841" s="1">
        <v>5</v>
      </c>
      <c r="H2841" s="1">
        <v>2</v>
      </c>
      <c r="I2841" t="s">
        <v>57</v>
      </c>
      <c r="L2841" s="1">
        <v>12</v>
      </c>
      <c r="M2841" s="3">
        <v>27.55</v>
      </c>
      <c r="N2841" s="3">
        <v>1.38</v>
      </c>
      <c r="O2841" s="3">
        <v>0</v>
      </c>
      <c r="P2841" s="3">
        <v>1.2</v>
      </c>
      <c r="Q2841" s="3">
        <v>30.13</v>
      </c>
      <c r="R2841" s="3">
        <f t="shared" si="69"/>
        <v>18.318000000000001</v>
      </c>
      <c r="S2841" s="3">
        <f>VLOOKUP(C2841,[1]page!$C$2:$M$3071,11,0)</f>
        <v>27.49</v>
      </c>
      <c r="T2841" s="6">
        <f t="shared" si="62"/>
        <v>6.0000000000002274E-2</v>
      </c>
    </row>
    <row r="2842" spans="1:20" x14ac:dyDescent="0.2">
      <c r="A2842" t="s">
        <v>8904</v>
      </c>
      <c r="B2842" t="s">
        <v>9250</v>
      </c>
      <c r="C2842" t="s">
        <v>9251</v>
      </c>
      <c r="D2842" t="s">
        <v>9252</v>
      </c>
      <c r="E2842" t="s">
        <v>9243</v>
      </c>
      <c r="F2842" t="s">
        <v>5855</v>
      </c>
      <c r="G2842" s="1">
        <v>5</v>
      </c>
      <c r="H2842" s="1">
        <v>24</v>
      </c>
      <c r="I2842" t="s">
        <v>57</v>
      </c>
      <c r="L2842" s="1">
        <v>1</v>
      </c>
      <c r="M2842" s="3">
        <v>3.12</v>
      </c>
      <c r="N2842" s="3">
        <v>0.16</v>
      </c>
      <c r="O2842" s="3">
        <v>0</v>
      </c>
      <c r="P2842" s="3">
        <v>0.1</v>
      </c>
      <c r="Q2842" s="3">
        <v>3.38</v>
      </c>
      <c r="R2842" s="3">
        <v>2.2999999999999998</v>
      </c>
      <c r="S2842" s="3">
        <f>VLOOKUP(C2842,[1]page!$C$2:$M$3071,11,0)</f>
        <v>3.11</v>
      </c>
      <c r="T2842" s="6">
        <f t="shared" si="62"/>
        <v>1.0000000000000231E-2</v>
      </c>
    </row>
    <row r="2843" spans="1:20" x14ac:dyDescent="0.2">
      <c r="A2843" t="s">
        <v>8904</v>
      </c>
      <c r="B2843" t="s">
        <v>9253</v>
      </c>
      <c r="C2843" t="s">
        <v>9254</v>
      </c>
      <c r="D2843" t="s">
        <v>9255</v>
      </c>
      <c r="E2843" t="s">
        <v>9243</v>
      </c>
      <c r="F2843" t="s">
        <v>5855</v>
      </c>
      <c r="G2843" s="1">
        <v>5</v>
      </c>
      <c r="H2843" s="1">
        <v>24</v>
      </c>
      <c r="I2843" t="s">
        <v>57</v>
      </c>
      <c r="L2843" s="1">
        <v>1</v>
      </c>
      <c r="M2843" s="3">
        <v>3.12</v>
      </c>
      <c r="N2843" s="3">
        <v>0.16</v>
      </c>
      <c r="O2843" s="3">
        <v>0</v>
      </c>
      <c r="P2843" s="3">
        <v>0.1</v>
      </c>
      <c r="Q2843" s="3">
        <v>3.38</v>
      </c>
      <c r="R2843" s="3">
        <v>2.2999999999999998</v>
      </c>
      <c r="S2843" s="3">
        <f>VLOOKUP(C2843,[1]page!$C$2:$M$3071,11,0)</f>
        <v>3.11</v>
      </c>
      <c r="T2843" s="6">
        <f t="shared" si="62"/>
        <v>1.0000000000000231E-2</v>
      </c>
    </row>
    <row r="2844" spans="1:20" x14ac:dyDescent="0.2">
      <c r="A2844" t="s">
        <v>8904</v>
      </c>
      <c r="B2844" t="s">
        <v>9256</v>
      </c>
      <c r="C2844" t="s">
        <v>9257</v>
      </c>
      <c r="D2844" t="s">
        <v>9258</v>
      </c>
      <c r="E2844" t="s">
        <v>9243</v>
      </c>
      <c r="F2844" t="s">
        <v>5861</v>
      </c>
      <c r="G2844" s="1">
        <v>5</v>
      </c>
      <c r="H2844" s="1">
        <v>2</v>
      </c>
      <c r="I2844" t="s">
        <v>57</v>
      </c>
      <c r="L2844" s="1">
        <v>12</v>
      </c>
      <c r="M2844" s="3">
        <v>27.55</v>
      </c>
      <c r="N2844" s="3">
        <v>1.38</v>
      </c>
      <c r="O2844" s="3">
        <v>0</v>
      </c>
      <c r="P2844" s="3">
        <v>1.2</v>
      </c>
      <c r="Q2844" s="3">
        <v>30.13</v>
      </c>
      <c r="R2844" s="3">
        <f t="shared" ref="R2844" si="70">SUM(F2844*0.0043)</f>
        <v>18.318000000000001</v>
      </c>
      <c r="S2844" s="3">
        <f>VLOOKUP(C2844,[1]page!$C$2:$M$3071,11,0)</f>
        <v>27.49</v>
      </c>
      <c r="T2844" s="6">
        <f t="shared" si="62"/>
        <v>6.0000000000002274E-2</v>
      </c>
    </row>
    <row r="2845" spans="1:20" x14ac:dyDescent="0.2">
      <c r="A2845" t="s">
        <v>8904</v>
      </c>
      <c r="B2845" t="s">
        <v>9259</v>
      </c>
      <c r="C2845" t="s">
        <v>9260</v>
      </c>
      <c r="D2845" t="s">
        <v>9261</v>
      </c>
      <c r="E2845" t="s">
        <v>9243</v>
      </c>
      <c r="F2845" t="s">
        <v>7577</v>
      </c>
      <c r="G2845" s="2">
        <v>12.5</v>
      </c>
      <c r="H2845" s="1">
        <v>6</v>
      </c>
      <c r="I2845" t="s">
        <v>57</v>
      </c>
      <c r="L2845" s="1">
        <v>4</v>
      </c>
      <c r="M2845" s="3">
        <v>14.06</v>
      </c>
      <c r="N2845" s="3">
        <v>0.7</v>
      </c>
      <c r="O2845" s="3">
        <v>0</v>
      </c>
      <c r="P2845" s="3">
        <v>0.4</v>
      </c>
      <c r="Q2845" s="3">
        <v>15.16</v>
      </c>
      <c r="R2845" s="3">
        <v>5.25</v>
      </c>
      <c r="S2845" s="3">
        <f>VLOOKUP(C2845,[1]page!$C$2:$M$3071,11,0)</f>
        <v>13.99</v>
      </c>
      <c r="T2845" s="6">
        <f t="shared" si="62"/>
        <v>7.0000000000000284E-2</v>
      </c>
    </row>
    <row r="2846" spans="1:20" x14ac:dyDescent="0.2">
      <c r="A2846" t="s">
        <v>8904</v>
      </c>
      <c r="B2846" t="s">
        <v>9262</v>
      </c>
      <c r="C2846" t="s">
        <v>9263</v>
      </c>
      <c r="D2846" t="s">
        <v>9264</v>
      </c>
      <c r="E2846" t="s">
        <v>2899</v>
      </c>
      <c r="F2846" t="s">
        <v>1041</v>
      </c>
      <c r="G2846" s="1">
        <v>5</v>
      </c>
      <c r="H2846" s="1">
        <v>6</v>
      </c>
      <c r="I2846" t="s">
        <v>183</v>
      </c>
      <c r="L2846" s="1">
        <v>4</v>
      </c>
      <c r="M2846" s="3">
        <v>12.54</v>
      </c>
      <c r="N2846" s="3">
        <v>0.63</v>
      </c>
      <c r="O2846" s="3">
        <v>0</v>
      </c>
      <c r="P2846" s="3">
        <v>0.4</v>
      </c>
      <c r="Q2846" s="3">
        <v>13.57</v>
      </c>
      <c r="R2846" s="3">
        <v>6.35</v>
      </c>
      <c r="S2846" s="3" t="e">
        <f>VLOOKUP(C2846,[1]page!$C$2:$M$3071,11,0)</f>
        <v>#N/A</v>
      </c>
      <c r="T2846" s="6" t="e">
        <f t="shared" ref="T2846:T2907" si="71">SUM(M2846-S2846)</f>
        <v>#N/A</v>
      </c>
    </row>
    <row r="2847" spans="1:20" x14ac:dyDescent="0.2">
      <c r="A2847" t="s">
        <v>8904</v>
      </c>
      <c r="B2847" t="s">
        <v>9265</v>
      </c>
      <c r="C2847" t="s">
        <v>9266</v>
      </c>
      <c r="D2847" t="s">
        <v>9267</v>
      </c>
      <c r="E2847" t="s">
        <v>9268</v>
      </c>
      <c r="F2847" t="s">
        <v>1237</v>
      </c>
      <c r="G2847" s="2">
        <v>4.5</v>
      </c>
      <c r="H2847" s="1">
        <v>6</v>
      </c>
      <c r="I2847" t="s">
        <v>2179</v>
      </c>
      <c r="L2847" s="1">
        <v>4</v>
      </c>
      <c r="M2847" s="3">
        <v>11.06</v>
      </c>
      <c r="N2847" s="3">
        <v>0.55000000000000004</v>
      </c>
      <c r="O2847" s="3">
        <v>0</v>
      </c>
      <c r="P2847" s="3">
        <v>0.4</v>
      </c>
      <c r="Q2847" s="3">
        <v>12.01</v>
      </c>
      <c r="R2847" s="3">
        <v>5.9</v>
      </c>
      <c r="S2847" s="3">
        <f>VLOOKUP(C2847,[1]page!$C$2:$M$3071,11,0)</f>
        <v>11.04</v>
      </c>
      <c r="T2847" s="6">
        <f t="shared" si="71"/>
        <v>2.000000000000135E-2</v>
      </c>
    </row>
    <row r="2848" spans="1:20" x14ac:dyDescent="0.2">
      <c r="A2848" t="s">
        <v>8904</v>
      </c>
      <c r="B2848" t="s">
        <v>9269</v>
      </c>
      <c r="C2848" t="s">
        <v>9270</v>
      </c>
      <c r="D2848" t="s">
        <v>9271</v>
      </c>
      <c r="E2848" t="s">
        <v>2177</v>
      </c>
      <c r="F2848" t="s">
        <v>6790</v>
      </c>
      <c r="G2848" s="1">
        <v>7</v>
      </c>
      <c r="H2848" s="1">
        <v>12</v>
      </c>
      <c r="I2848" t="s">
        <v>2179</v>
      </c>
      <c r="L2848" s="1">
        <v>1</v>
      </c>
      <c r="M2848" s="3">
        <v>3.33</v>
      </c>
      <c r="N2848" s="3">
        <v>0.17</v>
      </c>
      <c r="O2848" s="3">
        <v>0</v>
      </c>
      <c r="P2848" s="3">
        <v>0.1</v>
      </c>
      <c r="Q2848" s="3">
        <v>3.6</v>
      </c>
      <c r="R2848" s="3">
        <v>2.7</v>
      </c>
      <c r="S2848" s="3">
        <f>VLOOKUP(C2848,[1]page!$C$2:$M$3071,11,0)</f>
        <v>3.33</v>
      </c>
      <c r="T2848" s="6">
        <f t="shared" si="71"/>
        <v>0</v>
      </c>
    </row>
    <row r="2849" spans="1:20" x14ac:dyDescent="0.2">
      <c r="A2849" t="s">
        <v>8904</v>
      </c>
      <c r="B2849" t="s">
        <v>9272</v>
      </c>
      <c r="C2849" t="s">
        <v>9273</v>
      </c>
      <c r="D2849" t="s">
        <v>9274</v>
      </c>
      <c r="E2849" t="s">
        <v>9275</v>
      </c>
      <c r="F2849" t="s">
        <v>5861</v>
      </c>
      <c r="G2849" s="1">
        <v>5</v>
      </c>
      <c r="H2849" s="1">
        <v>2</v>
      </c>
      <c r="I2849" t="s">
        <v>9276</v>
      </c>
      <c r="L2849" s="1">
        <v>12</v>
      </c>
      <c r="M2849" s="3">
        <v>31.77</v>
      </c>
      <c r="N2849" s="3">
        <v>1.59</v>
      </c>
      <c r="O2849" s="3">
        <v>0</v>
      </c>
      <c r="P2849" s="3">
        <v>1.2</v>
      </c>
      <c r="Q2849" s="3">
        <v>34.56</v>
      </c>
      <c r="R2849" s="3">
        <f t="shared" ref="R2849" si="72">SUM(F2849*0.0043)</f>
        <v>18.318000000000001</v>
      </c>
      <c r="S2849" s="3">
        <f>VLOOKUP(C2849,[1]page!$C$2:$M$3071,11,0)</f>
        <v>31.77</v>
      </c>
      <c r="T2849" s="6">
        <f t="shared" si="71"/>
        <v>0</v>
      </c>
    </row>
    <row r="2850" spans="1:20" x14ac:dyDescent="0.2">
      <c r="A2850" t="s">
        <v>8904</v>
      </c>
      <c r="B2850" t="s">
        <v>9277</v>
      </c>
      <c r="C2850" t="s">
        <v>9278</v>
      </c>
      <c r="D2850" t="s">
        <v>9279</v>
      </c>
      <c r="E2850" t="s">
        <v>1574</v>
      </c>
      <c r="F2850" t="s">
        <v>1041</v>
      </c>
      <c r="G2850" s="1">
        <v>5</v>
      </c>
      <c r="H2850" s="1">
        <v>6</v>
      </c>
      <c r="I2850" t="s">
        <v>420</v>
      </c>
      <c r="K2850" t="s">
        <v>20</v>
      </c>
      <c r="L2850" s="1">
        <v>4</v>
      </c>
      <c r="M2850" s="3">
        <v>9.6300000000000008</v>
      </c>
      <c r="N2850" s="3">
        <v>0.48</v>
      </c>
      <c r="O2850" s="3">
        <v>0</v>
      </c>
      <c r="P2850" s="3">
        <v>0.4</v>
      </c>
      <c r="Q2850" s="3">
        <v>10.51</v>
      </c>
      <c r="R2850" s="3">
        <v>6.35</v>
      </c>
      <c r="S2850" s="3">
        <f>VLOOKUP(C2850,[1]page!$C$2:$M$3071,11,0)</f>
        <v>9.59</v>
      </c>
      <c r="T2850" s="6">
        <f t="shared" si="71"/>
        <v>4.0000000000000924E-2</v>
      </c>
    </row>
    <row r="2851" spans="1:20" x14ac:dyDescent="0.2">
      <c r="A2851" t="s">
        <v>8904</v>
      </c>
      <c r="B2851" t="s">
        <v>9280</v>
      </c>
      <c r="C2851" t="s">
        <v>9281</v>
      </c>
      <c r="D2851" t="s">
        <v>9282</v>
      </c>
      <c r="E2851" t="s">
        <v>2881</v>
      </c>
      <c r="F2851" t="s">
        <v>5984</v>
      </c>
      <c r="G2851" s="1">
        <v>5</v>
      </c>
      <c r="H2851" s="1">
        <v>4</v>
      </c>
      <c r="I2851" t="s">
        <v>57</v>
      </c>
      <c r="L2851" s="1">
        <v>6</v>
      </c>
      <c r="M2851" s="3">
        <v>14.22</v>
      </c>
      <c r="N2851" s="3">
        <v>0.71</v>
      </c>
      <c r="O2851" s="3">
        <v>0</v>
      </c>
      <c r="P2851" s="3">
        <v>0.6</v>
      </c>
      <c r="Q2851" s="3">
        <v>15.53</v>
      </c>
      <c r="R2851" s="3">
        <v>9.25</v>
      </c>
      <c r="S2851" s="3">
        <f>VLOOKUP(C2851,[1]page!$C$2:$M$3071,11,0)</f>
        <v>14.19</v>
      </c>
      <c r="T2851" s="6">
        <f t="shared" si="71"/>
        <v>3.0000000000001137E-2</v>
      </c>
    </row>
    <row r="2852" spans="1:20" x14ac:dyDescent="0.2">
      <c r="A2852" t="s">
        <v>8904</v>
      </c>
      <c r="B2852" t="s">
        <v>9283</v>
      </c>
      <c r="C2852" t="s">
        <v>9284</v>
      </c>
      <c r="D2852" t="s">
        <v>9285</v>
      </c>
      <c r="E2852" t="s">
        <v>2881</v>
      </c>
      <c r="F2852" t="s">
        <v>5984</v>
      </c>
      <c r="G2852" s="2">
        <v>5.5</v>
      </c>
      <c r="H2852" s="1">
        <v>4</v>
      </c>
      <c r="I2852" t="s">
        <v>57</v>
      </c>
      <c r="L2852" s="1">
        <v>6</v>
      </c>
      <c r="M2852" s="3">
        <v>14.22</v>
      </c>
      <c r="N2852" s="3">
        <v>0.71</v>
      </c>
      <c r="O2852" s="3">
        <v>0</v>
      </c>
      <c r="P2852" s="3">
        <v>0.6</v>
      </c>
      <c r="Q2852" s="3">
        <v>15.53</v>
      </c>
      <c r="R2852" s="3">
        <v>9.25</v>
      </c>
      <c r="S2852" s="3">
        <f>VLOOKUP(C2852,[1]page!$C$2:$M$3071,11,0)</f>
        <v>14.19</v>
      </c>
      <c r="T2852" s="6">
        <f t="shared" si="71"/>
        <v>3.0000000000001137E-2</v>
      </c>
    </row>
    <row r="2853" spans="1:20" x14ac:dyDescent="0.2">
      <c r="A2853" t="s">
        <v>8904</v>
      </c>
      <c r="B2853" t="s">
        <v>9286</v>
      </c>
      <c r="C2853" t="s">
        <v>9287</v>
      </c>
      <c r="D2853" t="s">
        <v>9288</v>
      </c>
      <c r="E2853" t="s">
        <v>182</v>
      </c>
      <c r="F2853" t="s">
        <v>5855</v>
      </c>
      <c r="G2853" s="2">
        <v>6.6</v>
      </c>
      <c r="H2853" s="1">
        <v>24</v>
      </c>
      <c r="I2853" t="s">
        <v>183</v>
      </c>
      <c r="L2853" s="1">
        <v>1</v>
      </c>
      <c r="M2853" s="3">
        <v>3.42</v>
      </c>
      <c r="N2853" s="3">
        <v>0.17</v>
      </c>
      <c r="O2853" s="3">
        <v>0</v>
      </c>
      <c r="P2853" s="3">
        <v>0.1</v>
      </c>
      <c r="Q2853" s="3">
        <v>3.69</v>
      </c>
      <c r="R2853" s="3">
        <v>2.7</v>
      </c>
      <c r="S2853" s="3">
        <f>VLOOKUP(C2853,[1]page!$C$2:$M$3071,11,0)</f>
        <v>3.41</v>
      </c>
      <c r="T2853" s="6">
        <f t="shared" si="71"/>
        <v>9.9999999999997868E-3</v>
      </c>
    </row>
    <row r="2854" spans="1:20" x14ac:dyDescent="0.2">
      <c r="A2854" t="s">
        <v>8904</v>
      </c>
      <c r="B2854" t="s">
        <v>9289</v>
      </c>
      <c r="C2854" t="s">
        <v>9290</v>
      </c>
      <c r="D2854" t="s">
        <v>9288</v>
      </c>
      <c r="E2854" t="s">
        <v>182</v>
      </c>
      <c r="F2854" t="s">
        <v>5984</v>
      </c>
      <c r="G2854" s="2">
        <v>6.6</v>
      </c>
      <c r="H2854" s="1">
        <v>4</v>
      </c>
      <c r="I2854" t="s">
        <v>183</v>
      </c>
      <c r="L2854" s="1">
        <v>6</v>
      </c>
      <c r="M2854" s="3">
        <v>14.45</v>
      </c>
      <c r="N2854" s="3">
        <v>0.72</v>
      </c>
      <c r="O2854" s="3">
        <v>0</v>
      </c>
      <c r="P2854" s="3">
        <v>0.6</v>
      </c>
      <c r="Q2854" s="3">
        <v>15.77</v>
      </c>
      <c r="R2854" s="3">
        <v>10.9</v>
      </c>
      <c r="S2854" s="3">
        <f>VLOOKUP(C2854,[1]page!$C$2:$M$3071,11,0)</f>
        <v>14.42</v>
      </c>
      <c r="T2854" s="6">
        <f t="shared" si="71"/>
        <v>2.9999999999999361E-2</v>
      </c>
    </row>
    <row r="2855" spans="1:20" x14ac:dyDescent="0.2">
      <c r="A2855" t="s">
        <v>8904</v>
      </c>
      <c r="B2855" t="s">
        <v>9291</v>
      </c>
      <c r="C2855" t="s">
        <v>9292</v>
      </c>
      <c r="D2855" t="s">
        <v>9293</v>
      </c>
      <c r="E2855" t="s">
        <v>9294</v>
      </c>
      <c r="F2855" t="s">
        <v>1041</v>
      </c>
      <c r="G2855" s="2">
        <v>12.5</v>
      </c>
      <c r="H2855" s="1">
        <v>6</v>
      </c>
      <c r="I2855" t="s">
        <v>9295</v>
      </c>
      <c r="L2855" s="1">
        <v>4</v>
      </c>
      <c r="M2855" s="3">
        <v>15.91</v>
      </c>
      <c r="N2855" s="3">
        <v>0.8</v>
      </c>
      <c r="O2855" s="3">
        <v>0</v>
      </c>
      <c r="P2855" s="3">
        <v>0.4</v>
      </c>
      <c r="Q2855" s="3">
        <v>17.11</v>
      </c>
      <c r="R2855" s="3">
        <v>7.5</v>
      </c>
      <c r="S2855" s="3">
        <f>VLOOKUP(C2855,[1]page!$C$2:$M$3071,11,0)</f>
        <v>15.89</v>
      </c>
      <c r="T2855" s="6">
        <f t="shared" si="71"/>
        <v>1.9999999999999574E-2</v>
      </c>
    </row>
    <row r="2856" spans="1:20" x14ac:dyDescent="0.2">
      <c r="A2856" t="s">
        <v>8904</v>
      </c>
      <c r="B2856" t="s">
        <v>9296</v>
      </c>
      <c r="C2856" t="s">
        <v>9297</v>
      </c>
      <c r="D2856" t="s">
        <v>9298</v>
      </c>
      <c r="E2856" t="s">
        <v>9294</v>
      </c>
      <c r="F2856" t="s">
        <v>1041</v>
      </c>
      <c r="G2856" s="1">
        <v>7</v>
      </c>
      <c r="H2856" s="1">
        <v>6</v>
      </c>
      <c r="I2856" t="s">
        <v>9295</v>
      </c>
      <c r="L2856" s="1">
        <v>4</v>
      </c>
      <c r="M2856" s="3">
        <v>12.56</v>
      </c>
      <c r="N2856" s="3">
        <v>0.63</v>
      </c>
      <c r="O2856" s="3">
        <v>0</v>
      </c>
      <c r="P2856" s="3">
        <v>0.4</v>
      </c>
      <c r="Q2856" s="3">
        <v>13.59</v>
      </c>
      <c r="R2856" s="3">
        <v>7.5</v>
      </c>
      <c r="S2856" s="3">
        <f>VLOOKUP(C2856,[1]page!$C$2:$M$3071,11,0)</f>
        <v>12.54</v>
      </c>
      <c r="T2856" s="6">
        <f t="shared" si="71"/>
        <v>2.000000000000135E-2</v>
      </c>
    </row>
    <row r="2857" spans="1:20" x14ac:dyDescent="0.2">
      <c r="A2857" t="s">
        <v>8904</v>
      </c>
      <c r="B2857" t="s">
        <v>9299</v>
      </c>
      <c r="C2857" t="s">
        <v>9300</v>
      </c>
      <c r="D2857" t="s">
        <v>9301</v>
      </c>
      <c r="E2857" t="s">
        <v>9294</v>
      </c>
      <c r="F2857" t="s">
        <v>3080</v>
      </c>
      <c r="G2857" s="1">
        <v>7</v>
      </c>
      <c r="H2857" s="1">
        <v>5</v>
      </c>
      <c r="I2857" t="s">
        <v>9295</v>
      </c>
      <c r="L2857" s="1">
        <v>1</v>
      </c>
      <c r="M2857" s="3">
        <v>16.079999999999998</v>
      </c>
      <c r="N2857" s="3">
        <v>0.8</v>
      </c>
      <c r="O2857" s="3">
        <v>0</v>
      </c>
      <c r="P2857" s="3">
        <v>0</v>
      </c>
      <c r="Q2857" s="3">
        <v>16.88</v>
      </c>
      <c r="R2857" s="3">
        <v>10.55</v>
      </c>
      <c r="S2857" s="3">
        <f>VLOOKUP(C2857,[1]page!$C$2:$M$3071,11,0)</f>
        <v>16.05</v>
      </c>
      <c r="T2857" s="6">
        <f t="shared" si="71"/>
        <v>2.9999999999997584E-2</v>
      </c>
    </row>
    <row r="2858" spans="1:20" x14ac:dyDescent="0.2">
      <c r="A2858" t="s">
        <v>8904</v>
      </c>
      <c r="B2858" t="s">
        <v>9302</v>
      </c>
      <c r="C2858" t="s">
        <v>9303</v>
      </c>
      <c r="D2858" t="s">
        <v>9304</v>
      </c>
      <c r="E2858" t="s">
        <v>9294</v>
      </c>
      <c r="F2858" t="s">
        <v>5855</v>
      </c>
      <c r="G2858" s="1">
        <v>7</v>
      </c>
      <c r="H2858" s="1">
        <v>24</v>
      </c>
      <c r="I2858" t="s">
        <v>9295</v>
      </c>
      <c r="L2858" s="1">
        <v>1</v>
      </c>
      <c r="M2858" s="3">
        <v>3.36</v>
      </c>
      <c r="N2858" s="3">
        <v>0.17</v>
      </c>
      <c r="O2858" s="3">
        <v>0</v>
      </c>
      <c r="P2858" s="3">
        <v>0.1</v>
      </c>
      <c r="Q2858" s="3">
        <v>3.63</v>
      </c>
      <c r="R2858" s="3">
        <v>2.7</v>
      </c>
      <c r="S2858" s="3">
        <f>VLOOKUP(C2858,[1]page!$C$2:$M$3071,11,0)</f>
        <v>3.35</v>
      </c>
      <c r="T2858" s="6">
        <f t="shared" si="71"/>
        <v>9.9999999999997868E-3</v>
      </c>
    </row>
    <row r="2859" spans="1:20" x14ac:dyDescent="0.2">
      <c r="A2859" t="s">
        <v>8904</v>
      </c>
      <c r="B2859" t="s">
        <v>9305</v>
      </c>
      <c r="C2859" t="s">
        <v>9306</v>
      </c>
      <c r="D2859" t="s">
        <v>9307</v>
      </c>
      <c r="E2859" t="s">
        <v>9294</v>
      </c>
      <c r="F2859" t="s">
        <v>7091</v>
      </c>
      <c r="G2859" s="1">
        <v>7</v>
      </c>
      <c r="H2859" s="1">
        <v>3</v>
      </c>
      <c r="I2859" t="s">
        <v>9295</v>
      </c>
      <c r="L2859" s="1">
        <v>8</v>
      </c>
      <c r="M2859" s="3">
        <v>25.13</v>
      </c>
      <c r="N2859" s="3">
        <v>1.26</v>
      </c>
      <c r="O2859" s="3">
        <v>0</v>
      </c>
      <c r="P2859" s="3">
        <v>0.8</v>
      </c>
      <c r="Q2859" s="3">
        <v>27.19</v>
      </c>
      <c r="R2859" s="3">
        <v>20.25</v>
      </c>
      <c r="S2859" s="3">
        <f>VLOOKUP(C2859,[1]page!$C$2:$M$3071,11,0)</f>
        <v>25.09</v>
      </c>
      <c r="T2859" s="6">
        <f t="shared" si="71"/>
        <v>3.9999999999999147E-2</v>
      </c>
    </row>
    <row r="2860" spans="1:20" x14ac:dyDescent="0.2">
      <c r="A2860" t="s">
        <v>8904</v>
      </c>
      <c r="B2860" t="s">
        <v>9308</v>
      </c>
      <c r="C2860" t="s">
        <v>9309</v>
      </c>
      <c r="D2860" t="s">
        <v>9310</v>
      </c>
      <c r="E2860" t="s">
        <v>9294</v>
      </c>
      <c r="F2860" t="s">
        <v>7091</v>
      </c>
      <c r="G2860" s="1">
        <v>7</v>
      </c>
      <c r="H2860" s="1">
        <v>3</v>
      </c>
      <c r="I2860" t="s">
        <v>9295</v>
      </c>
      <c r="L2860" s="1">
        <v>8</v>
      </c>
      <c r="M2860" s="3">
        <v>25.13</v>
      </c>
      <c r="N2860" s="3">
        <v>1.26</v>
      </c>
      <c r="O2860" s="3">
        <v>0</v>
      </c>
      <c r="P2860" s="3">
        <v>0.8</v>
      </c>
      <c r="Q2860" s="3">
        <v>27.19</v>
      </c>
      <c r="R2860" s="3">
        <v>20.25</v>
      </c>
      <c r="S2860" s="3">
        <f>VLOOKUP(C2860,[1]page!$C$2:$M$3071,11,0)</f>
        <v>25.09</v>
      </c>
      <c r="T2860" s="6">
        <f t="shared" si="71"/>
        <v>3.9999999999999147E-2</v>
      </c>
    </row>
    <row r="2861" spans="1:20" x14ac:dyDescent="0.2">
      <c r="A2861" t="s">
        <v>8904</v>
      </c>
      <c r="B2861" t="s">
        <v>9311</v>
      </c>
      <c r="C2861" t="s">
        <v>9312</v>
      </c>
      <c r="D2861" t="s">
        <v>9313</v>
      </c>
      <c r="E2861" t="s">
        <v>9294</v>
      </c>
      <c r="F2861" t="s">
        <v>1041</v>
      </c>
      <c r="G2861" s="1">
        <v>7</v>
      </c>
      <c r="H2861" s="1">
        <v>6</v>
      </c>
      <c r="I2861" t="s">
        <v>9295</v>
      </c>
      <c r="L2861" s="1">
        <v>4</v>
      </c>
      <c r="M2861" s="3">
        <v>12.56</v>
      </c>
      <c r="N2861" s="3">
        <v>0.63</v>
      </c>
      <c r="O2861" s="3">
        <v>0</v>
      </c>
      <c r="P2861" s="3">
        <v>0.4</v>
      </c>
      <c r="Q2861" s="3">
        <v>13.59</v>
      </c>
      <c r="R2861" s="3">
        <v>7.5</v>
      </c>
      <c r="S2861" s="3">
        <f>VLOOKUP(C2861,[1]page!$C$2:$M$3071,11,0)</f>
        <v>12.54</v>
      </c>
      <c r="T2861" s="6">
        <f t="shared" si="71"/>
        <v>2.000000000000135E-2</v>
      </c>
    </row>
    <row r="2862" spans="1:20" x14ac:dyDescent="0.2">
      <c r="A2862" t="s">
        <v>8904</v>
      </c>
      <c r="B2862" t="s">
        <v>9314</v>
      </c>
      <c r="C2862" t="s">
        <v>9315</v>
      </c>
      <c r="D2862" t="s">
        <v>9316</v>
      </c>
      <c r="E2862" t="s">
        <v>9294</v>
      </c>
      <c r="F2862" t="s">
        <v>1041</v>
      </c>
      <c r="G2862" s="2">
        <v>12.5</v>
      </c>
      <c r="H2862" s="1">
        <v>6</v>
      </c>
      <c r="I2862" t="s">
        <v>9295</v>
      </c>
      <c r="L2862" s="1">
        <v>4</v>
      </c>
      <c r="M2862" s="3">
        <v>15.91</v>
      </c>
      <c r="N2862" s="3">
        <v>0.8</v>
      </c>
      <c r="O2862" s="3">
        <v>0</v>
      </c>
      <c r="P2862" s="3">
        <v>0.4</v>
      </c>
      <c r="Q2862" s="3">
        <v>17.11</v>
      </c>
      <c r="R2862" s="3">
        <v>7.5</v>
      </c>
      <c r="S2862" s="3">
        <f>VLOOKUP(C2862,[1]page!$C$2:$M$3071,11,0)</f>
        <v>15.89</v>
      </c>
      <c r="T2862" s="6">
        <f t="shared" si="71"/>
        <v>1.9999999999999574E-2</v>
      </c>
    </row>
    <row r="2863" spans="1:20" x14ac:dyDescent="0.2">
      <c r="A2863" t="s">
        <v>8904</v>
      </c>
      <c r="B2863" t="s">
        <v>9317</v>
      </c>
      <c r="C2863" t="s">
        <v>9318</v>
      </c>
      <c r="D2863" t="s">
        <v>9319</v>
      </c>
      <c r="E2863" t="s">
        <v>9294</v>
      </c>
      <c r="F2863" t="s">
        <v>5855</v>
      </c>
      <c r="G2863" s="1">
        <v>7</v>
      </c>
      <c r="H2863" s="1">
        <v>24</v>
      </c>
      <c r="I2863" t="s">
        <v>9295</v>
      </c>
      <c r="L2863" s="1">
        <v>1</v>
      </c>
      <c r="M2863" s="3">
        <v>3.36</v>
      </c>
      <c r="N2863" s="3">
        <v>0.17</v>
      </c>
      <c r="O2863" s="3">
        <v>0</v>
      </c>
      <c r="P2863" s="3">
        <v>0.1</v>
      </c>
      <c r="Q2863" s="3">
        <v>3.63</v>
      </c>
      <c r="R2863" s="3">
        <v>2.7</v>
      </c>
      <c r="S2863" s="3">
        <f>VLOOKUP(C2863,[1]page!$C$2:$M$3071,11,0)</f>
        <v>3.35</v>
      </c>
      <c r="T2863" s="6">
        <f t="shared" si="71"/>
        <v>9.9999999999997868E-3</v>
      </c>
    </row>
    <row r="2864" spans="1:20" x14ac:dyDescent="0.2">
      <c r="A2864" t="s">
        <v>8904</v>
      </c>
      <c r="B2864" t="s">
        <v>9320</v>
      </c>
      <c r="C2864" t="s">
        <v>9321</v>
      </c>
      <c r="D2864" t="s">
        <v>9322</v>
      </c>
      <c r="E2864" t="s">
        <v>5919</v>
      </c>
      <c r="F2864" t="s">
        <v>9323</v>
      </c>
      <c r="G2864" s="2">
        <v>4.0999999999999996</v>
      </c>
      <c r="H2864" s="1">
        <v>24</v>
      </c>
      <c r="I2864" t="s">
        <v>5920</v>
      </c>
      <c r="L2864" s="1">
        <v>1</v>
      </c>
      <c r="M2864" s="3">
        <v>2.11</v>
      </c>
      <c r="N2864" s="3">
        <v>0.11</v>
      </c>
      <c r="O2864" s="3">
        <v>0</v>
      </c>
      <c r="P2864" s="3">
        <v>0.1</v>
      </c>
      <c r="Q2864" s="3">
        <v>2.3199999999999998</v>
      </c>
      <c r="R2864" s="3">
        <v>1.65</v>
      </c>
      <c r="S2864" s="3">
        <f>VLOOKUP(C2864,[1]page!$C$2:$M$3071,11,0)</f>
        <v>2.11</v>
      </c>
      <c r="T2864" s="6">
        <f t="shared" si="71"/>
        <v>0</v>
      </c>
    </row>
    <row r="2865" spans="1:20" x14ac:dyDescent="0.2">
      <c r="A2865" t="s">
        <v>8904</v>
      </c>
      <c r="B2865" t="s">
        <v>9324</v>
      </c>
      <c r="C2865" t="s">
        <v>9325</v>
      </c>
      <c r="D2865" t="s">
        <v>9326</v>
      </c>
      <c r="E2865" t="s">
        <v>9327</v>
      </c>
      <c r="F2865" t="s">
        <v>5984</v>
      </c>
      <c r="G2865" s="1">
        <v>5</v>
      </c>
      <c r="H2865" s="1">
        <v>4</v>
      </c>
      <c r="I2865" t="s">
        <v>183</v>
      </c>
      <c r="L2865" s="1">
        <v>6</v>
      </c>
      <c r="M2865" s="3">
        <v>14.01</v>
      </c>
      <c r="N2865" s="3">
        <v>0.7</v>
      </c>
      <c r="O2865" s="3">
        <v>0</v>
      </c>
      <c r="P2865" s="3">
        <v>0.6</v>
      </c>
      <c r="Q2865" s="3">
        <v>15.31</v>
      </c>
      <c r="R2865" s="3">
        <v>9.25</v>
      </c>
      <c r="S2865" s="3">
        <f>VLOOKUP(C2865,[1]page!$C$2:$M$3071,11,0)</f>
        <v>13.99</v>
      </c>
      <c r="T2865" s="6">
        <f t="shared" si="71"/>
        <v>1.9999999999999574E-2</v>
      </c>
    </row>
    <row r="2866" spans="1:20" x14ac:dyDescent="0.2">
      <c r="A2866" t="s">
        <v>8904</v>
      </c>
      <c r="B2866" t="s">
        <v>9328</v>
      </c>
      <c r="C2866" t="s">
        <v>9329</v>
      </c>
      <c r="D2866" t="s">
        <v>9330</v>
      </c>
      <c r="E2866" t="s">
        <v>9327</v>
      </c>
      <c r="F2866" t="s">
        <v>5861</v>
      </c>
      <c r="G2866" s="1">
        <v>5</v>
      </c>
      <c r="H2866" s="1">
        <v>2</v>
      </c>
      <c r="I2866" t="s">
        <v>183</v>
      </c>
      <c r="L2866" s="1">
        <v>12</v>
      </c>
      <c r="M2866" s="3">
        <v>27.86</v>
      </c>
      <c r="N2866" s="3">
        <v>1.39</v>
      </c>
      <c r="O2866" s="3">
        <v>0</v>
      </c>
      <c r="P2866" s="3">
        <v>1.2</v>
      </c>
      <c r="Q2866" s="3">
        <v>30.45</v>
      </c>
      <c r="R2866" s="3">
        <f t="shared" ref="R2866" si="73">SUM(F2866*0.0043)</f>
        <v>18.318000000000001</v>
      </c>
      <c r="S2866" s="3">
        <f>VLOOKUP(C2866,[1]page!$C$2:$M$3071,11,0)</f>
        <v>27.81</v>
      </c>
      <c r="T2866" s="6">
        <f t="shared" si="71"/>
        <v>5.0000000000000711E-2</v>
      </c>
    </row>
    <row r="2867" spans="1:20" x14ac:dyDescent="0.2">
      <c r="A2867" t="s">
        <v>8904</v>
      </c>
      <c r="B2867" t="s">
        <v>9331</v>
      </c>
      <c r="C2867" t="s">
        <v>9332</v>
      </c>
      <c r="D2867" t="s">
        <v>9333</v>
      </c>
      <c r="E2867" t="s">
        <v>9327</v>
      </c>
      <c r="F2867" t="s">
        <v>5984</v>
      </c>
      <c r="G2867" s="1">
        <v>5</v>
      </c>
      <c r="H2867" s="1">
        <v>4</v>
      </c>
      <c r="I2867" t="s">
        <v>183</v>
      </c>
      <c r="L2867" s="1">
        <v>6</v>
      </c>
      <c r="M2867" s="3">
        <v>14.01</v>
      </c>
      <c r="N2867" s="3">
        <v>0.7</v>
      </c>
      <c r="O2867" s="3">
        <v>0</v>
      </c>
      <c r="P2867" s="3">
        <v>0.6</v>
      </c>
      <c r="Q2867" s="3">
        <v>15.31</v>
      </c>
      <c r="R2867" s="3">
        <v>9.25</v>
      </c>
      <c r="S2867" s="3">
        <f>VLOOKUP(C2867,[1]page!$C$2:$M$3071,11,0)</f>
        <v>13.99</v>
      </c>
      <c r="T2867" s="6">
        <f t="shared" si="71"/>
        <v>1.9999999999999574E-2</v>
      </c>
    </row>
    <row r="2868" spans="1:20" x14ac:dyDescent="0.2">
      <c r="A2868" t="s">
        <v>8904</v>
      </c>
      <c r="B2868" t="s">
        <v>9334</v>
      </c>
      <c r="C2868" t="s">
        <v>9335</v>
      </c>
      <c r="D2868" t="s">
        <v>9336</v>
      </c>
      <c r="E2868" t="s">
        <v>9327</v>
      </c>
      <c r="F2868" t="s">
        <v>5861</v>
      </c>
      <c r="G2868" s="1">
        <v>5</v>
      </c>
      <c r="H2868" s="1">
        <v>2</v>
      </c>
      <c r="I2868" t="s">
        <v>183</v>
      </c>
      <c r="L2868" s="1">
        <v>12</v>
      </c>
      <c r="M2868" s="3">
        <v>26.38</v>
      </c>
      <c r="N2868" s="3">
        <v>1.32</v>
      </c>
      <c r="O2868" s="3">
        <v>0</v>
      </c>
      <c r="P2868" s="3">
        <v>1.2</v>
      </c>
      <c r="Q2868" s="3">
        <v>28.9</v>
      </c>
      <c r="R2868" s="3">
        <f t="shared" ref="R2868" si="74">SUM(F2868*0.0043)</f>
        <v>18.318000000000001</v>
      </c>
      <c r="S2868" s="3">
        <f>VLOOKUP(C2868,[1]page!$C$2:$M$3071,11,0)</f>
        <v>26.32</v>
      </c>
      <c r="T2868" s="6">
        <f t="shared" si="71"/>
        <v>5.9999999999998721E-2</v>
      </c>
    </row>
    <row r="2869" spans="1:20" x14ac:dyDescent="0.2">
      <c r="A2869" t="s">
        <v>8904</v>
      </c>
      <c r="B2869" t="s">
        <v>9337</v>
      </c>
      <c r="C2869" t="s">
        <v>9338</v>
      </c>
      <c r="D2869" t="s">
        <v>9339</v>
      </c>
      <c r="E2869" t="s">
        <v>9327</v>
      </c>
      <c r="F2869" t="s">
        <v>5984</v>
      </c>
      <c r="G2869" s="1">
        <v>6</v>
      </c>
      <c r="H2869" s="1">
        <v>4</v>
      </c>
      <c r="I2869" t="s">
        <v>183</v>
      </c>
      <c r="L2869" s="1">
        <v>6</v>
      </c>
      <c r="M2869" s="3">
        <v>14.42</v>
      </c>
      <c r="N2869" s="3">
        <v>0.72</v>
      </c>
      <c r="O2869" s="3">
        <v>0</v>
      </c>
      <c r="P2869" s="3">
        <v>0.6</v>
      </c>
      <c r="Q2869" s="3">
        <v>15.74</v>
      </c>
      <c r="R2869" s="3">
        <v>10.9</v>
      </c>
      <c r="S2869" s="3">
        <f>VLOOKUP(C2869,[1]page!$C$2:$M$3071,11,0)</f>
        <v>14.39</v>
      </c>
      <c r="T2869" s="6">
        <f t="shared" si="71"/>
        <v>2.9999999999999361E-2</v>
      </c>
    </row>
    <row r="2870" spans="1:20" x14ac:dyDescent="0.2">
      <c r="A2870" t="s">
        <v>8904</v>
      </c>
      <c r="B2870" t="s">
        <v>9340</v>
      </c>
      <c r="C2870" t="s">
        <v>9341</v>
      </c>
      <c r="D2870" t="s">
        <v>9342</v>
      </c>
      <c r="E2870" t="s">
        <v>9327</v>
      </c>
      <c r="F2870" t="s">
        <v>5984</v>
      </c>
      <c r="G2870" s="1">
        <v>5</v>
      </c>
      <c r="H2870" s="1">
        <v>4</v>
      </c>
      <c r="I2870" t="s">
        <v>183</v>
      </c>
      <c r="L2870" s="1">
        <v>6</v>
      </c>
      <c r="M2870" s="3">
        <v>14.01</v>
      </c>
      <c r="N2870" s="3">
        <v>0.7</v>
      </c>
      <c r="O2870" s="3">
        <v>0</v>
      </c>
      <c r="P2870" s="3">
        <v>0.6</v>
      </c>
      <c r="Q2870" s="3">
        <v>15.31</v>
      </c>
      <c r="R2870" s="3">
        <v>9.25</v>
      </c>
      <c r="S2870" s="3">
        <f>VLOOKUP(C2870,[1]page!$C$2:$M$3071,11,0)</f>
        <v>13.99</v>
      </c>
      <c r="T2870" s="6">
        <f t="shared" si="71"/>
        <v>1.9999999999999574E-2</v>
      </c>
    </row>
    <row r="2871" spans="1:20" x14ac:dyDescent="0.2">
      <c r="A2871" t="s">
        <v>8904</v>
      </c>
      <c r="B2871" t="s">
        <v>9343</v>
      </c>
      <c r="C2871" t="s">
        <v>9344</v>
      </c>
      <c r="D2871" t="s">
        <v>9345</v>
      </c>
      <c r="E2871" t="s">
        <v>9327</v>
      </c>
      <c r="F2871" t="s">
        <v>5861</v>
      </c>
      <c r="G2871" s="1">
        <v>6</v>
      </c>
      <c r="H2871" s="1">
        <v>2</v>
      </c>
      <c r="I2871" t="s">
        <v>183</v>
      </c>
      <c r="L2871" s="1">
        <v>12</v>
      </c>
      <c r="M2871" s="3">
        <v>27.17</v>
      </c>
      <c r="N2871" s="3">
        <v>1.36</v>
      </c>
      <c r="O2871" s="3">
        <v>0</v>
      </c>
      <c r="P2871" s="3">
        <v>1.2</v>
      </c>
      <c r="Q2871" s="3">
        <v>29.73</v>
      </c>
      <c r="R2871" s="3">
        <f>SUM(F2871*0.0051)</f>
        <v>21.726000000000003</v>
      </c>
      <c r="S2871" s="3">
        <f>VLOOKUP(C2871,[1]page!$C$2:$M$3071,11,0)</f>
        <v>27.11</v>
      </c>
      <c r="T2871" s="6">
        <f t="shared" si="71"/>
        <v>6.0000000000002274E-2</v>
      </c>
    </row>
    <row r="2872" spans="1:20" x14ac:dyDescent="0.2">
      <c r="A2872" t="s">
        <v>8904</v>
      </c>
      <c r="B2872" t="s">
        <v>9346</v>
      </c>
      <c r="C2872" t="s">
        <v>9347</v>
      </c>
      <c r="D2872" t="s">
        <v>9348</v>
      </c>
      <c r="E2872" t="s">
        <v>9327</v>
      </c>
      <c r="F2872" t="s">
        <v>5984</v>
      </c>
      <c r="G2872" s="1">
        <v>5</v>
      </c>
      <c r="H2872" s="1">
        <v>4</v>
      </c>
      <c r="I2872" t="s">
        <v>9349</v>
      </c>
      <c r="L2872" s="1">
        <v>6</v>
      </c>
      <c r="M2872" s="3">
        <v>14.42</v>
      </c>
      <c r="N2872" s="3">
        <v>0.72</v>
      </c>
      <c r="O2872" s="3">
        <v>0</v>
      </c>
      <c r="P2872" s="3">
        <v>0.6</v>
      </c>
      <c r="Q2872" s="3">
        <v>15.74</v>
      </c>
      <c r="R2872" s="3">
        <v>9.25</v>
      </c>
      <c r="S2872" s="3">
        <f>VLOOKUP(C2872,[1]page!$C$2:$M$3071,11,0)</f>
        <v>14.39</v>
      </c>
      <c r="T2872" s="6">
        <f t="shared" si="71"/>
        <v>2.9999999999999361E-2</v>
      </c>
    </row>
    <row r="2873" spans="1:20" x14ac:dyDescent="0.2">
      <c r="A2873" t="s">
        <v>8904</v>
      </c>
      <c r="B2873" t="s">
        <v>9350</v>
      </c>
      <c r="C2873" t="s">
        <v>9351</v>
      </c>
      <c r="D2873" t="s">
        <v>9352</v>
      </c>
      <c r="E2873" t="s">
        <v>9327</v>
      </c>
      <c r="F2873" t="s">
        <v>7091</v>
      </c>
      <c r="G2873" s="1">
        <v>7</v>
      </c>
      <c r="H2873" s="1">
        <v>3</v>
      </c>
      <c r="I2873" t="s">
        <v>183</v>
      </c>
      <c r="L2873" s="1">
        <v>8</v>
      </c>
      <c r="M2873" s="3">
        <v>18.29</v>
      </c>
      <c r="N2873" s="3">
        <v>0.91</v>
      </c>
      <c r="O2873" s="3">
        <v>0</v>
      </c>
      <c r="P2873" s="3">
        <v>0.8</v>
      </c>
      <c r="Q2873" s="3">
        <v>20</v>
      </c>
      <c r="R2873" s="3">
        <v>20.25</v>
      </c>
      <c r="S2873" s="3">
        <f>VLOOKUP(C2873,[1]page!$C$2:$M$3071,11,0)</f>
        <v>18.260000000000002</v>
      </c>
      <c r="T2873" s="6">
        <f t="shared" si="71"/>
        <v>2.9999999999997584E-2</v>
      </c>
    </row>
    <row r="2874" spans="1:20" x14ac:dyDescent="0.2">
      <c r="A2874" t="s">
        <v>8904</v>
      </c>
      <c r="B2874" t="s">
        <v>9353</v>
      </c>
      <c r="C2874" t="s">
        <v>9354</v>
      </c>
      <c r="D2874" t="s">
        <v>9355</v>
      </c>
      <c r="E2874" t="s">
        <v>9356</v>
      </c>
      <c r="F2874" t="s">
        <v>2097</v>
      </c>
      <c r="G2874" s="2">
        <v>12.5</v>
      </c>
      <c r="H2874" s="1">
        <v>20</v>
      </c>
      <c r="I2874" t="s">
        <v>169</v>
      </c>
      <c r="L2874" s="1">
        <v>1</v>
      </c>
      <c r="M2874" s="3">
        <v>6.94</v>
      </c>
      <c r="N2874" s="3">
        <v>0.35</v>
      </c>
      <c r="O2874" s="3">
        <v>0</v>
      </c>
      <c r="P2874" s="3">
        <v>0.2</v>
      </c>
      <c r="Q2874" s="3">
        <v>7.49</v>
      </c>
      <c r="R2874" s="3">
        <v>2.7</v>
      </c>
      <c r="S2874" s="3">
        <f>VLOOKUP(C2874,[1]page!$C$2:$M$3071,11,0)</f>
        <v>6.91</v>
      </c>
      <c r="T2874" s="6">
        <f t="shared" si="71"/>
        <v>3.0000000000000249E-2</v>
      </c>
    </row>
    <row r="2875" spans="1:20" x14ac:dyDescent="0.2">
      <c r="A2875" t="s">
        <v>8904</v>
      </c>
      <c r="B2875" t="s">
        <v>9357</v>
      </c>
      <c r="C2875" t="s">
        <v>9358</v>
      </c>
      <c r="D2875" t="s">
        <v>9359</v>
      </c>
      <c r="E2875" t="s">
        <v>9356</v>
      </c>
      <c r="F2875" t="s">
        <v>2097</v>
      </c>
      <c r="G2875" s="2">
        <v>13.5</v>
      </c>
      <c r="H2875" s="1">
        <v>20</v>
      </c>
      <c r="I2875" t="s">
        <v>169</v>
      </c>
      <c r="L2875" s="1">
        <v>1</v>
      </c>
      <c r="M2875" s="3">
        <v>7.04</v>
      </c>
      <c r="N2875" s="3">
        <v>0.35</v>
      </c>
      <c r="O2875" s="3">
        <v>0</v>
      </c>
      <c r="P2875" s="3">
        <v>0.2</v>
      </c>
      <c r="Q2875" s="3">
        <v>7.59</v>
      </c>
      <c r="R2875" s="3">
        <v>2.7</v>
      </c>
      <c r="S2875" s="3">
        <f>VLOOKUP(C2875,[1]page!$C$2:$M$3071,11,0)</f>
        <v>7.01</v>
      </c>
      <c r="T2875" s="6">
        <f t="shared" si="71"/>
        <v>3.0000000000000249E-2</v>
      </c>
    </row>
    <row r="2876" spans="1:20" x14ac:dyDescent="0.2">
      <c r="A2876" t="s">
        <v>8904</v>
      </c>
      <c r="B2876" t="s">
        <v>9360</v>
      </c>
      <c r="C2876" t="s">
        <v>9361</v>
      </c>
      <c r="D2876" t="s">
        <v>9362</v>
      </c>
      <c r="E2876" t="s">
        <v>9356</v>
      </c>
      <c r="F2876" t="s">
        <v>2097</v>
      </c>
      <c r="G2876" s="2">
        <v>13.5</v>
      </c>
      <c r="H2876" s="1">
        <v>20</v>
      </c>
      <c r="I2876" t="s">
        <v>169</v>
      </c>
      <c r="L2876" s="1">
        <v>1</v>
      </c>
      <c r="M2876" s="3">
        <v>7.04</v>
      </c>
      <c r="N2876" s="3">
        <v>0.35</v>
      </c>
      <c r="O2876" s="3">
        <v>0</v>
      </c>
      <c r="P2876" s="3">
        <v>0.2</v>
      </c>
      <c r="Q2876" s="3">
        <v>7.59</v>
      </c>
      <c r="R2876" s="3">
        <v>2.7</v>
      </c>
      <c r="S2876" s="3" t="e">
        <f>VLOOKUP(C2876,[1]page!$C$2:$M$3071,11,0)</f>
        <v>#N/A</v>
      </c>
      <c r="T2876" s="6" t="e">
        <f t="shared" si="71"/>
        <v>#N/A</v>
      </c>
    </row>
    <row r="2877" spans="1:20" x14ac:dyDescent="0.2">
      <c r="A2877" t="s">
        <v>8904</v>
      </c>
      <c r="B2877" t="s">
        <v>9363</v>
      </c>
      <c r="C2877" t="s">
        <v>9364</v>
      </c>
      <c r="D2877" t="s">
        <v>9365</v>
      </c>
      <c r="E2877" t="s">
        <v>9366</v>
      </c>
      <c r="F2877" t="s">
        <v>77</v>
      </c>
      <c r="G2877" s="1">
        <v>12</v>
      </c>
      <c r="H2877" s="1">
        <v>20</v>
      </c>
      <c r="I2877" t="s">
        <v>2802</v>
      </c>
      <c r="L2877" s="1">
        <v>1</v>
      </c>
      <c r="M2877" s="3">
        <v>7.08</v>
      </c>
      <c r="N2877" s="3">
        <v>0.35</v>
      </c>
      <c r="O2877" s="3">
        <v>0</v>
      </c>
      <c r="P2877" s="3">
        <v>0.2</v>
      </c>
      <c r="Q2877" s="3">
        <v>7.63</v>
      </c>
      <c r="R2877" s="3">
        <v>2.7</v>
      </c>
      <c r="S2877" s="3">
        <f>VLOOKUP(C2877,[1]page!$C$2:$M$3071,11,0)</f>
        <v>7.08</v>
      </c>
      <c r="T2877" s="6">
        <f t="shared" si="71"/>
        <v>0</v>
      </c>
    </row>
    <row r="2878" spans="1:20" x14ac:dyDescent="0.2">
      <c r="A2878" t="s">
        <v>8904</v>
      </c>
      <c r="B2878" t="s">
        <v>9367</v>
      </c>
      <c r="C2878" t="s">
        <v>9368</v>
      </c>
      <c r="D2878" t="s">
        <v>9369</v>
      </c>
      <c r="E2878" t="s">
        <v>9370</v>
      </c>
      <c r="F2878" t="s">
        <v>5861</v>
      </c>
      <c r="G2878" s="1">
        <v>5</v>
      </c>
      <c r="H2878" s="1">
        <v>2</v>
      </c>
      <c r="I2878" t="s">
        <v>178</v>
      </c>
      <c r="L2878" s="1">
        <v>12</v>
      </c>
      <c r="M2878" s="3">
        <v>27.49</v>
      </c>
      <c r="N2878" s="3">
        <v>1.37</v>
      </c>
      <c r="O2878" s="3">
        <v>0</v>
      </c>
      <c r="P2878" s="3">
        <v>1.2</v>
      </c>
      <c r="Q2878" s="3">
        <v>30.06</v>
      </c>
      <c r="R2878" s="3">
        <f t="shared" ref="R2878:R2881" si="75">SUM(F2878*0.0043)</f>
        <v>18.318000000000001</v>
      </c>
      <c r="S2878" s="3">
        <f>VLOOKUP(C2878,[1]page!$C$2:$M$3071,11,0)</f>
        <v>27.43</v>
      </c>
      <c r="T2878" s="6">
        <f t="shared" si="71"/>
        <v>5.9999999999998721E-2</v>
      </c>
    </row>
    <row r="2879" spans="1:20" x14ac:dyDescent="0.2">
      <c r="A2879" t="s">
        <v>8904</v>
      </c>
      <c r="B2879" t="s">
        <v>9371</v>
      </c>
      <c r="C2879" t="s">
        <v>9372</v>
      </c>
      <c r="D2879" t="s">
        <v>9373</v>
      </c>
      <c r="E2879" t="s">
        <v>9370</v>
      </c>
      <c r="F2879" t="s">
        <v>5861</v>
      </c>
      <c r="G2879" s="1">
        <v>5</v>
      </c>
      <c r="H2879" s="1">
        <v>2</v>
      </c>
      <c r="I2879" t="s">
        <v>178</v>
      </c>
      <c r="L2879" s="1">
        <v>12</v>
      </c>
      <c r="M2879" s="3">
        <v>27.56</v>
      </c>
      <c r="N2879" s="3">
        <v>1.38</v>
      </c>
      <c r="O2879" s="3">
        <v>0</v>
      </c>
      <c r="P2879" s="3">
        <v>1.2</v>
      </c>
      <c r="Q2879" s="3">
        <v>30.14</v>
      </c>
      <c r="R2879" s="3">
        <f t="shared" si="75"/>
        <v>18.318000000000001</v>
      </c>
      <c r="S2879" s="3">
        <f>VLOOKUP(C2879,[1]page!$C$2:$M$3071,11,0)</f>
        <v>27.5</v>
      </c>
      <c r="T2879" s="6">
        <f t="shared" si="71"/>
        <v>5.9999999999998721E-2</v>
      </c>
    </row>
    <row r="2880" spans="1:20" x14ac:dyDescent="0.2">
      <c r="A2880" t="s">
        <v>8904</v>
      </c>
      <c r="B2880" t="s">
        <v>9374</v>
      </c>
      <c r="C2880" t="s">
        <v>9375</v>
      </c>
      <c r="D2880" t="s">
        <v>9376</v>
      </c>
      <c r="E2880" t="s">
        <v>9370</v>
      </c>
      <c r="F2880" t="s">
        <v>5861</v>
      </c>
      <c r="G2880" s="1">
        <v>5</v>
      </c>
      <c r="H2880" s="1">
        <v>2</v>
      </c>
      <c r="I2880" t="s">
        <v>178</v>
      </c>
      <c r="L2880" s="1">
        <v>12</v>
      </c>
      <c r="M2880" s="3">
        <v>27.56</v>
      </c>
      <c r="N2880" s="3">
        <v>1.38</v>
      </c>
      <c r="O2880" s="3">
        <v>0</v>
      </c>
      <c r="P2880" s="3">
        <v>1.2</v>
      </c>
      <c r="Q2880" s="3">
        <v>30.14</v>
      </c>
      <c r="R2880" s="3">
        <f t="shared" si="75"/>
        <v>18.318000000000001</v>
      </c>
      <c r="S2880" s="3">
        <f>VLOOKUP(C2880,[1]page!$C$2:$M$3071,11,0)</f>
        <v>27.5</v>
      </c>
      <c r="T2880" s="6">
        <f t="shared" si="71"/>
        <v>5.9999999999998721E-2</v>
      </c>
    </row>
    <row r="2881" spans="1:20" x14ac:dyDescent="0.2">
      <c r="A2881" t="s">
        <v>8904</v>
      </c>
      <c r="B2881" t="s">
        <v>9377</v>
      </c>
      <c r="C2881" t="s">
        <v>9378</v>
      </c>
      <c r="D2881" t="s">
        <v>9379</v>
      </c>
      <c r="E2881" t="s">
        <v>9370</v>
      </c>
      <c r="F2881" t="s">
        <v>5861</v>
      </c>
      <c r="G2881" s="1">
        <v>5</v>
      </c>
      <c r="H2881" s="1">
        <v>2</v>
      </c>
      <c r="I2881" t="s">
        <v>178</v>
      </c>
      <c r="L2881" s="1">
        <v>12</v>
      </c>
      <c r="M2881" s="3">
        <v>27.56</v>
      </c>
      <c r="N2881" s="3">
        <v>1.38</v>
      </c>
      <c r="O2881" s="3">
        <v>0</v>
      </c>
      <c r="P2881" s="3">
        <v>1.2</v>
      </c>
      <c r="Q2881" s="3">
        <v>30.14</v>
      </c>
      <c r="R2881" s="3">
        <f t="shared" si="75"/>
        <v>18.318000000000001</v>
      </c>
      <c r="S2881" s="3">
        <f>VLOOKUP(C2881,[1]page!$C$2:$M$3071,11,0)</f>
        <v>27.5</v>
      </c>
      <c r="T2881" s="6">
        <f t="shared" si="71"/>
        <v>5.9999999999998721E-2</v>
      </c>
    </row>
    <row r="2882" spans="1:20" x14ac:dyDescent="0.2">
      <c r="A2882" t="s">
        <v>8904</v>
      </c>
      <c r="B2882" t="s">
        <v>9380</v>
      </c>
      <c r="C2882" t="s">
        <v>9381</v>
      </c>
      <c r="D2882" t="s">
        <v>9382</v>
      </c>
      <c r="E2882" t="s">
        <v>9370</v>
      </c>
      <c r="F2882" t="s">
        <v>5855</v>
      </c>
      <c r="G2882" s="1">
        <v>5</v>
      </c>
      <c r="H2882" s="1">
        <v>24</v>
      </c>
      <c r="I2882" t="s">
        <v>178</v>
      </c>
      <c r="L2882" s="1">
        <v>1</v>
      </c>
      <c r="M2882" s="3">
        <v>0.93</v>
      </c>
      <c r="N2882" s="3">
        <v>0.05</v>
      </c>
      <c r="O2882" s="3">
        <v>0</v>
      </c>
      <c r="P2882" s="3">
        <v>0.1</v>
      </c>
      <c r="Q2882" s="3">
        <v>1.08</v>
      </c>
      <c r="R2882" s="3">
        <v>2.2999999999999998</v>
      </c>
      <c r="S2882" s="3" t="e">
        <f>VLOOKUP(C2882,[1]page!$C$2:$M$3071,11,0)</f>
        <v>#N/A</v>
      </c>
      <c r="T2882" s="6" t="e">
        <f t="shared" si="71"/>
        <v>#N/A</v>
      </c>
    </row>
    <row r="2883" spans="1:20" x14ac:dyDescent="0.2">
      <c r="A2883" t="s">
        <v>8904</v>
      </c>
      <c r="B2883" t="s">
        <v>9383</v>
      </c>
      <c r="C2883" t="s">
        <v>9384</v>
      </c>
      <c r="D2883" t="s">
        <v>9385</v>
      </c>
      <c r="E2883" t="s">
        <v>9370</v>
      </c>
      <c r="F2883" t="s">
        <v>5861</v>
      </c>
      <c r="G2883" s="1">
        <v>5</v>
      </c>
      <c r="H2883" s="1">
        <v>2</v>
      </c>
      <c r="I2883" t="s">
        <v>178</v>
      </c>
      <c r="L2883" s="1">
        <v>12</v>
      </c>
      <c r="M2883" s="3">
        <v>27.56</v>
      </c>
      <c r="N2883" s="3">
        <v>1.38</v>
      </c>
      <c r="O2883" s="3">
        <v>0</v>
      </c>
      <c r="P2883" s="3">
        <v>1.2</v>
      </c>
      <c r="Q2883" s="3">
        <v>30.14</v>
      </c>
      <c r="R2883" s="3">
        <f t="shared" ref="R2883:R2884" si="76">SUM(F2883*0.0043)</f>
        <v>18.318000000000001</v>
      </c>
      <c r="S2883" s="3">
        <f>VLOOKUP(C2883,[1]page!$C$2:$M$3071,11,0)</f>
        <v>27.5</v>
      </c>
      <c r="T2883" s="6">
        <f t="shared" si="71"/>
        <v>5.9999999999998721E-2</v>
      </c>
    </row>
    <row r="2884" spans="1:20" x14ac:dyDescent="0.2">
      <c r="A2884" t="s">
        <v>8904</v>
      </c>
      <c r="B2884" t="s">
        <v>9386</v>
      </c>
      <c r="C2884" t="s">
        <v>9387</v>
      </c>
      <c r="D2884" t="s">
        <v>9388</v>
      </c>
      <c r="E2884" t="s">
        <v>9370</v>
      </c>
      <c r="F2884" t="s">
        <v>5861</v>
      </c>
      <c r="G2884" s="1">
        <v>5</v>
      </c>
      <c r="H2884" s="1">
        <v>2</v>
      </c>
      <c r="I2884" t="s">
        <v>178</v>
      </c>
      <c r="L2884" s="1">
        <v>12</v>
      </c>
      <c r="M2884" s="3">
        <v>27.56</v>
      </c>
      <c r="N2884" s="3">
        <v>1.38</v>
      </c>
      <c r="O2884" s="3">
        <v>0</v>
      </c>
      <c r="P2884" s="3">
        <v>1.2</v>
      </c>
      <c r="Q2884" s="3">
        <v>30.14</v>
      </c>
      <c r="R2884" s="3">
        <f t="shared" si="76"/>
        <v>18.318000000000001</v>
      </c>
      <c r="S2884" s="3">
        <f>VLOOKUP(C2884,[1]page!$C$2:$M$3071,11,0)</f>
        <v>27.5</v>
      </c>
      <c r="T2884" s="6">
        <f t="shared" si="71"/>
        <v>5.9999999999998721E-2</v>
      </c>
    </row>
    <row r="2885" spans="1:20" x14ac:dyDescent="0.2">
      <c r="A2885" t="s">
        <v>8904</v>
      </c>
      <c r="B2885" t="s">
        <v>9389</v>
      </c>
      <c r="C2885" t="s">
        <v>9390</v>
      </c>
      <c r="D2885" t="s">
        <v>9391</v>
      </c>
      <c r="E2885" t="s">
        <v>9392</v>
      </c>
      <c r="F2885" t="s">
        <v>1237</v>
      </c>
      <c r="G2885" s="2">
        <v>6.8</v>
      </c>
      <c r="H2885" s="1">
        <v>12</v>
      </c>
      <c r="I2885" t="s">
        <v>9393</v>
      </c>
      <c r="L2885" s="1">
        <v>6</v>
      </c>
      <c r="M2885" s="3">
        <v>13.51</v>
      </c>
      <c r="N2885" s="3">
        <v>0.68</v>
      </c>
      <c r="O2885" s="3">
        <v>0</v>
      </c>
      <c r="P2885" s="3">
        <v>0</v>
      </c>
      <c r="Q2885" s="3">
        <v>14.19</v>
      </c>
      <c r="R2885" s="3">
        <v>6.95</v>
      </c>
      <c r="S2885" s="3">
        <f>VLOOKUP(C2885,[1]page!$C$2:$M$3071,11,0)</f>
        <v>13.5</v>
      </c>
      <c r="T2885" s="6">
        <f t="shared" si="71"/>
        <v>9.9999999999997868E-3</v>
      </c>
    </row>
    <row r="2886" spans="1:20" x14ac:dyDescent="0.2">
      <c r="A2886" t="s">
        <v>8904</v>
      </c>
      <c r="B2886" t="s">
        <v>9394</v>
      </c>
      <c r="C2886" t="s">
        <v>9395</v>
      </c>
      <c r="D2886" t="s">
        <v>9396</v>
      </c>
      <c r="E2886" t="s">
        <v>9397</v>
      </c>
      <c r="F2886" t="s">
        <v>6076</v>
      </c>
      <c r="G2886" s="1">
        <v>5</v>
      </c>
      <c r="H2886" s="1">
        <v>2</v>
      </c>
      <c r="I2886" t="s">
        <v>1006</v>
      </c>
      <c r="L2886" s="1">
        <v>12</v>
      </c>
      <c r="M2886" s="3">
        <v>28.85</v>
      </c>
      <c r="N2886" s="3">
        <v>1.44</v>
      </c>
      <c r="O2886" s="3">
        <v>0</v>
      </c>
      <c r="P2886" s="3">
        <v>1.2</v>
      </c>
      <c r="Q2886" s="3">
        <v>31.49</v>
      </c>
      <c r="R2886" s="3">
        <v>17.75</v>
      </c>
      <c r="S2886" s="3">
        <f>VLOOKUP(C2886,[1]page!$C$2:$M$3071,11,0)</f>
        <v>28.8</v>
      </c>
      <c r="T2886" s="6">
        <f t="shared" si="71"/>
        <v>5.0000000000000711E-2</v>
      </c>
    </row>
    <row r="2887" spans="1:20" x14ac:dyDescent="0.2">
      <c r="A2887" t="s">
        <v>8904</v>
      </c>
      <c r="B2887" t="s">
        <v>9398</v>
      </c>
      <c r="C2887" t="s">
        <v>9399</v>
      </c>
      <c r="D2887" t="s">
        <v>9400</v>
      </c>
      <c r="E2887" t="s">
        <v>9401</v>
      </c>
      <c r="F2887" t="s">
        <v>3080</v>
      </c>
      <c r="G2887" s="1">
        <v>7</v>
      </c>
      <c r="H2887" s="1">
        <v>8</v>
      </c>
      <c r="I2887" t="s">
        <v>9402</v>
      </c>
      <c r="L2887" s="1">
        <v>1</v>
      </c>
      <c r="M2887" s="3">
        <v>10.029999999999999</v>
      </c>
      <c r="N2887" s="3">
        <v>0.5</v>
      </c>
      <c r="O2887" s="3">
        <v>0</v>
      </c>
      <c r="P2887" s="3">
        <v>0.25</v>
      </c>
      <c r="Q2887" s="3">
        <v>10.78</v>
      </c>
      <c r="R2887" s="3">
        <v>10.55</v>
      </c>
      <c r="S2887" s="3">
        <f>VLOOKUP(C2887,[1]page!$C$2:$M$3071,11,0)</f>
        <v>10.029999999999999</v>
      </c>
      <c r="T2887" s="6">
        <f t="shared" si="71"/>
        <v>0</v>
      </c>
    </row>
    <row r="2888" spans="1:20" x14ac:dyDescent="0.2">
      <c r="A2888" t="s">
        <v>8904</v>
      </c>
      <c r="B2888" t="s">
        <v>9403</v>
      </c>
      <c r="C2888" t="s">
        <v>9404</v>
      </c>
      <c r="D2888" t="s">
        <v>9405</v>
      </c>
      <c r="E2888" t="s">
        <v>9401</v>
      </c>
      <c r="F2888" t="s">
        <v>3080</v>
      </c>
      <c r="G2888" s="1">
        <v>7</v>
      </c>
      <c r="H2888" s="1">
        <v>8</v>
      </c>
      <c r="I2888" t="s">
        <v>9402</v>
      </c>
      <c r="L2888" s="1">
        <v>1</v>
      </c>
      <c r="M2888" s="3">
        <v>10.029999999999999</v>
      </c>
      <c r="N2888" s="3">
        <v>0.5</v>
      </c>
      <c r="O2888" s="3">
        <v>0</v>
      </c>
      <c r="P2888" s="3">
        <v>0.25</v>
      </c>
      <c r="Q2888" s="3">
        <v>10.78</v>
      </c>
      <c r="R2888" s="3">
        <v>10.55</v>
      </c>
      <c r="S2888" s="3">
        <f>VLOOKUP(C2888,[1]page!$C$2:$M$3071,11,0)</f>
        <v>10.029999999999999</v>
      </c>
      <c r="T2888" s="6">
        <f t="shared" si="71"/>
        <v>0</v>
      </c>
    </row>
    <row r="2889" spans="1:20" x14ac:dyDescent="0.2">
      <c r="A2889" t="s">
        <v>8904</v>
      </c>
      <c r="B2889" t="s">
        <v>9406</v>
      </c>
      <c r="C2889" t="s">
        <v>9407</v>
      </c>
      <c r="D2889" t="s">
        <v>9408</v>
      </c>
      <c r="E2889" t="s">
        <v>9401</v>
      </c>
      <c r="F2889" t="s">
        <v>3080</v>
      </c>
      <c r="G2889" s="1">
        <v>7</v>
      </c>
      <c r="H2889" s="1">
        <v>8</v>
      </c>
      <c r="I2889" t="s">
        <v>9402</v>
      </c>
      <c r="L2889" s="1">
        <v>1</v>
      </c>
      <c r="M2889" s="3">
        <v>10.029999999999999</v>
      </c>
      <c r="N2889" s="3">
        <v>0.5</v>
      </c>
      <c r="O2889" s="3">
        <v>0</v>
      </c>
      <c r="P2889" s="3">
        <v>0.25</v>
      </c>
      <c r="Q2889" s="3">
        <v>10.78</v>
      </c>
      <c r="R2889" s="3">
        <v>10.55</v>
      </c>
      <c r="S2889" s="3">
        <f>VLOOKUP(C2889,[1]page!$C$2:$M$3071,11,0)</f>
        <v>10.029999999999999</v>
      </c>
      <c r="T2889" s="6">
        <f t="shared" si="71"/>
        <v>0</v>
      </c>
    </row>
    <row r="2890" spans="1:20" x14ac:dyDescent="0.2">
      <c r="A2890" t="s">
        <v>8904</v>
      </c>
      <c r="B2890" t="s">
        <v>9409</v>
      </c>
      <c r="C2890" t="s">
        <v>9410</v>
      </c>
      <c r="D2890" t="s">
        <v>9411</v>
      </c>
      <c r="E2890" t="s">
        <v>9401</v>
      </c>
      <c r="F2890" t="s">
        <v>5861</v>
      </c>
      <c r="G2890" s="1">
        <v>7</v>
      </c>
      <c r="H2890" s="1">
        <v>2</v>
      </c>
      <c r="I2890" t="s">
        <v>9402</v>
      </c>
      <c r="L2890" s="1">
        <v>12</v>
      </c>
      <c r="M2890" s="3">
        <v>26.16</v>
      </c>
      <c r="N2890" s="3">
        <v>1.31</v>
      </c>
      <c r="O2890" s="3">
        <v>0</v>
      </c>
      <c r="P2890" s="3">
        <v>1.2</v>
      </c>
      <c r="Q2890" s="3">
        <v>28.67</v>
      </c>
      <c r="R2890" s="3">
        <f>SUM(F2890*0.0051)</f>
        <v>21.726000000000003</v>
      </c>
      <c r="S2890" s="3">
        <f>VLOOKUP(C2890,[1]page!$C$2:$M$3071,11,0)</f>
        <v>26.16</v>
      </c>
      <c r="T2890" s="6">
        <f t="shared" si="71"/>
        <v>0</v>
      </c>
    </row>
    <row r="2891" spans="1:20" x14ac:dyDescent="0.2">
      <c r="A2891" t="s">
        <v>8904</v>
      </c>
      <c r="B2891" t="s">
        <v>9412</v>
      </c>
      <c r="C2891" t="s">
        <v>9413</v>
      </c>
      <c r="D2891" t="s">
        <v>9414</v>
      </c>
      <c r="E2891" t="s">
        <v>9401</v>
      </c>
      <c r="F2891" t="s">
        <v>3080</v>
      </c>
      <c r="G2891" s="1">
        <v>7</v>
      </c>
      <c r="H2891" s="1">
        <v>8</v>
      </c>
      <c r="I2891" t="s">
        <v>9402</v>
      </c>
      <c r="L2891" s="1">
        <v>1</v>
      </c>
      <c r="M2891" s="3">
        <v>10.029999999999999</v>
      </c>
      <c r="N2891" s="3">
        <v>0.5</v>
      </c>
      <c r="O2891" s="3">
        <v>0</v>
      </c>
      <c r="P2891" s="3">
        <v>0.25</v>
      </c>
      <c r="Q2891" s="3">
        <v>10.78</v>
      </c>
      <c r="R2891" s="3">
        <v>10.55</v>
      </c>
      <c r="S2891" s="3">
        <f>VLOOKUP(C2891,[1]page!$C$2:$M$3071,11,0)</f>
        <v>10.029999999999999</v>
      </c>
      <c r="T2891" s="6">
        <f t="shared" si="71"/>
        <v>0</v>
      </c>
    </row>
    <row r="2892" spans="1:20" x14ac:dyDescent="0.2">
      <c r="A2892" t="s">
        <v>8904</v>
      </c>
      <c r="B2892" t="s">
        <v>9415</v>
      </c>
      <c r="C2892" t="s">
        <v>9416</v>
      </c>
      <c r="D2892" t="s">
        <v>9417</v>
      </c>
      <c r="E2892" t="s">
        <v>9401</v>
      </c>
      <c r="F2892" t="s">
        <v>3080</v>
      </c>
      <c r="G2892" s="1">
        <v>7</v>
      </c>
      <c r="H2892" s="1">
        <v>8</v>
      </c>
      <c r="I2892" t="s">
        <v>9402</v>
      </c>
      <c r="L2892" s="1">
        <v>1</v>
      </c>
      <c r="M2892" s="3">
        <v>10.029999999999999</v>
      </c>
      <c r="N2892" s="3">
        <v>0.5</v>
      </c>
      <c r="O2892" s="3">
        <v>0</v>
      </c>
      <c r="P2892" s="3">
        <v>0.25</v>
      </c>
      <c r="Q2892" s="3">
        <v>10.78</v>
      </c>
      <c r="R2892" s="3">
        <v>10.55</v>
      </c>
      <c r="S2892" s="3">
        <f>VLOOKUP(C2892,[1]page!$C$2:$M$3071,11,0)</f>
        <v>10.029999999999999</v>
      </c>
      <c r="T2892" s="6">
        <f t="shared" si="71"/>
        <v>0</v>
      </c>
    </row>
    <row r="2893" spans="1:20" x14ac:dyDescent="0.2">
      <c r="A2893" t="s">
        <v>8904</v>
      </c>
      <c r="B2893" t="s">
        <v>9418</v>
      </c>
      <c r="C2893" t="s">
        <v>9419</v>
      </c>
      <c r="D2893" t="s">
        <v>9420</v>
      </c>
      <c r="E2893" t="s">
        <v>9401</v>
      </c>
      <c r="F2893" t="s">
        <v>3080</v>
      </c>
      <c r="G2893" s="1">
        <v>7</v>
      </c>
      <c r="H2893" s="1">
        <v>8</v>
      </c>
      <c r="I2893" t="s">
        <v>9402</v>
      </c>
      <c r="L2893" s="1">
        <v>1</v>
      </c>
      <c r="M2893" s="3">
        <v>10.029999999999999</v>
      </c>
      <c r="N2893" s="3">
        <v>0.5</v>
      </c>
      <c r="O2893" s="3">
        <v>0</v>
      </c>
      <c r="P2893" s="3">
        <v>0.25</v>
      </c>
      <c r="Q2893" s="3">
        <v>10.78</v>
      </c>
      <c r="R2893" s="3">
        <v>10.55</v>
      </c>
      <c r="S2893" s="3">
        <f>VLOOKUP(C2893,[1]page!$C$2:$M$3071,11,0)</f>
        <v>10.029999999999999</v>
      </c>
      <c r="T2893" s="6">
        <f t="shared" si="71"/>
        <v>0</v>
      </c>
    </row>
    <row r="2894" spans="1:20" x14ac:dyDescent="0.2">
      <c r="A2894" t="s">
        <v>8904</v>
      </c>
      <c r="B2894" t="s">
        <v>9421</v>
      </c>
      <c r="C2894" t="s">
        <v>9422</v>
      </c>
      <c r="D2894" t="s">
        <v>9423</v>
      </c>
      <c r="E2894" t="s">
        <v>6132</v>
      </c>
      <c r="F2894" t="s">
        <v>719</v>
      </c>
      <c r="G2894" s="1">
        <v>5</v>
      </c>
      <c r="H2894" s="1">
        <v>4</v>
      </c>
      <c r="I2894" t="s">
        <v>6133</v>
      </c>
      <c r="L2894" s="1">
        <v>6</v>
      </c>
      <c r="M2894" s="3">
        <v>13.19</v>
      </c>
      <c r="N2894" s="3">
        <v>0.66</v>
      </c>
      <c r="O2894" s="3">
        <v>0</v>
      </c>
      <c r="P2894" s="3">
        <v>0.6</v>
      </c>
      <c r="Q2894" s="3">
        <v>14.45</v>
      </c>
      <c r="R2894" s="3">
        <v>9.15</v>
      </c>
      <c r="S2894" s="3">
        <f>VLOOKUP(C2894,[1]page!$C$2:$M$3071,11,0)</f>
        <v>13.06</v>
      </c>
      <c r="T2894" s="6">
        <f t="shared" si="71"/>
        <v>0.12999999999999901</v>
      </c>
    </row>
    <row r="2895" spans="1:20" x14ac:dyDescent="0.2">
      <c r="A2895" t="s">
        <v>8904</v>
      </c>
      <c r="B2895" t="s">
        <v>9424</v>
      </c>
      <c r="C2895" t="s">
        <v>9425</v>
      </c>
      <c r="D2895" t="s">
        <v>9426</v>
      </c>
      <c r="E2895" t="s">
        <v>6132</v>
      </c>
      <c r="F2895" t="s">
        <v>719</v>
      </c>
      <c r="G2895" s="1">
        <v>5</v>
      </c>
      <c r="H2895" s="1">
        <v>4</v>
      </c>
      <c r="I2895" t="s">
        <v>6133</v>
      </c>
      <c r="L2895" s="1">
        <v>6</v>
      </c>
      <c r="M2895" s="3">
        <v>13.19</v>
      </c>
      <c r="N2895" s="3">
        <v>0.66</v>
      </c>
      <c r="O2895" s="3">
        <v>0</v>
      </c>
      <c r="P2895" s="3">
        <v>0.6</v>
      </c>
      <c r="Q2895" s="3">
        <v>14.45</v>
      </c>
      <c r="R2895" s="3">
        <v>9.15</v>
      </c>
      <c r="S2895" s="3">
        <f>VLOOKUP(C2895,[1]page!$C$2:$M$3071,11,0)</f>
        <v>13.06</v>
      </c>
      <c r="T2895" s="6">
        <f t="shared" si="71"/>
        <v>0.12999999999999901</v>
      </c>
    </row>
    <row r="2896" spans="1:20" x14ac:dyDescent="0.2">
      <c r="A2896" t="s">
        <v>8904</v>
      </c>
      <c r="B2896" t="s">
        <v>9427</v>
      </c>
      <c r="C2896" t="s">
        <v>9428</v>
      </c>
      <c r="D2896" t="s">
        <v>9429</v>
      </c>
      <c r="E2896" t="s">
        <v>6132</v>
      </c>
      <c r="F2896" t="s">
        <v>6139</v>
      </c>
      <c r="G2896" s="1">
        <v>5</v>
      </c>
      <c r="H2896" s="1">
        <v>12</v>
      </c>
      <c r="I2896" t="s">
        <v>6133</v>
      </c>
      <c r="L2896" s="1">
        <v>1</v>
      </c>
      <c r="M2896" s="3">
        <v>4.0199999999999996</v>
      </c>
      <c r="N2896" s="3">
        <v>0.2</v>
      </c>
      <c r="O2896" s="3">
        <v>0</v>
      </c>
      <c r="P2896" s="3">
        <v>0.1</v>
      </c>
      <c r="Q2896" s="3">
        <v>4.32</v>
      </c>
      <c r="R2896" s="3">
        <f t="shared" ref="R2896" si="77">SUM(F2896*0.0043)</f>
        <v>3.0529999999999999</v>
      </c>
      <c r="S2896" s="3">
        <f>VLOOKUP(C2896,[1]page!$C$2:$M$3071,11,0)</f>
        <v>4.01</v>
      </c>
      <c r="T2896" s="6">
        <f t="shared" si="71"/>
        <v>9.9999999999997868E-3</v>
      </c>
    </row>
    <row r="2897" spans="1:20" x14ac:dyDescent="0.2">
      <c r="A2897" t="s">
        <v>8904</v>
      </c>
      <c r="B2897" t="s">
        <v>9430</v>
      </c>
      <c r="C2897" t="s">
        <v>9431</v>
      </c>
      <c r="D2897" t="s">
        <v>9432</v>
      </c>
      <c r="E2897" t="s">
        <v>6132</v>
      </c>
      <c r="F2897" t="s">
        <v>6076</v>
      </c>
      <c r="G2897" s="1">
        <v>5</v>
      </c>
      <c r="H2897" s="1">
        <v>2</v>
      </c>
      <c r="I2897" t="s">
        <v>6133</v>
      </c>
      <c r="L2897" s="1">
        <v>12</v>
      </c>
      <c r="M2897" s="3">
        <v>25.38</v>
      </c>
      <c r="N2897" s="3">
        <v>1.27</v>
      </c>
      <c r="O2897" s="3">
        <v>0</v>
      </c>
      <c r="P2897" s="3">
        <v>1.2</v>
      </c>
      <c r="Q2897" s="3">
        <v>27.85</v>
      </c>
      <c r="R2897" s="3">
        <v>17.75</v>
      </c>
      <c r="S2897" s="3">
        <f>VLOOKUP(C2897,[1]page!$C$2:$M$3071,11,0)</f>
        <v>25.29</v>
      </c>
      <c r="T2897" s="6">
        <f t="shared" si="71"/>
        <v>8.9999999999999858E-2</v>
      </c>
    </row>
    <row r="2898" spans="1:20" x14ac:dyDescent="0.2">
      <c r="A2898" t="s">
        <v>8904</v>
      </c>
      <c r="B2898" t="s">
        <v>9433</v>
      </c>
      <c r="C2898" t="s">
        <v>9434</v>
      </c>
      <c r="D2898" t="s">
        <v>9435</v>
      </c>
      <c r="E2898" t="s">
        <v>6132</v>
      </c>
      <c r="F2898" t="s">
        <v>5861</v>
      </c>
      <c r="G2898" s="1">
        <v>5</v>
      </c>
      <c r="H2898" s="1">
        <v>2</v>
      </c>
      <c r="I2898" t="s">
        <v>6133</v>
      </c>
      <c r="L2898" s="1">
        <v>12</v>
      </c>
      <c r="M2898" s="3">
        <v>26.24</v>
      </c>
      <c r="N2898" s="3">
        <v>1.31</v>
      </c>
      <c r="O2898" s="3">
        <v>0</v>
      </c>
      <c r="P2898" s="3">
        <v>1.2</v>
      </c>
      <c r="Q2898" s="3">
        <v>28.75</v>
      </c>
      <c r="R2898" s="3">
        <f t="shared" ref="R2898" si="78">SUM(F2898*0.0043)</f>
        <v>18.318000000000001</v>
      </c>
      <c r="S2898" s="3">
        <f>VLOOKUP(C2898,[1]page!$C$2:$M$3071,11,0)</f>
        <v>26.18</v>
      </c>
      <c r="T2898" s="6">
        <f t="shared" si="71"/>
        <v>5.9999999999998721E-2</v>
      </c>
    </row>
    <row r="2899" spans="1:20" x14ac:dyDescent="0.2">
      <c r="A2899" t="s">
        <v>8904</v>
      </c>
      <c r="B2899" t="s">
        <v>9436</v>
      </c>
      <c r="C2899" t="s">
        <v>9437</v>
      </c>
      <c r="D2899" t="s">
        <v>9438</v>
      </c>
      <c r="E2899" t="s">
        <v>6132</v>
      </c>
      <c r="F2899" t="s">
        <v>9439</v>
      </c>
      <c r="G2899" s="1">
        <v>7</v>
      </c>
      <c r="H2899" s="1">
        <v>24</v>
      </c>
      <c r="I2899" t="s">
        <v>6133</v>
      </c>
      <c r="L2899" s="1">
        <v>1</v>
      </c>
      <c r="M2899" s="3">
        <v>2.95</v>
      </c>
      <c r="N2899" s="3">
        <v>0.15</v>
      </c>
      <c r="O2899" s="3">
        <v>0</v>
      </c>
      <c r="P2899" s="3">
        <v>0.1</v>
      </c>
      <c r="Q2899" s="3">
        <v>3.2</v>
      </c>
      <c r="R2899" s="3">
        <v>2.7</v>
      </c>
      <c r="S2899" s="3">
        <f>VLOOKUP(C2899,[1]page!$C$2:$M$3071,11,0)</f>
        <v>2.92</v>
      </c>
      <c r="T2899" s="6">
        <f t="shared" si="71"/>
        <v>3.0000000000000249E-2</v>
      </c>
    </row>
    <row r="2900" spans="1:20" x14ac:dyDescent="0.2">
      <c r="A2900" t="s">
        <v>8904</v>
      </c>
      <c r="B2900" t="s">
        <v>9440</v>
      </c>
      <c r="C2900" t="s">
        <v>9441</v>
      </c>
      <c r="D2900" t="s">
        <v>9442</v>
      </c>
      <c r="E2900" t="s">
        <v>6132</v>
      </c>
      <c r="F2900" t="s">
        <v>719</v>
      </c>
      <c r="G2900" s="1">
        <v>5</v>
      </c>
      <c r="H2900" s="1">
        <v>4</v>
      </c>
      <c r="I2900" t="s">
        <v>6133</v>
      </c>
      <c r="L2900" s="1">
        <v>6</v>
      </c>
      <c r="M2900" s="3">
        <v>13.08</v>
      </c>
      <c r="N2900" s="3">
        <v>0.65</v>
      </c>
      <c r="O2900" s="3">
        <v>0</v>
      </c>
      <c r="P2900" s="3">
        <v>0.6</v>
      </c>
      <c r="Q2900" s="3">
        <v>14.33</v>
      </c>
      <c r="R2900" s="3">
        <v>9.15</v>
      </c>
      <c r="S2900" s="3">
        <f>VLOOKUP(C2900,[1]page!$C$2:$M$3071,11,0)</f>
        <v>13.06</v>
      </c>
      <c r="T2900" s="6">
        <f t="shared" si="71"/>
        <v>1.9999999999999574E-2</v>
      </c>
    </row>
    <row r="2901" spans="1:20" x14ac:dyDescent="0.2">
      <c r="A2901" t="s">
        <v>8904</v>
      </c>
      <c r="B2901" t="s">
        <v>9443</v>
      </c>
      <c r="C2901" t="s">
        <v>9444</v>
      </c>
      <c r="D2901" t="s">
        <v>9445</v>
      </c>
      <c r="E2901" t="s">
        <v>6132</v>
      </c>
      <c r="F2901" t="s">
        <v>6076</v>
      </c>
      <c r="G2901" s="1">
        <v>5</v>
      </c>
      <c r="H2901" s="1">
        <v>2</v>
      </c>
      <c r="I2901" t="s">
        <v>6133</v>
      </c>
      <c r="L2901" s="1">
        <v>12</v>
      </c>
      <c r="M2901" s="3">
        <v>25.76</v>
      </c>
      <c r="N2901" s="3">
        <v>1.29</v>
      </c>
      <c r="O2901" s="3">
        <v>0</v>
      </c>
      <c r="P2901" s="3">
        <v>1.2</v>
      </c>
      <c r="Q2901" s="3">
        <v>28.25</v>
      </c>
      <c r="R2901" s="3">
        <v>17.75</v>
      </c>
      <c r="S2901" s="3">
        <f>VLOOKUP(C2901,[1]page!$C$2:$M$3071,11,0)</f>
        <v>25.7</v>
      </c>
      <c r="T2901" s="6">
        <f t="shared" si="71"/>
        <v>6.0000000000002274E-2</v>
      </c>
    </row>
    <row r="2902" spans="1:20" x14ac:dyDescent="0.2">
      <c r="A2902" t="s">
        <v>8904</v>
      </c>
      <c r="B2902" t="s">
        <v>9446</v>
      </c>
      <c r="C2902" t="s">
        <v>9447</v>
      </c>
      <c r="D2902" t="s">
        <v>9448</v>
      </c>
      <c r="E2902" t="s">
        <v>6132</v>
      </c>
      <c r="F2902" t="s">
        <v>719</v>
      </c>
      <c r="G2902" s="1">
        <v>5</v>
      </c>
      <c r="H2902" s="1">
        <v>4</v>
      </c>
      <c r="I2902" t="s">
        <v>6133</v>
      </c>
      <c r="L2902" s="1">
        <v>6</v>
      </c>
      <c r="M2902" s="3">
        <v>13.19</v>
      </c>
      <c r="N2902" s="3">
        <v>0.66</v>
      </c>
      <c r="O2902" s="3">
        <v>0</v>
      </c>
      <c r="P2902" s="3">
        <v>0.6</v>
      </c>
      <c r="Q2902" s="3">
        <v>14.45</v>
      </c>
      <c r="R2902" s="3">
        <v>9.15</v>
      </c>
      <c r="S2902" s="3">
        <f>VLOOKUP(C2902,[1]page!$C$2:$M$3071,11,0)</f>
        <v>13.06</v>
      </c>
      <c r="T2902" s="6">
        <f t="shared" si="71"/>
        <v>0.12999999999999901</v>
      </c>
    </row>
    <row r="2903" spans="1:20" x14ac:dyDescent="0.2">
      <c r="A2903" t="s">
        <v>8904</v>
      </c>
      <c r="B2903" t="s">
        <v>9449</v>
      </c>
      <c r="C2903" t="s">
        <v>9450</v>
      </c>
      <c r="D2903" t="s">
        <v>9451</v>
      </c>
      <c r="E2903" t="s">
        <v>6132</v>
      </c>
      <c r="F2903" t="s">
        <v>87</v>
      </c>
      <c r="G2903" s="1">
        <v>5</v>
      </c>
      <c r="H2903" s="1">
        <v>4</v>
      </c>
      <c r="I2903" t="s">
        <v>178</v>
      </c>
      <c r="L2903" s="1">
        <v>1</v>
      </c>
      <c r="M2903" s="3">
        <v>22.71</v>
      </c>
      <c r="N2903" s="3">
        <v>1.1399999999999999</v>
      </c>
      <c r="O2903" s="3">
        <v>0</v>
      </c>
      <c r="P2903" s="3">
        <v>0</v>
      </c>
      <c r="Q2903" s="3">
        <v>23.85</v>
      </c>
      <c r="R2903" s="3">
        <v>17.149999999999999</v>
      </c>
      <c r="S2903" s="3">
        <f>VLOOKUP(C2903,[1]page!$C$2:$M$3071,11,0)</f>
        <v>22.67</v>
      </c>
      <c r="T2903" s="6">
        <f t="shared" si="71"/>
        <v>3.9999999999999147E-2</v>
      </c>
    </row>
    <row r="2904" spans="1:20" x14ac:dyDescent="0.2">
      <c r="A2904" t="s">
        <v>8904</v>
      </c>
      <c r="B2904" t="s">
        <v>9452</v>
      </c>
      <c r="C2904" t="s">
        <v>9453</v>
      </c>
      <c r="D2904" t="s">
        <v>9454</v>
      </c>
      <c r="E2904" t="s">
        <v>2077</v>
      </c>
      <c r="F2904" t="s">
        <v>7091</v>
      </c>
      <c r="G2904" s="2">
        <v>4.5</v>
      </c>
      <c r="H2904" s="1">
        <v>3</v>
      </c>
      <c r="I2904" t="s">
        <v>1604</v>
      </c>
      <c r="L2904" s="1">
        <v>8</v>
      </c>
      <c r="M2904" s="3">
        <v>24.04</v>
      </c>
      <c r="N2904" s="3">
        <v>1.2</v>
      </c>
      <c r="O2904" s="3">
        <v>0</v>
      </c>
      <c r="P2904" s="3">
        <v>0.8</v>
      </c>
      <c r="Q2904" s="3">
        <v>26.04</v>
      </c>
      <c r="R2904" s="3">
        <v>17.149999999999999</v>
      </c>
      <c r="S2904" s="3" t="e">
        <f>VLOOKUP(C2904,[1]page!$C$2:$M$3071,11,0)</f>
        <v>#N/A</v>
      </c>
      <c r="T2904" s="6" t="e">
        <f t="shared" si="71"/>
        <v>#N/A</v>
      </c>
    </row>
    <row r="2905" spans="1:20" x14ac:dyDescent="0.2">
      <c r="A2905" t="s">
        <v>8904</v>
      </c>
      <c r="B2905" t="s">
        <v>9455</v>
      </c>
      <c r="C2905" t="s">
        <v>9456</v>
      </c>
      <c r="D2905" t="s">
        <v>9457</v>
      </c>
      <c r="E2905" t="s">
        <v>2077</v>
      </c>
      <c r="F2905" t="s">
        <v>5855</v>
      </c>
      <c r="G2905" s="2">
        <v>4.5</v>
      </c>
      <c r="H2905" s="1">
        <v>24</v>
      </c>
      <c r="I2905" t="s">
        <v>1604</v>
      </c>
      <c r="L2905" s="1">
        <v>1</v>
      </c>
      <c r="M2905" s="3">
        <v>2.86</v>
      </c>
      <c r="N2905" s="3">
        <v>0.14000000000000001</v>
      </c>
      <c r="O2905" s="3">
        <v>0</v>
      </c>
      <c r="P2905" s="3">
        <v>0.1</v>
      </c>
      <c r="Q2905" s="3">
        <v>3.1</v>
      </c>
      <c r="R2905" s="3">
        <v>2.2999999999999998</v>
      </c>
      <c r="S2905" s="3">
        <f>VLOOKUP(C2905,[1]page!$C$2:$M$3071,11,0)</f>
        <v>2.85</v>
      </c>
      <c r="T2905" s="6">
        <f t="shared" si="71"/>
        <v>9.9999999999997868E-3</v>
      </c>
    </row>
    <row r="2906" spans="1:20" x14ac:dyDescent="0.2">
      <c r="A2906" t="s">
        <v>8904</v>
      </c>
      <c r="B2906" t="s">
        <v>9458</v>
      </c>
      <c r="C2906" t="s">
        <v>9459</v>
      </c>
      <c r="D2906" t="s">
        <v>9460</v>
      </c>
      <c r="E2906" t="s">
        <v>2077</v>
      </c>
      <c r="F2906" t="s">
        <v>7091</v>
      </c>
      <c r="G2906" s="2">
        <v>4.5</v>
      </c>
      <c r="H2906" s="1">
        <v>3</v>
      </c>
      <c r="I2906" t="s">
        <v>1604</v>
      </c>
      <c r="L2906" s="1">
        <v>8</v>
      </c>
      <c r="M2906" s="3">
        <v>24.04</v>
      </c>
      <c r="N2906" s="3">
        <v>1.2</v>
      </c>
      <c r="O2906" s="3">
        <v>0</v>
      </c>
      <c r="P2906" s="3">
        <v>0.8</v>
      </c>
      <c r="Q2906" s="3">
        <v>26.04</v>
      </c>
      <c r="R2906" s="3">
        <v>17.149999999999999</v>
      </c>
      <c r="S2906" s="3">
        <f>VLOOKUP(C2906,[1]page!$C$2:$M$3071,11,0)</f>
        <v>24</v>
      </c>
      <c r="T2906" s="6">
        <f t="shared" si="71"/>
        <v>3.9999999999999147E-2</v>
      </c>
    </row>
    <row r="2907" spans="1:20" x14ac:dyDescent="0.2">
      <c r="A2907" t="s">
        <v>8904</v>
      </c>
      <c r="B2907" t="s">
        <v>9461</v>
      </c>
      <c r="C2907" t="s">
        <v>9462</v>
      </c>
      <c r="D2907" t="s">
        <v>9463</v>
      </c>
      <c r="E2907" t="s">
        <v>2077</v>
      </c>
      <c r="F2907" t="s">
        <v>7091</v>
      </c>
      <c r="G2907" s="2">
        <v>4.5</v>
      </c>
      <c r="H2907" s="1">
        <v>3</v>
      </c>
      <c r="I2907" t="s">
        <v>1604</v>
      </c>
      <c r="L2907" s="1">
        <v>8</v>
      </c>
      <c r="M2907" s="3">
        <v>24.54</v>
      </c>
      <c r="N2907" s="3">
        <v>1.23</v>
      </c>
      <c r="O2907" s="3">
        <v>0</v>
      </c>
      <c r="P2907" s="3">
        <v>0.8</v>
      </c>
      <c r="Q2907" s="3">
        <v>26.57</v>
      </c>
      <c r="R2907" s="3">
        <v>17.149999999999999</v>
      </c>
      <c r="S2907" s="3">
        <f>VLOOKUP(C2907,[1]page!$C$2:$M$3071,11,0)</f>
        <v>24.5</v>
      </c>
      <c r="T2907" s="6">
        <f t="shared" si="71"/>
        <v>3.9999999999999147E-2</v>
      </c>
    </row>
    <row r="2908" spans="1:20" x14ac:dyDescent="0.2">
      <c r="A2908" t="s">
        <v>8904</v>
      </c>
      <c r="B2908" t="s">
        <v>9464</v>
      </c>
      <c r="C2908" t="s">
        <v>9465</v>
      </c>
      <c r="D2908" t="s">
        <v>9466</v>
      </c>
      <c r="E2908" t="s">
        <v>2077</v>
      </c>
      <c r="F2908" t="s">
        <v>7091</v>
      </c>
      <c r="G2908" s="2">
        <v>4.5</v>
      </c>
      <c r="H2908" s="1">
        <v>3</v>
      </c>
      <c r="I2908" t="s">
        <v>1604</v>
      </c>
      <c r="L2908" s="1">
        <v>8</v>
      </c>
      <c r="M2908" s="3">
        <v>24.04</v>
      </c>
      <c r="N2908" s="3">
        <v>1.2</v>
      </c>
      <c r="O2908" s="3">
        <v>0</v>
      </c>
      <c r="P2908" s="3">
        <v>0.8</v>
      </c>
      <c r="Q2908" s="3">
        <v>26.04</v>
      </c>
      <c r="R2908" s="3">
        <v>17.149999999999999</v>
      </c>
      <c r="S2908" s="3">
        <f>VLOOKUP(C2908,[1]page!$C$2:$M$3071,11,0)</f>
        <v>24</v>
      </c>
      <c r="T2908" s="6">
        <f t="shared" ref="T2908:T2971" si="79">SUM(M2908-S2908)</f>
        <v>3.9999999999999147E-2</v>
      </c>
    </row>
    <row r="2909" spans="1:20" x14ac:dyDescent="0.2">
      <c r="A2909" t="s">
        <v>8904</v>
      </c>
      <c r="B2909" t="s">
        <v>9467</v>
      </c>
      <c r="C2909" t="s">
        <v>9468</v>
      </c>
      <c r="D2909" t="s">
        <v>9469</v>
      </c>
      <c r="E2909" t="s">
        <v>9470</v>
      </c>
      <c r="F2909" t="s">
        <v>5855</v>
      </c>
      <c r="G2909" s="1">
        <v>5</v>
      </c>
      <c r="H2909" s="1">
        <v>24</v>
      </c>
      <c r="I2909" t="s">
        <v>8920</v>
      </c>
      <c r="L2909" s="1">
        <v>1</v>
      </c>
      <c r="M2909" s="3">
        <v>3.01</v>
      </c>
      <c r="N2909" s="3">
        <v>0.15</v>
      </c>
      <c r="O2909" s="3">
        <v>0</v>
      </c>
      <c r="P2909" s="3">
        <v>0.1</v>
      </c>
      <c r="Q2909" s="3">
        <v>3.26</v>
      </c>
      <c r="R2909" s="3">
        <v>2.2999999999999998</v>
      </c>
      <c r="S2909" s="3">
        <f>VLOOKUP(C2909,[1]page!$C$2:$M$3071,11,0)</f>
        <v>3</v>
      </c>
      <c r="T2909" s="6">
        <f t="shared" si="79"/>
        <v>9.9999999999997868E-3</v>
      </c>
    </row>
    <row r="2910" spans="1:20" x14ac:dyDescent="0.2">
      <c r="A2910" t="s">
        <v>8904</v>
      </c>
      <c r="B2910" t="s">
        <v>9471</v>
      </c>
      <c r="C2910" t="s">
        <v>9472</v>
      </c>
      <c r="D2910" t="s">
        <v>9473</v>
      </c>
      <c r="E2910" t="s">
        <v>9327</v>
      </c>
      <c r="F2910" t="s">
        <v>7091</v>
      </c>
      <c r="G2910" s="1">
        <v>7</v>
      </c>
      <c r="H2910" s="1">
        <v>3</v>
      </c>
      <c r="I2910" t="s">
        <v>183</v>
      </c>
      <c r="L2910" s="1">
        <v>8</v>
      </c>
      <c r="M2910" s="3">
        <v>23.04</v>
      </c>
      <c r="N2910" s="3">
        <v>1.1499999999999999</v>
      </c>
      <c r="O2910" s="3">
        <v>0</v>
      </c>
      <c r="P2910" s="3">
        <v>0.8</v>
      </c>
      <c r="Q2910" s="3">
        <v>24.99</v>
      </c>
      <c r="R2910" s="3">
        <v>20.25</v>
      </c>
      <c r="S2910" s="3">
        <f>VLOOKUP(C2910,[1]page!$C$2:$M$3071,11,0)</f>
        <v>23</v>
      </c>
      <c r="T2910" s="6">
        <f t="shared" si="79"/>
        <v>3.9999999999999147E-2</v>
      </c>
    </row>
    <row r="2911" spans="1:20" x14ac:dyDescent="0.2">
      <c r="A2911" t="s">
        <v>8904</v>
      </c>
      <c r="B2911" t="s">
        <v>9474</v>
      </c>
      <c r="C2911" t="s">
        <v>9475</v>
      </c>
      <c r="D2911" t="s">
        <v>9476</v>
      </c>
      <c r="E2911" t="s">
        <v>419</v>
      </c>
      <c r="F2911" t="s">
        <v>5855</v>
      </c>
      <c r="G2911" s="1">
        <v>6</v>
      </c>
      <c r="H2911" s="1">
        <v>24</v>
      </c>
      <c r="I2911" t="s">
        <v>420</v>
      </c>
      <c r="L2911" s="1">
        <v>1</v>
      </c>
      <c r="M2911" s="3">
        <v>2.81</v>
      </c>
      <c r="N2911" s="3">
        <v>0.14000000000000001</v>
      </c>
      <c r="O2911" s="3">
        <v>0</v>
      </c>
      <c r="P2911" s="3">
        <v>0.1</v>
      </c>
      <c r="Q2911" s="3">
        <v>3.05</v>
      </c>
      <c r="R2911" s="3">
        <v>2.7</v>
      </c>
      <c r="S2911" s="3">
        <f>VLOOKUP(C2911,[1]page!$C$2:$M$3071,11,0)</f>
        <v>2.8</v>
      </c>
      <c r="T2911" s="6">
        <f t="shared" si="79"/>
        <v>1.0000000000000231E-2</v>
      </c>
    </row>
    <row r="2912" spans="1:20" x14ac:dyDescent="0.2">
      <c r="A2912" t="s">
        <v>8904</v>
      </c>
      <c r="B2912" t="s">
        <v>9477</v>
      </c>
      <c r="C2912" t="s">
        <v>9478</v>
      </c>
      <c r="D2912" t="s">
        <v>9479</v>
      </c>
      <c r="E2912" t="s">
        <v>419</v>
      </c>
      <c r="F2912" t="s">
        <v>5855</v>
      </c>
      <c r="G2912" s="1">
        <v>7</v>
      </c>
      <c r="H2912" s="1">
        <v>24</v>
      </c>
      <c r="I2912" t="s">
        <v>420</v>
      </c>
      <c r="L2912" s="1">
        <v>1</v>
      </c>
      <c r="M2912" s="3">
        <v>3.53</v>
      </c>
      <c r="N2912" s="3">
        <v>0.18</v>
      </c>
      <c r="O2912" s="3">
        <v>0</v>
      </c>
      <c r="P2912" s="3">
        <v>0.1</v>
      </c>
      <c r="Q2912" s="3">
        <v>3.81</v>
      </c>
      <c r="R2912" s="3">
        <v>2.7</v>
      </c>
      <c r="S2912" s="3">
        <f>VLOOKUP(C2912,[1]page!$C$2:$M$3071,11,0)</f>
        <v>3.52</v>
      </c>
      <c r="T2912" s="6">
        <f t="shared" si="79"/>
        <v>9.9999999999997868E-3</v>
      </c>
    </row>
    <row r="2913" spans="1:20" x14ac:dyDescent="0.2">
      <c r="A2913" t="s">
        <v>8904</v>
      </c>
      <c r="B2913" t="s">
        <v>9480</v>
      </c>
      <c r="C2913" t="s">
        <v>9481</v>
      </c>
      <c r="D2913" t="s">
        <v>9482</v>
      </c>
      <c r="E2913" t="s">
        <v>419</v>
      </c>
      <c r="F2913" t="s">
        <v>5855</v>
      </c>
      <c r="G2913" s="1">
        <v>7</v>
      </c>
      <c r="H2913" s="1">
        <v>24</v>
      </c>
      <c r="I2913" t="s">
        <v>420</v>
      </c>
      <c r="L2913" s="1">
        <v>1</v>
      </c>
      <c r="M2913" s="3">
        <v>3.53</v>
      </c>
      <c r="N2913" s="3">
        <v>0.18</v>
      </c>
      <c r="O2913" s="3">
        <v>0</v>
      </c>
      <c r="P2913" s="3">
        <v>0.1</v>
      </c>
      <c r="Q2913" s="3">
        <v>3.81</v>
      </c>
      <c r="R2913" s="3">
        <v>2.7</v>
      </c>
      <c r="S2913" s="3">
        <f>VLOOKUP(C2913,[1]page!$C$2:$M$3071,11,0)</f>
        <v>3.52</v>
      </c>
      <c r="T2913" s="6">
        <f t="shared" si="79"/>
        <v>9.9999999999997868E-3</v>
      </c>
    </row>
    <row r="2914" spans="1:20" x14ac:dyDescent="0.2">
      <c r="A2914" t="s">
        <v>8904</v>
      </c>
      <c r="B2914" t="s">
        <v>9483</v>
      </c>
      <c r="C2914" t="s">
        <v>9484</v>
      </c>
      <c r="D2914" t="s">
        <v>9485</v>
      </c>
      <c r="E2914" t="s">
        <v>419</v>
      </c>
      <c r="F2914" t="s">
        <v>5984</v>
      </c>
      <c r="G2914" s="1">
        <v>5</v>
      </c>
      <c r="H2914" s="1">
        <v>4</v>
      </c>
      <c r="I2914" t="s">
        <v>435</v>
      </c>
      <c r="L2914" s="1">
        <v>6</v>
      </c>
      <c r="M2914" s="3">
        <v>14.19</v>
      </c>
      <c r="N2914" s="3">
        <v>0.71</v>
      </c>
      <c r="O2914" s="3">
        <v>0</v>
      </c>
      <c r="P2914" s="3">
        <v>0.6</v>
      </c>
      <c r="Q2914" s="3">
        <v>15.5</v>
      </c>
      <c r="R2914" s="3">
        <v>9.25</v>
      </c>
      <c r="S2914" s="3">
        <f>VLOOKUP(C2914,[1]page!$C$2:$M$3071,11,0)</f>
        <v>14.16</v>
      </c>
      <c r="T2914" s="6">
        <f t="shared" si="79"/>
        <v>2.9999999999999361E-2</v>
      </c>
    </row>
    <row r="2915" spans="1:20" x14ac:dyDescent="0.2">
      <c r="A2915" t="s">
        <v>8904</v>
      </c>
      <c r="B2915" t="s">
        <v>9486</v>
      </c>
      <c r="C2915" t="s">
        <v>9487</v>
      </c>
      <c r="D2915" t="s">
        <v>9488</v>
      </c>
      <c r="E2915" t="s">
        <v>43</v>
      </c>
      <c r="F2915" t="s">
        <v>5855</v>
      </c>
      <c r="G2915" s="1">
        <v>6</v>
      </c>
      <c r="H2915" s="1">
        <v>24</v>
      </c>
      <c r="I2915" t="s">
        <v>8920</v>
      </c>
      <c r="L2915" s="1">
        <v>1</v>
      </c>
      <c r="M2915" s="3">
        <v>3.61</v>
      </c>
      <c r="N2915" s="3">
        <v>0.18</v>
      </c>
      <c r="O2915" s="3">
        <v>0</v>
      </c>
      <c r="P2915" s="3">
        <v>0.1</v>
      </c>
      <c r="Q2915" s="3">
        <v>3.89</v>
      </c>
      <c r="R2915" s="3">
        <v>2.7</v>
      </c>
      <c r="S2915" s="3">
        <f>VLOOKUP(C2915,[1]page!$C$2:$M$3071,11,0)</f>
        <v>3.6</v>
      </c>
      <c r="T2915" s="6">
        <f t="shared" si="79"/>
        <v>9.9999999999997868E-3</v>
      </c>
    </row>
    <row r="2916" spans="1:20" x14ac:dyDescent="0.2">
      <c r="A2916" t="s">
        <v>8904</v>
      </c>
      <c r="B2916" t="s">
        <v>9489</v>
      </c>
      <c r="C2916" t="s">
        <v>9490</v>
      </c>
      <c r="D2916" t="s">
        <v>9488</v>
      </c>
      <c r="E2916" t="s">
        <v>43</v>
      </c>
      <c r="F2916" t="s">
        <v>1041</v>
      </c>
      <c r="G2916" s="1">
        <v>6</v>
      </c>
      <c r="H2916" s="1">
        <v>6</v>
      </c>
      <c r="I2916" t="s">
        <v>8920</v>
      </c>
      <c r="L2916" s="1">
        <v>4</v>
      </c>
      <c r="M2916" s="3">
        <v>12.53</v>
      </c>
      <c r="N2916" s="3">
        <v>0.63</v>
      </c>
      <c r="O2916" s="3">
        <v>0</v>
      </c>
      <c r="P2916" s="3">
        <v>0.4</v>
      </c>
      <c r="Q2916" s="3">
        <v>13.56</v>
      </c>
      <c r="R2916" s="3">
        <v>7.5</v>
      </c>
      <c r="S2916" s="3">
        <f>VLOOKUP(C2916,[1]page!$C$2:$M$3071,11,0)</f>
        <v>12.51</v>
      </c>
      <c r="T2916" s="6">
        <f t="shared" si="79"/>
        <v>1.9999999999999574E-2</v>
      </c>
    </row>
    <row r="2917" spans="1:20" x14ac:dyDescent="0.2">
      <c r="A2917" t="s">
        <v>8904</v>
      </c>
      <c r="B2917" t="s">
        <v>9491</v>
      </c>
      <c r="C2917" t="s">
        <v>9492</v>
      </c>
      <c r="D2917" t="s">
        <v>9493</v>
      </c>
      <c r="E2917" t="s">
        <v>43</v>
      </c>
      <c r="F2917" t="s">
        <v>5855</v>
      </c>
      <c r="G2917" s="1">
        <v>5</v>
      </c>
      <c r="H2917" s="1">
        <v>24</v>
      </c>
      <c r="I2917" t="s">
        <v>8920</v>
      </c>
      <c r="L2917" s="1">
        <v>1</v>
      </c>
      <c r="M2917" s="3">
        <v>3.61</v>
      </c>
      <c r="N2917" s="3">
        <v>0.18</v>
      </c>
      <c r="O2917" s="3">
        <v>0</v>
      </c>
      <c r="P2917" s="3">
        <v>0.1</v>
      </c>
      <c r="Q2917" s="3">
        <v>3.89</v>
      </c>
      <c r="R2917" s="3">
        <v>2.2999999999999998</v>
      </c>
      <c r="S2917" s="3">
        <f>VLOOKUP(C2917,[1]page!$C$2:$M$3071,11,0)</f>
        <v>3.6</v>
      </c>
      <c r="T2917" s="6">
        <f t="shared" si="79"/>
        <v>9.9999999999997868E-3</v>
      </c>
    </row>
    <row r="2918" spans="1:20" x14ac:dyDescent="0.2">
      <c r="A2918" t="s">
        <v>8904</v>
      </c>
      <c r="B2918" t="s">
        <v>9494</v>
      </c>
      <c r="C2918" t="s">
        <v>9495</v>
      </c>
      <c r="D2918" t="s">
        <v>9496</v>
      </c>
      <c r="E2918" t="s">
        <v>43</v>
      </c>
      <c r="F2918" t="s">
        <v>5855</v>
      </c>
      <c r="G2918" s="1">
        <v>5</v>
      </c>
      <c r="H2918" s="1">
        <v>24</v>
      </c>
      <c r="I2918" t="s">
        <v>8920</v>
      </c>
      <c r="L2918" s="1">
        <v>1</v>
      </c>
      <c r="M2918" s="3">
        <v>3.61</v>
      </c>
      <c r="N2918" s="3">
        <v>0.18</v>
      </c>
      <c r="O2918" s="3">
        <v>0</v>
      </c>
      <c r="P2918" s="3">
        <v>0.1</v>
      </c>
      <c r="Q2918" s="3">
        <v>3.89</v>
      </c>
      <c r="R2918" s="3">
        <v>2.2999999999999998</v>
      </c>
      <c r="S2918" s="3">
        <f>VLOOKUP(C2918,[1]page!$C$2:$M$3071,11,0)</f>
        <v>3.6</v>
      </c>
      <c r="T2918" s="6">
        <f t="shared" si="79"/>
        <v>9.9999999999997868E-3</v>
      </c>
    </row>
    <row r="2919" spans="1:20" x14ac:dyDescent="0.2">
      <c r="A2919" t="s">
        <v>8904</v>
      </c>
      <c r="B2919" t="s">
        <v>9497</v>
      </c>
      <c r="C2919" t="s">
        <v>9498</v>
      </c>
      <c r="D2919" t="s">
        <v>9499</v>
      </c>
      <c r="E2919" t="s">
        <v>9500</v>
      </c>
      <c r="F2919" t="s">
        <v>5861</v>
      </c>
      <c r="G2919" s="1">
        <v>7</v>
      </c>
      <c r="H2919" s="1">
        <v>2</v>
      </c>
      <c r="I2919" t="s">
        <v>595</v>
      </c>
      <c r="L2919" s="1">
        <v>12</v>
      </c>
      <c r="M2919" s="3">
        <v>29.37</v>
      </c>
      <c r="N2919" s="3">
        <v>1.47</v>
      </c>
      <c r="O2919" s="3">
        <v>0</v>
      </c>
      <c r="P2919" s="3">
        <v>1.2</v>
      </c>
      <c r="Q2919" s="3">
        <v>32.04</v>
      </c>
      <c r="R2919" s="3">
        <f>SUM(F2919*0.0051)</f>
        <v>21.726000000000003</v>
      </c>
      <c r="S2919" s="3">
        <f>VLOOKUP(C2919,[1]page!$C$2:$M$3071,11,0)</f>
        <v>29.31</v>
      </c>
      <c r="T2919" s="6">
        <f t="shared" si="79"/>
        <v>6.0000000000002274E-2</v>
      </c>
    </row>
    <row r="2920" spans="1:20" x14ac:dyDescent="0.2">
      <c r="A2920" t="s">
        <v>8904</v>
      </c>
      <c r="B2920" t="s">
        <v>9501</v>
      </c>
      <c r="C2920" t="s">
        <v>9502</v>
      </c>
      <c r="D2920" t="s">
        <v>9503</v>
      </c>
      <c r="E2920" t="s">
        <v>9500</v>
      </c>
      <c r="F2920" t="s">
        <v>5984</v>
      </c>
      <c r="G2920" s="1">
        <v>7</v>
      </c>
      <c r="H2920" s="1">
        <v>4</v>
      </c>
      <c r="I2920" t="s">
        <v>595</v>
      </c>
      <c r="L2920" s="1">
        <v>6</v>
      </c>
      <c r="M2920" s="3">
        <v>17.27</v>
      </c>
      <c r="N2920" s="3">
        <v>0.86</v>
      </c>
      <c r="O2920" s="3">
        <v>0</v>
      </c>
      <c r="P2920" s="3">
        <v>0.6</v>
      </c>
      <c r="Q2920" s="3">
        <v>18.73</v>
      </c>
      <c r="R2920" s="3">
        <v>10.9</v>
      </c>
      <c r="S2920" s="3">
        <f>VLOOKUP(C2920,[1]page!$C$2:$M$3071,11,0)</f>
        <v>17.239999999999998</v>
      </c>
      <c r="T2920" s="6">
        <f t="shared" si="79"/>
        <v>3.0000000000001137E-2</v>
      </c>
    </row>
    <row r="2921" spans="1:20" x14ac:dyDescent="0.2">
      <c r="A2921" t="s">
        <v>8904</v>
      </c>
      <c r="B2921" t="s">
        <v>9504</v>
      </c>
      <c r="C2921" t="s">
        <v>9505</v>
      </c>
      <c r="D2921" t="s">
        <v>9506</v>
      </c>
      <c r="E2921" t="s">
        <v>6319</v>
      </c>
      <c r="F2921" t="s">
        <v>5855</v>
      </c>
      <c r="G2921" s="1">
        <v>5</v>
      </c>
      <c r="H2921" s="1">
        <v>24</v>
      </c>
      <c r="I2921" t="s">
        <v>1661</v>
      </c>
      <c r="L2921" s="1">
        <v>1</v>
      </c>
      <c r="M2921" s="3">
        <v>3.73</v>
      </c>
      <c r="N2921" s="3">
        <v>0.19</v>
      </c>
      <c r="O2921" s="3">
        <v>0</v>
      </c>
      <c r="P2921" s="3">
        <v>0.1</v>
      </c>
      <c r="Q2921" s="3">
        <v>4.0199999999999996</v>
      </c>
      <c r="R2921" s="3">
        <v>2.2999999999999998</v>
      </c>
      <c r="S2921" s="3" t="e">
        <f>VLOOKUP(C2921,[1]page!$C$2:$M$3071,11,0)</f>
        <v>#N/A</v>
      </c>
      <c r="T2921" s="6" t="e">
        <f t="shared" si="79"/>
        <v>#N/A</v>
      </c>
    </row>
    <row r="2922" spans="1:20" x14ac:dyDescent="0.2">
      <c r="A2922" t="s">
        <v>8904</v>
      </c>
      <c r="B2922" t="s">
        <v>9507</v>
      </c>
      <c r="C2922" t="s">
        <v>9508</v>
      </c>
      <c r="D2922" t="s">
        <v>9509</v>
      </c>
      <c r="E2922" t="s">
        <v>353</v>
      </c>
      <c r="F2922" t="s">
        <v>84</v>
      </c>
      <c r="G2922" s="2">
        <v>9.9499999999999993</v>
      </c>
      <c r="H2922" s="1">
        <v>6</v>
      </c>
      <c r="I2922" t="s">
        <v>156</v>
      </c>
      <c r="L2922" s="1">
        <v>1</v>
      </c>
      <c r="M2922" s="3">
        <v>18.690000000000001</v>
      </c>
      <c r="N2922" s="3">
        <v>0.93</v>
      </c>
      <c r="O2922" s="3">
        <v>0</v>
      </c>
      <c r="P2922" s="3">
        <v>0.25</v>
      </c>
      <c r="Q2922" s="3">
        <v>19.87</v>
      </c>
      <c r="R2922" s="3">
        <v>10.45</v>
      </c>
      <c r="S2922" s="3">
        <f>VLOOKUP(C2922,[1]page!$C$2:$M$3071,11,0)</f>
        <v>18.53</v>
      </c>
      <c r="T2922" s="6">
        <f t="shared" si="79"/>
        <v>0.16000000000000014</v>
      </c>
    </row>
    <row r="2923" spans="1:20" x14ac:dyDescent="0.2">
      <c r="A2923" t="s">
        <v>8904</v>
      </c>
      <c r="B2923" t="s">
        <v>9510</v>
      </c>
      <c r="C2923" t="s">
        <v>9511</v>
      </c>
      <c r="D2923" t="s">
        <v>9512</v>
      </c>
      <c r="E2923" t="s">
        <v>353</v>
      </c>
      <c r="F2923" t="s">
        <v>84</v>
      </c>
      <c r="G2923" s="2">
        <v>9.9499999999999993</v>
      </c>
      <c r="H2923" s="1">
        <v>6</v>
      </c>
      <c r="I2923" t="s">
        <v>156</v>
      </c>
      <c r="L2923" s="1">
        <v>1</v>
      </c>
      <c r="M2923" s="3">
        <v>18.690000000000001</v>
      </c>
      <c r="N2923" s="3">
        <v>0.93</v>
      </c>
      <c r="O2923" s="3">
        <v>0</v>
      </c>
      <c r="P2923" s="3">
        <v>0.25</v>
      </c>
      <c r="Q2923" s="3">
        <v>19.87</v>
      </c>
      <c r="R2923" s="3">
        <v>10.45</v>
      </c>
      <c r="S2923" s="3">
        <f>VLOOKUP(C2923,[1]page!$C$2:$M$3071,11,0)</f>
        <v>18.53</v>
      </c>
      <c r="T2923" s="6">
        <f t="shared" si="79"/>
        <v>0.16000000000000014</v>
      </c>
    </row>
    <row r="2924" spans="1:20" x14ac:dyDescent="0.2">
      <c r="A2924" t="s">
        <v>8904</v>
      </c>
      <c r="B2924" t="s">
        <v>9513</v>
      </c>
      <c r="C2924" t="s">
        <v>9514</v>
      </c>
      <c r="D2924" t="s">
        <v>9515</v>
      </c>
      <c r="E2924" t="s">
        <v>353</v>
      </c>
      <c r="F2924" t="s">
        <v>84</v>
      </c>
      <c r="G2924" s="2">
        <v>9.9499999999999993</v>
      </c>
      <c r="H2924" s="1">
        <v>6</v>
      </c>
      <c r="I2924" t="s">
        <v>156</v>
      </c>
      <c r="L2924" s="1">
        <v>1</v>
      </c>
      <c r="M2924" s="3">
        <v>18.690000000000001</v>
      </c>
      <c r="N2924" s="3">
        <v>0.93</v>
      </c>
      <c r="O2924" s="3">
        <v>0</v>
      </c>
      <c r="P2924" s="3">
        <v>0.25</v>
      </c>
      <c r="Q2924" s="3">
        <v>19.87</v>
      </c>
      <c r="R2924" s="3">
        <v>10.45</v>
      </c>
      <c r="S2924" s="3">
        <f>VLOOKUP(C2924,[1]page!$C$2:$M$3071,11,0)</f>
        <v>18.53</v>
      </c>
      <c r="T2924" s="6">
        <f t="shared" si="79"/>
        <v>0.16000000000000014</v>
      </c>
    </row>
    <row r="2925" spans="1:20" x14ac:dyDescent="0.2">
      <c r="A2925" t="s">
        <v>8904</v>
      </c>
      <c r="B2925" t="s">
        <v>9516</v>
      </c>
      <c r="C2925" t="s">
        <v>9517</v>
      </c>
      <c r="D2925" t="s">
        <v>9518</v>
      </c>
      <c r="E2925" t="s">
        <v>353</v>
      </c>
      <c r="F2925" t="s">
        <v>84</v>
      </c>
      <c r="G2925" s="2">
        <v>9.9499999999999993</v>
      </c>
      <c r="H2925" s="1">
        <v>6</v>
      </c>
      <c r="I2925" t="s">
        <v>156</v>
      </c>
      <c r="L2925" s="1">
        <v>1</v>
      </c>
      <c r="M2925" s="3">
        <v>18.690000000000001</v>
      </c>
      <c r="N2925" s="3">
        <v>0.93</v>
      </c>
      <c r="O2925" s="3">
        <v>0</v>
      </c>
      <c r="P2925" s="3">
        <v>0.25</v>
      </c>
      <c r="Q2925" s="3">
        <v>19.87</v>
      </c>
      <c r="R2925" s="3">
        <v>10.45</v>
      </c>
      <c r="S2925" s="3">
        <f>VLOOKUP(C2925,[1]page!$C$2:$M$3071,11,0)</f>
        <v>18.53</v>
      </c>
      <c r="T2925" s="6">
        <f t="shared" si="79"/>
        <v>0.16000000000000014</v>
      </c>
    </row>
    <row r="2926" spans="1:20" x14ac:dyDescent="0.2">
      <c r="A2926" t="s">
        <v>8904</v>
      </c>
      <c r="B2926" t="s">
        <v>9519</v>
      </c>
      <c r="C2926" t="s">
        <v>9520</v>
      </c>
      <c r="D2926" t="s">
        <v>9521</v>
      </c>
      <c r="E2926" t="s">
        <v>353</v>
      </c>
      <c r="F2926" t="s">
        <v>84</v>
      </c>
      <c r="G2926" s="2">
        <v>9.9499999999999993</v>
      </c>
      <c r="H2926" s="1">
        <v>6</v>
      </c>
      <c r="I2926" t="s">
        <v>156</v>
      </c>
      <c r="L2926" s="1">
        <v>1</v>
      </c>
      <c r="M2926" s="3">
        <v>18.690000000000001</v>
      </c>
      <c r="N2926" s="3">
        <v>0.93</v>
      </c>
      <c r="O2926" s="3">
        <v>0</v>
      </c>
      <c r="P2926" s="3">
        <v>0.25</v>
      </c>
      <c r="Q2926" s="3">
        <v>19.87</v>
      </c>
      <c r="R2926" s="3">
        <v>10.45</v>
      </c>
      <c r="S2926" s="3">
        <f>VLOOKUP(C2926,[1]page!$C$2:$M$3071,11,0)</f>
        <v>18.53</v>
      </c>
      <c r="T2926" s="6">
        <f t="shared" si="79"/>
        <v>0.16000000000000014</v>
      </c>
    </row>
    <row r="2927" spans="1:20" x14ac:dyDescent="0.2">
      <c r="A2927" t="s">
        <v>8904</v>
      </c>
      <c r="B2927" t="s">
        <v>9522</v>
      </c>
      <c r="C2927" t="s">
        <v>9523</v>
      </c>
      <c r="D2927" t="s">
        <v>9524</v>
      </c>
      <c r="E2927" t="s">
        <v>9525</v>
      </c>
      <c r="F2927" t="s">
        <v>1041</v>
      </c>
      <c r="G2927" s="1">
        <v>5</v>
      </c>
      <c r="H2927" s="1">
        <v>6</v>
      </c>
      <c r="I2927" t="s">
        <v>156</v>
      </c>
      <c r="L2927" s="1">
        <v>4</v>
      </c>
      <c r="M2927" s="3">
        <v>10.59</v>
      </c>
      <c r="N2927" s="3">
        <v>0.53</v>
      </c>
      <c r="O2927" s="3">
        <v>0</v>
      </c>
      <c r="P2927" s="3">
        <v>0.4</v>
      </c>
      <c r="Q2927" s="3">
        <v>11.52</v>
      </c>
      <c r="R2927" s="3">
        <v>6.35</v>
      </c>
      <c r="S2927" s="3">
        <f>VLOOKUP(C2927,[1]page!$C$2:$M$3071,11,0)</f>
        <v>10.52</v>
      </c>
      <c r="T2927" s="6">
        <f t="shared" si="79"/>
        <v>7.0000000000000284E-2</v>
      </c>
    </row>
    <row r="2928" spans="1:20" x14ac:dyDescent="0.2">
      <c r="A2928" t="s">
        <v>8904</v>
      </c>
      <c r="B2928" t="s">
        <v>9526</v>
      </c>
      <c r="C2928" t="s">
        <v>9527</v>
      </c>
      <c r="D2928" t="s">
        <v>9528</v>
      </c>
      <c r="E2928" t="s">
        <v>9525</v>
      </c>
      <c r="F2928" t="s">
        <v>1041</v>
      </c>
      <c r="G2928" s="1">
        <v>5</v>
      </c>
      <c r="H2928" s="1">
        <v>6</v>
      </c>
      <c r="I2928" t="s">
        <v>156</v>
      </c>
      <c r="L2928" s="1">
        <v>4</v>
      </c>
      <c r="M2928" s="3">
        <v>10.59</v>
      </c>
      <c r="N2928" s="3">
        <v>0.53</v>
      </c>
      <c r="O2928" s="3">
        <v>0</v>
      </c>
      <c r="P2928" s="3">
        <v>0.4</v>
      </c>
      <c r="Q2928" s="3">
        <v>11.52</v>
      </c>
      <c r="R2928" s="3">
        <v>6.35</v>
      </c>
      <c r="S2928" s="3">
        <f>VLOOKUP(C2928,[1]page!$C$2:$M$3071,11,0)</f>
        <v>10.52</v>
      </c>
      <c r="T2928" s="6">
        <f t="shared" si="79"/>
        <v>7.0000000000000284E-2</v>
      </c>
    </row>
    <row r="2929" spans="1:20" x14ac:dyDescent="0.2">
      <c r="A2929" t="s">
        <v>8904</v>
      </c>
      <c r="B2929" t="s">
        <v>9529</v>
      </c>
      <c r="C2929" t="s">
        <v>9530</v>
      </c>
      <c r="D2929" t="s">
        <v>9531</v>
      </c>
      <c r="E2929" t="s">
        <v>9525</v>
      </c>
      <c r="F2929" t="s">
        <v>1041</v>
      </c>
      <c r="G2929" s="1">
        <v>5</v>
      </c>
      <c r="H2929" s="1">
        <v>6</v>
      </c>
      <c r="I2929" t="s">
        <v>156</v>
      </c>
      <c r="L2929" s="1">
        <v>4</v>
      </c>
      <c r="M2929" s="3">
        <v>10.59</v>
      </c>
      <c r="N2929" s="3">
        <v>0.53</v>
      </c>
      <c r="O2929" s="3">
        <v>0</v>
      </c>
      <c r="P2929" s="3">
        <v>0.4</v>
      </c>
      <c r="Q2929" s="3">
        <v>11.52</v>
      </c>
      <c r="R2929" s="3">
        <v>6.35</v>
      </c>
      <c r="S2929" s="3">
        <f>VLOOKUP(C2929,[1]page!$C$2:$M$3071,11,0)</f>
        <v>10.52</v>
      </c>
      <c r="T2929" s="6">
        <f t="shared" si="79"/>
        <v>7.0000000000000284E-2</v>
      </c>
    </row>
    <row r="2930" spans="1:20" x14ac:dyDescent="0.2">
      <c r="A2930" t="s">
        <v>8904</v>
      </c>
      <c r="B2930" t="s">
        <v>9532</v>
      </c>
      <c r="C2930" t="s">
        <v>9533</v>
      </c>
      <c r="D2930" t="s">
        <v>9534</v>
      </c>
      <c r="E2930" t="s">
        <v>43</v>
      </c>
      <c r="F2930" t="s">
        <v>7091</v>
      </c>
      <c r="G2930" s="1">
        <v>7</v>
      </c>
      <c r="H2930" s="1">
        <v>3</v>
      </c>
      <c r="I2930" t="s">
        <v>8920</v>
      </c>
      <c r="L2930" s="1">
        <v>8</v>
      </c>
      <c r="M2930" s="3">
        <v>21.18</v>
      </c>
      <c r="N2930" s="3">
        <v>1.06</v>
      </c>
      <c r="O2930" s="3">
        <v>0</v>
      </c>
      <c r="P2930" s="3">
        <v>0.8</v>
      </c>
      <c r="Q2930" s="3">
        <v>23.04</v>
      </c>
      <c r="R2930" s="3">
        <v>20.25</v>
      </c>
      <c r="S2930" s="3">
        <f>VLOOKUP(C2930,[1]page!$C$2:$M$3071,11,0)</f>
        <v>21.14</v>
      </c>
      <c r="T2930" s="6">
        <f t="shared" si="79"/>
        <v>3.9999999999999147E-2</v>
      </c>
    </row>
    <row r="2931" spans="1:20" x14ac:dyDescent="0.2">
      <c r="A2931" t="s">
        <v>8904</v>
      </c>
      <c r="B2931" t="s">
        <v>9535</v>
      </c>
      <c r="C2931" t="s">
        <v>9536</v>
      </c>
      <c r="D2931" t="s">
        <v>9537</v>
      </c>
      <c r="E2931" t="s">
        <v>43</v>
      </c>
      <c r="F2931" t="s">
        <v>1041</v>
      </c>
      <c r="G2931" s="1">
        <v>7</v>
      </c>
      <c r="H2931" s="1">
        <v>6</v>
      </c>
      <c r="I2931" t="s">
        <v>8920</v>
      </c>
      <c r="L2931" s="1">
        <v>4</v>
      </c>
      <c r="M2931" s="3">
        <v>13.54</v>
      </c>
      <c r="N2931" s="3">
        <v>0.68</v>
      </c>
      <c r="O2931" s="3">
        <v>0</v>
      </c>
      <c r="P2931" s="3">
        <v>0.4</v>
      </c>
      <c r="Q2931" s="3">
        <v>14.62</v>
      </c>
      <c r="R2931" s="3">
        <v>7.5</v>
      </c>
      <c r="S2931" s="3">
        <f>VLOOKUP(C2931,[1]page!$C$2:$M$3071,11,0)</f>
        <v>13.52</v>
      </c>
      <c r="T2931" s="6">
        <f t="shared" si="79"/>
        <v>1.9999999999999574E-2</v>
      </c>
    </row>
    <row r="2932" spans="1:20" x14ac:dyDescent="0.2">
      <c r="A2932" t="s">
        <v>8904</v>
      </c>
      <c r="B2932" t="s">
        <v>9538</v>
      </c>
      <c r="C2932" t="s">
        <v>9539</v>
      </c>
      <c r="D2932" t="s">
        <v>9540</v>
      </c>
      <c r="E2932" t="s">
        <v>43</v>
      </c>
      <c r="F2932" t="s">
        <v>1041</v>
      </c>
      <c r="G2932" s="1">
        <v>7</v>
      </c>
      <c r="H2932" s="1">
        <v>6</v>
      </c>
      <c r="I2932" t="s">
        <v>8920</v>
      </c>
      <c r="L2932" s="1">
        <v>4</v>
      </c>
      <c r="M2932" s="3">
        <v>13.54</v>
      </c>
      <c r="N2932" s="3">
        <v>0.68</v>
      </c>
      <c r="O2932" s="3">
        <v>0</v>
      </c>
      <c r="P2932" s="3">
        <v>0.4</v>
      </c>
      <c r="Q2932" s="3">
        <v>14.62</v>
      </c>
      <c r="R2932" s="3">
        <v>7.5</v>
      </c>
      <c r="S2932" s="3">
        <f>VLOOKUP(C2932,[1]page!$C$2:$M$3071,11,0)</f>
        <v>13.52</v>
      </c>
      <c r="T2932" s="6">
        <f t="shared" si="79"/>
        <v>1.9999999999999574E-2</v>
      </c>
    </row>
    <row r="2933" spans="1:20" x14ac:dyDescent="0.2">
      <c r="A2933" t="s">
        <v>8904</v>
      </c>
      <c r="B2933" t="s">
        <v>9541</v>
      </c>
      <c r="C2933" t="s">
        <v>9542</v>
      </c>
      <c r="D2933" t="s">
        <v>9543</v>
      </c>
      <c r="E2933" t="s">
        <v>43</v>
      </c>
      <c r="F2933" t="s">
        <v>7091</v>
      </c>
      <c r="G2933" s="2">
        <v>4.5</v>
      </c>
      <c r="H2933" s="1">
        <v>3</v>
      </c>
      <c r="I2933" t="s">
        <v>39</v>
      </c>
      <c r="L2933" s="1">
        <v>8</v>
      </c>
      <c r="M2933" s="3">
        <v>21.71</v>
      </c>
      <c r="N2933" s="3">
        <v>1.0900000000000001</v>
      </c>
      <c r="O2933" s="3">
        <v>0</v>
      </c>
      <c r="P2933" s="3">
        <v>0.8</v>
      </c>
      <c r="Q2933" s="3">
        <v>23.6</v>
      </c>
      <c r="R2933" s="3">
        <v>17.149999999999999</v>
      </c>
      <c r="S2933" s="3" t="e">
        <f>VLOOKUP(C2933,[1]page!$C$2:$M$3071,11,0)</f>
        <v>#N/A</v>
      </c>
      <c r="T2933" s="6" t="e">
        <f t="shared" si="79"/>
        <v>#N/A</v>
      </c>
    </row>
    <row r="2934" spans="1:20" x14ac:dyDescent="0.2">
      <c r="A2934" t="s">
        <v>8904</v>
      </c>
      <c r="B2934" t="s">
        <v>9544</v>
      </c>
      <c r="C2934" t="s">
        <v>9545</v>
      </c>
      <c r="D2934" t="s">
        <v>9546</v>
      </c>
      <c r="E2934" t="s">
        <v>43</v>
      </c>
      <c r="F2934" t="s">
        <v>1599</v>
      </c>
      <c r="G2934" s="2">
        <v>12.5</v>
      </c>
      <c r="H2934" s="1">
        <v>12</v>
      </c>
      <c r="I2934" t="s">
        <v>2318</v>
      </c>
      <c r="L2934" s="1">
        <v>1</v>
      </c>
      <c r="M2934" s="3">
        <v>19.98</v>
      </c>
      <c r="N2934" s="3">
        <v>1</v>
      </c>
      <c r="O2934" s="3">
        <v>0</v>
      </c>
      <c r="P2934" s="3">
        <v>0.25</v>
      </c>
      <c r="Q2934" s="3">
        <v>21.23</v>
      </c>
      <c r="R2934" s="3">
        <v>5.25</v>
      </c>
      <c r="S2934" s="3">
        <f>VLOOKUP(C2934,[1]page!$C$2:$M$3071,11,0)</f>
        <v>19.91</v>
      </c>
      <c r="T2934" s="6">
        <f t="shared" si="79"/>
        <v>7.0000000000000284E-2</v>
      </c>
    </row>
    <row r="2935" spans="1:20" x14ac:dyDescent="0.2">
      <c r="A2935" t="s">
        <v>8904</v>
      </c>
      <c r="B2935" t="s">
        <v>9547</v>
      </c>
      <c r="C2935" t="s">
        <v>9548</v>
      </c>
      <c r="D2935" t="s">
        <v>9546</v>
      </c>
      <c r="E2935" t="s">
        <v>43</v>
      </c>
      <c r="F2935" t="s">
        <v>1041</v>
      </c>
      <c r="G2935" s="1">
        <v>7</v>
      </c>
      <c r="H2935" s="1">
        <v>6</v>
      </c>
      <c r="I2935" t="s">
        <v>8920</v>
      </c>
      <c r="L2935" s="1">
        <v>4</v>
      </c>
      <c r="M2935" s="3">
        <v>13.54</v>
      </c>
      <c r="N2935" s="3">
        <v>0.68</v>
      </c>
      <c r="O2935" s="3">
        <v>0</v>
      </c>
      <c r="P2935" s="3">
        <v>0.4</v>
      </c>
      <c r="Q2935" s="3">
        <v>14.62</v>
      </c>
      <c r="R2935" s="3">
        <v>7.5</v>
      </c>
      <c r="S2935" s="3">
        <f>VLOOKUP(C2935,[1]page!$C$2:$M$3071,11,0)</f>
        <v>13.52</v>
      </c>
      <c r="T2935" s="6">
        <f t="shared" si="79"/>
        <v>1.9999999999999574E-2</v>
      </c>
    </row>
    <row r="2936" spans="1:20" x14ac:dyDescent="0.2">
      <c r="A2936" t="s">
        <v>8904</v>
      </c>
      <c r="B2936" t="s">
        <v>9549</v>
      </c>
      <c r="C2936" t="s">
        <v>9550</v>
      </c>
      <c r="D2936" t="s">
        <v>9551</v>
      </c>
      <c r="E2936" t="s">
        <v>9552</v>
      </c>
      <c r="F2936" t="s">
        <v>5855</v>
      </c>
      <c r="G2936" s="2">
        <v>5.5</v>
      </c>
      <c r="H2936" s="1">
        <v>24</v>
      </c>
      <c r="I2936" t="s">
        <v>178</v>
      </c>
      <c r="L2936" s="1">
        <v>1</v>
      </c>
      <c r="M2936" s="3">
        <v>3.73</v>
      </c>
      <c r="N2936" s="3">
        <v>0.19</v>
      </c>
      <c r="O2936" s="3">
        <v>0</v>
      </c>
      <c r="P2936" s="3">
        <v>0.1</v>
      </c>
      <c r="Q2936" s="3">
        <v>4.0199999999999996</v>
      </c>
      <c r="R2936" s="3">
        <v>2.2999999999999998</v>
      </c>
      <c r="S2936" s="3">
        <f>VLOOKUP(C2936,[1]page!$C$2:$M$3071,11,0)</f>
        <v>3.72</v>
      </c>
      <c r="T2936" s="6">
        <f t="shared" si="79"/>
        <v>9.9999999999997868E-3</v>
      </c>
    </row>
    <row r="2937" spans="1:20" x14ac:dyDescent="0.2">
      <c r="A2937" t="s">
        <v>8904</v>
      </c>
      <c r="B2937" t="s">
        <v>9553</v>
      </c>
      <c r="C2937" t="s">
        <v>9554</v>
      </c>
      <c r="D2937" t="s">
        <v>9555</v>
      </c>
      <c r="E2937" t="s">
        <v>9552</v>
      </c>
      <c r="F2937" t="s">
        <v>5855</v>
      </c>
      <c r="G2937" s="2">
        <v>5.5</v>
      </c>
      <c r="H2937" s="1">
        <v>24</v>
      </c>
      <c r="I2937" t="s">
        <v>178</v>
      </c>
      <c r="L2937" s="1">
        <v>1</v>
      </c>
      <c r="M2937" s="3">
        <v>3.73</v>
      </c>
      <c r="N2937" s="3">
        <v>0.19</v>
      </c>
      <c r="O2937" s="3">
        <v>0</v>
      </c>
      <c r="P2937" s="3">
        <v>0.1</v>
      </c>
      <c r="Q2937" s="3">
        <v>4.0199999999999996</v>
      </c>
      <c r="R2937" s="3">
        <v>2.2999999999999998</v>
      </c>
      <c r="S2937" s="3">
        <f>VLOOKUP(C2937,[1]page!$C$2:$M$3071,11,0)</f>
        <v>3.72</v>
      </c>
      <c r="T2937" s="6">
        <f t="shared" si="79"/>
        <v>9.9999999999997868E-3</v>
      </c>
    </row>
    <row r="2938" spans="1:20" x14ac:dyDescent="0.2">
      <c r="A2938" t="s">
        <v>8904</v>
      </c>
      <c r="B2938" t="s">
        <v>9556</v>
      </c>
      <c r="C2938" t="s">
        <v>9557</v>
      </c>
      <c r="D2938" t="s">
        <v>9558</v>
      </c>
      <c r="E2938" t="s">
        <v>9559</v>
      </c>
      <c r="F2938" t="s">
        <v>9560</v>
      </c>
      <c r="G2938" s="2">
        <v>5.5</v>
      </c>
      <c r="H2938" s="1">
        <v>6</v>
      </c>
      <c r="I2938" t="s">
        <v>2616</v>
      </c>
      <c r="L2938" s="1">
        <v>4</v>
      </c>
      <c r="M2938" s="3">
        <v>14.12</v>
      </c>
      <c r="N2938" s="3">
        <v>0.71</v>
      </c>
      <c r="O2938" s="3">
        <v>0</v>
      </c>
      <c r="P2938" s="3">
        <v>0.4</v>
      </c>
      <c r="Q2938" s="3">
        <v>15.23</v>
      </c>
      <c r="R2938" s="3">
        <v>5.9</v>
      </c>
      <c r="S2938" s="3">
        <f>VLOOKUP(C2938,[1]page!$C$2:$M$3071,11,0)</f>
        <v>14.11</v>
      </c>
      <c r="T2938" s="6">
        <f t="shared" si="79"/>
        <v>9.9999999999997868E-3</v>
      </c>
    </row>
    <row r="2939" spans="1:20" x14ac:dyDescent="0.2">
      <c r="A2939" t="s">
        <v>8904</v>
      </c>
      <c r="B2939" t="s">
        <v>9561</v>
      </c>
      <c r="C2939" t="s">
        <v>9562</v>
      </c>
      <c r="D2939" t="s">
        <v>9563</v>
      </c>
      <c r="E2939" t="s">
        <v>6132</v>
      </c>
      <c r="F2939" t="s">
        <v>5861</v>
      </c>
      <c r="G2939" s="1">
        <v>7</v>
      </c>
      <c r="H2939" s="1">
        <v>2</v>
      </c>
      <c r="I2939" t="s">
        <v>6133</v>
      </c>
      <c r="L2939" s="1">
        <v>12</v>
      </c>
      <c r="M2939" s="3">
        <v>24.4</v>
      </c>
      <c r="N2939" s="3">
        <v>1.22</v>
      </c>
      <c r="O2939" s="3">
        <v>0</v>
      </c>
      <c r="P2939" s="3">
        <v>1.2</v>
      </c>
      <c r="Q2939" s="3">
        <v>26.82</v>
      </c>
      <c r="R2939" s="3">
        <f>SUM(F2939*0.0051)</f>
        <v>21.726000000000003</v>
      </c>
      <c r="S2939" s="3">
        <f>VLOOKUP(C2939,[1]page!$C$2:$M$3071,11,0)</f>
        <v>24.35</v>
      </c>
      <c r="T2939" s="6">
        <f t="shared" si="79"/>
        <v>4.9999999999997158E-2</v>
      </c>
    </row>
    <row r="2940" spans="1:20" x14ac:dyDescent="0.2">
      <c r="A2940" t="s">
        <v>8904</v>
      </c>
      <c r="B2940" t="s">
        <v>9564</v>
      </c>
      <c r="C2940" t="s">
        <v>9565</v>
      </c>
      <c r="D2940" t="s">
        <v>9566</v>
      </c>
      <c r="E2940" t="s">
        <v>9470</v>
      </c>
      <c r="F2940" t="s">
        <v>9439</v>
      </c>
      <c r="G2940" s="2">
        <v>5.5</v>
      </c>
      <c r="H2940" s="1">
        <v>24</v>
      </c>
      <c r="I2940" t="s">
        <v>8920</v>
      </c>
      <c r="L2940" s="1">
        <v>1</v>
      </c>
      <c r="M2940" s="3">
        <v>3.52</v>
      </c>
      <c r="N2940" s="3">
        <v>0.18</v>
      </c>
      <c r="O2940" s="3">
        <v>0</v>
      </c>
      <c r="P2940" s="3">
        <v>0.1</v>
      </c>
      <c r="Q2940" s="3">
        <v>3.8</v>
      </c>
      <c r="R2940" s="3">
        <v>2.2999999999999998</v>
      </c>
      <c r="S2940" s="3">
        <f>VLOOKUP(C2940,[1]page!$C$2:$M$3071,11,0)</f>
        <v>3.51</v>
      </c>
      <c r="T2940" s="6">
        <f t="shared" si="79"/>
        <v>1.0000000000000231E-2</v>
      </c>
    </row>
    <row r="2941" spans="1:20" x14ac:dyDescent="0.2">
      <c r="A2941" t="s">
        <v>8904</v>
      </c>
      <c r="B2941" t="s">
        <v>9567</v>
      </c>
      <c r="C2941" t="s">
        <v>9568</v>
      </c>
      <c r="D2941" t="s">
        <v>9566</v>
      </c>
      <c r="E2941" t="s">
        <v>9569</v>
      </c>
      <c r="F2941" t="s">
        <v>719</v>
      </c>
      <c r="G2941" s="2">
        <v>5.5</v>
      </c>
      <c r="H2941" s="1">
        <v>4</v>
      </c>
      <c r="I2941" t="s">
        <v>8920</v>
      </c>
      <c r="L2941" s="1">
        <v>6</v>
      </c>
      <c r="M2941" s="3">
        <v>15.59</v>
      </c>
      <c r="N2941" s="3">
        <v>0.78</v>
      </c>
      <c r="O2941" s="3">
        <v>0</v>
      </c>
      <c r="P2941" s="3">
        <v>0.6</v>
      </c>
      <c r="Q2941" s="3">
        <v>16.97</v>
      </c>
      <c r="R2941" s="3">
        <v>9.15</v>
      </c>
      <c r="S2941" s="3">
        <f>VLOOKUP(C2941,[1]page!$C$2:$M$3071,11,0)</f>
        <v>15.56</v>
      </c>
      <c r="T2941" s="6">
        <f t="shared" si="79"/>
        <v>2.9999999999999361E-2</v>
      </c>
    </row>
    <row r="2942" spans="1:20" x14ac:dyDescent="0.2">
      <c r="A2942" t="s">
        <v>8904</v>
      </c>
      <c r="B2942" t="s">
        <v>9570</v>
      </c>
      <c r="C2942" t="s">
        <v>9571</v>
      </c>
      <c r="D2942" t="s">
        <v>9572</v>
      </c>
      <c r="E2942" t="s">
        <v>9470</v>
      </c>
      <c r="F2942" t="s">
        <v>9439</v>
      </c>
      <c r="G2942" s="2">
        <v>5.5</v>
      </c>
      <c r="H2942" s="1">
        <v>24</v>
      </c>
      <c r="I2942" t="s">
        <v>8920</v>
      </c>
      <c r="L2942" s="1">
        <v>1</v>
      </c>
      <c r="M2942" s="3">
        <v>3.52</v>
      </c>
      <c r="N2942" s="3">
        <v>0.18</v>
      </c>
      <c r="O2942" s="3">
        <v>0</v>
      </c>
      <c r="P2942" s="3">
        <v>0.1</v>
      </c>
      <c r="Q2942" s="3">
        <v>3.8</v>
      </c>
      <c r="R2942" s="3">
        <v>2.2999999999999998</v>
      </c>
      <c r="S2942" s="3">
        <f>VLOOKUP(C2942,[1]page!$C$2:$M$3071,11,0)</f>
        <v>3.51</v>
      </c>
      <c r="T2942" s="6">
        <f t="shared" si="79"/>
        <v>1.0000000000000231E-2</v>
      </c>
    </row>
    <row r="2943" spans="1:20" x14ac:dyDescent="0.2">
      <c r="A2943" t="s">
        <v>8904</v>
      </c>
      <c r="B2943" t="s">
        <v>9573</v>
      </c>
      <c r="C2943" t="s">
        <v>9574</v>
      </c>
      <c r="D2943" t="s">
        <v>9575</v>
      </c>
      <c r="E2943" t="s">
        <v>9470</v>
      </c>
      <c r="F2943" t="s">
        <v>9439</v>
      </c>
      <c r="G2943" s="2">
        <v>5.5</v>
      </c>
      <c r="H2943" s="1">
        <v>24</v>
      </c>
      <c r="I2943" t="s">
        <v>8920</v>
      </c>
      <c r="L2943" s="1">
        <v>1</v>
      </c>
      <c r="M2943" s="3">
        <v>3.52</v>
      </c>
      <c r="N2943" s="3">
        <v>0.18</v>
      </c>
      <c r="O2943" s="3">
        <v>0</v>
      </c>
      <c r="P2943" s="3">
        <v>0.1</v>
      </c>
      <c r="Q2943" s="3">
        <v>3.8</v>
      </c>
      <c r="R2943" s="3">
        <v>2.2999999999999998</v>
      </c>
      <c r="S2943" s="3">
        <f>VLOOKUP(C2943,[1]page!$C$2:$M$3071,11,0)</f>
        <v>3.51</v>
      </c>
      <c r="T2943" s="6">
        <f t="shared" si="79"/>
        <v>1.0000000000000231E-2</v>
      </c>
    </row>
    <row r="2944" spans="1:20" x14ac:dyDescent="0.2">
      <c r="A2944" t="s">
        <v>8904</v>
      </c>
      <c r="B2944" t="s">
        <v>9576</v>
      </c>
      <c r="C2944" t="s">
        <v>9577</v>
      </c>
      <c r="D2944" t="s">
        <v>9575</v>
      </c>
      <c r="E2944" t="s">
        <v>9569</v>
      </c>
      <c r="F2944" t="s">
        <v>1041</v>
      </c>
      <c r="G2944" s="2">
        <v>5.5</v>
      </c>
      <c r="H2944" s="1">
        <v>6</v>
      </c>
      <c r="I2944" t="s">
        <v>8920</v>
      </c>
      <c r="L2944" s="1">
        <v>4</v>
      </c>
      <c r="M2944" s="3">
        <v>9.59</v>
      </c>
      <c r="N2944" s="3">
        <v>0.48</v>
      </c>
      <c r="O2944" s="3">
        <v>0</v>
      </c>
      <c r="P2944" s="3">
        <v>0.8</v>
      </c>
      <c r="Q2944" s="3">
        <v>10.87</v>
      </c>
      <c r="R2944" s="3">
        <v>6.35</v>
      </c>
      <c r="S2944" s="3">
        <f>VLOOKUP(C2944,[1]page!$C$2:$M$3071,11,0)</f>
        <v>9.57</v>
      </c>
      <c r="T2944" s="6">
        <f t="shared" si="79"/>
        <v>1.9999999999999574E-2</v>
      </c>
    </row>
    <row r="2945" spans="1:20" x14ac:dyDescent="0.2">
      <c r="A2945" t="s">
        <v>8904</v>
      </c>
      <c r="B2945" t="s">
        <v>9578</v>
      </c>
      <c r="C2945" t="s">
        <v>9579</v>
      </c>
      <c r="D2945" t="s">
        <v>9575</v>
      </c>
      <c r="E2945" t="s">
        <v>9569</v>
      </c>
      <c r="F2945" t="s">
        <v>719</v>
      </c>
      <c r="G2945" s="2">
        <v>5.5</v>
      </c>
      <c r="H2945" s="1">
        <v>4</v>
      </c>
      <c r="I2945" t="s">
        <v>8920</v>
      </c>
      <c r="L2945" s="1">
        <v>6</v>
      </c>
      <c r="M2945" s="3">
        <v>15.59</v>
      </c>
      <c r="N2945" s="3">
        <v>0.78</v>
      </c>
      <c r="O2945" s="3">
        <v>0</v>
      </c>
      <c r="P2945" s="3">
        <v>0.6</v>
      </c>
      <c r="Q2945" s="3">
        <v>16.97</v>
      </c>
      <c r="R2945" s="3">
        <v>9.15</v>
      </c>
      <c r="S2945" s="3">
        <f>VLOOKUP(C2945,[1]page!$C$2:$M$3071,11,0)</f>
        <v>15.56</v>
      </c>
      <c r="T2945" s="6">
        <f t="shared" si="79"/>
        <v>2.9999999999999361E-2</v>
      </c>
    </row>
    <row r="2946" spans="1:20" x14ac:dyDescent="0.2">
      <c r="A2946" t="s">
        <v>8904</v>
      </c>
      <c r="B2946" t="s">
        <v>9580</v>
      </c>
      <c r="C2946" t="s">
        <v>9581</v>
      </c>
      <c r="D2946" t="s">
        <v>9582</v>
      </c>
      <c r="E2946" t="s">
        <v>9470</v>
      </c>
      <c r="F2946" t="s">
        <v>9439</v>
      </c>
      <c r="G2946" s="2">
        <v>5.5</v>
      </c>
      <c r="H2946" s="1">
        <v>24</v>
      </c>
      <c r="I2946" t="s">
        <v>8920</v>
      </c>
      <c r="L2946" s="1">
        <v>1</v>
      </c>
      <c r="M2946" s="3">
        <v>3.52</v>
      </c>
      <c r="N2946" s="3">
        <v>0.18</v>
      </c>
      <c r="O2946" s="3">
        <v>0</v>
      </c>
      <c r="P2946" s="3">
        <v>0.1</v>
      </c>
      <c r="Q2946" s="3">
        <v>3.8</v>
      </c>
      <c r="R2946" s="3">
        <v>2.2999999999999998</v>
      </c>
      <c r="S2946" s="3">
        <f>VLOOKUP(C2946,[1]page!$C$2:$M$3071,11,0)</f>
        <v>3.51</v>
      </c>
      <c r="T2946" s="6">
        <f t="shared" si="79"/>
        <v>1.0000000000000231E-2</v>
      </c>
    </row>
    <row r="2947" spans="1:20" x14ac:dyDescent="0.2">
      <c r="A2947" t="s">
        <v>8904</v>
      </c>
      <c r="B2947" t="s">
        <v>9583</v>
      </c>
      <c r="C2947" t="s">
        <v>9584</v>
      </c>
      <c r="D2947" t="s">
        <v>9585</v>
      </c>
      <c r="E2947" t="s">
        <v>9470</v>
      </c>
      <c r="F2947" t="s">
        <v>6076</v>
      </c>
      <c r="G2947" s="2">
        <v>5.5</v>
      </c>
      <c r="H2947" s="1">
        <v>2</v>
      </c>
      <c r="I2947" t="s">
        <v>8920</v>
      </c>
      <c r="L2947" s="1">
        <v>12</v>
      </c>
      <c r="M2947" s="3">
        <v>27.2</v>
      </c>
      <c r="N2947" s="3">
        <v>1.36</v>
      </c>
      <c r="O2947" s="3">
        <v>0</v>
      </c>
      <c r="P2947" s="3">
        <v>1.2</v>
      </c>
      <c r="Q2947" s="3">
        <v>29.76</v>
      </c>
      <c r="R2947" s="3">
        <v>17.75</v>
      </c>
      <c r="S2947" s="3">
        <f>VLOOKUP(C2947,[1]page!$C$2:$M$3071,11,0)</f>
        <v>27.14</v>
      </c>
      <c r="T2947" s="6">
        <f t="shared" si="79"/>
        <v>5.9999999999998721E-2</v>
      </c>
    </row>
    <row r="2948" spans="1:20" x14ac:dyDescent="0.2">
      <c r="A2948" t="s">
        <v>8904</v>
      </c>
      <c r="B2948" t="s">
        <v>9586</v>
      </c>
      <c r="C2948" t="s">
        <v>9587</v>
      </c>
      <c r="D2948" t="s">
        <v>9588</v>
      </c>
      <c r="E2948" t="s">
        <v>9470</v>
      </c>
      <c r="F2948" t="s">
        <v>9439</v>
      </c>
      <c r="G2948" s="1">
        <v>7</v>
      </c>
      <c r="H2948" s="1">
        <v>24</v>
      </c>
      <c r="I2948" t="s">
        <v>8920</v>
      </c>
      <c r="L2948" s="1">
        <v>1</v>
      </c>
      <c r="M2948" s="3">
        <v>3.52</v>
      </c>
      <c r="N2948" s="3">
        <v>0.18</v>
      </c>
      <c r="O2948" s="3">
        <v>0</v>
      </c>
      <c r="P2948" s="3">
        <v>0.1</v>
      </c>
      <c r="Q2948" s="3">
        <v>3.8</v>
      </c>
      <c r="R2948" s="3">
        <v>2.7</v>
      </c>
      <c r="S2948" s="3">
        <f>VLOOKUP(C2948,[1]page!$C$2:$M$3071,11,0)</f>
        <v>3.51</v>
      </c>
      <c r="T2948" s="6">
        <f t="shared" si="79"/>
        <v>1.0000000000000231E-2</v>
      </c>
    </row>
    <row r="2949" spans="1:20" x14ac:dyDescent="0.2">
      <c r="A2949" t="s">
        <v>8904</v>
      </c>
      <c r="B2949" t="s">
        <v>9589</v>
      </c>
      <c r="C2949" t="s">
        <v>9590</v>
      </c>
      <c r="D2949" t="s">
        <v>9591</v>
      </c>
      <c r="E2949" t="s">
        <v>9470</v>
      </c>
      <c r="F2949" t="s">
        <v>9439</v>
      </c>
      <c r="G2949" s="1">
        <v>4</v>
      </c>
      <c r="H2949" s="1">
        <v>24</v>
      </c>
      <c r="I2949" t="s">
        <v>8920</v>
      </c>
      <c r="L2949" s="1">
        <v>1</v>
      </c>
      <c r="M2949" s="3">
        <v>3.53</v>
      </c>
      <c r="N2949" s="3">
        <v>0.18</v>
      </c>
      <c r="O2949" s="3">
        <v>0</v>
      </c>
      <c r="P2949" s="3">
        <v>0.1</v>
      </c>
      <c r="Q2949" s="3">
        <v>3.81</v>
      </c>
      <c r="R2949" s="3">
        <v>2.2999999999999998</v>
      </c>
      <c r="S2949" s="3">
        <f>VLOOKUP(C2949,[1]page!$C$2:$M$3071,11,0)</f>
        <v>3.52</v>
      </c>
      <c r="T2949" s="6">
        <f t="shared" si="79"/>
        <v>9.9999999999997868E-3</v>
      </c>
    </row>
    <row r="2950" spans="1:20" x14ac:dyDescent="0.2">
      <c r="A2950" t="s">
        <v>8904</v>
      </c>
      <c r="B2950" t="s">
        <v>9592</v>
      </c>
      <c r="C2950" t="s">
        <v>9593</v>
      </c>
      <c r="D2950" t="s">
        <v>9594</v>
      </c>
      <c r="E2950" t="s">
        <v>9470</v>
      </c>
      <c r="F2950" t="s">
        <v>9439</v>
      </c>
      <c r="G2950" s="2">
        <v>5.5</v>
      </c>
      <c r="H2950" s="1">
        <v>24</v>
      </c>
      <c r="I2950" t="s">
        <v>8920</v>
      </c>
      <c r="L2950" s="1">
        <v>1</v>
      </c>
      <c r="M2950" s="3">
        <v>3.52</v>
      </c>
      <c r="N2950" s="3">
        <v>0.18</v>
      </c>
      <c r="O2950" s="3">
        <v>0</v>
      </c>
      <c r="P2950" s="3">
        <v>0.1</v>
      </c>
      <c r="Q2950" s="3">
        <v>3.8</v>
      </c>
      <c r="R2950" s="3">
        <v>2.2999999999999998</v>
      </c>
      <c r="S2950" s="3">
        <f>VLOOKUP(C2950,[1]page!$C$2:$M$3071,11,0)</f>
        <v>3.51</v>
      </c>
      <c r="T2950" s="6">
        <f t="shared" si="79"/>
        <v>1.0000000000000231E-2</v>
      </c>
    </row>
    <row r="2951" spans="1:20" x14ac:dyDescent="0.2">
      <c r="A2951" t="s">
        <v>8904</v>
      </c>
      <c r="B2951" t="s">
        <v>9595</v>
      </c>
      <c r="C2951" t="s">
        <v>9596</v>
      </c>
      <c r="D2951" t="s">
        <v>9597</v>
      </c>
      <c r="E2951" t="s">
        <v>9470</v>
      </c>
      <c r="F2951" t="s">
        <v>6076</v>
      </c>
      <c r="G2951" s="2">
        <v>5.5</v>
      </c>
      <c r="H2951" s="1">
        <v>2</v>
      </c>
      <c r="I2951" t="s">
        <v>8920</v>
      </c>
      <c r="L2951" s="1">
        <v>12</v>
      </c>
      <c r="M2951" s="3">
        <v>27.2</v>
      </c>
      <c r="N2951" s="3">
        <v>1.36</v>
      </c>
      <c r="O2951" s="3">
        <v>0</v>
      </c>
      <c r="P2951" s="3">
        <v>1.2</v>
      </c>
      <c r="Q2951" s="3">
        <v>29.76</v>
      </c>
      <c r="R2951" s="3">
        <v>17.75</v>
      </c>
      <c r="S2951" s="3">
        <f>VLOOKUP(C2951,[1]page!$C$2:$M$3071,11,0)</f>
        <v>27.14</v>
      </c>
      <c r="T2951" s="6">
        <f t="shared" si="79"/>
        <v>5.9999999999998721E-2</v>
      </c>
    </row>
    <row r="2952" spans="1:20" x14ac:dyDescent="0.2">
      <c r="A2952" t="s">
        <v>8904</v>
      </c>
      <c r="B2952" t="s">
        <v>9598</v>
      </c>
      <c r="C2952" t="s">
        <v>9599</v>
      </c>
      <c r="D2952" t="s">
        <v>9600</v>
      </c>
      <c r="E2952" t="s">
        <v>9470</v>
      </c>
      <c r="F2952" t="s">
        <v>9439</v>
      </c>
      <c r="G2952" s="2">
        <v>5.5</v>
      </c>
      <c r="H2952" s="1">
        <v>24</v>
      </c>
      <c r="I2952" t="s">
        <v>8920</v>
      </c>
      <c r="L2952" s="1">
        <v>1</v>
      </c>
      <c r="M2952" s="3">
        <v>3.52</v>
      </c>
      <c r="N2952" s="3">
        <v>0.18</v>
      </c>
      <c r="O2952" s="3">
        <v>0</v>
      </c>
      <c r="P2952" s="3">
        <v>0.1</v>
      </c>
      <c r="Q2952" s="3">
        <v>3.8</v>
      </c>
      <c r="R2952" s="3">
        <v>2.2999999999999998</v>
      </c>
      <c r="S2952" s="3">
        <f>VLOOKUP(C2952,[1]page!$C$2:$M$3071,11,0)</f>
        <v>3.51</v>
      </c>
      <c r="T2952" s="6">
        <f t="shared" si="79"/>
        <v>1.0000000000000231E-2</v>
      </c>
    </row>
    <row r="2953" spans="1:20" x14ac:dyDescent="0.2">
      <c r="A2953" t="s">
        <v>8904</v>
      </c>
      <c r="B2953" t="s">
        <v>9601</v>
      </c>
      <c r="C2953" t="s">
        <v>9602</v>
      </c>
      <c r="D2953" t="s">
        <v>9600</v>
      </c>
      <c r="E2953" t="s">
        <v>9470</v>
      </c>
      <c r="F2953" t="s">
        <v>719</v>
      </c>
      <c r="G2953" s="2">
        <v>5.5</v>
      </c>
      <c r="H2953" s="1">
        <v>4</v>
      </c>
      <c r="I2953" t="s">
        <v>8920</v>
      </c>
      <c r="L2953" s="1">
        <v>6</v>
      </c>
      <c r="M2953" s="3">
        <v>15.59</v>
      </c>
      <c r="N2953" s="3">
        <v>0.78</v>
      </c>
      <c r="O2953" s="3">
        <v>0</v>
      </c>
      <c r="P2953" s="3">
        <v>0.6</v>
      </c>
      <c r="Q2953" s="3">
        <v>16.97</v>
      </c>
      <c r="R2953" s="3">
        <v>9.15</v>
      </c>
      <c r="S2953" s="3">
        <f>VLOOKUP(C2953,[1]page!$C$2:$M$3071,11,0)</f>
        <v>15.56</v>
      </c>
      <c r="T2953" s="6">
        <f t="shared" si="79"/>
        <v>2.9999999999999361E-2</v>
      </c>
    </row>
    <row r="2954" spans="1:20" x14ac:dyDescent="0.2">
      <c r="A2954" t="s">
        <v>8904</v>
      </c>
      <c r="B2954" t="s">
        <v>9603</v>
      </c>
      <c r="C2954" t="s">
        <v>9604</v>
      </c>
      <c r="D2954" t="s">
        <v>9605</v>
      </c>
      <c r="E2954" t="s">
        <v>9470</v>
      </c>
      <c r="F2954" t="s">
        <v>9439</v>
      </c>
      <c r="G2954" s="2">
        <v>5.5</v>
      </c>
      <c r="H2954" s="1">
        <v>24</v>
      </c>
      <c r="I2954" t="s">
        <v>8920</v>
      </c>
      <c r="L2954" s="1">
        <v>1</v>
      </c>
      <c r="M2954" s="3">
        <v>3.9</v>
      </c>
      <c r="N2954" s="3">
        <v>0.2</v>
      </c>
      <c r="O2954" s="3">
        <v>0</v>
      </c>
      <c r="P2954" s="3">
        <v>0.1</v>
      </c>
      <c r="Q2954" s="3">
        <v>4.2</v>
      </c>
      <c r="R2954" s="3">
        <v>2.2999999999999998</v>
      </c>
      <c r="S2954" s="3">
        <f>VLOOKUP(C2954,[1]page!$C$2:$M$3071,11,0)</f>
        <v>3.89</v>
      </c>
      <c r="T2954" s="6">
        <f t="shared" si="79"/>
        <v>9.9999999999997868E-3</v>
      </c>
    </row>
    <row r="2955" spans="1:20" x14ac:dyDescent="0.2">
      <c r="A2955" t="s">
        <v>8904</v>
      </c>
      <c r="B2955" t="s">
        <v>9606</v>
      </c>
      <c r="C2955" t="s">
        <v>9607</v>
      </c>
      <c r="D2955" t="s">
        <v>9608</v>
      </c>
      <c r="E2955" t="s">
        <v>9609</v>
      </c>
      <c r="F2955" t="s">
        <v>1599</v>
      </c>
      <c r="G2955" s="2">
        <v>6.8</v>
      </c>
      <c r="H2955" s="1">
        <v>6</v>
      </c>
      <c r="I2955" t="s">
        <v>9610</v>
      </c>
      <c r="L2955" s="1">
        <v>4</v>
      </c>
      <c r="M2955" s="3">
        <v>12.62</v>
      </c>
      <c r="N2955" s="3">
        <v>0.63</v>
      </c>
      <c r="O2955" s="3">
        <v>0</v>
      </c>
      <c r="P2955" s="3">
        <v>0.4</v>
      </c>
      <c r="Q2955" s="3">
        <v>13.65</v>
      </c>
      <c r="R2955" s="3">
        <v>5.25</v>
      </c>
      <c r="S2955" s="3">
        <f>VLOOKUP(C2955,[1]page!$C$2:$M$3071,11,0)</f>
        <v>12.62</v>
      </c>
      <c r="T2955" s="6">
        <f t="shared" si="79"/>
        <v>0</v>
      </c>
    </row>
    <row r="2956" spans="1:20" x14ac:dyDescent="0.2">
      <c r="A2956" t="s">
        <v>8904</v>
      </c>
      <c r="B2956" t="s">
        <v>9611</v>
      </c>
      <c r="C2956" t="s">
        <v>9612</v>
      </c>
      <c r="D2956" t="s">
        <v>9613</v>
      </c>
      <c r="E2956" t="s">
        <v>9614</v>
      </c>
      <c r="F2956" t="s">
        <v>5984</v>
      </c>
      <c r="G2956" s="1">
        <v>5</v>
      </c>
      <c r="H2956" s="1">
        <v>4</v>
      </c>
      <c r="I2956" t="s">
        <v>9615</v>
      </c>
      <c r="L2956" s="1">
        <v>6</v>
      </c>
      <c r="M2956" s="3">
        <v>12.49</v>
      </c>
      <c r="N2956" s="3">
        <v>0.62</v>
      </c>
      <c r="O2956" s="3">
        <v>0</v>
      </c>
      <c r="P2956" s="3">
        <v>0.6</v>
      </c>
      <c r="Q2956" s="3">
        <v>13.71</v>
      </c>
      <c r="R2956" s="3">
        <v>9.25</v>
      </c>
      <c r="S2956" s="3">
        <f>VLOOKUP(C2956,[1]page!$C$2:$M$3071,11,0)</f>
        <v>13.26</v>
      </c>
      <c r="T2956" s="6">
        <f t="shared" si="79"/>
        <v>-0.76999999999999957</v>
      </c>
    </row>
    <row r="2957" spans="1:20" x14ac:dyDescent="0.2">
      <c r="A2957" t="s">
        <v>8904</v>
      </c>
      <c r="B2957" t="s">
        <v>9616</v>
      </c>
      <c r="C2957" t="s">
        <v>9617</v>
      </c>
      <c r="D2957" t="s">
        <v>9618</v>
      </c>
      <c r="E2957" t="s">
        <v>9614</v>
      </c>
      <c r="F2957" t="s">
        <v>5984</v>
      </c>
      <c r="G2957" s="1">
        <v>5</v>
      </c>
      <c r="H2957" s="1">
        <v>4</v>
      </c>
      <c r="I2957" t="s">
        <v>9615</v>
      </c>
      <c r="L2957" s="1">
        <v>6</v>
      </c>
      <c r="M2957" s="3">
        <v>12.49</v>
      </c>
      <c r="N2957" s="3">
        <v>0.62</v>
      </c>
      <c r="O2957" s="3">
        <v>0</v>
      </c>
      <c r="P2957" s="3">
        <v>0.6</v>
      </c>
      <c r="Q2957" s="3">
        <v>13.71</v>
      </c>
      <c r="R2957" s="3">
        <v>9.25</v>
      </c>
      <c r="S2957" s="3">
        <f>VLOOKUP(C2957,[1]page!$C$2:$M$3071,11,0)</f>
        <v>12.45</v>
      </c>
      <c r="T2957" s="6">
        <f t="shared" si="79"/>
        <v>4.0000000000000924E-2</v>
      </c>
    </row>
    <row r="2958" spans="1:20" x14ac:dyDescent="0.2">
      <c r="A2958" t="s">
        <v>8904</v>
      </c>
      <c r="B2958" t="s">
        <v>9619</v>
      </c>
      <c r="C2958" t="s">
        <v>9620</v>
      </c>
      <c r="D2958" t="s">
        <v>9621</v>
      </c>
      <c r="E2958" t="s">
        <v>9614</v>
      </c>
      <c r="F2958" t="s">
        <v>5861</v>
      </c>
      <c r="G2958" s="1">
        <v>5</v>
      </c>
      <c r="H2958" s="1">
        <v>2</v>
      </c>
      <c r="I2958" t="s">
        <v>9615</v>
      </c>
      <c r="L2958" s="1">
        <v>12</v>
      </c>
      <c r="M2958" s="3">
        <v>23.81</v>
      </c>
      <c r="N2958" s="3">
        <v>1.19</v>
      </c>
      <c r="O2958" s="3">
        <v>0</v>
      </c>
      <c r="P2958" s="3">
        <v>1.2</v>
      </c>
      <c r="Q2958" s="3">
        <v>26.2</v>
      </c>
      <c r="R2958" s="3">
        <f t="shared" ref="R2958:R2959" si="80">SUM(F2958*0.0043)</f>
        <v>18.318000000000001</v>
      </c>
      <c r="S2958" s="3">
        <f>VLOOKUP(C2958,[1]page!$C$2:$M$3071,11,0)</f>
        <v>23.81</v>
      </c>
      <c r="T2958" s="6">
        <f t="shared" si="79"/>
        <v>0</v>
      </c>
    </row>
    <row r="2959" spans="1:20" x14ac:dyDescent="0.2">
      <c r="A2959" t="s">
        <v>8904</v>
      </c>
      <c r="B2959" t="s">
        <v>9622</v>
      </c>
      <c r="C2959" t="s">
        <v>9623</v>
      </c>
      <c r="D2959" t="s">
        <v>9624</v>
      </c>
      <c r="E2959" t="s">
        <v>9614</v>
      </c>
      <c r="F2959" t="s">
        <v>5861</v>
      </c>
      <c r="G2959" s="1">
        <v>5</v>
      </c>
      <c r="H2959" s="1">
        <v>2</v>
      </c>
      <c r="I2959" t="s">
        <v>9615</v>
      </c>
      <c r="L2959" s="1">
        <v>12</v>
      </c>
      <c r="M2959" s="3">
        <v>23.81</v>
      </c>
      <c r="N2959" s="3">
        <v>1.19</v>
      </c>
      <c r="O2959" s="3">
        <v>0</v>
      </c>
      <c r="P2959" s="3">
        <v>1.2</v>
      </c>
      <c r="Q2959" s="3">
        <v>26.2</v>
      </c>
      <c r="R2959" s="3">
        <f t="shared" si="80"/>
        <v>18.318000000000001</v>
      </c>
      <c r="S2959" s="3">
        <f>VLOOKUP(C2959,[1]page!$C$2:$M$3071,11,0)</f>
        <v>23.81</v>
      </c>
      <c r="T2959" s="6">
        <f t="shared" si="79"/>
        <v>0</v>
      </c>
    </row>
    <row r="2960" spans="1:20" x14ac:dyDescent="0.2">
      <c r="A2960" t="s">
        <v>8904</v>
      </c>
      <c r="B2960" t="s">
        <v>9625</v>
      </c>
      <c r="C2960" t="s">
        <v>9626</v>
      </c>
      <c r="D2960" t="s">
        <v>9627</v>
      </c>
      <c r="E2960" t="s">
        <v>9628</v>
      </c>
      <c r="F2960" t="s">
        <v>5984</v>
      </c>
      <c r="G2960" s="1">
        <v>5</v>
      </c>
      <c r="H2960" s="1">
        <v>4</v>
      </c>
      <c r="I2960" t="s">
        <v>8920</v>
      </c>
      <c r="L2960" s="1">
        <v>6</v>
      </c>
      <c r="M2960" s="3">
        <v>13.82</v>
      </c>
      <c r="N2960" s="3">
        <v>0.69</v>
      </c>
      <c r="O2960" s="3">
        <v>0</v>
      </c>
      <c r="P2960" s="3">
        <v>0.6</v>
      </c>
      <c r="Q2960" s="3">
        <v>15.11</v>
      </c>
      <c r="R2960" s="3">
        <v>9.25</v>
      </c>
      <c r="S2960" s="3">
        <f>VLOOKUP(C2960,[1]page!$C$2:$M$3071,11,0)</f>
        <v>13.79</v>
      </c>
      <c r="T2960" s="6">
        <f t="shared" si="79"/>
        <v>3.0000000000001137E-2</v>
      </c>
    </row>
    <row r="2961" spans="1:20" x14ac:dyDescent="0.2">
      <c r="A2961" t="s">
        <v>8904</v>
      </c>
      <c r="B2961" t="s">
        <v>9629</v>
      </c>
      <c r="C2961" t="s">
        <v>9630</v>
      </c>
      <c r="D2961" t="s">
        <v>9631</v>
      </c>
      <c r="E2961" t="s">
        <v>9628</v>
      </c>
      <c r="F2961" t="s">
        <v>5861</v>
      </c>
      <c r="G2961" s="1">
        <v>5</v>
      </c>
      <c r="H2961" s="1">
        <v>2</v>
      </c>
      <c r="I2961" t="s">
        <v>8920</v>
      </c>
      <c r="L2961" s="1">
        <v>12</v>
      </c>
      <c r="M2961" s="3">
        <v>26.37</v>
      </c>
      <c r="N2961" s="3">
        <v>1.32</v>
      </c>
      <c r="O2961" s="3">
        <v>0</v>
      </c>
      <c r="P2961" s="3">
        <v>1.2</v>
      </c>
      <c r="Q2961" s="3">
        <v>28.89</v>
      </c>
      <c r="R2961" s="3">
        <f t="shared" ref="R2961" si="81">SUM(F2961*0.0043)</f>
        <v>18.318000000000001</v>
      </c>
      <c r="S2961" s="3">
        <f>VLOOKUP(C2961,[1]page!$C$2:$M$3071,11,0)</f>
        <v>26.32</v>
      </c>
      <c r="T2961" s="6">
        <f t="shared" si="79"/>
        <v>5.0000000000000711E-2</v>
      </c>
    </row>
    <row r="2962" spans="1:20" x14ac:dyDescent="0.2">
      <c r="A2962" t="s">
        <v>8904</v>
      </c>
      <c r="B2962" t="s">
        <v>9632</v>
      </c>
      <c r="C2962" t="s">
        <v>9633</v>
      </c>
      <c r="D2962" t="s">
        <v>9634</v>
      </c>
      <c r="E2962" t="s">
        <v>9628</v>
      </c>
      <c r="F2962" t="s">
        <v>5984</v>
      </c>
      <c r="G2962" s="1">
        <v>5</v>
      </c>
      <c r="H2962" s="1">
        <v>4</v>
      </c>
      <c r="I2962" t="s">
        <v>8920</v>
      </c>
      <c r="L2962" s="1">
        <v>6</v>
      </c>
      <c r="M2962" s="3">
        <v>13.82</v>
      </c>
      <c r="N2962" s="3">
        <v>0.69</v>
      </c>
      <c r="O2962" s="3">
        <v>0</v>
      </c>
      <c r="P2962" s="3">
        <v>0.6</v>
      </c>
      <c r="Q2962" s="3">
        <v>15.11</v>
      </c>
      <c r="R2962" s="3">
        <v>9.25</v>
      </c>
      <c r="S2962" s="3">
        <f>VLOOKUP(C2962,[1]page!$C$2:$M$3071,11,0)</f>
        <v>13.79</v>
      </c>
      <c r="T2962" s="6">
        <f t="shared" si="79"/>
        <v>3.0000000000001137E-2</v>
      </c>
    </row>
    <row r="2963" spans="1:20" x14ac:dyDescent="0.2">
      <c r="A2963" t="s">
        <v>8904</v>
      </c>
      <c r="B2963" t="s">
        <v>9635</v>
      </c>
      <c r="C2963" t="s">
        <v>9636</v>
      </c>
      <c r="D2963" t="s">
        <v>9637</v>
      </c>
      <c r="E2963" t="s">
        <v>9628</v>
      </c>
      <c r="F2963" t="s">
        <v>5984</v>
      </c>
      <c r="G2963" s="1">
        <v>5</v>
      </c>
      <c r="H2963" s="1">
        <v>4</v>
      </c>
      <c r="I2963" t="s">
        <v>8920</v>
      </c>
      <c r="L2963" s="1">
        <v>6</v>
      </c>
      <c r="M2963" s="3">
        <v>13.82</v>
      </c>
      <c r="N2963" s="3">
        <v>0.69</v>
      </c>
      <c r="O2963" s="3">
        <v>0</v>
      </c>
      <c r="P2963" s="3">
        <v>0.6</v>
      </c>
      <c r="Q2963" s="3">
        <v>15.11</v>
      </c>
      <c r="R2963" s="3">
        <v>9.25</v>
      </c>
      <c r="S2963" s="3">
        <f>VLOOKUP(C2963,[1]page!$C$2:$M$3071,11,0)</f>
        <v>13.79</v>
      </c>
      <c r="T2963" s="6">
        <f t="shared" si="79"/>
        <v>3.0000000000001137E-2</v>
      </c>
    </row>
    <row r="2964" spans="1:20" x14ac:dyDescent="0.2">
      <c r="A2964" t="s">
        <v>8904</v>
      </c>
      <c r="B2964" t="s">
        <v>9638</v>
      </c>
      <c r="C2964" t="s">
        <v>9639</v>
      </c>
      <c r="D2964" t="s">
        <v>9640</v>
      </c>
      <c r="E2964" t="s">
        <v>9628</v>
      </c>
      <c r="F2964" t="s">
        <v>5861</v>
      </c>
      <c r="G2964" s="1">
        <v>5</v>
      </c>
      <c r="H2964" s="1">
        <v>2</v>
      </c>
      <c r="I2964" t="s">
        <v>8920</v>
      </c>
      <c r="L2964" s="1">
        <v>12</v>
      </c>
      <c r="M2964" s="3">
        <v>26.37</v>
      </c>
      <c r="N2964" s="3">
        <v>1.32</v>
      </c>
      <c r="O2964" s="3">
        <v>0</v>
      </c>
      <c r="P2964" s="3">
        <v>1.2</v>
      </c>
      <c r="Q2964" s="3">
        <v>28.89</v>
      </c>
      <c r="R2964" s="3">
        <f t="shared" ref="R2964" si="82">SUM(F2964*0.0043)</f>
        <v>18.318000000000001</v>
      </c>
      <c r="S2964" s="3">
        <f>VLOOKUP(C2964,[1]page!$C$2:$M$3071,11,0)</f>
        <v>26.32</v>
      </c>
      <c r="T2964" s="6">
        <f t="shared" si="79"/>
        <v>5.0000000000000711E-2</v>
      </c>
    </row>
    <row r="2965" spans="1:20" x14ac:dyDescent="0.2">
      <c r="A2965" t="s">
        <v>8904</v>
      </c>
      <c r="B2965" t="s">
        <v>9641</v>
      </c>
      <c r="C2965" t="s">
        <v>9642</v>
      </c>
      <c r="D2965" t="s">
        <v>9643</v>
      </c>
      <c r="E2965" t="s">
        <v>9628</v>
      </c>
      <c r="F2965" t="s">
        <v>5984</v>
      </c>
      <c r="G2965" s="1">
        <v>5</v>
      </c>
      <c r="H2965" s="1">
        <v>4</v>
      </c>
      <c r="I2965" t="s">
        <v>8920</v>
      </c>
      <c r="L2965" s="1">
        <v>6</v>
      </c>
      <c r="M2965" s="3">
        <v>13.82</v>
      </c>
      <c r="N2965" s="3">
        <v>0.69</v>
      </c>
      <c r="O2965" s="3">
        <v>0</v>
      </c>
      <c r="P2965" s="3">
        <v>0.6</v>
      </c>
      <c r="Q2965" s="3">
        <v>15.11</v>
      </c>
      <c r="R2965" s="3">
        <v>9.25</v>
      </c>
      <c r="S2965" s="3">
        <f>VLOOKUP(C2965,[1]page!$C$2:$M$3071,11,0)</f>
        <v>13.79</v>
      </c>
      <c r="T2965" s="6">
        <f t="shared" si="79"/>
        <v>3.0000000000001137E-2</v>
      </c>
    </row>
    <row r="2966" spans="1:20" x14ac:dyDescent="0.2">
      <c r="A2966" t="s">
        <v>8904</v>
      </c>
      <c r="B2966" t="s">
        <v>9644</v>
      </c>
      <c r="C2966" t="s">
        <v>9645</v>
      </c>
      <c r="D2966" t="s">
        <v>9646</v>
      </c>
      <c r="E2966" t="s">
        <v>9628</v>
      </c>
      <c r="F2966" t="s">
        <v>5861</v>
      </c>
      <c r="G2966" s="1">
        <v>5</v>
      </c>
      <c r="H2966" s="1">
        <v>2</v>
      </c>
      <c r="I2966" t="s">
        <v>8920</v>
      </c>
      <c r="L2966" s="1">
        <v>12</v>
      </c>
      <c r="M2966" s="3">
        <v>26.37</v>
      </c>
      <c r="N2966" s="3">
        <v>1.32</v>
      </c>
      <c r="O2966" s="3">
        <v>0</v>
      </c>
      <c r="P2966" s="3">
        <v>1.2</v>
      </c>
      <c r="Q2966" s="3">
        <v>28.89</v>
      </c>
      <c r="R2966" s="3">
        <f t="shared" ref="R2966:R2967" si="83">SUM(F2966*0.0043)</f>
        <v>18.318000000000001</v>
      </c>
      <c r="S2966" s="3">
        <f>VLOOKUP(C2966,[1]page!$C$2:$M$3071,11,0)</f>
        <v>26.32</v>
      </c>
      <c r="T2966" s="6">
        <f t="shared" si="79"/>
        <v>5.0000000000000711E-2</v>
      </c>
    </row>
    <row r="2967" spans="1:20" x14ac:dyDescent="0.2">
      <c r="A2967" t="s">
        <v>8904</v>
      </c>
      <c r="B2967" t="s">
        <v>9647</v>
      </c>
      <c r="C2967" t="s">
        <v>9648</v>
      </c>
      <c r="D2967" t="s">
        <v>9649</v>
      </c>
      <c r="E2967" t="s">
        <v>9628</v>
      </c>
      <c r="F2967" t="s">
        <v>26</v>
      </c>
      <c r="G2967" s="1">
        <v>5</v>
      </c>
      <c r="H2967" s="1">
        <v>1</v>
      </c>
      <c r="I2967" t="s">
        <v>8920</v>
      </c>
      <c r="L2967" s="1">
        <v>24</v>
      </c>
      <c r="M2967" s="3">
        <v>46.63</v>
      </c>
      <c r="N2967" s="3">
        <v>2.33</v>
      </c>
      <c r="O2967" s="3">
        <v>0</v>
      </c>
      <c r="P2967" s="3">
        <v>2.4</v>
      </c>
      <c r="Q2967" s="3">
        <v>51.36</v>
      </c>
      <c r="R2967" s="3">
        <f t="shared" si="83"/>
        <v>36.636000000000003</v>
      </c>
      <c r="S2967" s="3">
        <f>VLOOKUP(C2967,[1]page!$C$2:$M$3071,11,0)</f>
        <v>46.52</v>
      </c>
      <c r="T2967" s="6">
        <f t="shared" si="79"/>
        <v>0.10999999999999943</v>
      </c>
    </row>
    <row r="2968" spans="1:20" x14ac:dyDescent="0.2">
      <c r="A2968" t="s">
        <v>8904</v>
      </c>
      <c r="B2968" t="s">
        <v>9650</v>
      </c>
      <c r="C2968" t="s">
        <v>9651</v>
      </c>
      <c r="D2968" t="s">
        <v>9652</v>
      </c>
      <c r="E2968" t="s">
        <v>9628</v>
      </c>
      <c r="F2968" t="s">
        <v>5984</v>
      </c>
      <c r="G2968" s="1">
        <v>5</v>
      </c>
      <c r="H2968" s="1">
        <v>4</v>
      </c>
      <c r="I2968" t="s">
        <v>8920</v>
      </c>
      <c r="L2968" s="1">
        <v>6</v>
      </c>
      <c r="M2968" s="3">
        <v>13.82</v>
      </c>
      <c r="N2968" s="3">
        <v>0.69</v>
      </c>
      <c r="O2968" s="3">
        <v>0</v>
      </c>
      <c r="P2968" s="3">
        <v>0.6</v>
      </c>
      <c r="Q2968" s="3">
        <v>15.11</v>
      </c>
      <c r="R2968" s="3">
        <v>9.25</v>
      </c>
      <c r="S2968" s="3">
        <f>VLOOKUP(C2968,[1]page!$C$2:$M$3071,11,0)</f>
        <v>13.79</v>
      </c>
      <c r="T2968" s="6">
        <f t="shared" si="79"/>
        <v>3.0000000000001137E-2</v>
      </c>
    </row>
    <row r="2969" spans="1:20" x14ac:dyDescent="0.2">
      <c r="A2969" t="s">
        <v>8904</v>
      </c>
      <c r="B2969" t="s">
        <v>9653</v>
      </c>
      <c r="C2969" t="s">
        <v>9654</v>
      </c>
      <c r="D2969" t="s">
        <v>9655</v>
      </c>
      <c r="E2969" t="s">
        <v>9128</v>
      </c>
      <c r="F2969" t="s">
        <v>7091</v>
      </c>
      <c r="G2969" s="1">
        <v>5</v>
      </c>
      <c r="H2969" s="1">
        <v>3</v>
      </c>
      <c r="I2969" t="s">
        <v>8920</v>
      </c>
      <c r="L2969" s="1">
        <v>8</v>
      </c>
      <c r="M2969" s="3">
        <v>18.04</v>
      </c>
      <c r="N2969" s="3">
        <v>0.9</v>
      </c>
      <c r="O2969" s="3">
        <v>0</v>
      </c>
      <c r="P2969" s="3">
        <v>0.8</v>
      </c>
      <c r="Q2969" s="3">
        <v>19.739999999999998</v>
      </c>
      <c r="R2969" s="3">
        <v>17.149999999999999</v>
      </c>
      <c r="S2969" s="3">
        <f>VLOOKUP(C2969,[1]page!$C$2:$M$3071,11,0)</f>
        <v>18</v>
      </c>
      <c r="T2969" s="6">
        <f t="shared" si="79"/>
        <v>3.9999999999999147E-2</v>
      </c>
    </row>
    <row r="2970" spans="1:20" x14ac:dyDescent="0.2">
      <c r="A2970" t="s">
        <v>8904</v>
      </c>
      <c r="B2970" t="s">
        <v>9656</v>
      </c>
      <c r="C2970" t="s">
        <v>9657</v>
      </c>
      <c r="D2970" t="s">
        <v>9658</v>
      </c>
      <c r="E2970" t="s">
        <v>9628</v>
      </c>
      <c r="F2970" t="s">
        <v>5984</v>
      </c>
      <c r="G2970" s="1">
        <v>5</v>
      </c>
      <c r="H2970" s="1">
        <v>4</v>
      </c>
      <c r="I2970" t="s">
        <v>8920</v>
      </c>
      <c r="L2970" s="1">
        <v>6</v>
      </c>
      <c r="M2970" s="3">
        <v>13.82</v>
      </c>
      <c r="N2970" s="3">
        <v>0.69</v>
      </c>
      <c r="O2970" s="3">
        <v>0</v>
      </c>
      <c r="P2970" s="3">
        <v>0.6</v>
      </c>
      <c r="Q2970" s="3">
        <v>15.11</v>
      </c>
      <c r="R2970" s="3">
        <v>9.25</v>
      </c>
      <c r="S2970" s="3">
        <f>VLOOKUP(C2970,[1]page!$C$2:$M$3071,11,0)</f>
        <v>13.79</v>
      </c>
      <c r="T2970" s="6">
        <f t="shared" si="79"/>
        <v>3.0000000000001137E-2</v>
      </c>
    </row>
    <row r="2971" spans="1:20" x14ac:dyDescent="0.2">
      <c r="A2971" t="s">
        <v>8904</v>
      </c>
      <c r="B2971" t="s">
        <v>9659</v>
      </c>
      <c r="C2971" t="s">
        <v>9660</v>
      </c>
      <c r="D2971" t="s">
        <v>9661</v>
      </c>
      <c r="E2971" t="s">
        <v>9628</v>
      </c>
      <c r="F2971" t="s">
        <v>5861</v>
      </c>
      <c r="G2971" s="1">
        <v>7</v>
      </c>
      <c r="H2971" s="1">
        <v>2</v>
      </c>
      <c r="I2971" t="s">
        <v>8920</v>
      </c>
      <c r="L2971" s="1">
        <v>12</v>
      </c>
      <c r="M2971" s="3">
        <v>27.38</v>
      </c>
      <c r="N2971" s="3">
        <v>1.37</v>
      </c>
      <c r="O2971" s="3">
        <v>0</v>
      </c>
      <c r="P2971" s="3">
        <v>1.2</v>
      </c>
      <c r="Q2971" s="3">
        <v>29.95</v>
      </c>
      <c r="R2971" s="3">
        <f>SUM(F2971*0.0051)</f>
        <v>21.726000000000003</v>
      </c>
      <c r="S2971" s="3">
        <f>VLOOKUP(C2971,[1]page!$C$2:$M$3071,11,0)</f>
        <v>27.32</v>
      </c>
      <c r="T2971" s="6">
        <f t="shared" si="79"/>
        <v>5.9999999999998721E-2</v>
      </c>
    </row>
    <row r="2972" spans="1:20" x14ac:dyDescent="0.2">
      <c r="A2972" t="s">
        <v>8904</v>
      </c>
      <c r="B2972" t="s">
        <v>9662</v>
      </c>
      <c r="C2972" t="s">
        <v>9663</v>
      </c>
      <c r="D2972" t="s">
        <v>9664</v>
      </c>
      <c r="E2972" t="s">
        <v>9628</v>
      </c>
      <c r="F2972" t="s">
        <v>5984</v>
      </c>
      <c r="G2972" s="1">
        <v>5</v>
      </c>
      <c r="H2972" s="1">
        <v>4</v>
      </c>
      <c r="I2972" t="s">
        <v>8920</v>
      </c>
      <c r="L2972" s="1">
        <v>6</v>
      </c>
      <c r="M2972" s="3">
        <v>13.82</v>
      </c>
      <c r="N2972" s="3">
        <v>0.69</v>
      </c>
      <c r="O2972" s="3">
        <v>0</v>
      </c>
      <c r="P2972" s="3">
        <v>0.6</v>
      </c>
      <c r="Q2972" s="3">
        <v>15.11</v>
      </c>
      <c r="R2972" s="3">
        <v>9.25</v>
      </c>
      <c r="S2972" s="3">
        <f>VLOOKUP(C2972,[1]page!$C$2:$M$3071,11,0)</f>
        <v>13.79</v>
      </c>
      <c r="T2972" s="6">
        <f t="shared" ref="T2972:T3035" si="84">SUM(M2972-S2972)</f>
        <v>3.0000000000001137E-2</v>
      </c>
    </row>
    <row r="2973" spans="1:20" x14ac:dyDescent="0.2">
      <c r="A2973" t="s">
        <v>8904</v>
      </c>
      <c r="B2973" t="s">
        <v>9665</v>
      </c>
      <c r="C2973" t="s">
        <v>9666</v>
      </c>
      <c r="D2973" t="s">
        <v>9667</v>
      </c>
      <c r="E2973" t="s">
        <v>9628</v>
      </c>
      <c r="F2973" t="s">
        <v>5861</v>
      </c>
      <c r="G2973" s="1">
        <v>5</v>
      </c>
      <c r="H2973" s="1">
        <v>2</v>
      </c>
      <c r="I2973" t="s">
        <v>8920</v>
      </c>
      <c r="L2973" s="1">
        <v>12</v>
      </c>
      <c r="M2973" s="3">
        <v>26.37</v>
      </c>
      <c r="N2973" s="3">
        <v>1.32</v>
      </c>
      <c r="O2973" s="3">
        <v>0</v>
      </c>
      <c r="P2973" s="3">
        <v>1.2</v>
      </c>
      <c r="Q2973" s="3">
        <v>28.89</v>
      </c>
      <c r="R2973" s="3">
        <f t="shared" ref="R2973:R2974" si="85">SUM(F2973*0.0043)</f>
        <v>18.318000000000001</v>
      </c>
      <c r="S2973" s="3">
        <f>VLOOKUP(C2973,[1]page!$C$2:$M$3071,11,0)</f>
        <v>26.32</v>
      </c>
      <c r="T2973" s="6">
        <f t="shared" si="84"/>
        <v>5.0000000000000711E-2</v>
      </c>
    </row>
    <row r="2974" spans="1:20" x14ac:dyDescent="0.2">
      <c r="A2974" t="s">
        <v>8904</v>
      </c>
      <c r="B2974" t="s">
        <v>9668</v>
      </c>
      <c r="C2974" t="s">
        <v>9669</v>
      </c>
      <c r="D2974" t="s">
        <v>9670</v>
      </c>
      <c r="E2974" t="s">
        <v>9128</v>
      </c>
      <c r="F2974" t="s">
        <v>5861</v>
      </c>
      <c r="G2974" s="1">
        <v>5</v>
      </c>
      <c r="H2974" s="1">
        <v>2</v>
      </c>
      <c r="I2974" t="s">
        <v>8920</v>
      </c>
      <c r="L2974" s="1">
        <v>12</v>
      </c>
      <c r="M2974" s="3">
        <v>26.37</v>
      </c>
      <c r="N2974" s="3">
        <v>1.32</v>
      </c>
      <c r="O2974" s="3">
        <v>0</v>
      </c>
      <c r="P2974" s="3">
        <v>1.2</v>
      </c>
      <c r="Q2974" s="3">
        <v>28.89</v>
      </c>
      <c r="R2974" s="3">
        <f t="shared" si="85"/>
        <v>18.318000000000001</v>
      </c>
      <c r="S2974" s="3">
        <f>VLOOKUP(C2974,[1]page!$C$2:$M$3071,11,0)</f>
        <v>26.32</v>
      </c>
      <c r="T2974" s="6">
        <f t="shared" si="84"/>
        <v>5.0000000000000711E-2</v>
      </c>
    </row>
    <row r="2975" spans="1:20" x14ac:dyDescent="0.2">
      <c r="A2975" t="s">
        <v>8904</v>
      </c>
      <c r="B2975" t="s">
        <v>9671</v>
      </c>
      <c r="C2975" t="s">
        <v>9672</v>
      </c>
      <c r="D2975" t="s">
        <v>9673</v>
      </c>
      <c r="E2975" t="s">
        <v>9674</v>
      </c>
      <c r="F2975" t="s">
        <v>1041</v>
      </c>
      <c r="G2975" s="2">
        <v>5.2</v>
      </c>
      <c r="H2975" s="1">
        <v>6</v>
      </c>
      <c r="I2975" t="s">
        <v>57</v>
      </c>
      <c r="L2975" s="1">
        <v>4</v>
      </c>
      <c r="M2975" s="3">
        <v>12.01</v>
      </c>
      <c r="N2975" s="3">
        <v>0.6</v>
      </c>
      <c r="O2975" s="3">
        <v>0</v>
      </c>
      <c r="P2975" s="3">
        <v>0.4</v>
      </c>
      <c r="Q2975" s="3">
        <v>13.01</v>
      </c>
      <c r="R2975" s="3">
        <v>6.35</v>
      </c>
      <c r="S2975" s="3">
        <f>VLOOKUP(C2975,[1]page!$C$2:$M$3071,11,0)</f>
        <v>11.99</v>
      </c>
      <c r="T2975" s="6">
        <f t="shared" si="84"/>
        <v>1.9999999999999574E-2</v>
      </c>
    </row>
    <row r="2976" spans="1:20" x14ac:dyDescent="0.2">
      <c r="A2976" t="s">
        <v>8904</v>
      </c>
      <c r="B2976" t="s">
        <v>9675</v>
      </c>
      <c r="C2976" t="s">
        <v>9676</v>
      </c>
      <c r="D2976" t="s">
        <v>9677</v>
      </c>
      <c r="E2976" t="s">
        <v>9674</v>
      </c>
      <c r="F2976" t="s">
        <v>1041</v>
      </c>
      <c r="G2976" s="2">
        <v>5.2</v>
      </c>
      <c r="H2976" s="1">
        <v>6</v>
      </c>
      <c r="I2976" t="s">
        <v>57</v>
      </c>
      <c r="L2976" s="1">
        <v>4</v>
      </c>
      <c r="M2976" s="3">
        <v>12.01</v>
      </c>
      <c r="N2976" s="3">
        <v>0.6</v>
      </c>
      <c r="O2976" s="3">
        <v>0</v>
      </c>
      <c r="P2976" s="3">
        <v>0.4</v>
      </c>
      <c r="Q2976" s="3">
        <v>13.01</v>
      </c>
      <c r="R2976" s="3">
        <v>6.35</v>
      </c>
      <c r="S2976" s="3">
        <f>VLOOKUP(C2976,[1]page!$C$2:$M$3071,11,0)</f>
        <v>11.99</v>
      </c>
      <c r="T2976" s="6">
        <f t="shared" si="84"/>
        <v>1.9999999999999574E-2</v>
      </c>
    </row>
    <row r="2977" spans="1:20" x14ac:dyDescent="0.2">
      <c r="A2977" t="s">
        <v>8904</v>
      </c>
      <c r="B2977" t="s">
        <v>9678</v>
      </c>
      <c r="C2977" t="s">
        <v>9679</v>
      </c>
      <c r="D2977" t="s">
        <v>9680</v>
      </c>
      <c r="E2977" t="s">
        <v>9674</v>
      </c>
      <c r="F2977" t="s">
        <v>7091</v>
      </c>
      <c r="G2977" s="2">
        <v>5.2</v>
      </c>
      <c r="H2977" s="1">
        <v>3</v>
      </c>
      <c r="I2977" t="s">
        <v>57</v>
      </c>
      <c r="L2977" s="1">
        <v>8</v>
      </c>
      <c r="M2977" s="3">
        <v>24.43</v>
      </c>
      <c r="N2977" s="3">
        <v>1.22</v>
      </c>
      <c r="O2977" s="3">
        <v>0</v>
      </c>
      <c r="P2977" s="3">
        <v>0.8</v>
      </c>
      <c r="Q2977" s="3">
        <v>26.45</v>
      </c>
      <c r="R2977" s="3">
        <v>17.149999999999999</v>
      </c>
      <c r="S2977" s="3">
        <f>VLOOKUP(C2977,[1]page!$C$2:$M$3071,11,0)</f>
        <v>24.39</v>
      </c>
      <c r="T2977" s="6">
        <f t="shared" si="84"/>
        <v>3.9999999999999147E-2</v>
      </c>
    </row>
    <row r="2978" spans="1:20" x14ac:dyDescent="0.2">
      <c r="A2978" t="s">
        <v>8904</v>
      </c>
      <c r="B2978" t="s">
        <v>9681</v>
      </c>
      <c r="C2978" t="s">
        <v>9682</v>
      </c>
      <c r="D2978" t="s">
        <v>9683</v>
      </c>
      <c r="E2978" t="s">
        <v>9674</v>
      </c>
      <c r="F2978" t="s">
        <v>1041</v>
      </c>
      <c r="G2978" s="2">
        <v>5.2</v>
      </c>
      <c r="H2978" s="1">
        <v>6</v>
      </c>
      <c r="I2978" t="s">
        <v>57</v>
      </c>
      <c r="L2978" s="1">
        <v>4</v>
      </c>
      <c r="M2978" s="3">
        <v>12.01</v>
      </c>
      <c r="N2978" s="3">
        <v>0.6</v>
      </c>
      <c r="O2978" s="3">
        <v>0</v>
      </c>
      <c r="P2978" s="3">
        <v>0.4</v>
      </c>
      <c r="Q2978" s="3">
        <v>13.01</v>
      </c>
      <c r="R2978" s="3">
        <v>6.35</v>
      </c>
      <c r="S2978" s="3">
        <f>VLOOKUP(C2978,[1]page!$C$2:$M$3071,11,0)</f>
        <v>11.99</v>
      </c>
      <c r="T2978" s="6">
        <f t="shared" si="84"/>
        <v>1.9999999999999574E-2</v>
      </c>
    </row>
    <row r="2979" spans="1:20" x14ac:dyDescent="0.2">
      <c r="A2979" t="s">
        <v>8904</v>
      </c>
      <c r="B2979" t="s">
        <v>9684</v>
      </c>
      <c r="C2979" t="s">
        <v>9685</v>
      </c>
      <c r="D2979" t="s">
        <v>9686</v>
      </c>
      <c r="E2979" t="s">
        <v>9674</v>
      </c>
      <c r="F2979" t="s">
        <v>1041</v>
      </c>
      <c r="G2979" s="2">
        <v>5.2</v>
      </c>
      <c r="H2979" s="1">
        <v>6</v>
      </c>
      <c r="I2979" t="s">
        <v>57</v>
      </c>
      <c r="L2979" s="1">
        <v>4</v>
      </c>
      <c r="M2979" s="3">
        <v>12.01</v>
      </c>
      <c r="N2979" s="3">
        <v>0.6</v>
      </c>
      <c r="O2979" s="3">
        <v>0</v>
      </c>
      <c r="P2979" s="3">
        <v>0.4</v>
      </c>
      <c r="Q2979" s="3">
        <v>13.01</v>
      </c>
      <c r="R2979" s="3">
        <v>6.35</v>
      </c>
      <c r="S2979" s="3">
        <f>VLOOKUP(C2979,[1]page!$C$2:$M$3071,11,0)</f>
        <v>11.99</v>
      </c>
      <c r="T2979" s="6">
        <f t="shared" si="84"/>
        <v>1.9999999999999574E-2</v>
      </c>
    </row>
    <row r="2980" spans="1:20" x14ac:dyDescent="0.2">
      <c r="A2980" t="s">
        <v>8904</v>
      </c>
      <c r="B2980" t="s">
        <v>9687</v>
      </c>
      <c r="C2980" t="s">
        <v>9688</v>
      </c>
      <c r="D2980" t="s">
        <v>9689</v>
      </c>
      <c r="E2980" t="s">
        <v>9674</v>
      </c>
      <c r="F2980" t="s">
        <v>1041</v>
      </c>
      <c r="G2980" s="2">
        <v>5.2</v>
      </c>
      <c r="H2980" s="1">
        <v>6</v>
      </c>
      <c r="I2980" t="s">
        <v>57</v>
      </c>
      <c r="L2980" s="1">
        <v>4</v>
      </c>
      <c r="M2980" s="3">
        <v>12.01</v>
      </c>
      <c r="N2980" s="3">
        <v>0.6</v>
      </c>
      <c r="O2980" s="3">
        <v>0</v>
      </c>
      <c r="P2980" s="3">
        <v>0.4</v>
      </c>
      <c r="Q2980" s="3">
        <v>13.01</v>
      </c>
      <c r="R2980" s="3">
        <v>6.35</v>
      </c>
      <c r="S2980" s="3">
        <f>VLOOKUP(C2980,[1]page!$C$2:$M$3071,11,0)</f>
        <v>11.99</v>
      </c>
      <c r="T2980" s="6">
        <f t="shared" si="84"/>
        <v>1.9999999999999574E-2</v>
      </c>
    </row>
    <row r="2981" spans="1:20" x14ac:dyDescent="0.2">
      <c r="A2981" t="s">
        <v>8904</v>
      </c>
      <c r="B2981" t="s">
        <v>9690</v>
      </c>
      <c r="C2981" t="s">
        <v>9691</v>
      </c>
      <c r="D2981" t="s">
        <v>9692</v>
      </c>
      <c r="E2981" t="s">
        <v>9674</v>
      </c>
      <c r="F2981" t="s">
        <v>1041</v>
      </c>
      <c r="G2981" s="2">
        <v>5.2</v>
      </c>
      <c r="H2981" s="1">
        <v>6</v>
      </c>
      <c r="I2981" t="s">
        <v>57</v>
      </c>
      <c r="L2981" s="1">
        <v>4</v>
      </c>
      <c r="M2981" s="3">
        <v>12.01</v>
      </c>
      <c r="N2981" s="3">
        <v>0.6</v>
      </c>
      <c r="O2981" s="3">
        <v>0</v>
      </c>
      <c r="P2981" s="3">
        <v>0.4</v>
      </c>
      <c r="Q2981" s="3">
        <v>13.01</v>
      </c>
      <c r="R2981" s="3">
        <v>6.35</v>
      </c>
      <c r="S2981" s="3">
        <f>VLOOKUP(C2981,[1]page!$C$2:$M$3071,11,0)</f>
        <v>11.99</v>
      </c>
      <c r="T2981" s="6">
        <f t="shared" si="84"/>
        <v>1.9999999999999574E-2</v>
      </c>
    </row>
    <row r="2982" spans="1:20" x14ac:dyDescent="0.2">
      <c r="A2982" t="s">
        <v>8904</v>
      </c>
      <c r="B2982" t="s">
        <v>9693</v>
      </c>
      <c r="C2982" t="s">
        <v>9694</v>
      </c>
      <c r="D2982" t="s">
        <v>9695</v>
      </c>
      <c r="E2982" t="s">
        <v>2980</v>
      </c>
      <c r="F2982" t="s">
        <v>1041</v>
      </c>
      <c r="G2982" s="2">
        <v>10.4</v>
      </c>
      <c r="H2982" s="1">
        <v>6</v>
      </c>
      <c r="I2982" t="s">
        <v>57</v>
      </c>
      <c r="L2982" s="1">
        <v>4</v>
      </c>
      <c r="M2982" s="3">
        <v>14.07</v>
      </c>
      <c r="N2982" s="3">
        <v>0.7</v>
      </c>
      <c r="O2982" s="3">
        <v>0</v>
      </c>
      <c r="P2982" s="3">
        <v>0.4</v>
      </c>
      <c r="Q2982" s="3">
        <v>15.17</v>
      </c>
      <c r="R2982" s="3">
        <v>7.5</v>
      </c>
      <c r="S2982" s="3" t="e">
        <f>VLOOKUP(C2982,[1]page!$C$2:$M$3071,11,0)</f>
        <v>#N/A</v>
      </c>
      <c r="T2982" s="6" t="e">
        <f t="shared" si="84"/>
        <v>#N/A</v>
      </c>
    </row>
    <row r="2983" spans="1:20" x14ac:dyDescent="0.2">
      <c r="A2983" t="s">
        <v>8904</v>
      </c>
      <c r="B2983" t="s">
        <v>9696</v>
      </c>
      <c r="C2983" t="s">
        <v>9697</v>
      </c>
      <c r="D2983" t="s">
        <v>9698</v>
      </c>
      <c r="E2983" t="s">
        <v>9699</v>
      </c>
      <c r="F2983" t="s">
        <v>1041</v>
      </c>
      <c r="G2983" s="1">
        <v>5</v>
      </c>
      <c r="H2983" s="1">
        <v>6</v>
      </c>
      <c r="I2983" t="s">
        <v>2759</v>
      </c>
      <c r="L2983" s="1">
        <v>4</v>
      </c>
      <c r="M2983" s="3">
        <v>12.54</v>
      </c>
      <c r="N2983" s="3">
        <v>0.63</v>
      </c>
      <c r="O2983" s="3">
        <v>0</v>
      </c>
      <c r="P2983" s="3">
        <v>0.4</v>
      </c>
      <c r="Q2983" s="3">
        <v>13.57</v>
      </c>
      <c r="R2983" s="3">
        <v>6.35</v>
      </c>
      <c r="S2983" s="3">
        <f>VLOOKUP(C2983,[1]page!$C$2:$M$3071,11,0)</f>
        <v>12.53</v>
      </c>
      <c r="T2983" s="6">
        <f t="shared" si="84"/>
        <v>9.9999999999997868E-3</v>
      </c>
    </row>
    <row r="2984" spans="1:20" x14ac:dyDescent="0.2">
      <c r="A2984" t="s">
        <v>8904</v>
      </c>
      <c r="B2984" t="s">
        <v>9700</v>
      </c>
      <c r="C2984" t="s">
        <v>9701</v>
      </c>
      <c r="D2984" t="s">
        <v>2001</v>
      </c>
      <c r="E2984" t="s">
        <v>43</v>
      </c>
      <c r="F2984" t="s">
        <v>5855</v>
      </c>
      <c r="G2984" s="1">
        <v>5</v>
      </c>
      <c r="H2984" s="1">
        <v>24</v>
      </c>
      <c r="I2984" t="s">
        <v>8920</v>
      </c>
      <c r="L2984" s="1">
        <v>1</v>
      </c>
      <c r="M2984" s="3">
        <v>3.8</v>
      </c>
      <c r="N2984" s="3">
        <v>0.19</v>
      </c>
      <c r="O2984" s="3">
        <v>0</v>
      </c>
      <c r="P2984" s="3">
        <v>0.1</v>
      </c>
      <c r="Q2984" s="3">
        <v>4.09</v>
      </c>
      <c r="R2984" s="3">
        <v>2.2999999999999998</v>
      </c>
      <c r="S2984" s="3">
        <f>VLOOKUP(C2984,[1]page!$C$2:$M$3071,11,0)</f>
        <v>3.8</v>
      </c>
      <c r="T2984" s="6">
        <f t="shared" si="84"/>
        <v>0</v>
      </c>
    </row>
    <row r="2985" spans="1:20" x14ac:dyDescent="0.2">
      <c r="A2985" t="s">
        <v>8904</v>
      </c>
      <c r="B2985" t="s">
        <v>9702</v>
      </c>
      <c r="C2985" t="s">
        <v>9703</v>
      </c>
      <c r="D2985" t="s">
        <v>9704</v>
      </c>
      <c r="E2985" t="s">
        <v>43</v>
      </c>
      <c r="F2985" t="s">
        <v>1599</v>
      </c>
      <c r="G2985" s="2">
        <v>12.5</v>
      </c>
      <c r="H2985" s="1">
        <v>12</v>
      </c>
      <c r="I2985" t="s">
        <v>39</v>
      </c>
      <c r="L2985" s="1">
        <v>1</v>
      </c>
      <c r="M2985" s="3">
        <v>19.98</v>
      </c>
      <c r="N2985" s="3">
        <v>1</v>
      </c>
      <c r="O2985" s="3">
        <v>0</v>
      </c>
      <c r="P2985" s="3">
        <v>0.25</v>
      </c>
      <c r="Q2985" s="3">
        <v>21.23</v>
      </c>
      <c r="R2985" s="3">
        <v>5.25</v>
      </c>
      <c r="S2985" s="3">
        <f>VLOOKUP(C2985,[1]page!$C$2:$M$3071,11,0)</f>
        <v>19.91</v>
      </c>
      <c r="T2985" s="6">
        <f t="shared" si="84"/>
        <v>7.0000000000000284E-2</v>
      </c>
    </row>
    <row r="2986" spans="1:20" x14ac:dyDescent="0.2">
      <c r="A2986" t="s">
        <v>8904</v>
      </c>
      <c r="B2986" t="s">
        <v>9705</v>
      </c>
      <c r="C2986" t="s">
        <v>9706</v>
      </c>
      <c r="D2986" t="s">
        <v>9707</v>
      </c>
      <c r="E2986" t="s">
        <v>43</v>
      </c>
      <c r="F2986" t="s">
        <v>5855</v>
      </c>
      <c r="G2986" s="1">
        <v>5</v>
      </c>
      <c r="H2986" s="1">
        <v>24</v>
      </c>
      <c r="I2986" t="s">
        <v>8920</v>
      </c>
      <c r="L2986" s="1">
        <v>1</v>
      </c>
      <c r="M2986" s="3">
        <v>3.8</v>
      </c>
      <c r="N2986" s="3">
        <v>0.19</v>
      </c>
      <c r="O2986" s="3">
        <v>0</v>
      </c>
      <c r="P2986" s="3">
        <v>0.1</v>
      </c>
      <c r="Q2986" s="3">
        <v>4.09</v>
      </c>
      <c r="R2986" s="3">
        <v>2.2999999999999998</v>
      </c>
      <c r="S2986" s="3">
        <f>VLOOKUP(C2986,[1]page!$C$2:$M$3071,11,0)</f>
        <v>3.8</v>
      </c>
      <c r="T2986" s="6">
        <f t="shared" si="84"/>
        <v>0</v>
      </c>
    </row>
    <row r="2987" spans="1:20" x14ac:dyDescent="0.2">
      <c r="A2987" t="s">
        <v>8904</v>
      </c>
      <c r="B2987" t="s">
        <v>9708</v>
      </c>
      <c r="C2987" t="s">
        <v>9709</v>
      </c>
      <c r="D2987" t="s">
        <v>1966</v>
      </c>
      <c r="E2987" t="s">
        <v>43</v>
      </c>
      <c r="F2987" t="s">
        <v>5855</v>
      </c>
      <c r="G2987" s="1">
        <v>5</v>
      </c>
      <c r="H2987" s="1">
        <v>24</v>
      </c>
      <c r="I2987" t="s">
        <v>8920</v>
      </c>
      <c r="L2987" s="1">
        <v>1</v>
      </c>
      <c r="M2987" s="3">
        <v>3.8</v>
      </c>
      <c r="N2987" s="3">
        <v>0.19</v>
      </c>
      <c r="O2987" s="3">
        <v>0</v>
      </c>
      <c r="P2987" s="3">
        <v>0.1</v>
      </c>
      <c r="Q2987" s="3">
        <v>4.09</v>
      </c>
      <c r="R2987" s="3">
        <v>2.2999999999999998</v>
      </c>
      <c r="S2987" s="3">
        <f>VLOOKUP(C2987,[1]page!$C$2:$M$3071,11,0)</f>
        <v>3.8</v>
      </c>
      <c r="T2987" s="6">
        <f t="shared" si="84"/>
        <v>0</v>
      </c>
    </row>
    <row r="2988" spans="1:20" x14ac:dyDescent="0.2">
      <c r="A2988" t="s">
        <v>8904</v>
      </c>
      <c r="B2988" t="s">
        <v>9710</v>
      </c>
      <c r="C2988" t="s">
        <v>9711</v>
      </c>
      <c r="D2988" t="s">
        <v>9712</v>
      </c>
      <c r="E2988" t="s">
        <v>9713</v>
      </c>
      <c r="F2988" t="s">
        <v>5855</v>
      </c>
      <c r="G2988" s="1">
        <v>7</v>
      </c>
      <c r="H2988" s="1">
        <v>24</v>
      </c>
      <c r="I2988" t="s">
        <v>193</v>
      </c>
      <c r="L2988" s="1">
        <v>1</v>
      </c>
      <c r="M2988" s="3">
        <v>2.98</v>
      </c>
      <c r="N2988" s="3">
        <v>0.15</v>
      </c>
      <c r="O2988" s="3">
        <v>0</v>
      </c>
      <c r="P2988" s="3">
        <v>0.1</v>
      </c>
      <c r="Q2988" s="3">
        <v>3.23</v>
      </c>
      <c r="R2988" s="3">
        <v>2.7</v>
      </c>
      <c r="S2988" s="3">
        <f>VLOOKUP(C2988,[1]page!$C$2:$M$3071,11,0)</f>
        <v>2.97</v>
      </c>
      <c r="T2988" s="6">
        <f t="shared" si="84"/>
        <v>9.9999999999997868E-3</v>
      </c>
    </row>
    <row r="2989" spans="1:20" x14ac:dyDescent="0.2">
      <c r="A2989" t="s">
        <v>8904</v>
      </c>
      <c r="B2989" t="s">
        <v>9714</v>
      </c>
      <c r="C2989" t="s">
        <v>9715</v>
      </c>
      <c r="D2989" t="s">
        <v>9716</v>
      </c>
      <c r="E2989" t="s">
        <v>6132</v>
      </c>
      <c r="F2989" t="s">
        <v>5984</v>
      </c>
      <c r="G2989" s="2">
        <v>4.5</v>
      </c>
      <c r="H2989" s="1">
        <v>4</v>
      </c>
      <c r="I2989" t="s">
        <v>6133</v>
      </c>
      <c r="L2989" s="1">
        <v>6</v>
      </c>
      <c r="M2989" s="3">
        <v>12.39</v>
      </c>
      <c r="N2989" s="3">
        <v>0.62</v>
      </c>
      <c r="O2989" s="3">
        <v>0</v>
      </c>
      <c r="P2989" s="3">
        <v>0.6</v>
      </c>
      <c r="Q2989" s="3">
        <v>13.61</v>
      </c>
      <c r="R2989" s="3">
        <v>9.25</v>
      </c>
      <c r="S2989" s="3">
        <f>VLOOKUP(C2989,[1]page!$C$2:$M$3071,11,0)</f>
        <v>12.36</v>
      </c>
      <c r="T2989" s="6">
        <f t="shared" si="84"/>
        <v>3.0000000000001137E-2</v>
      </c>
    </row>
    <row r="2990" spans="1:20" x14ac:dyDescent="0.2">
      <c r="A2990" t="s">
        <v>8904</v>
      </c>
      <c r="B2990" t="s">
        <v>9717</v>
      </c>
      <c r="C2990" t="s">
        <v>9718</v>
      </c>
      <c r="D2990" t="s">
        <v>9719</v>
      </c>
      <c r="E2990" t="s">
        <v>9720</v>
      </c>
      <c r="F2990" t="s">
        <v>5861</v>
      </c>
      <c r="G2990" s="1">
        <v>5</v>
      </c>
      <c r="H2990" s="1">
        <v>2</v>
      </c>
      <c r="I2990" t="s">
        <v>9721</v>
      </c>
      <c r="L2990" s="1">
        <v>12</v>
      </c>
      <c r="M2990" s="3">
        <v>25.93</v>
      </c>
      <c r="N2990" s="3">
        <v>1.3</v>
      </c>
      <c r="O2990" s="3">
        <v>0</v>
      </c>
      <c r="P2990" s="3">
        <v>1.2</v>
      </c>
      <c r="Q2990" s="3">
        <v>28.43</v>
      </c>
      <c r="R2990" s="3">
        <f t="shared" ref="R2990" si="86">SUM(F2990*0.0043)</f>
        <v>18.318000000000001</v>
      </c>
      <c r="S2990" s="3">
        <f>VLOOKUP(C2990,[1]page!$C$2:$M$3071,11,0)</f>
        <v>25.93</v>
      </c>
      <c r="T2990" s="6">
        <f t="shared" si="84"/>
        <v>0</v>
      </c>
    </row>
    <row r="2991" spans="1:20" x14ac:dyDescent="0.2">
      <c r="A2991" t="s">
        <v>8904</v>
      </c>
      <c r="B2991" t="s">
        <v>9722</v>
      </c>
      <c r="C2991" t="s">
        <v>9723</v>
      </c>
      <c r="D2991" t="s">
        <v>9724</v>
      </c>
      <c r="E2991" t="s">
        <v>1116</v>
      </c>
      <c r="F2991" t="s">
        <v>5855</v>
      </c>
      <c r="G2991" s="1">
        <v>7</v>
      </c>
      <c r="H2991" s="1">
        <v>24</v>
      </c>
      <c r="I2991" t="s">
        <v>444</v>
      </c>
      <c r="K2991" t="s">
        <v>20</v>
      </c>
      <c r="L2991" s="1">
        <v>1</v>
      </c>
      <c r="M2991" s="3">
        <v>3.5</v>
      </c>
      <c r="N2991" s="3">
        <v>0.18</v>
      </c>
      <c r="O2991" s="3">
        <v>0</v>
      </c>
      <c r="P2991" s="3">
        <v>0.1</v>
      </c>
      <c r="Q2991" s="3">
        <v>3.78</v>
      </c>
      <c r="R2991" s="3">
        <v>2.7</v>
      </c>
      <c r="S2991" s="3">
        <f>VLOOKUP(C2991,[1]page!$C$2:$M$3071,11,0)</f>
        <v>3.5</v>
      </c>
      <c r="T2991" s="6">
        <f t="shared" si="84"/>
        <v>0</v>
      </c>
    </row>
    <row r="2992" spans="1:20" x14ac:dyDescent="0.2">
      <c r="A2992" t="s">
        <v>8904</v>
      </c>
      <c r="B2992" t="s">
        <v>9725</v>
      </c>
      <c r="C2992" t="s">
        <v>9726</v>
      </c>
      <c r="D2992" t="s">
        <v>9724</v>
      </c>
      <c r="E2992" t="s">
        <v>1116</v>
      </c>
      <c r="F2992" t="s">
        <v>5996</v>
      </c>
      <c r="G2992" s="1">
        <v>7</v>
      </c>
      <c r="H2992" s="1">
        <v>6</v>
      </c>
      <c r="I2992" t="s">
        <v>444</v>
      </c>
      <c r="K2992" t="s">
        <v>20</v>
      </c>
      <c r="L2992" s="1">
        <v>4</v>
      </c>
      <c r="M2992" s="3">
        <v>14.36</v>
      </c>
      <c r="N2992" s="3">
        <v>0.72</v>
      </c>
      <c r="O2992" s="3">
        <v>0</v>
      </c>
      <c r="P2992" s="3">
        <v>0.4</v>
      </c>
      <c r="Q2992" s="3">
        <v>15.48</v>
      </c>
      <c r="R2992" s="3">
        <v>6.95</v>
      </c>
      <c r="S2992" s="3">
        <f>VLOOKUP(C2992,[1]page!$C$2:$M$3071,11,0)</f>
        <v>14.35</v>
      </c>
      <c r="T2992" s="6">
        <f t="shared" si="84"/>
        <v>9.9999999999997868E-3</v>
      </c>
    </row>
    <row r="2993" spans="1:20" x14ac:dyDescent="0.2">
      <c r="A2993" t="s">
        <v>8904</v>
      </c>
      <c r="B2993" t="s">
        <v>9727</v>
      </c>
      <c r="C2993" t="s">
        <v>9728</v>
      </c>
      <c r="D2993" t="s">
        <v>9729</v>
      </c>
      <c r="E2993" t="s">
        <v>9730</v>
      </c>
      <c r="F2993" t="s">
        <v>7091</v>
      </c>
      <c r="G2993" s="1">
        <v>5</v>
      </c>
      <c r="H2993" s="1">
        <v>3</v>
      </c>
      <c r="I2993" t="s">
        <v>9731</v>
      </c>
      <c r="L2993" s="1">
        <v>8</v>
      </c>
      <c r="M2993" s="3">
        <v>21.36</v>
      </c>
      <c r="N2993" s="3">
        <v>1.07</v>
      </c>
      <c r="O2993" s="3">
        <v>0</v>
      </c>
      <c r="P2993" s="3">
        <v>0.8</v>
      </c>
      <c r="Q2993" s="3">
        <v>23.23</v>
      </c>
      <c r="R2993" s="3">
        <v>17.149999999999999</v>
      </c>
      <c r="S2993" s="3">
        <f>VLOOKUP(C2993,[1]page!$C$2:$M$3071,11,0)</f>
        <v>21.32</v>
      </c>
      <c r="T2993" s="6">
        <f t="shared" si="84"/>
        <v>3.9999999999999147E-2</v>
      </c>
    </row>
    <row r="2994" spans="1:20" x14ac:dyDescent="0.2">
      <c r="A2994" t="s">
        <v>8904</v>
      </c>
      <c r="B2994" t="s">
        <v>9732</v>
      </c>
      <c r="C2994" t="s">
        <v>9733</v>
      </c>
      <c r="D2994" t="s">
        <v>9734</v>
      </c>
      <c r="E2994" t="s">
        <v>9730</v>
      </c>
      <c r="F2994" t="s">
        <v>5984</v>
      </c>
      <c r="G2994" s="1">
        <v>5</v>
      </c>
      <c r="H2994" s="1">
        <v>4</v>
      </c>
      <c r="I2994" t="s">
        <v>9731</v>
      </c>
      <c r="L2994" s="1">
        <v>6</v>
      </c>
      <c r="M2994" s="3">
        <v>15.09</v>
      </c>
      <c r="N2994" s="3">
        <v>0.75</v>
      </c>
      <c r="O2994" s="3">
        <v>0</v>
      </c>
      <c r="P2994" s="3">
        <v>0.6</v>
      </c>
      <c r="Q2994" s="3">
        <v>16.440000000000001</v>
      </c>
      <c r="R2994" s="3">
        <v>9.25</v>
      </c>
      <c r="S2994" s="3">
        <f>VLOOKUP(C2994,[1]page!$C$2:$M$3071,11,0)</f>
        <v>15.06</v>
      </c>
      <c r="T2994" s="6">
        <f t="shared" si="84"/>
        <v>2.9999999999999361E-2</v>
      </c>
    </row>
    <row r="2995" spans="1:20" x14ac:dyDescent="0.2">
      <c r="A2995" t="s">
        <v>8904</v>
      </c>
      <c r="B2995" t="s">
        <v>9735</v>
      </c>
      <c r="C2995" t="s">
        <v>9736</v>
      </c>
      <c r="D2995" t="s">
        <v>9737</v>
      </c>
      <c r="E2995" t="s">
        <v>9730</v>
      </c>
      <c r="F2995" t="s">
        <v>5984</v>
      </c>
      <c r="G2995" s="1">
        <v>5</v>
      </c>
      <c r="H2995" s="1">
        <v>4</v>
      </c>
      <c r="I2995" t="s">
        <v>9731</v>
      </c>
      <c r="L2995" s="1">
        <v>6</v>
      </c>
      <c r="M2995" s="3">
        <v>15.09</v>
      </c>
      <c r="N2995" s="3">
        <v>0.75</v>
      </c>
      <c r="O2995" s="3">
        <v>0</v>
      </c>
      <c r="P2995" s="3">
        <v>0.6</v>
      </c>
      <c r="Q2995" s="3">
        <v>16.440000000000001</v>
      </c>
      <c r="R2995" s="3">
        <v>9.25</v>
      </c>
      <c r="S2995" s="3">
        <f>VLOOKUP(C2995,[1]page!$C$2:$M$3071,11,0)</f>
        <v>15.06</v>
      </c>
      <c r="T2995" s="6">
        <f t="shared" si="84"/>
        <v>2.9999999999999361E-2</v>
      </c>
    </row>
    <row r="2996" spans="1:20" x14ac:dyDescent="0.2">
      <c r="A2996" t="s">
        <v>8904</v>
      </c>
      <c r="B2996" t="s">
        <v>9738</v>
      </c>
      <c r="C2996" t="s">
        <v>9739</v>
      </c>
      <c r="D2996" t="s">
        <v>9740</v>
      </c>
      <c r="E2996" t="s">
        <v>9730</v>
      </c>
      <c r="F2996" t="s">
        <v>5861</v>
      </c>
      <c r="G2996" s="1">
        <v>5</v>
      </c>
      <c r="H2996" s="1">
        <v>2</v>
      </c>
      <c r="I2996" t="s">
        <v>9731</v>
      </c>
      <c r="L2996" s="1">
        <v>12</v>
      </c>
      <c r="M2996" s="3">
        <v>27.81</v>
      </c>
      <c r="N2996" s="3">
        <v>1.39</v>
      </c>
      <c r="O2996" s="3">
        <v>0</v>
      </c>
      <c r="P2996" s="3">
        <v>1.2</v>
      </c>
      <c r="Q2996" s="3">
        <v>30.4</v>
      </c>
      <c r="R2996" s="3">
        <f t="shared" ref="R2996:R2997" si="87">SUM(F2996*0.0043)</f>
        <v>18.318000000000001</v>
      </c>
      <c r="S2996" s="3">
        <f>VLOOKUP(C2996,[1]page!$C$2:$M$3071,11,0)</f>
        <v>27.75</v>
      </c>
      <c r="T2996" s="6">
        <f t="shared" si="84"/>
        <v>5.9999999999998721E-2</v>
      </c>
    </row>
    <row r="2997" spans="1:20" x14ac:dyDescent="0.2">
      <c r="A2997" t="s">
        <v>8904</v>
      </c>
      <c r="B2997" t="s">
        <v>9741</v>
      </c>
      <c r="C2997" t="s">
        <v>9742</v>
      </c>
      <c r="D2997" t="s">
        <v>9743</v>
      </c>
      <c r="E2997" t="s">
        <v>9730</v>
      </c>
      <c r="F2997" t="s">
        <v>5861</v>
      </c>
      <c r="G2997" s="1">
        <v>5</v>
      </c>
      <c r="H2997" s="1">
        <v>2</v>
      </c>
      <c r="I2997" t="s">
        <v>9731</v>
      </c>
      <c r="L2997" s="1">
        <v>12</v>
      </c>
      <c r="M2997" s="3">
        <v>27.81</v>
      </c>
      <c r="N2997" s="3">
        <v>1.39</v>
      </c>
      <c r="O2997" s="3">
        <v>0</v>
      </c>
      <c r="P2997" s="3">
        <v>1.2</v>
      </c>
      <c r="Q2997" s="3">
        <v>30.4</v>
      </c>
      <c r="R2997" s="3">
        <f t="shared" si="87"/>
        <v>18.318000000000001</v>
      </c>
      <c r="S2997" s="3">
        <f>VLOOKUP(C2997,[1]page!$C$2:$M$3071,11,0)</f>
        <v>27.75</v>
      </c>
      <c r="T2997" s="6">
        <f t="shared" si="84"/>
        <v>5.9999999999998721E-2</v>
      </c>
    </row>
    <row r="2998" spans="1:20" x14ac:dyDescent="0.2">
      <c r="A2998" t="s">
        <v>8904</v>
      </c>
      <c r="B2998" t="s">
        <v>9744</v>
      </c>
      <c r="C2998" t="s">
        <v>9745</v>
      </c>
      <c r="D2998" t="s">
        <v>9746</v>
      </c>
      <c r="E2998" t="s">
        <v>9730</v>
      </c>
      <c r="F2998" t="s">
        <v>5984</v>
      </c>
      <c r="G2998" s="1">
        <v>5</v>
      </c>
      <c r="H2998" s="1">
        <v>4</v>
      </c>
      <c r="I2998" t="s">
        <v>9731</v>
      </c>
      <c r="L2998" s="1">
        <v>6</v>
      </c>
      <c r="M2998" s="3">
        <v>15.09</v>
      </c>
      <c r="N2998" s="3">
        <v>0.75</v>
      </c>
      <c r="O2998" s="3">
        <v>0</v>
      </c>
      <c r="P2998" s="3">
        <v>0.6</v>
      </c>
      <c r="Q2998" s="3">
        <v>16.440000000000001</v>
      </c>
      <c r="R2998" s="3">
        <v>9.25</v>
      </c>
      <c r="S2998" s="3">
        <f>VLOOKUP(C2998,[1]page!$C$2:$M$3071,11,0)</f>
        <v>15.06</v>
      </c>
      <c r="T2998" s="6">
        <f t="shared" si="84"/>
        <v>2.9999999999999361E-2</v>
      </c>
    </row>
    <row r="2999" spans="1:20" x14ac:dyDescent="0.2">
      <c r="A2999" t="s">
        <v>8904</v>
      </c>
      <c r="B2999" t="s">
        <v>9747</v>
      </c>
      <c r="C2999" t="s">
        <v>9748</v>
      </c>
      <c r="D2999" t="s">
        <v>9749</v>
      </c>
      <c r="E2999" t="s">
        <v>9730</v>
      </c>
      <c r="F2999" t="s">
        <v>7091</v>
      </c>
      <c r="G2999" s="1">
        <v>5</v>
      </c>
      <c r="H2999" s="1">
        <v>3</v>
      </c>
      <c r="I2999" t="s">
        <v>9731</v>
      </c>
      <c r="L2999" s="1">
        <v>8</v>
      </c>
      <c r="M2999" s="3">
        <v>21.36</v>
      </c>
      <c r="N2999" s="3">
        <v>1.07</v>
      </c>
      <c r="O2999" s="3">
        <v>0</v>
      </c>
      <c r="P2999" s="3">
        <v>0.8</v>
      </c>
      <c r="Q2999" s="3">
        <v>23.23</v>
      </c>
      <c r="R2999" s="3">
        <v>17.149999999999999</v>
      </c>
      <c r="S2999" s="3" t="e">
        <f>VLOOKUP(C2999,[1]page!$C$2:$M$3071,11,0)</f>
        <v>#N/A</v>
      </c>
      <c r="T2999" s="6" t="e">
        <f t="shared" si="84"/>
        <v>#N/A</v>
      </c>
    </row>
    <row r="3000" spans="1:20" x14ac:dyDescent="0.2">
      <c r="A3000" t="s">
        <v>8904</v>
      </c>
      <c r="B3000" t="s">
        <v>9750</v>
      </c>
      <c r="C3000" t="s">
        <v>9751</v>
      </c>
      <c r="D3000" t="s">
        <v>9752</v>
      </c>
      <c r="E3000" t="s">
        <v>9753</v>
      </c>
      <c r="F3000" t="s">
        <v>1041</v>
      </c>
      <c r="G3000" s="1">
        <v>5</v>
      </c>
      <c r="H3000" s="1">
        <v>6</v>
      </c>
      <c r="I3000" t="s">
        <v>1074</v>
      </c>
      <c r="L3000" s="1">
        <v>4</v>
      </c>
      <c r="M3000" s="3">
        <v>11.06</v>
      </c>
      <c r="N3000" s="3">
        <v>0.55000000000000004</v>
      </c>
      <c r="O3000" s="3">
        <v>0</v>
      </c>
      <c r="P3000" s="3">
        <v>0.4</v>
      </c>
      <c r="Q3000" s="3">
        <v>12.01</v>
      </c>
      <c r="R3000" s="3">
        <v>6.35</v>
      </c>
      <c r="S3000" s="3">
        <f>VLOOKUP(C3000,[1]page!$C$2:$M$3071,11,0)</f>
        <v>11.04</v>
      </c>
      <c r="T3000" s="6">
        <f t="shared" si="84"/>
        <v>2.000000000000135E-2</v>
      </c>
    </row>
    <row r="3001" spans="1:20" x14ac:dyDescent="0.2">
      <c r="A3001" t="s">
        <v>8904</v>
      </c>
      <c r="B3001" t="s">
        <v>9754</v>
      </c>
      <c r="C3001" t="s">
        <v>9755</v>
      </c>
      <c r="D3001" t="s">
        <v>9756</v>
      </c>
      <c r="E3001" t="s">
        <v>96</v>
      </c>
      <c r="F3001" t="s">
        <v>5855</v>
      </c>
      <c r="G3001" s="1">
        <v>7</v>
      </c>
      <c r="H3001" s="1">
        <v>24</v>
      </c>
      <c r="I3001" t="s">
        <v>24</v>
      </c>
      <c r="L3001" s="1">
        <v>1</v>
      </c>
      <c r="M3001" s="3">
        <v>3.69</v>
      </c>
      <c r="N3001" s="3">
        <v>0.18</v>
      </c>
      <c r="O3001" s="3">
        <v>0</v>
      </c>
      <c r="P3001" s="3">
        <v>0.1</v>
      </c>
      <c r="Q3001" s="3">
        <v>3.97</v>
      </c>
      <c r="R3001" s="3">
        <v>2.7</v>
      </c>
      <c r="S3001" s="3" t="e">
        <f>VLOOKUP(C3001,[1]page!$C$2:$M$3071,11,0)</f>
        <v>#N/A</v>
      </c>
      <c r="T3001" s="6" t="e">
        <f t="shared" si="84"/>
        <v>#N/A</v>
      </c>
    </row>
    <row r="3002" spans="1:20" x14ac:dyDescent="0.2">
      <c r="A3002" t="s">
        <v>8904</v>
      </c>
      <c r="B3002" t="s">
        <v>9757</v>
      </c>
      <c r="C3002" t="s">
        <v>9758</v>
      </c>
      <c r="D3002" t="s">
        <v>9759</v>
      </c>
      <c r="E3002" t="s">
        <v>9760</v>
      </c>
      <c r="F3002" t="s">
        <v>1599</v>
      </c>
      <c r="G3002" s="1">
        <v>5</v>
      </c>
      <c r="H3002" s="1">
        <v>12</v>
      </c>
      <c r="I3002" t="s">
        <v>24</v>
      </c>
      <c r="K3002" t="s">
        <v>20</v>
      </c>
      <c r="L3002" s="1">
        <v>1</v>
      </c>
      <c r="M3002" s="3">
        <v>9.89</v>
      </c>
      <c r="N3002" s="3">
        <v>0.49</v>
      </c>
      <c r="O3002" s="3">
        <v>0</v>
      </c>
      <c r="P3002" s="3">
        <v>0.25</v>
      </c>
      <c r="Q3002" s="3">
        <v>10.63</v>
      </c>
      <c r="R3002" s="3">
        <v>4.45</v>
      </c>
      <c r="S3002" s="3">
        <f>VLOOKUP(C3002,[1]page!$C$2:$M$3071,11,0)</f>
        <v>9.81</v>
      </c>
      <c r="T3002" s="6">
        <f t="shared" si="84"/>
        <v>8.0000000000000071E-2</v>
      </c>
    </row>
    <row r="3003" spans="1:20" x14ac:dyDescent="0.2">
      <c r="A3003" t="s">
        <v>8904</v>
      </c>
      <c r="B3003" t="s">
        <v>9761</v>
      </c>
      <c r="C3003" t="s">
        <v>9762</v>
      </c>
      <c r="D3003" t="s">
        <v>9759</v>
      </c>
      <c r="E3003" t="s">
        <v>9760</v>
      </c>
      <c r="F3003" t="s">
        <v>5996</v>
      </c>
      <c r="G3003" s="1">
        <v>5</v>
      </c>
      <c r="H3003" s="1">
        <v>6</v>
      </c>
      <c r="I3003" t="s">
        <v>24</v>
      </c>
      <c r="K3003" t="s">
        <v>20</v>
      </c>
      <c r="L3003" s="1">
        <v>4</v>
      </c>
      <c r="M3003" s="3">
        <v>10.59</v>
      </c>
      <c r="N3003" s="3">
        <v>0.53</v>
      </c>
      <c r="O3003" s="3">
        <v>0</v>
      </c>
      <c r="P3003" s="3">
        <v>0.8</v>
      </c>
      <c r="Q3003" s="3">
        <v>11.92</v>
      </c>
      <c r="R3003" s="3">
        <v>5.9</v>
      </c>
      <c r="S3003" s="3">
        <f>VLOOKUP(C3003,[1]page!$C$2:$M$3071,11,0)</f>
        <v>10.52</v>
      </c>
      <c r="T3003" s="6">
        <f t="shared" si="84"/>
        <v>7.0000000000000284E-2</v>
      </c>
    </row>
    <row r="3004" spans="1:20" x14ac:dyDescent="0.2">
      <c r="A3004" t="s">
        <v>8904</v>
      </c>
      <c r="B3004" t="s">
        <v>9763</v>
      </c>
      <c r="C3004" t="s">
        <v>9764</v>
      </c>
      <c r="D3004" t="s">
        <v>9759</v>
      </c>
      <c r="E3004" t="s">
        <v>96</v>
      </c>
      <c r="F3004" t="s">
        <v>5984</v>
      </c>
      <c r="G3004" s="1">
        <v>5</v>
      </c>
      <c r="H3004" s="1">
        <v>4</v>
      </c>
      <c r="I3004" t="s">
        <v>24</v>
      </c>
      <c r="L3004" s="1">
        <v>6</v>
      </c>
      <c r="M3004" s="3">
        <v>14.59</v>
      </c>
      <c r="N3004" s="3">
        <v>0.73</v>
      </c>
      <c r="O3004" s="3">
        <v>0</v>
      </c>
      <c r="P3004" s="3">
        <v>0.6</v>
      </c>
      <c r="Q3004" s="3">
        <v>15.92</v>
      </c>
      <c r="R3004" s="3">
        <v>9.25</v>
      </c>
      <c r="S3004" s="3">
        <f>VLOOKUP(C3004,[1]page!$C$2:$M$3071,11,0)</f>
        <v>14.49</v>
      </c>
      <c r="T3004" s="6">
        <f t="shared" si="84"/>
        <v>9.9999999999999645E-2</v>
      </c>
    </row>
    <row r="3005" spans="1:20" x14ac:dyDescent="0.2">
      <c r="A3005" t="s">
        <v>8904</v>
      </c>
      <c r="B3005" t="s">
        <v>9765</v>
      </c>
      <c r="C3005" t="s">
        <v>9766</v>
      </c>
      <c r="D3005" t="s">
        <v>9767</v>
      </c>
      <c r="E3005" t="s">
        <v>96</v>
      </c>
      <c r="F3005" t="s">
        <v>5861</v>
      </c>
      <c r="G3005" s="1">
        <v>5</v>
      </c>
      <c r="H3005" s="1">
        <v>2</v>
      </c>
      <c r="I3005" t="s">
        <v>24</v>
      </c>
      <c r="L3005" s="1">
        <v>12</v>
      </c>
      <c r="M3005" s="3">
        <v>26.29</v>
      </c>
      <c r="N3005" s="3">
        <v>1.31</v>
      </c>
      <c r="O3005" s="3">
        <v>0</v>
      </c>
      <c r="P3005" s="3">
        <v>1.2</v>
      </c>
      <c r="Q3005" s="3">
        <v>28.8</v>
      </c>
      <c r="R3005" s="3">
        <f t="shared" ref="R3005" si="88">SUM(F3005*0.0043)</f>
        <v>18.318000000000001</v>
      </c>
      <c r="S3005" s="3">
        <f>VLOOKUP(C3005,[1]page!$C$2:$M$3071,11,0)</f>
        <v>26.08</v>
      </c>
      <c r="T3005" s="6">
        <f t="shared" si="84"/>
        <v>0.21000000000000085</v>
      </c>
    </row>
    <row r="3006" spans="1:20" x14ac:dyDescent="0.2">
      <c r="A3006" t="s">
        <v>8904</v>
      </c>
      <c r="B3006" t="s">
        <v>9768</v>
      </c>
      <c r="C3006" t="s">
        <v>9769</v>
      </c>
      <c r="D3006" t="s">
        <v>9770</v>
      </c>
      <c r="E3006" t="s">
        <v>96</v>
      </c>
      <c r="F3006" t="s">
        <v>5855</v>
      </c>
      <c r="G3006" s="1">
        <v>5</v>
      </c>
      <c r="H3006" s="1">
        <v>24</v>
      </c>
      <c r="I3006" t="s">
        <v>24</v>
      </c>
      <c r="L3006" s="1">
        <v>1</v>
      </c>
      <c r="M3006" s="3">
        <v>3.79</v>
      </c>
      <c r="N3006" s="3">
        <v>0.19</v>
      </c>
      <c r="O3006" s="3">
        <v>0</v>
      </c>
      <c r="P3006" s="3">
        <v>0.1</v>
      </c>
      <c r="Q3006" s="3">
        <v>4.08</v>
      </c>
      <c r="R3006" s="3">
        <v>2.2999999999999998</v>
      </c>
      <c r="S3006" s="3">
        <f>VLOOKUP(C3006,[1]page!$C$2:$M$3071,11,0)</f>
        <v>3.79</v>
      </c>
      <c r="T3006" s="6">
        <f t="shared" si="84"/>
        <v>0</v>
      </c>
    </row>
    <row r="3007" spans="1:20" x14ac:dyDescent="0.2">
      <c r="A3007" t="s">
        <v>8904</v>
      </c>
      <c r="B3007" t="s">
        <v>9771</v>
      </c>
      <c r="C3007" t="s">
        <v>9772</v>
      </c>
      <c r="D3007" t="s">
        <v>9770</v>
      </c>
      <c r="E3007" t="s">
        <v>96</v>
      </c>
      <c r="F3007" t="s">
        <v>5984</v>
      </c>
      <c r="G3007" s="1">
        <v>5</v>
      </c>
      <c r="H3007" s="1">
        <v>4</v>
      </c>
      <c r="I3007" t="s">
        <v>24</v>
      </c>
      <c r="L3007" s="1">
        <v>6</v>
      </c>
      <c r="M3007" s="3">
        <v>14.59</v>
      </c>
      <c r="N3007" s="3">
        <v>0.73</v>
      </c>
      <c r="O3007" s="3">
        <v>0</v>
      </c>
      <c r="P3007" s="3">
        <v>0.6</v>
      </c>
      <c r="Q3007" s="3">
        <v>15.92</v>
      </c>
      <c r="R3007" s="3">
        <v>9.25</v>
      </c>
      <c r="S3007" s="3">
        <f>VLOOKUP(C3007,[1]page!$C$2:$M$3071,11,0)</f>
        <v>14.5</v>
      </c>
      <c r="T3007" s="6">
        <f t="shared" si="84"/>
        <v>8.9999999999999858E-2</v>
      </c>
    </row>
    <row r="3008" spans="1:20" x14ac:dyDescent="0.2">
      <c r="A3008" t="s">
        <v>8904</v>
      </c>
      <c r="B3008" t="s">
        <v>9773</v>
      </c>
      <c r="C3008" t="s">
        <v>9774</v>
      </c>
      <c r="D3008" t="s">
        <v>9775</v>
      </c>
      <c r="E3008" t="s">
        <v>997</v>
      </c>
      <c r="F3008" t="s">
        <v>5984</v>
      </c>
      <c r="G3008" s="1">
        <v>5</v>
      </c>
      <c r="H3008" s="1">
        <v>4</v>
      </c>
      <c r="I3008" t="s">
        <v>24</v>
      </c>
      <c r="L3008" s="1">
        <v>6</v>
      </c>
      <c r="M3008" s="3">
        <v>14.59</v>
      </c>
      <c r="N3008" s="3">
        <v>0.73</v>
      </c>
      <c r="O3008" s="3">
        <v>0</v>
      </c>
      <c r="P3008" s="3">
        <v>0.6</v>
      </c>
      <c r="Q3008" s="3">
        <v>15.92</v>
      </c>
      <c r="R3008" s="3">
        <v>9.25</v>
      </c>
      <c r="S3008" s="3">
        <f>VLOOKUP(C3008,[1]page!$C$2:$M$3071,11,0)</f>
        <v>14.49</v>
      </c>
      <c r="T3008" s="6">
        <f t="shared" si="84"/>
        <v>9.9999999999999645E-2</v>
      </c>
    </row>
    <row r="3009" spans="1:20" x14ac:dyDescent="0.2">
      <c r="A3009" t="s">
        <v>8904</v>
      </c>
      <c r="B3009" t="s">
        <v>9776</v>
      </c>
      <c r="C3009" t="s">
        <v>9777</v>
      </c>
      <c r="D3009" t="s">
        <v>9778</v>
      </c>
      <c r="E3009" t="s">
        <v>96</v>
      </c>
      <c r="F3009" t="s">
        <v>5861</v>
      </c>
      <c r="G3009" s="1">
        <v>5</v>
      </c>
      <c r="H3009" s="1">
        <v>2</v>
      </c>
      <c r="I3009" t="s">
        <v>24</v>
      </c>
      <c r="L3009" s="1">
        <v>12</v>
      </c>
      <c r="M3009" s="3">
        <v>26.29</v>
      </c>
      <c r="N3009" s="3">
        <v>1.31</v>
      </c>
      <c r="O3009" s="3">
        <v>0</v>
      </c>
      <c r="P3009" s="3">
        <v>1.2</v>
      </c>
      <c r="Q3009" s="3">
        <v>28.8</v>
      </c>
      <c r="R3009" s="3">
        <f t="shared" ref="R3009" si="89">SUM(F3009*0.0043)</f>
        <v>18.318000000000001</v>
      </c>
      <c r="S3009" s="3">
        <f>VLOOKUP(C3009,[1]page!$C$2:$M$3071,11,0)</f>
        <v>25.99</v>
      </c>
      <c r="T3009" s="6">
        <f t="shared" si="84"/>
        <v>0.30000000000000071</v>
      </c>
    </row>
    <row r="3010" spans="1:20" x14ac:dyDescent="0.2">
      <c r="A3010" t="s">
        <v>8904</v>
      </c>
      <c r="B3010" t="s">
        <v>9779</v>
      </c>
      <c r="C3010" t="s">
        <v>9780</v>
      </c>
      <c r="D3010" t="s">
        <v>9781</v>
      </c>
      <c r="E3010" t="s">
        <v>96</v>
      </c>
      <c r="F3010" t="s">
        <v>5984</v>
      </c>
      <c r="G3010" s="1">
        <v>5</v>
      </c>
      <c r="H3010" s="1">
        <v>4</v>
      </c>
      <c r="I3010" t="s">
        <v>24</v>
      </c>
      <c r="L3010" s="1">
        <v>6</v>
      </c>
      <c r="M3010" s="3">
        <v>14.24</v>
      </c>
      <c r="N3010" s="3">
        <v>0.71</v>
      </c>
      <c r="O3010" s="3">
        <v>0</v>
      </c>
      <c r="P3010" s="3">
        <v>0.6</v>
      </c>
      <c r="Q3010" s="3">
        <v>15.55</v>
      </c>
      <c r="R3010" s="3">
        <v>9.25</v>
      </c>
      <c r="S3010" s="3">
        <f>VLOOKUP(C3010,[1]page!$C$2:$M$3071,11,0)</f>
        <v>14.22</v>
      </c>
      <c r="T3010" s="6">
        <f t="shared" si="84"/>
        <v>1.9999999999999574E-2</v>
      </c>
    </row>
    <row r="3011" spans="1:20" x14ac:dyDescent="0.2">
      <c r="A3011" t="s">
        <v>8904</v>
      </c>
      <c r="B3011" t="s">
        <v>9782</v>
      </c>
      <c r="C3011" t="s">
        <v>9783</v>
      </c>
      <c r="D3011" t="s">
        <v>9784</v>
      </c>
      <c r="E3011" t="s">
        <v>96</v>
      </c>
      <c r="F3011" t="s">
        <v>1041</v>
      </c>
      <c r="G3011" s="1">
        <v>4</v>
      </c>
      <c r="H3011" s="1">
        <v>6</v>
      </c>
      <c r="I3011" t="s">
        <v>24</v>
      </c>
      <c r="L3011" s="1">
        <v>4</v>
      </c>
      <c r="M3011" s="3">
        <v>11.3</v>
      </c>
      <c r="N3011" s="3">
        <v>0.56999999999999995</v>
      </c>
      <c r="O3011" s="3">
        <v>0</v>
      </c>
      <c r="P3011" s="3">
        <v>0.4</v>
      </c>
      <c r="Q3011" s="3">
        <v>12.27</v>
      </c>
      <c r="R3011" s="3">
        <v>6.35</v>
      </c>
      <c r="S3011" s="3">
        <f>VLOOKUP(C3011,[1]page!$C$2:$M$3071,11,0)</f>
        <v>11.2</v>
      </c>
      <c r="T3011" s="6">
        <f t="shared" si="84"/>
        <v>0.10000000000000142</v>
      </c>
    </row>
    <row r="3012" spans="1:20" x14ac:dyDescent="0.2">
      <c r="A3012" t="s">
        <v>8904</v>
      </c>
      <c r="B3012" t="s">
        <v>9785</v>
      </c>
      <c r="C3012" t="s">
        <v>9786</v>
      </c>
      <c r="D3012" t="s">
        <v>9787</v>
      </c>
      <c r="E3012" t="s">
        <v>96</v>
      </c>
      <c r="F3012" t="s">
        <v>1041</v>
      </c>
      <c r="G3012" s="1">
        <v>4</v>
      </c>
      <c r="H3012" s="1">
        <v>6</v>
      </c>
      <c r="I3012" t="s">
        <v>24</v>
      </c>
      <c r="L3012" s="1">
        <v>4</v>
      </c>
      <c r="M3012" s="3">
        <v>11.3</v>
      </c>
      <c r="N3012" s="3">
        <v>0.56999999999999995</v>
      </c>
      <c r="O3012" s="3">
        <v>0</v>
      </c>
      <c r="P3012" s="3">
        <v>0.4</v>
      </c>
      <c r="Q3012" s="3">
        <v>12.27</v>
      </c>
      <c r="R3012" s="3">
        <v>6.35</v>
      </c>
      <c r="S3012" s="3">
        <f>VLOOKUP(C3012,[1]page!$C$2:$M$3071,11,0)</f>
        <v>11.2</v>
      </c>
      <c r="T3012" s="6">
        <f t="shared" si="84"/>
        <v>0.10000000000000142</v>
      </c>
    </row>
    <row r="3013" spans="1:20" x14ac:dyDescent="0.2">
      <c r="A3013" t="s">
        <v>8904</v>
      </c>
      <c r="B3013" t="s">
        <v>9788</v>
      </c>
      <c r="C3013" t="s">
        <v>9789</v>
      </c>
      <c r="D3013" t="s">
        <v>9790</v>
      </c>
      <c r="E3013" t="s">
        <v>96</v>
      </c>
      <c r="F3013" t="s">
        <v>5861</v>
      </c>
      <c r="G3013" s="1">
        <v>4</v>
      </c>
      <c r="H3013" s="1">
        <v>2</v>
      </c>
      <c r="I3013" t="s">
        <v>24</v>
      </c>
      <c r="L3013" s="1">
        <v>12</v>
      </c>
      <c r="M3013" s="3">
        <v>24.99</v>
      </c>
      <c r="N3013" s="3">
        <v>1.25</v>
      </c>
      <c r="O3013" s="3">
        <v>0</v>
      </c>
      <c r="P3013" s="3">
        <v>1.2</v>
      </c>
      <c r="Q3013" s="3">
        <v>27.44</v>
      </c>
      <c r="R3013" s="3">
        <f t="shared" ref="R3013" si="90">SUM(F3013*0.0043)</f>
        <v>18.318000000000001</v>
      </c>
      <c r="S3013" s="3">
        <f>VLOOKUP(C3013,[1]page!$C$2:$M$3071,11,0)</f>
        <v>24.21</v>
      </c>
      <c r="T3013" s="6">
        <f t="shared" si="84"/>
        <v>0.77999999999999758</v>
      </c>
    </row>
    <row r="3014" spans="1:20" x14ac:dyDescent="0.2">
      <c r="A3014" t="s">
        <v>8904</v>
      </c>
      <c r="B3014" t="s">
        <v>9791</v>
      </c>
      <c r="C3014" t="s">
        <v>9792</v>
      </c>
      <c r="D3014" t="s">
        <v>9793</v>
      </c>
      <c r="E3014" t="s">
        <v>96</v>
      </c>
      <c r="F3014" t="s">
        <v>1041</v>
      </c>
      <c r="G3014" s="1">
        <v>4</v>
      </c>
      <c r="H3014" s="1">
        <v>6</v>
      </c>
      <c r="I3014" t="s">
        <v>24</v>
      </c>
      <c r="L3014" s="1">
        <v>4</v>
      </c>
      <c r="M3014" s="3">
        <v>11.29</v>
      </c>
      <c r="N3014" s="3">
        <v>0.56000000000000005</v>
      </c>
      <c r="O3014" s="3">
        <v>0</v>
      </c>
      <c r="P3014" s="3">
        <v>0.4</v>
      </c>
      <c r="Q3014" s="3">
        <v>12.25</v>
      </c>
      <c r="R3014" s="3">
        <v>6.35</v>
      </c>
      <c r="S3014" s="3">
        <f>VLOOKUP(C3014,[1]page!$C$2:$M$3071,11,0)</f>
        <v>11.19</v>
      </c>
      <c r="T3014" s="6">
        <f t="shared" si="84"/>
        <v>9.9999999999999645E-2</v>
      </c>
    </row>
    <row r="3015" spans="1:20" x14ac:dyDescent="0.2">
      <c r="A3015" t="s">
        <v>8904</v>
      </c>
      <c r="B3015" t="s">
        <v>9794</v>
      </c>
      <c r="C3015" t="s">
        <v>9795</v>
      </c>
      <c r="D3015" t="s">
        <v>9796</v>
      </c>
      <c r="E3015" t="s">
        <v>96</v>
      </c>
      <c r="F3015" t="s">
        <v>5855</v>
      </c>
      <c r="G3015" s="1">
        <v>5</v>
      </c>
      <c r="H3015" s="1">
        <v>24</v>
      </c>
      <c r="I3015" t="s">
        <v>24</v>
      </c>
      <c r="L3015" s="1">
        <v>1</v>
      </c>
      <c r="M3015" s="3">
        <v>3.79</v>
      </c>
      <c r="N3015" s="3">
        <v>0.19</v>
      </c>
      <c r="O3015" s="3">
        <v>0</v>
      </c>
      <c r="P3015" s="3">
        <v>0.1</v>
      </c>
      <c r="Q3015" s="3">
        <v>4.08</v>
      </c>
      <c r="R3015" s="3">
        <v>2.2999999999999998</v>
      </c>
      <c r="S3015" s="3">
        <f>VLOOKUP(C3015,[1]page!$C$2:$M$3071,11,0)</f>
        <v>3.79</v>
      </c>
      <c r="T3015" s="6">
        <f t="shared" si="84"/>
        <v>0</v>
      </c>
    </row>
    <row r="3016" spans="1:20" x14ac:dyDescent="0.2">
      <c r="A3016" t="s">
        <v>8904</v>
      </c>
      <c r="B3016" t="s">
        <v>9797</v>
      </c>
      <c r="C3016" t="s">
        <v>9798</v>
      </c>
      <c r="D3016" t="s">
        <v>9796</v>
      </c>
      <c r="E3016" t="s">
        <v>96</v>
      </c>
      <c r="F3016" t="s">
        <v>5984</v>
      </c>
      <c r="G3016" s="1">
        <v>5</v>
      </c>
      <c r="H3016" s="1">
        <v>4</v>
      </c>
      <c r="I3016" t="s">
        <v>24</v>
      </c>
      <c r="L3016" s="1">
        <v>6</v>
      </c>
      <c r="M3016" s="3">
        <v>14.59</v>
      </c>
      <c r="N3016" s="3">
        <v>0.73</v>
      </c>
      <c r="O3016" s="3">
        <v>0</v>
      </c>
      <c r="P3016" s="3">
        <v>0.6</v>
      </c>
      <c r="Q3016" s="3">
        <v>15.92</v>
      </c>
      <c r="R3016" s="3">
        <v>9.25</v>
      </c>
      <c r="S3016" s="3">
        <f>VLOOKUP(C3016,[1]page!$C$2:$M$3071,11,0)</f>
        <v>14.49</v>
      </c>
      <c r="T3016" s="6">
        <f t="shared" si="84"/>
        <v>9.9999999999999645E-2</v>
      </c>
    </row>
    <row r="3017" spans="1:20" x14ac:dyDescent="0.2">
      <c r="A3017" t="s">
        <v>8904</v>
      </c>
      <c r="B3017" t="s">
        <v>9799</v>
      </c>
      <c r="C3017" t="s">
        <v>9800</v>
      </c>
      <c r="D3017" t="s">
        <v>9801</v>
      </c>
      <c r="E3017" t="s">
        <v>96</v>
      </c>
      <c r="F3017" t="s">
        <v>5984</v>
      </c>
      <c r="G3017" s="1">
        <v>5</v>
      </c>
      <c r="H3017" s="1">
        <v>4</v>
      </c>
      <c r="I3017" t="s">
        <v>24</v>
      </c>
      <c r="L3017" s="1">
        <v>6</v>
      </c>
      <c r="M3017" s="3">
        <v>14.59</v>
      </c>
      <c r="N3017" s="3">
        <v>0.73</v>
      </c>
      <c r="O3017" s="3">
        <v>0</v>
      </c>
      <c r="P3017" s="3">
        <v>0.6</v>
      </c>
      <c r="Q3017" s="3">
        <v>15.92</v>
      </c>
      <c r="R3017" s="3">
        <v>9.25</v>
      </c>
      <c r="S3017" s="3">
        <f>VLOOKUP(C3017,[1]page!$C$2:$M$3071,11,0)</f>
        <v>14.49</v>
      </c>
      <c r="T3017" s="6">
        <f t="shared" si="84"/>
        <v>9.9999999999999645E-2</v>
      </c>
    </row>
    <row r="3018" spans="1:20" x14ac:dyDescent="0.2">
      <c r="A3018" t="s">
        <v>8904</v>
      </c>
      <c r="B3018" t="s">
        <v>9802</v>
      </c>
      <c r="C3018" t="s">
        <v>9803</v>
      </c>
      <c r="D3018" t="s">
        <v>9804</v>
      </c>
      <c r="E3018" t="s">
        <v>96</v>
      </c>
      <c r="F3018" t="s">
        <v>5984</v>
      </c>
      <c r="G3018" s="1">
        <v>5</v>
      </c>
      <c r="H3018" s="1">
        <v>4</v>
      </c>
      <c r="I3018" t="s">
        <v>24</v>
      </c>
      <c r="L3018" s="1">
        <v>6</v>
      </c>
      <c r="M3018" s="3">
        <v>14.25</v>
      </c>
      <c r="N3018" s="3">
        <v>0.71</v>
      </c>
      <c r="O3018" s="3">
        <v>0</v>
      </c>
      <c r="P3018" s="3">
        <v>0.6</v>
      </c>
      <c r="Q3018" s="3">
        <v>15.56</v>
      </c>
      <c r="R3018" s="3">
        <v>9.25</v>
      </c>
      <c r="S3018" s="3">
        <f>VLOOKUP(C3018,[1]page!$C$2:$M$3071,11,0)</f>
        <v>14.22</v>
      </c>
      <c r="T3018" s="6">
        <f t="shared" si="84"/>
        <v>2.9999999999999361E-2</v>
      </c>
    </row>
    <row r="3019" spans="1:20" x14ac:dyDescent="0.2">
      <c r="A3019" t="s">
        <v>8904</v>
      </c>
      <c r="B3019" t="s">
        <v>9805</v>
      </c>
      <c r="C3019" t="s">
        <v>9806</v>
      </c>
      <c r="D3019" t="s">
        <v>9807</v>
      </c>
      <c r="E3019" t="s">
        <v>96</v>
      </c>
      <c r="F3019" t="s">
        <v>5855</v>
      </c>
      <c r="G3019" s="1">
        <v>5</v>
      </c>
      <c r="H3019" s="1">
        <v>24</v>
      </c>
      <c r="I3019" t="s">
        <v>24</v>
      </c>
      <c r="L3019" s="1">
        <v>1</v>
      </c>
      <c r="M3019" s="3">
        <v>3.79</v>
      </c>
      <c r="N3019" s="3">
        <v>0.19</v>
      </c>
      <c r="O3019" s="3">
        <v>0</v>
      </c>
      <c r="P3019" s="3">
        <v>0.1</v>
      </c>
      <c r="Q3019" s="3">
        <v>4.08</v>
      </c>
      <c r="R3019" s="3">
        <v>2.2999999999999998</v>
      </c>
      <c r="S3019" s="3">
        <f>VLOOKUP(C3019,[1]page!$C$2:$M$3071,11,0)</f>
        <v>3.8</v>
      </c>
      <c r="T3019" s="6">
        <f t="shared" si="84"/>
        <v>-9.9999999999997868E-3</v>
      </c>
    </row>
    <row r="3020" spans="1:20" x14ac:dyDescent="0.2">
      <c r="A3020" t="s">
        <v>8904</v>
      </c>
      <c r="B3020" t="s">
        <v>9808</v>
      </c>
      <c r="C3020" t="s">
        <v>9809</v>
      </c>
      <c r="D3020" t="s">
        <v>9807</v>
      </c>
      <c r="E3020" t="s">
        <v>96</v>
      </c>
      <c r="F3020" t="s">
        <v>5984</v>
      </c>
      <c r="G3020" s="1">
        <v>5</v>
      </c>
      <c r="H3020" s="1">
        <v>4</v>
      </c>
      <c r="I3020" t="s">
        <v>24</v>
      </c>
      <c r="L3020" s="1">
        <v>6</v>
      </c>
      <c r="M3020" s="3">
        <v>14.59</v>
      </c>
      <c r="N3020" s="3">
        <v>0.73</v>
      </c>
      <c r="O3020" s="3">
        <v>0</v>
      </c>
      <c r="P3020" s="3">
        <v>0.6</v>
      </c>
      <c r="Q3020" s="3">
        <v>15.92</v>
      </c>
      <c r="R3020" s="3">
        <v>9.25</v>
      </c>
      <c r="S3020" s="3">
        <f>VLOOKUP(C3020,[1]page!$C$2:$M$3071,11,0)</f>
        <v>14.49</v>
      </c>
      <c r="T3020" s="6">
        <f t="shared" si="84"/>
        <v>9.9999999999999645E-2</v>
      </c>
    </row>
    <row r="3021" spans="1:20" x14ac:dyDescent="0.2">
      <c r="A3021" t="s">
        <v>8904</v>
      </c>
      <c r="B3021" t="s">
        <v>9810</v>
      </c>
      <c r="C3021" t="s">
        <v>9811</v>
      </c>
      <c r="D3021" t="s">
        <v>9812</v>
      </c>
      <c r="E3021" t="s">
        <v>96</v>
      </c>
      <c r="F3021" t="s">
        <v>5984</v>
      </c>
      <c r="G3021" s="1">
        <v>5</v>
      </c>
      <c r="H3021" s="1">
        <v>4</v>
      </c>
      <c r="I3021" t="s">
        <v>24</v>
      </c>
      <c r="L3021" s="1">
        <v>6</v>
      </c>
      <c r="M3021" s="3">
        <v>14.59</v>
      </c>
      <c r="N3021" s="3">
        <v>0.73</v>
      </c>
      <c r="O3021" s="3">
        <v>0</v>
      </c>
      <c r="P3021" s="3">
        <v>0.6</v>
      </c>
      <c r="Q3021" s="3">
        <v>15.92</v>
      </c>
      <c r="R3021" s="3">
        <v>9.25</v>
      </c>
      <c r="S3021" s="3">
        <f>VLOOKUP(C3021,[1]page!$C$2:$M$3071,11,0)</f>
        <v>14.49</v>
      </c>
      <c r="T3021" s="6">
        <f t="shared" si="84"/>
        <v>9.9999999999999645E-2</v>
      </c>
    </row>
    <row r="3022" spans="1:20" x14ac:dyDescent="0.2">
      <c r="A3022" t="s">
        <v>8904</v>
      </c>
      <c r="B3022" t="s">
        <v>9813</v>
      </c>
      <c r="C3022" t="s">
        <v>9814</v>
      </c>
      <c r="D3022" t="s">
        <v>9815</v>
      </c>
      <c r="E3022" t="s">
        <v>96</v>
      </c>
      <c r="F3022" t="s">
        <v>5855</v>
      </c>
      <c r="G3022" s="1">
        <v>7</v>
      </c>
      <c r="H3022" s="1">
        <v>24</v>
      </c>
      <c r="I3022" t="s">
        <v>24</v>
      </c>
      <c r="L3022" s="1">
        <v>1</v>
      </c>
      <c r="M3022" s="3">
        <v>3.79</v>
      </c>
      <c r="N3022" s="3">
        <v>0.19</v>
      </c>
      <c r="O3022" s="3">
        <v>0</v>
      </c>
      <c r="P3022" s="3">
        <v>0.1</v>
      </c>
      <c r="Q3022" s="3">
        <v>4.08</v>
      </c>
      <c r="R3022" s="3">
        <v>2.7</v>
      </c>
      <c r="S3022" s="3">
        <f>VLOOKUP(C3022,[1]page!$C$2:$M$3071,11,0)</f>
        <v>3.79</v>
      </c>
      <c r="T3022" s="6">
        <f t="shared" si="84"/>
        <v>0</v>
      </c>
    </row>
    <row r="3023" spans="1:20" x14ac:dyDescent="0.2">
      <c r="A3023" t="s">
        <v>8904</v>
      </c>
      <c r="B3023" t="s">
        <v>9816</v>
      </c>
      <c r="C3023" t="s">
        <v>9817</v>
      </c>
      <c r="D3023" t="s">
        <v>9818</v>
      </c>
      <c r="E3023" t="s">
        <v>96</v>
      </c>
      <c r="F3023" t="s">
        <v>5855</v>
      </c>
      <c r="G3023" s="1">
        <v>7</v>
      </c>
      <c r="H3023" s="1">
        <v>24</v>
      </c>
      <c r="I3023" t="s">
        <v>24</v>
      </c>
      <c r="L3023" s="1">
        <v>1</v>
      </c>
      <c r="M3023" s="3">
        <v>3.79</v>
      </c>
      <c r="N3023" s="3">
        <v>0.19</v>
      </c>
      <c r="O3023" s="3">
        <v>0</v>
      </c>
      <c r="P3023" s="3">
        <v>0.1</v>
      </c>
      <c r="Q3023" s="3">
        <v>4.08</v>
      </c>
      <c r="R3023" s="3">
        <v>2.7</v>
      </c>
      <c r="S3023" s="3">
        <f>VLOOKUP(C3023,[1]page!$C$2:$M$3071,11,0)</f>
        <v>3.79</v>
      </c>
      <c r="T3023" s="6">
        <f t="shared" si="84"/>
        <v>0</v>
      </c>
    </row>
    <row r="3024" spans="1:20" x14ac:dyDescent="0.2">
      <c r="A3024" t="s">
        <v>8904</v>
      </c>
      <c r="B3024" t="s">
        <v>9819</v>
      </c>
      <c r="C3024" t="s">
        <v>9820</v>
      </c>
      <c r="D3024" t="s">
        <v>9821</v>
      </c>
      <c r="E3024" t="s">
        <v>96</v>
      </c>
      <c r="F3024" t="s">
        <v>5861</v>
      </c>
      <c r="G3024" s="1">
        <v>7</v>
      </c>
      <c r="H3024" s="1">
        <v>2</v>
      </c>
      <c r="I3024" t="s">
        <v>24</v>
      </c>
      <c r="L3024" s="1">
        <v>12</v>
      </c>
      <c r="M3024" s="3">
        <v>26.29</v>
      </c>
      <c r="N3024" s="3">
        <v>1.31</v>
      </c>
      <c r="O3024" s="3">
        <v>0</v>
      </c>
      <c r="P3024" s="3">
        <v>1.2</v>
      </c>
      <c r="Q3024" s="3">
        <v>28.8</v>
      </c>
      <c r="R3024" s="3">
        <f>SUM(F3024*0.0051)</f>
        <v>21.726000000000003</v>
      </c>
      <c r="S3024" s="3">
        <f>VLOOKUP(C3024,[1]page!$C$2:$M$3071,11,0)</f>
        <v>25.99</v>
      </c>
      <c r="T3024" s="6">
        <f t="shared" si="84"/>
        <v>0.30000000000000071</v>
      </c>
    </row>
    <row r="3025" spans="1:20" x14ac:dyDescent="0.2">
      <c r="A3025" t="s">
        <v>8904</v>
      </c>
      <c r="B3025" t="s">
        <v>9822</v>
      </c>
      <c r="C3025" t="s">
        <v>9823</v>
      </c>
      <c r="D3025" t="s">
        <v>9824</v>
      </c>
      <c r="E3025" t="s">
        <v>96</v>
      </c>
      <c r="F3025" t="s">
        <v>5861</v>
      </c>
      <c r="G3025" s="2">
        <v>4.5</v>
      </c>
      <c r="H3025" s="1">
        <v>2</v>
      </c>
      <c r="I3025" t="s">
        <v>24</v>
      </c>
      <c r="L3025" s="1">
        <v>12</v>
      </c>
      <c r="M3025" s="3">
        <v>25.99</v>
      </c>
      <c r="N3025" s="3">
        <v>1.3</v>
      </c>
      <c r="O3025" s="3">
        <v>0</v>
      </c>
      <c r="P3025" s="3">
        <v>1.2</v>
      </c>
      <c r="Q3025" s="3">
        <v>28.49</v>
      </c>
      <c r="R3025" s="3">
        <f t="shared" ref="R3025" si="91">SUM(F3025*0.0043)</f>
        <v>18.318000000000001</v>
      </c>
      <c r="S3025" s="3">
        <f>VLOOKUP(C3025,[1]page!$C$2:$M$3071,11,0)</f>
        <v>25.99</v>
      </c>
      <c r="T3025" s="6">
        <f t="shared" si="84"/>
        <v>0</v>
      </c>
    </row>
    <row r="3026" spans="1:20" x14ac:dyDescent="0.2">
      <c r="A3026" t="s">
        <v>8904</v>
      </c>
      <c r="B3026" t="s">
        <v>9825</v>
      </c>
      <c r="C3026" t="s">
        <v>9826</v>
      </c>
      <c r="D3026" t="s">
        <v>9827</v>
      </c>
      <c r="E3026" t="s">
        <v>96</v>
      </c>
      <c r="F3026" t="s">
        <v>5984</v>
      </c>
      <c r="G3026" s="2">
        <v>4.5</v>
      </c>
      <c r="H3026" s="1">
        <v>4</v>
      </c>
      <c r="I3026" t="s">
        <v>24</v>
      </c>
      <c r="L3026" s="1">
        <v>6</v>
      </c>
      <c r="M3026" s="3">
        <v>14.59</v>
      </c>
      <c r="N3026" s="3">
        <v>0.73</v>
      </c>
      <c r="O3026" s="3">
        <v>0</v>
      </c>
      <c r="P3026" s="3">
        <v>0.6</v>
      </c>
      <c r="Q3026" s="3">
        <v>15.92</v>
      </c>
      <c r="R3026" s="3">
        <v>9.25</v>
      </c>
      <c r="S3026" s="3">
        <f>VLOOKUP(C3026,[1]page!$C$2:$M$3071,11,0)</f>
        <v>14.49</v>
      </c>
      <c r="T3026" s="6">
        <f t="shared" si="84"/>
        <v>9.9999999999999645E-2</v>
      </c>
    </row>
    <row r="3027" spans="1:20" x14ac:dyDescent="0.2">
      <c r="A3027" t="s">
        <v>8904</v>
      </c>
      <c r="B3027" t="s">
        <v>9828</v>
      </c>
      <c r="C3027" t="s">
        <v>9829</v>
      </c>
      <c r="D3027" t="s">
        <v>9830</v>
      </c>
      <c r="E3027" t="s">
        <v>96</v>
      </c>
      <c r="F3027" t="s">
        <v>1041</v>
      </c>
      <c r="G3027" s="2">
        <v>4.5</v>
      </c>
      <c r="H3027" s="1">
        <v>6</v>
      </c>
      <c r="I3027" t="s">
        <v>24</v>
      </c>
      <c r="L3027" s="1">
        <v>4</v>
      </c>
      <c r="M3027" s="3">
        <v>11.19</v>
      </c>
      <c r="N3027" s="3">
        <v>0.56000000000000005</v>
      </c>
      <c r="O3027" s="3">
        <v>0</v>
      </c>
      <c r="P3027" s="3">
        <v>0.4</v>
      </c>
      <c r="Q3027" s="3">
        <v>12.15</v>
      </c>
      <c r="R3027" s="3">
        <v>6.35</v>
      </c>
      <c r="S3027" s="3">
        <f>VLOOKUP(C3027,[1]page!$C$2:$M$3071,11,0)</f>
        <v>11.2</v>
      </c>
      <c r="T3027" s="6">
        <f t="shared" si="84"/>
        <v>-9.9999999999997868E-3</v>
      </c>
    </row>
    <row r="3028" spans="1:20" x14ac:dyDescent="0.2">
      <c r="A3028" t="s">
        <v>8904</v>
      </c>
      <c r="B3028" t="s">
        <v>9831</v>
      </c>
      <c r="C3028" t="s">
        <v>9832</v>
      </c>
      <c r="D3028" t="s">
        <v>9833</v>
      </c>
      <c r="E3028" t="s">
        <v>96</v>
      </c>
      <c r="F3028" t="s">
        <v>1041</v>
      </c>
      <c r="G3028" s="2">
        <v>4.5</v>
      </c>
      <c r="H3028" s="1">
        <v>6</v>
      </c>
      <c r="I3028" t="s">
        <v>24</v>
      </c>
      <c r="L3028" s="1">
        <v>4</v>
      </c>
      <c r="M3028" s="3">
        <v>11.19</v>
      </c>
      <c r="N3028" s="3">
        <v>0.56000000000000005</v>
      </c>
      <c r="O3028" s="3">
        <v>0</v>
      </c>
      <c r="P3028" s="3">
        <v>0.4</v>
      </c>
      <c r="Q3028" s="3">
        <v>12.15</v>
      </c>
      <c r="R3028" s="3">
        <v>6.35</v>
      </c>
      <c r="S3028" s="3">
        <f>VLOOKUP(C3028,[1]page!$C$2:$M$3071,11,0)</f>
        <v>11.2</v>
      </c>
      <c r="T3028" s="6">
        <f t="shared" si="84"/>
        <v>-9.9999999999997868E-3</v>
      </c>
    </row>
    <row r="3029" spans="1:20" x14ac:dyDescent="0.2">
      <c r="A3029" t="s">
        <v>8904</v>
      </c>
      <c r="B3029" t="s">
        <v>9834</v>
      </c>
      <c r="C3029" t="s">
        <v>9835</v>
      </c>
      <c r="D3029" t="s">
        <v>9836</v>
      </c>
      <c r="E3029" t="s">
        <v>997</v>
      </c>
      <c r="F3029" t="s">
        <v>5861</v>
      </c>
      <c r="G3029" s="2">
        <v>4.5</v>
      </c>
      <c r="H3029" s="1">
        <v>2</v>
      </c>
      <c r="I3029" t="s">
        <v>24</v>
      </c>
      <c r="L3029" s="1">
        <v>12</v>
      </c>
      <c r="M3029" s="3">
        <v>26.29</v>
      </c>
      <c r="N3029" s="3">
        <v>1.31</v>
      </c>
      <c r="O3029" s="3">
        <v>0</v>
      </c>
      <c r="P3029" s="3">
        <v>1.2</v>
      </c>
      <c r="Q3029" s="3">
        <v>28.8</v>
      </c>
      <c r="R3029" s="3">
        <f t="shared" ref="R3029:R3030" si="92">SUM(F3029*0.0043)</f>
        <v>18.318000000000001</v>
      </c>
      <c r="S3029" s="3">
        <f>VLOOKUP(C3029,[1]page!$C$2:$M$3071,11,0)</f>
        <v>25.99</v>
      </c>
      <c r="T3029" s="6">
        <f t="shared" si="84"/>
        <v>0.30000000000000071</v>
      </c>
    </row>
    <row r="3030" spans="1:20" x14ac:dyDescent="0.2">
      <c r="A3030" t="s">
        <v>8904</v>
      </c>
      <c r="B3030" t="s">
        <v>9837</v>
      </c>
      <c r="C3030" t="s">
        <v>9838</v>
      </c>
      <c r="D3030" t="s">
        <v>9839</v>
      </c>
      <c r="E3030" t="s">
        <v>96</v>
      </c>
      <c r="F3030" t="s">
        <v>5861</v>
      </c>
      <c r="G3030" s="2">
        <v>4.5</v>
      </c>
      <c r="H3030" s="1">
        <v>2</v>
      </c>
      <c r="I3030" t="s">
        <v>24</v>
      </c>
      <c r="L3030" s="1">
        <v>12</v>
      </c>
      <c r="M3030" s="3">
        <v>26.29</v>
      </c>
      <c r="N3030" s="3">
        <v>1.31</v>
      </c>
      <c r="O3030" s="3">
        <v>0</v>
      </c>
      <c r="P3030" s="3">
        <v>1.2</v>
      </c>
      <c r="Q3030" s="3">
        <v>28.8</v>
      </c>
      <c r="R3030" s="3">
        <f t="shared" si="92"/>
        <v>18.318000000000001</v>
      </c>
      <c r="S3030" s="3">
        <f>VLOOKUP(C3030,[1]page!$C$2:$M$3071,11,0)</f>
        <v>25.99</v>
      </c>
      <c r="T3030" s="6">
        <f t="shared" si="84"/>
        <v>0.30000000000000071</v>
      </c>
    </row>
    <row r="3031" spans="1:20" x14ac:dyDescent="0.2">
      <c r="A3031" t="s">
        <v>8904</v>
      </c>
      <c r="B3031" t="s">
        <v>9840</v>
      </c>
      <c r="C3031" t="s">
        <v>9841</v>
      </c>
      <c r="D3031" t="s">
        <v>9842</v>
      </c>
      <c r="E3031" t="s">
        <v>9470</v>
      </c>
      <c r="F3031" t="s">
        <v>6076</v>
      </c>
      <c r="G3031" s="1">
        <v>7</v>
      </c>
      <c r="H3031" s="1">
        <v>2</v>
      </c>
      <c r="I3031" t="s">
        <v>8920</v>
      </c>
      <c r="L3031" s="1">
        <v>12</v>
      </c>
      <c r="M3031" s="3">
        <v>28.39</v>
      </c>
      <c r="N3031" s="3">
        <v>1.42</v>
      </c>
      <c r="O3031" s="3">
        <v>0</v>
      </c>
      <c r="P3031" s="3">
        <v>1.2</v>
      </c>
      <c r="Q3031" s="3">
        <v>31.01</v>
      </c>
      <c r="R3031" s="3">
        <v>20.9</v>
      </c>
      <c r="S3031" s="3">
        <f>VLOOKUP(C3031,[1]page!$C$2:$M$3071,11,0)</f>
        <v>28.34</v>
      </c>
      <c r="T3031" s="6">
        <f t="shared" si="84"/>
        <v>5.0000000000000711E-2</v>
      </c>
    </row>
    <row r="3032" spans="1:20" x14ac:dyDescent="0.2">
      <c r="A3032" t="s">
        <v>8904</v>
      </c>
      <c r="B3032" t="s">
        <v>9843</v>
      </c>
      <c r="C3032" t="s">
        <v>9844</v>
      </c>
      <c r="D3032" t="s">
        <v>9845</v>
      </c>
      <c r="E3032" t="s">
        <v>9470</v>
      </c>
      <c r="F3032" t="s">
        <v>9439</v>
      </c>
      <c r="G3032" s="2">
        <v>5.5</v>
      </c>
      <c r="H3032" s="1">
        <v>24</v>
      </c>
      <c r="I3032" t="s">
        <v>8920</v>
      </c>
      <c r="L3032" s="1">
        <v>1</v>
      </c>
      <c r="M3032" s="3">
        <v>3.01</v>
      </c>
      <c r="N3032" s="3">
        <v>0.15</v>
      </c>
      <c r="O3032" s="3">
        <v>0</v>
      </c>
      <c r="P3032" s="3">
        <v>0.1</v>
      </c>
      <c r="Q3032" s="3">
        <v>3.26</v>
      </c>
      <c r="R3032" s="3">
        <v>2.2999999999999998</v>
      </c>
      <c r="S3032" s="3">
        <f>VLOOKUP(C3032,[1]page!$C$2:$M$3071,11,0)</f>
        <v>3</v>
      </c>
      <c r="T3032" s="6">
        <f t="shared" si="84"/>
        <v>9.9999999999997868E-3</v>
      </c>
    </row>
    <row r="3033" spans="1:20" x14ac:dyDescent="0.2">
      <c r="A3033" t="s">
        <v>8904</v>
      </c>
      <c r="B3033" t="s">
        <v>9846</v>
      </c>
      <c r="C3033" t="s">
        <v>9847</v>
      </c>
      <c r="D3033" t="s">
        <v>9848</v>
      </c>
      <c r="E3033" t="s">
        <v>9470</v>
      </c>
      <c r="F3033" t="s">
        <v>9439</v>
      </c>
      <c r="G3033" s="2">
        <v>5.5</v>
      </c>
      <c r="H3033" s="1">
        <v>24</v>
      </c>
      <c r="I3033" t="s">
        <v>8920</v>
      </c>
      <c r="L3033" s="1">
        <v>1</v>
      </c>
      <c r="M3033" s="3">
        <v>3.01</v>
      </c>
      <c r="N3033" s="3">
        <v>0.15</v>
      </c>
      <c r="O3033" s="3">
        <v>0</v>
      </c>
      <c r="P3033" s="3">
        <v>0.1</v>
      </c>
      <c r="Q3033" s="3">
        <v>3.26</v>
      </c>
      <c r="R3033" s="3">
        <v>2.2999999999999998</v>
      </c>
      <c r="S3033" s="3">
        <f>VLOOKUP(C3033,[1]page!$C$2:$M$3071,11,0)</f>
        <v>3</v>
      </c>
      <c r="T3033" s="6">
        <f t="shared" si="84"/>
        <v>9.9999999999997868E-3</v>
      </c>
    </row>
    <row r="3034" spans="1:20" x14ac:dyDescent="0.2">
      <c r="A3034" t="s">
        <v>8904</v>
      </c>
      <c r="B3034" t="s">
        <v>9849</v>
      </c>
      <c r="C3034" t="s">
        <v>9850</v>
      </c>
      <c r="D3034" t="s">
        <v>9851</v>
      </c>
      <c r="E3034" t="s">
        <v>9470</v>
      </c>
      <c r="F3034" t="s">
        <v>719</v>
      </c>
      <c r="G3034" s="2">
        <v>5.5</v>
      </c>
      <c r="H3034" s="1">
        <v>4</v>
      </c>
      <c r="I3034" t="s">
        <v>8920</v>
      </c>
      <c r="L3034" s="1">
        <v>6</v>
      </c>
      <c r="M3034" s="3">
        <v>14.69</v>
      </c>
      <c r="N3034" s="3">
        <v>0.73</v>
      </c>
      <c r="O3034" s="3">
        <v>0</v>
      </c>
      <c r="P3034" s="3">
        <v>0.6</v>
      </c>
      <c r="Q3034" s="3">
        <v>16.02</v>
      </c>
      <c r="R3034" s="3">
        <v>9.15</v>
      </c>
      <c r="S3034" s="3">
        <f>VLOOKUP(C3034,[1]page!$C$2:$M$3071,11,0)</f>
        <v>14.66</v>
      </c>
      <c r="T3034" s="6">
        <f t="shared" si="84"/>
        <v>2.9999999999999361E-2</v>
      </c>
    </row>
    <row r="3035" spans="1:20" x14ac:dyDescent="0.2">
      <c r="A3035" t="s">
        <v>8904</v>
      </c>
      <c r="B3035" t="s">
        <v>9852</v>
      </c>
      <c r="C3035" t="s">
        <v>9853</v>
      </c>
      <c r="D3035" t="s">
        <v>9854</v>
      </c>
      <c r="E3035" t="s">
        <v>9470</v>
      </c>
      <c r="F3035" t="s">
        <v>9439</v>
      </c>
      <c r="G3035" s="2">
        <v>5.5</v>
      </c>
      <c r="H3035" s="1">
        <v>24</v>
      </c>
      <c r="I3035" t="s">
        <v>8920</v>
      </c>
      <c r="L3035" s="1">
        <v>1</v>
      </c>
      <c r="M3035" s="3">
        <v>3.01</v>
      </c>
      <c r="N3035" s="3">
        <v>0.15</v>
      </c>
      <c r="O3035" s="3">
        <v>0</v>
      </c>
      <c r="P3035" s="3">
        <v>0.1</v>
      </c>
      <c r="Q3035" s="3">
        <v>3.26</v>
      </c>
      <c r="R3035" s="3">
        <v>2.2999999999999998</v>
      </c>
      <c r="S3035" s="3">
        <f>VLOOKUP(C3035,[1]page!$C$2:$M$3071,11,0)</f>
        <v>3</v>
      </c>
      <c r="T3035" s="6">
        <f t="shared" si="84"/>
        <v>9.9999999999997868E-3</v>
      </c>
    </row>
    <row r="3036" spans="1:20" x14ac:dyDescent="0.2">
      <c r="A3036" t="s">
        <v>8904</v>
      </c>
      <c r="B3036" t="s">
        <v>9855</v>
      </c>
      <c r="C3036" t="s">
        <v>9856</v>
      </c>
      <c r="D3036" t="s">
        <v>9857</v>
      </c>
      <c r="E3036" t="s">
        <v>9470</v>
      </c>
      <c r="F3036" t="s">
        <v>9439</v>
      </c>
      <c r="G3036" s="2">
        <v>5.5</v>
      </c>
      <c r="H3036" s="1">
        <v>24</v>
      </c>
      <c r="I3036" t="s">
        <v>8920</v>
      </c>
      <c r="L3036" s="1">
        <v>1</v>
      </c>
      <c r="M3036" s="3">
        <v>3.01</v>
      </c>
      <c r="N3036" s="3">
        <v>0.15</v>
      </c>
      <c r="O3036" s="3">
        <v>0</v>
      </c>
      <c r="P3036" s="3">
        <v>0.1</v>
      </c>
      <c r="Q3036" s="3">
        <v>3.26</v>
      </c>
      <c r="R3036" s="3">
        <v>2.2999999999999998</v>
      </c>
      <c r="S3036" s="3">
        <f>VLOOKUP(C3036,[1]page!$C$2:$M$3071,11,0)</f>
        <v>3</v>
      </c>
      <c r="T3036" s="6">
        <f t="shared" ref="T3036:T3099" si="93">SUM(M3036-S3036)</f>
        <v>9.9999999999997868E-3</v>
      </c>
    </row>
    <row r="3037" spans="1:20" x14ac:dyDescent="0.2">
      <c r="A3037" t="s">
        <v>8904</v>
      </c>
      <c r="B3037" t="s">
        <v>9858</v>
      </c>
      <c r="C3037" t="s">
        <v>9859</v>
      </c>
      <c r="D3037" t="s">
        <v>9860</v>
      </c>
      <c r="E3037" t="s">
        <v>9470</v>
      </c>
      <c r="F3037" t="s">
        <v>6076</v>
      </c>
      <c r="G3037" s="2">
        <v>5.5</v>
      </c>
      <c r="H3037" s="1">
        <v>2</v>
      </c>
      <c r="I3037" t="s">
        <v>8920</v>
      </c>
      <c r="L3037" s="1">
        <v>12</v>
      </c>
      <c r="M3037" s="3">
        <v>27.35</v>
      </c>
      <c r="N3037" s="3">
        <v>1.37</v>
      </c>
      <c r="O3037" s="3">
        <v>0</v>
      </c>
      <c r="P3037" s="3">
        <v>1.2</v>
      </c>
      <c r="Q3037" s="3">
        <v>29.92</v>
      </c>
      <c r="R3037" s="3">
        <v>17.75</v>
      </c>
      <c r="S3037" s="3">
        <f>VLOOKUP(C3037,[1]page!$C$2:$M$3071,11,0)</f>
        <v>27.29</v>
      </c>
      <c r="T3037" s="6">
        <f t="shared" si="93"/>
        <v>6.0000000000002274E-2</v>
      </c>
    </row>
    <row r="3038" spans="1:20" x14ac:dyDescent="0.2">
      <c r="A3038" t="s">
        <v>8904</v>
      </c>
      <c r="B3038" t="s">
        <v>9861</v>
      </c>
      <c r="C3038" t="s">
        <v>9862</v>
      </c>
      <c r="D3038" t="s">
        <v>9863</v>
      </c>
      <c r="E3038" t="s">
        <v>9864</v>
      </c>
      <c r="F3038" t="s">
        <v>1041</v>
      </c>
      <c r="G3038" s="1">
        <v>5</v>
      </c>
      <c r="H3038" s="1">
        <v>6</v>
      </c>
      <c r="I3038" t="s">
        <v>2802</v>
      </c>
      <c r="L3038" s="1">
        <v>4</v>
      </c>
      <c r="M3038" s="3">
        <v>12.22</v>
      </c>
      <c r="N3038" s="3">
        <v>0.61</v>
      </c>
      <c r="O3038" s="3">
        <v>0</v>
      </c>
      <c r="P3038" s="3">
        <v>0.4</v>
      </c>
      <c r="Q3038" s="3">
        <v>13.23</v>
      </c>
      <c r="R3038" s="3">
        <v>6.35</v>
      </c>
      <c r="S3038" s="3">
        <f>VLOOKUP(C3038,[1]page!$C$2:$M$3071,11,0)</f>
        <v>12.22</v>
      </c>
      <c r="T3038" s="6">
        <f t="shared" si="93"/>
        <v>0</v>
      </c>
    </row>
    <row r="3039" spans="1:20" x14ac:dyDescent="0.2">
      <c r="A3039" t="s">
        <v>8904</v>
      </c>
      <c r="B3039" t="s">
        <v>9865</v>
      </c>
      <c r="C3039" t="s">
        <v>9866</v>
      </c>
      <c r="D3039" t="s">
        <v>9867</v>
      </c>
      <c r="E3039" t="s">
        <v>182</v>
      </c>
      <c r="F3039" t="s">
        <v>5855</v>
      </c>
      <c r="G3039" s="1">
        <v>5</v>
      </c>
      <c r="H3039" s="1">
        <v>24</v>
      </c>
      <c r="I3039" t="s">
        <v>183</v>
      </c>
      <c r="L3039" s="1">
        <v>1</v>
      </c>
      <c r="M3039" s="3">
        <v>3.5</v>
      </c>
      <c r="N3039" s="3">
        <v>0.18</v>
      </c>
      <c r="O3039" s="3">
        <v>0</v>
      </c>
      <c r="P3039" s="3">
        <v>0.1</v>
      </c>
      <c r="Q3039" s="3">
        <v>3.78</v>
      </c>
      <c r="R3039" s="3">
        <v>2.2999999999999998</v>
      </c>
      <c r="S3039" s="3">
        <f>VLOOKUP(C3039,[1]page!$C$2:$M$3071,11,0)</f>
        <v>3.5</v>
      </c>
      <c r="T3039" s="6">
        <f t="shared" si="93"/>
        <v>0</v>
      </c>
    </row>
    <row r="3040" spans="1:20" x14ac:dyDescent="0.2">
      <c r="A3040" t="s">
        <v>8904</v>
      </c>
      <c r="B3040" t="s">
        <v>9868</v>
      </c>
      <c r="C3040" t="s">
        <v>9869</v>
      </c>
      <c r="D3040" t="s">
        <v>9870</v>
      </c>
      <c r="E3040" t="s">
        <v>8825</v>
      </c>
      <c r="F3040" t="s">
        <v>5855</v>
      </c>
      <c r="G3040" s="2">
        <v>4.5</v>
      </c>
      <c r="H3040" s="1">
        <v>24</v>
      </c>
      <c r="I3040" t="s">
        <v>169</v>
      </c>
      <c r="L3040" s="1">
        <v>1</v>
      </c>
      <c r="M3040" s="3">
        <v>3.29</v>
      </c>
      <c r="N3040" s="3">
        <v>0.16</v>
      </c>
      <c r="O3040" s="3">
        <v>0</v>
      </c>
      <c r="P3040" s="3">
        <v>0.1</v>
      </c>
      <c r="Q3040" s="3">
        <v>3.55</v>
      </c>
      <c r="R3040" s="3">
        <v>2.2999999999999998</v>
      </c>
      <c r="S3040" s="3" t="e">
        <f>VLOOKUP(C3040,[1]page!$C$2:$M$3071,11,0)</f>
        <v>#N/A</v>
      </c>
      <c r="T3040" s="6" t="e">
        <f t="shared" si="93"/>
        <v>#N/A</v>
      </c>
    </row>
    <row r="3041" spans="1:20" x14ac:dyDescent="0.2">
      <c r="A3041" t="s">
        <v>8904</v>
      </c>
      <c r="B3041" t="s">
        <v>9871</v>
      </c>
      <c r="C3041" t="s">
        <v>9872</v>
      </c>
      <c r="D3041" t="s">
        <v>9870</v>
      </c>
      <c r="E3041" t="s">
        <v>5930</v>
      </c>
      <c r="F3041" t="s">
        <v>5984</v>
      </c>
      <c r="G3041" s="2">
        <v>4.5</v>
      </c>
      <c r="H3041" s="1">
        <v>4</v>
      </c>
      <c r="I3041" t="s">
        <v>169</v>
      </c>
      <c r="L3041" s="1">
        <v>6</v>
      </c>
      <c r="M3041" s="3">
        <v>14.48</v>
      </c>
      <c r="N3041" s="3">
        <v>0.72</v>
      </c>
      <c r="O3041" s="3">
        <v>0</v>
      </c>
      <c r="P3041" s="3">
        <v>0.6</v>
      </c>
      <c r="Q3041" s="3">
        <v>15.8</v>
      </c>
      <c r="R3041" s="3">
        <v>9.25</v>
      </c>
      <c r="S3041" s="3">
        <f>VLOOKUP(C3041,[1]page!$C$2:$M$3071,11,0)</f>
        <v>14.46</v>
      </c>
      <c r="T3041" s="6">
        <f t="shared" si="93"/>
        <v>1.9999999999999574E-2</v>
      </c>
    </row>
    <row r="3042" spans="1:20" x14ac:dyDescent="0.2">
      <c r="A3042" t="s">
        <v>8904</v>
      </c>
      <c r="B3042" t="s">
        <v>9873</v>
      </c>
      <c r="C3042" t="s">
        <v>9874</v>
      </c>
      <c r="D3042" t="s">
        <v>9870</v>
      </c>
      <c r="E3042" t="s">
        <v>8825</v>
      </c>
      <c r="F3042" t="s">
        <v>5861</v>
      </c>
      <c r="G3042" s="2">
        <v>4.5</v>
      </c>
      <c r="H3042" s="1">
        <v>2</v>
      </c>
      <c r="I3042" t="s">
        <v>169</v>
      </c>
      <c r="L3042" s="1">
        <v>12</v>
      </c>
      <c r="M3042" s="3">
        <v>28.47</v>
      </c>
      <c r="N3042" s="3">
        <v>1.42</v>
      </c>
      <c r="O3042" s="3">
        <v>0</v>
      </c>
      <c r="P3042" s="3">
        <v>1.2</v>
      </c>
      <c r="Q3042" s="3">
        <v>31.09</v>
      </c>
      <c r="R3042" s="3">
        <f t="shared" ref="R3042" si="94">SUM(F3042*0.0043)</f>
        <v>18.318000000000001</v>
      </c>
      <c r="S3042" s="3" t="e">
        <f>VLOOKUP(C3042,[1]page!$C$2:$M$3071,11,0)</f>
        <v>#N/A</v>
      </c>
      <c r="T3042" s="6" t="e">
        <f t="shared" si="93"/>
        <v>#N/A</v>
      </c>
    </row>
    <row r="3043" spans="1:20" x14ac:dyDescent="0.2">
      <c r="A3043" t="s">
        <v>8904</v>
      </c>
      <c r="B3043" t="s">
        <v>9875</v>
      </c>
      <c r="C3043" t="s">
        <v>9876</v>
      </c>
      <c r="D3043" t="s">
        <v>9877</v>
      </c>
      <c r="E3043" t="s">
        <v>5930</v>
      </c>
      <c r="F3043" t="s">
        <v>5984</v>
      </c>
      <c r="G3043" s="2">
        <v>4.5</v>
      </c>
      <c r="H3043" s="1">
        <v>4</v>
      </c>
      <c r="I3043" t="s">
        <v>169</v>
      </c>
      <c r="L3043" s="1">
        <v>6</v>
      </c>
      <c r="M3043" s="3">
        <v>14.48</v>
      </c>
      <c r="N3043" s="3">
        <v>0.72</v>
      </c>
      <c r="O3043" s="3">
        <v>0</v>
      </c>
      <c r="P3043" s="3">
        <v>0.6</v>
      </c>
      <c r="Q3043" s="3">
        <v>15.8</v>
      </c>
      <c r="R3043" s="3">
        <v>9.25</v>
      </c>
      <c r="S3043" s="3">
        <f>VLOOKUP(C3043,[1]page!$C$2:$M$3071,11,0)</f>
        <v>14.46</v>
      </c>
      <c r="T3043" s="6">
        <f t="shared" si="93"/>
        <v>1.9999999999999574E-2</v>
      </c>
    </row>
    <row r="3044" spans="1:20" x14ac:dyDescent="0.2">
      <c r="A3044" t="s">
        <v>8904</v>
      </c>
      <c r="B3044" t="s">
        <v>9878</v>
      </c>
      <c r="C3044" t="s">
        <v>9879</v>
      </c>
      <c r="D3044" t="s">
        <v>9880</v>
      </c>
      <c r="E3044" t="s">
        <v>9881</v>
      </c>
      <c r="F3044" t="s">
        <v>1041</v>
      </c>
      <c r="G3044" s="1">
        <v>5</v>
      </c>
      <c r="H3044" s="1">
        <v>6</v>
      </c>
      <c r="I3044" t="s">
        <v>9610</v>
      </c>
      <c r="L3044" s="1">
        <v>4</v>
      </c>
      <c r="M3044" s="3">
        <v>12.14</v>
      </c>
      <c r="N3044" s="3">
        <v>0.61</v>
      </c>
      <c r="O3044" s="3">
        <v>0</v>
      </c>
      <c r="P3044" s="3">
        <v>0.4</v>
      </c>
      <c r="Q3044" s="3">
        <v>13.15</v>
      </c>
      <c r="R3044" s="3">
        <v>6.35</v>
      </c>
      <c r="S3044" s="3">
        <f>VLOOKUP(C3044,[1]page!$C$2:$M$3071,11,0)</f>
        <v>12.12</v>
      </c>
      <c r="T3044" s="6">
        <f t="shared" si="93"/>
        <v>2.000000000000135E-2</v>
      </c>
    </row>
    <row r="3045" spans="1:20" x14ac:dyDescent="0.2">
      <c r="A3045" t="s">
        <v>8904</v>
      </c>
      <c r="B3045" t="s">
        <v>9882</v>
      </c>
      <c r="C3045" t="s">
        <v>9883</v>
      </c>
      <c r="D3045" t="s">
        <v>9884</v>
      </c>
      <c r="E3045" t="s">
        <v>9470</v>
      </c>
      <c r="F3045" t="s">
        <v>5855</v>
      </c>
      <c r="G3045" s="1">
        <v>5</v>
      </c>
      <c r="H3045" s="1">
        <v>24</v>
      </c>
      <c r="I3045" t="s">
        <v>8920</v>
      </c>
      <c r="L3045" s="1">
        <v>1</v>
      </c>
      <c r="M3045" s="3">
        <v>3.01</v>
      </c>
      <c r="N3045" s="3">
        <v>0.15</v>
      </c>
      <c r="O3045" s="3">
        <v>0</v>
      </c>
      <c r="P3045" s="3">
        <v>0.1</v>
      </c>
      <c r="Q3045" s="3">
        <v>3.26</v>
      </c>
      <c r="R3045" s="3">
        <v>2.2999999999999998</v>
      </c>
      <c r="S3045" s="3">
        <f>VLOOKUP(C3045,[1]page!$C$2:$M$3071,11,0)</f>
        <v>3</v>
      </c>
      <c r="T3045" s="6">
        <f t="shared" si="93"/>
        <v>9.9999999999997868E-3</v>
      </c>
    </row>
    <row r="3046" spans="1:20" x14ac:dyDescent="0.2">
      <c r="A3046" t="s">
        <v>8904</v>
      </c>
      <c r="B3046" t="s">
        <v>9885</v>
      </c>
      <c r="C3046" t="s">
        <v>9886</v>
      </c>
      <c r="D3046" t="s">
        <v>9887</v>
      </c>
      <c r="E3046" t="s">
        <v>9470</v>
      </c>
      <c r="F3046" t="s">
        <v>7091</v>
      </c>
      <c r="G3046" s="1">
        <v>5</v>
      </c>
      <c r="H3046" s="1">
        <v>3</v>
      </c>
      <c r="I3046" t="s">
        <v>8920</v>
      </c>
      <c r="L3046" s="1">
        <v>8</v>
      </c>
      <c r="M3046" s="3">
        <v>19.100000000000001</v>
      </c>
      <c r="N3046" s="3">
        <v>0.96</v>
      </c>
      <c r="O3046" s="3">
        <v>0</v>
      </c>
      <c r="P3046" s="3">
        <v>0.8</v>
      </c>
      <c r="Q3046" s="3">
        <v>20.86</v>
      </c>
      <c r="R3046" s="3">
        <v>17.149999999999999</v>
      </c>
      <c r="S3046" s="3">
        <f>VLOOKUP(C3046,[1]page!$C$2:$M$3071,11,0)</f>
        <v>19.059999999999999</v>
      </c>
      <c r="T3046" s="6">
        <f t="shared" si="93"/>
        <v>4.00000000000027E-2</v>
      </c>
    </row>
    <row r="3047" spans="1:20" x14ac:dyDescent="0.2">
      <c r="A3047" t="s">
        <v>8904</v>
      </c>
      <c r="B3047" t="s">
        <v>9888</v>
      </c>
      <c r="C3047" t="s">
        <v>9889</v>
      </c>
      <c r="D3047" t="s">
        <v>9890</v>
      </c>
      <c r="E3047" t="s">
        <v>9753</v>
      </c>
      <c r="F3047" t="s">
        <v>5861</v>
      </c>
      <c r="G3047" s="1">
        <v>5</v>
      </c>
      <c r="H3047" s="1">
        <v>2</v>
      </c>
      <c r="I3047" t="s">
        <v>1074</v>
      </c>
      <c r="L3047" s="1">
        <v>12</v>
      </c>
      <c r="M3047" s="3">
        <v>28.17</v>
      </c>
      <c r="N3047" s="3">
        <v>1.41</v>
      </c>
      <c r="O3047" s="3">
        <v>0</v>
      </c>
      <c r="P3047" s="3">
        <v>1.2</v>
      </c>
      <c r="Q3047" s="3">
        <v>30.78</v>
      </c>
      <c r="R3047" s="3">
        <f t="shared" ref="R3047" si="95">SUM(F3047*0.0043)</f>
        <v>18.318000000000001</v>
      </c>
      <c r="S3047" s="3">
        <f>VLOOKUP(C3047,[1]page!$C$2:$M$3071,11,0)</f>
        <v>28.12</v>
      </c>
      <c r="T3047" s="6">
        <f t="shared" si="93"/>
        <v>5.0000000000000711E-2</v>
      </c>
    </row>
    <row r="3048" spans="1:20" x14ac:dyDescent="0.2">
      <c r="A3048" t="s">
        <v>8904</v>
      </c>
      <c r="B3048" t="s">
        <v>9891</v>
      </c>
      <c r="C3048" t="s">
        <v>9892</v>
      </c>
      <c r="D3048" t="s">
        <v>9893</v>
      </c>
      <c r="E3048" t="s">
        <v>9753</v>
      </c>
      <c r="F3048" t="s">
        <v>1041</v>
      </c>
      <c r="G3048" s="1">
        <v>5</v>
      </c>
      <c r="H3048" s="1">
        <v>6</v>
      </c>
      <c r="I3048" t="s">
        <v>1074</v>
      </c>
      <c r="L3048" s="1">
        <v>4</v>
      </c>
      <c r="M3048" s="3">
        <v>11.06</v>
      </c>
      <c r="N3048" s="3">
        <v>0.55000000000000004</v>
      </c>
      <c r="O3048" s="3">
        <v>0</v>
      </c>
      <c r="P3048" s="3">
        <v>0.4</v>
      </c>
      <c r="Q3048" s="3">
        <v>12.01</v>
      </c>
      <c r="R3048" s="3">
        <v>6.35</v>
      </c>
      <c r="S3048" s="3">
        <f>VLOOKUP(C3048,[1]page!$C$2:$M$3071,11,0)</f>
        <v>11.04</v>
      </c>
      <c r="T3048" s="6">
        <f t="shared" si="93"/>
        <v>2.000000000000135E-2</v>
      </c>
    </row>
    <row r="3049" spans="1:20" x14ac:dyDescent="0.2">
      <c r="A3049" t="s">
        <v>8904</v>
      </c>
      <c r="B3049" t="s">
        <v>9894</v>
      </c>
      <c r="C3049" t="s">
        <v>9895</v>
      </c>
      <c r="D3049" t="s">
        <v>9896</v>
      </c>
      <c r="E3049" t="s">
        <v>9897</v>
      </c>
      <c r="F3049" t="s">
        <v>5861</v>
      </c>
      <c r="G3049" s="1">
        <v>5</v>
      </c>
      <c r="H3049" s="1">
        <v>2</v>
      </c>
      <c r="I3049" t="s">
        <v>9610</v>
      </c>
      <c r="L3049" s="1">
        <v>12</v>
      </c>
      <c r="M3049" s="3">
        <v>36.130000000000003</v>
      </c>
      <c r="N3049" s="3">
        <v>1.81</v>
      </c>
      <c r="O3049" s="3">
        <v>0</v>
      </c>
      <c r="P3049" s="3">
        <v>1.2</v>
      </c>
      <c r="Q3049" s="3">
        <v>39.14</v>
      </c>
      <c r="R3049" s="3">
        <f t="shared" ref="R3049" si="96">SUM(F3049*0.0043)</f>
        <v>18.318000000000001</v>
      </c>
      <c r="S3049" s="3">
        <f>VLOOKUP(C3049,[1]page!$C$2:$M$3071,11,0)</f>
        <v>36.08</v>
      </c>
      <c r="T3049" s="6">
        <f t="shared" si="93"/>
        <v>5.0000000000004263E-2</v>
      </c>
    </row>
    <row r="3050" spans="1:20" x14ac:dyDescent="0.2">
      <c r="A3050" t="s">
        <v>8904</v>
      </c>
      <c r="B3050" t="s">
        <v>9898</v>
      </c>
      <c r="C3050" t="s">
        <v>9899</v>
      </c>
      <c r="D3050" t="s">
        <v>9900</v>
      </c>
      <c r="E3050" t="s">
        <v>9901</v>
      </c>
      <c r="F3050" t="s">
        <v>5984</v>
      </c>
      <c r="G3050" s="1">
        <v>5</v>
      </c>
      <c r="H3050" s="1">
        <v>4</v>
      </c>
      <c r="I3050" t="s">
        <v>9902</v>
      </c>
      <c r="L3050" s="1">
        <v>6</v>
      </c>
      <c r="M3050" s="3">
        <v>17.95</v>
      </c>
      <c r="N3050" s="3">
        <v>0.9</v>
      </c>
      <c r="O3050" s="3">
        <v>0</v>
      </c>
      <c r="P3050" s="3">
        <v>0.6</v>
      </c>
      <c r="Q3050" s="3">
        <v>19.45</v>
      </c>
      <c r="R3050" s="3">
        <v>9.25</v>
      </c>
      <c r="S3050" s="3">
        <f>VLOOKUP(C3050,[1]page!$C$2:$M$3071,11,0)</f>
        <v>17.93</v>
      </c>
      <c r="T3050" s="6">
        <f t="shared" si="93"/>
        <v>1.9999999999999574E-2</v>
      </c>
    </row>
    <row r="3051" spans="1:20" x14ac:dyDescent="0.2">
      <c r="A3051" t="s">
        <v>8904</v>
      </c>
      <c r="B3051" t="s">
        <v>9903</v>
      </c>
      <c r="C3051" t="s">
        <v>9904</v>
      </c>
      <c r="D3051" t="s">
        <v>9905</v>
      </c>
      <c r="E3051" t="s">
        <v>528</v>
      </c>
      <c r="F3051" t="s">
        <v>84</v>
      </c>
      <c r="G3051" s="2">
        <v>9.9499999999999993</v>
      </c>
      <c r="H3051" s="1">
        <v>6</v>
      </c>
      <c r="I3051" t="s">
        <v>178</v>
      </c>
      <c r="L3051" s="1">
        <v>1</v>
      </c>
      <c r="M3051" s="3">
        <v>23.42</v>
      </c>
      <c r="N3051" s="3">
        <v>1.17</v>
      </c>
      <c r="O3051" s="3">
        <v>0</v>
      </c>
      <c r="P3051" s="3">
        <v>0.25</v>
      </c>
      <c r="Q3051" s="3">
        <v>24.84</v>
      </c>
      <c r="R3051" s="3">
        <v>10.45</v>
      </c>
      <c r="S3051" s="3">
        <f>VLOOKUP(C3051,[1]page!$C$2:$M$3071,11,0)</f>
        <v>23.33</v>
      </c>
      <c r="T3051" s="6">
        <f t="shared" si="93"/>
        <v>9.0000000000003411E-2</v>
      </c>
    </row>
    <row r="3052" spans="1:20" x14ac:dyDescent="0.2">
      <c r="A3052" t="s">
        <v>8904</v>
      </c>
      <c r="B3052" t="s">
        <v>9906</v>
      </c>
      <c r="C3052" t="s">
        <v>9907</v>
      </c>
      <c r="D3052" t="s">
        <v>9908</v>
      </c>
      <c r="E3052" t="s">
        <v>8825</v>
      </c>
      <c r="F3052" t="s">
        <v>5861</v>
      </c>
      <c r="G3052" s="1">
        <v>5</v>
      </c>
      <c r="H3052" s="1">
        <v>2</v>
      </c>
      <c r="I3052" t="s">
        <v>169</v>
      </c>
      <c r="L3052" s="1">
        <v>12</v>
      </c>
      <c r="M3052" s="3">
        <v>27.31</v>
      </c>
      <c r="N3052" s="3">
        <v>1.37</v>
      </c>
      <c r="O3052" s="3">
        <v>0</v>
      </c>
      <c r="P3052" s="3">
        <v>1.2</v>
      </c>
      <c r="Q3052" s="3">
        <v>29.88</v>
      </c>
      <c r="R3052" s="3">
        <f t="shared" ref="R3052:R3055" si="97">SUM(F3052*0.0043)</f>
        <v>18.318000000000001</v>
      </c>
      <c r="S3052" s="3">
        <f>VLOOKUP(C3052,[1]page!$C$2:$M$3071,11,0)</f>
        <v>27.25</v>
      </c>
      <c r="T3052" s="6">
        <f t="shared" si="93"/>
        <v>5.9999999999998721E-2</v>
      </c>
    </row>
    <row r="3053" spans="1:20" x14ac:dyDescent="0.2">
      <c r="A3053" t="s">
        <v>8904</v>
      </c>
      <c r="B3053" t="s">
        <v>9909</v>
      </c>
      <c r="C3053" t="s">
        <v>9910</v>
      </c>
      <c r="D3053" t="s">
        <v>9911</v>
      </c>
      <c r="E3053" t="s">
        <v>8825</v>
      </c>
      <c r="F3053" t="s">
        <v>5861</v>
      </c>
      <c r="G3053" s="1">
        <v>5</v>
      </c>
      <c r="H3053" s="1">
        <v>2</v>
      </c>
      <c r="I3053" t="s">
        <v>169</v>
      </c>
      <c r="L3053" s="1">
        <v>12</v>
      </c>
      <c r="M3053" s="3">
        <v>27.31</v>
      </c>
      <c r="N3053" s="3">
        <v>1.37</v>
      </c>
      <c r="O3053" s="3">
        <v>0</v>
      </c>
      <c r="P3053" s="3">
        <v>1.2</v>
      </c>
      <c r="Q3053" s="3">
        <v>29.88</v>
      </c>
      <c r="R3053" s="3">
        <f t="shared" si="97"/>
        <v>18.318000000000001</v>
      </c>
      <c r="S3053" s="3">
        <f>VLOOKUP(C3053,[1]page!$C$2:$M$3071,11,0)</f>
        <v>27.25</v>
      </c>
      <c r="T3053" s="6">
        <f t="shared" si="93"/>
        <v>5.9999999999998721E-2</v>
      </c>
    </row>
    <row r="3054" spans="1:20" x14ac:dyDescent="0.2">
      <c r="A3054" t="s">
        <v>8904</v>
      </c>
      <c r="B3054" t="s">
        <v>9912</v>
      </c>
      <c r="C3054" t="s">
        <v>9913</v>
      </c>
      <c r="D3054" t="s">
        <v>9914</v>
      </c>
      <c r="E3054" t="s">
        <v>8825</v>
      </c>
      <c r="F3054" t="s">
        <v>5861</v>
      </c>
      <c r="G3054" s="1">
        <v>5</v>
      </c>
      <c r="H3054" s="1">
        <v>2</v>
      </c>
      <c r="I3054" t="s">
        <v>169</v>
      </c>
      <c r="L3054" s="1">
        <v>12</v>
      </c>
      <c r="M3054" s="3">
        <v>27.31</v>
      </c>
      <c r="N3054" s="3">
        <v>1.37</v>
      </c>
      <c r="O3054" s="3">
        <v>0</v>
      </c>
      <c r="P3054" s="3">
        <v>1.2</v>
      </c>
      <c r="Q3054" s="3">
        <v>29.88</v>
      </c>
      <c r="R3054" s="3">
        <f t="shared" si="97"/>
        <v>18.318000000000001</v>
      </c>
      <c r="S3054" s="3">
        <f>VLOOKUP(C3054,[1]page!$C$2:$M$3071,11,0)</f>
        <v>27.25</v>
      </c>
      <c r="T3054" s="6">
        <f t="shared" si="93"/>
        <v>5.9999999999998721E-2</v>
      </c>
    </row>
    <row r="3055" spans="1:20" x14ac:dyDescent="0.2">
      <c r="A3055" t="s">
        <v>8904</v>
      </c>
      <c r="B3055" t="s">
        <v>9915</v>
      </c>
      <c r="C3055" t="s">
        <v>9916</v>
      </c>
      <c r="D3055" t="s">
        <v>9917</v>
      </c>
      <c r="E3055" t="s">
        <v>8825</v>
      </c>
      <c r="F3055" t="s">
        <v>5861</v>
      </c>
      <c r="G3055" s="1">
        <v>5</v>
      </c>
      <c r="H3055" s="1">
        <v>2</v>
      </c>
      <c r="I3055" t="s">
        <v>169</v>
      </c>
      <c r="L3055" s="1">
        <v>12</v>
      </c>
      <c r="M3055" s="3">
        <v>27.31</v>
      </c>
      <c r="N3055" s="3">
        <v>1.37</v>
      </c>
      <c r="O3055" s="3">
        <v>0</v>
      </c>
      <c r="P3055" s="3">
        <v>1.2</v>
      </c>
      <c r="Q3055" s="3">
        <v>29.88</v>
      </c>
      <c r="R3055" s="3">
        <f t="shared" si="97"/>
        <v>18.318000000000001</v>
      </c>
      <c r="S3055" s="3">
        <f>VLOOKUP(C3055,[1]page!$C$2:$M$3071,11,0)</f>
        <v>27.25</v>
      </c>
      <c r="T3055" s="6">
        <f t="shared" si="93"/>
        <v>5.9999999999998721E-2</v>
      </c>
    </row>
    <row r="3056" spans="1:20" x14ac:dyDescent="0.2">
      <c r="A3056" t="s">
        <v>8904</v>
      </c>
      <c r="B3056" t="s">
        <v>9918</v>
      </c>
      <c r="C3056" t="s">
        <v>9919</v>
      </c>
      <c r="D3056" t="s">
        <v>9920</v>
      </c>
      <c r="E3056" t="s">
        <v>8825</v>
      </c>
      <c r="F3056" t="s">
        <v>7091</v>
      </c>
      <c r="G3056" s="1">
        <v>5</v>
      </c>
      <c r="H3056" s="1">
        <v>3</v>
      </c>
      <c r="I3056" t="s">
        <v>169</v>
      </c>
      <c r="L3056" s="1">
        <v>8</v>
      </c>
      <c r="M3056" s="3">
        <v>19.100000000000001</v>
      </c>
      <c r="N3056" s="3">
        <v>0.96</v>
      </c>
      <c r="O3056" s="3">
        <v>0</v>
      </c>
      <c r="P3056" s="3">
        <v>0.8</v>
      </c>
      <c r="Q3056" s="3">
        <v>20.86</v>
      </c>
      <c r="R3056" s="3">
        <v>17.149999999999999</v>
      </c>
      <c r="S3056" s="3">
        <f>VLOOKUP(C3056,[1]page!$C$2:$M$3071,11,0)</f>
        <v>19.100000000000001</v>
      </c>
      <c r="T3056" s="6">
        <f t="shared" si="93"/>
        <v>0</v>
      </c>
    </row>
    <row r="3057" spans="1:20" x14ac:dyDescent="0.2">
      <c r="A3057" t="s">
        <v>8904</v>
      </c>
      <c r="B3057" t="s">
        <v>9921</v>
      </c>
      <c r="C3057" t="s">
        <v>9922</v>
      </c>
      <c r="D3057" t="s">
        <v>9923</v>
      </c>
      <c r="E3057" t="s">
        <v>8825</v>
      </c>
      <c r="F3057" t="s">
        <v>5861</v>
      </c>
      <c r="G3057" s="1">
        <v>7</v>
      </c>
      <c r="H3057" s="1">
        <v>2</v>
      </c>
      <c r="I3057" t="s">
        <v>169</v>
      </c>
      <c r="L3057" s="1">
        <v>12</v>
      </c>
      <c r="M3057" s="3">
        <v>27.35</v>
      </c>
      <c r="N3057" s="3">
        <v>1.37</v>
      </c>
      <c r="O3057" s="3">
        <v>0</v>
      </c>
      <c r="P3057" s="3">
        <v>1.2</v>
      </c>
      <c r="Q3057" s="3">
        <v>29.92</v>
      </c>
      <c r="R3057" s="3">
        <f>SUM(F3057*0.0051)</f>
        <v>21.726000000000003</v>
      </c>
      <c r="S3057" s="3" t="e">
        <f>VLOOKUP(C3057,[1]page!$C$2:$M$3071,11,0)</f>
        <v>#N/A</v>
      </c>
      <c r="T3057" s="6" t="e">
        <f t="shared" si="93"/>
        <v>#N/A</v>
      </c>
    </row>
    <row r="3058" spans="1:20" x14ac:dyDescent="0.2">
      <c r="A3058" t="s">
        <v>8904</v>
      </c>
      <c r="B3058" t="s">
        <v>9924</v>
      </c>
      <c r="C3058" t="s">
        <v>9925</v>
      </c>
      <c r="D3058" t="s">
        <v>9926</v>
      </c>
      <c r="E3058" t="s">
        <v>8825</v>
      </c>
      <c r="F3058" t="s">
        <v>5855</v>
      </c>
      <c r="G3058" s="1">
        <v>7</v>
      </c>
      <c r="H3058" s="1">
        <v>24</v>
      </c>
      <c r="I3058" t="s">
        <v>169</v>
      </c>
      <c r="L3058" s="1">
        <v>1</v>
      </c>
      <c r="M3058" s="3">
        <v>3.1</v>
      </c>
      <c r="N3058" s="3">
        <v>0.16</v>
      </c>
      <c r="O3058" s="3">
        <v>0</v>
      </c>
      <c r="P3058" s="3">
        <v>0.1</v>
      </c>
      <c r="Q3058" s="3">
        <v>3.36</v>
      </c>
      <c r="R3058" s="3">
        <v>2.7</v>
      </c>
      <c r="S3058" s="3">
        <f>VLOOKUP(C3058,[1]page!$C$2:$M$3071,11,0)</f>
        <v>3.09</v>
      </c>
      <c r="T3058" s="6">
        <f t="shared" si="93"/>
        <v>1.0000000000000231E-2</v>
      </c>
    </row>
    <row r="3059" spans="1:20" x14ac:dyDescent="0.2">
      <c r="A3059" t="s">
        <v>8904</v>
      </c>
      <c r="B3059" t="s">
        <v>9927</v>
      </c>
      <c r="C3059" t="s">
        <v>9928</v>
      </c>
      <c r="D3059" t="s">
        <v>9929</v>
      </c>
      <c r="E3059" t="s">
        <v>8825</v>
      </c>
      <c r="F3059" t="s">
        <v>5861</v>
      </c>
      <c r="G3059" s="1">
        <v>7</v>
      </c>
      <c r="H3059" s="1">
        <v>2</v>
      </c>
      <c r="I3059" t="s">
        <v>169</v>
      </c>
      <c r="L3059" s="1">
        <v>12</v>
      </c>
      <c r="M3059" s="3">
        <v>27.48</v>
      </c>
      <c r="N3059" s="3">
        <v>1.37</v>
      </c>
      <c r="O3059" s="3">
        <v>0</v>
      </c>
      <c r="P3059" s="3">
        <v>1.2</v>
      </c>
      <c r="Q3059" s="3">
        <v>30.05</v>
      </c>
      <c r="R3059" s="3">
        <f>SUM(F3059*0.0051)</f>
        <v>21.726000000000003</v>
      </c>
      <c r="S3059" s="3" t="e">
        <f>VLOOKUP(C3059,[1]page!$C$2:$M$3071,11,0)</f>
        <v>#N/A</v>
      </c>
      <c r="T3059" s="6" t="e">
        <f t="shared" si="93"/>
        <v>#N/A</v>
      </c>
    </row>
    <row r="3060" spans="1:20" x14ac:dyDescent="0.2">
      <c r="A3060" t="s">
        <v>8904</v>
      </c>
      <c r="B3060" t="s">
        <v>9930</v>
      </c>
      <c r="C3060" t="s">
        <v>9931</v>
      </c>
      <c r="D3060" t="s">
        <v>9932</v>
      </c>
      <c r="E3060" t="s">
        <v>8825</v>
      </c>
      <c r="F3060" t="s">
        <v>5855</v>
      </c>
      <c r="G3060" s="1">
        <v>5</v>
      </c>
      <c r="H3060" s="1">
        <v>24</v>
      </c>
      <c r="I3060" t="s">
        <v>169</v>
      </c>
      <c r="L3060" s="1">
        <v>1</v>
      </c>
      <c r="M3060" s="3">
        <v>3.1</v>
      </c>
      <c r="N3060" s="3">
        <v>0.16</v>
      </c>
      <c r="O3060" s="3">
        <v>0</v>
      </c>
      <c r="P3060" s="3">
        <v>0.1</v>
      </c>
      <c r="Q3060" s="3">
        <v>3.36</v>
      </c>
      <c r="R3060" s="3">
        <v>2.2999999999999998</v>
      </c>
      <c r="S3060" s="3">
        <f>VLOOKUP(C3060,[1]page!$C$2:$M$3071,11,0)</f>
        <v>3.1</v>
      </c>
      <c r="T3060" s="6">
        <f t="shared" si="93"/>
        <v>0</v>
      </c>
    </row>
    <row r="3061" spans="1:20" x14ac:dyDescent="0.2">
      <c r="A3061" t="s">
        <v>8904</v>
      </c>
      <c r="B3061" t="s">
        <v>9933</v>
      </c>
      <c r="C3061" t="s">
        <v>9934</v>
      </c>
      <c r="D3061" t="s">
        <v>9932</v>
      </c>
      <c r="E3061" t="s">
        <v>8825</v>
      </c>
      <c r="F3061" t="s">
        <v>5984</v>
      </c>
      <c r="G3061" s="1">
        <v>5</v>
      </c>
      <c r="H3061" s="1">
        <v>4</v>
      </c>
      <c r="I3061" t="s">
        <v>169</v>
      </c>
      <c r="L3061" s="1">
        <v>6</v>
      </c>
      <c r="M3061" s="3">
        <v>13.99</v>
      </c>
      <c r="N3061" s="3">
        <v>0.7</v>
      </c>
      <c r="O3061" s="3">
        <v>0</v>
      </c>
      <c r="P3061" s="3">
        <v>0.6</v>
      </c>
      <c r="Q3061" s="3">
        <v>15.29</v>
      </c>
      <c r="R3061" s="3">
        <v>9.25</v>
      </c>
      <c r="S3061" s="3">
        <f>VLOOKUP(C3061,[1]page!$C$2:$M$3071,11,0)</f>
        <v>13.96</v>
      </c>
      <c r="T3061" s="6">
        <f t="shared" si="93"/>
        <v>2.9999999999999361E-2</v>
      </c>
    </row>
    <row r="3062" spans="1:20" x14ac:dyDescent="0.2">
      <c r="A3062" t="s">
        <v>8904</v>
      </c>
      <c r="B3062" t="s">
        <v>9935</v>
      </c>
      <c r="C3062" t="s">
        <v>9936</v>
      </c>
      <c r="D3062" t="s">
        <v>9932</v>
      </c>
      <c r="E3062" t="s">
        <v>8825</v>
      </c>
      <c r="F3062" t="s">
        <v>5861</v>
      </c>
      <c r="G3062" s="1">
        <v>5</v>
      </c>
      <c r="H3062" s="1">
        <v>2</v>
      </c>
      <c r="I3062" t="s">
        <v>169</v>
      </c>
      <c r="L3062" s="1">
        <v>12</v>
      </c>
      <c r="M3062" s="3">
        <v>27.49</v>
      </c>
      <c r="N3062" s="3">
        <v>1.37</v>
      </c>
      <c r="O3062" s="3">
        <v>0</v>
      </c>
      <c r="P3062" s="3">
        <v>1.2</v>
      </c>
      <c r="Q3062" s="3">
        <v>30.06</v>
      </c>
      <c r="R3062" s="3">
        <f t="shared" ref="R3062" si="98">SUM(F3062*0.0043)</f>
        <v>18.318000000000001</v>
      </c>
      <c r="S3062" s="3">
        <f>VLOOKUP(C3062,[1]page!$C$2:$M$3071,11,0)</f>
        <v>27.43</v>
      </c>
      <c r="T3062" s="6">
        <f t="shared" si="93"/>
        <v>5.9999999999998721E-2</v>
      </c>
    </row>
    <row r="3063" spans="1:20" x14ac:dyDescent="0.2">
      <c r="A3063" t="s">
        <v>8904</v>
      </c>
      <c r="B3063" t="s">
        <v>9937</v>
      </c>
      <c r="C3063" t="s">
        <v>9938</v>
      </c>
      <c r="D3063" t="s">
        <v>9939</v>
      </c>
      <c r="E3063" t="s">
        <v>8825</v>
      </c>
      <c r="F3063" t="s">
        <v>5855</v>
      </c>
      <c r="G3063" s="1">
        <v>5</v>
      </c>
      <c r="H3063" s="1">
        <v>24</v>
      </c>
      <c r="I3063" t="s">
        <v>169</v>
      </c>
      <c r="L3063" s="1">
        <v>1</v>
      </c>
      <c r="M3063" s="3">
        <v>3.1</v>
      </c>
      <c r="N3063" s="3">
        <v>0.16</v>
      </c>
      <c r="O3063" s="3">
        <v>0</v>
      </c>
      <c r="P3063" s="3">
        <v>0.1</v>
      </c>
      <c r="Q3063" s="3">
        <v>3.36</v>
      </c>
      <c r="R3063" s="3">
        <v>2.2999999999999998</v>
      </c>
      <c r="S3063" s="3">
        <f>VLOOKUP(C3063,[1]page!$C$2:$M$3071,11,0)</f>
        <v>3.1</v>
      </c>
      <c r="T3063" s="6">
        <f t="shared" si="93"/>
        <v>0</v>
      </c>
    </row>
    <row r="3064" spans="1:20" x14ac:dyDescent="0.2">
      <c r="A3064" t="s">
        <v>8904</v>
      </c>
      <c r="B3064" t="s">
        <v>9940</v>
      </c>
      <c r="C3064" t="s">
        <v>9941</v>
      </c>
      <c r="D3064" t="s">
        <v>9942</v>
      </c>
      <c r="E3064" t="s">
        <v>8825</v>
      </c>
      <c r="F3064" t="s">
        <v>5855</v>
      </c>
      <c r="G3064" s="1">
        <v>5</v>
      </c>
      <c r="H3064" s="1">
        <v>24</v>
      </c>
      <c r="I3064" t="s">
        <v>169</v>
      </c>
      <c r="L3064" s="1">
        <v>1</v>
      </c>
      <c r="M3064" s="3">
        <v>3.1</v>
      </c>
      <c r="N3064" s="3">
        <v>0.16</v>
      </c>
      <c r="O3064" s="3">
        <v>0</v>
      </c>
      <c r="P3064" s="3">
        <v>0.1</v>
      </c>
      <c r="Q3064" s="3">
        <v>3.36</v>
      </c>
      <c r="R3064" s="3">
        <v>2.2999999999999998</v>
      </c>
      <c r="S3064" s="3">
        <f>VLOOKUP(C3064,[1]page!$C$2:$M$3071,11,0)</f>
        <v>3.1</v>
      </c>
      <c r="T3064" s="6">
        <f t="shared" si="93"/>
        <v>0</v>
      </c>
    </row>
    <row r="3065" spans="1:20" x14ac:dyDescent="0.2">
      <c r="A3065" t="s">
        <v>8904</v>
      </c>
      <c r="B3065" t="s">
        <v>9943</v>
      </c>
      <c r="C3065" t="s">
        <v>9944</v>
      </c>
      <c r="D3065" t="s">
        <v>9942</v>
      </c>
      <c r="E3065" t="s">
        <v>8825</v>
      </c>
      <c r="F3065" t="s">
        <v>5984</v>
      </c>
      <c r="G3065" s="1">
        <v>5</v>
      </c>
      <c r="H3065" s="1">
        <v>4</v>
      </c>
      <c r="I3065" t="s">
        <v>169</v>
      </c>
      <c r="L3065" s="1">
        <v>6</v>
      </c>
      <c r="M3065" s="3">
        <v>13.99</v>
      </c>
      <c r="N3065" s="3">
        <v>0.7</v>
      </c>
      <c r="O3065" s="3">
        <v>0</v>
      </c>
      <c r="P3065" s="3">
        <v>0.6</v>
      </c>
      <c r="Q3065" s="3">
        <v>15.29</v>
      </c>
      <c r="R3065" s="3">
        <v>9.25</v>
      </c>
      <c r="S3065" s="3">
        <f>VLOOKUP(C3065,[1]page!$C$2:$M$3071,11,0)</f>
        <v>13.96</v>
      </c>
      <c r="T3065" s="6">
        <f t="shared" si="93"/>
        <v>2.9999999999999361E-2</v>
      </c>
    </row>
    <row r="3066" spans="1:20" x14ac:dyDescent="0.2">
      <c r="A3066" t="s">
        <v>8904</v>
      </c>
      <c r="B3066" t="s">
        <v>9945</v>
      </c>
      <c r="C3066" t="s">
        <v>9946</v>
      </c>
      <c r="D3066" t="s">
        <v>9942</v>
      </c>
      <c r="E3066" t="s">
        <v>8825</v>
      </c>
      <c r="F3066" t="s">
        <v>5861</v>
      </c>
      <c r="G3066" s="1">
        <v>5</v>
      </c>
      <c r="H3066" s="1">
        <v>2</v>
      </c>
      <c r="I3066" t="s">
        <v>169</v>
      </c>
      <c r="L3066" s="1">
        <v>12</v>
      </c>
      <c r="M3066" s="3">
        <v>27.49</v>
      </c>
      <c r="N3066" s="3">
        <v>1.37</v>
      </c>
      <c r="O3066" s="3">
        <v>0</v>
      </c>
      <c r="P3066" s="3">
        <v>1.2</v>
      </c>
      <c r="Q3066" s="3">
        <v>30.06</v>
      </c>
      <c r="R3066" s="3">
        <f t="shared" ref="R3066:R3067" si="99">SUM(F3066*0.0043)</f>
        <v>18.318000000000001</v>
      </c>
      <c r="S3066" s="3">
        <f>VLOOKUP(C3066,[1]page!$C$2:$M$3071,11,0)</f>
        <v>27.43</v>
      </c>
      <c r="T3066" s="6">
        <f t="shared" si="93"/>
        <v>5.9999999999998721E-2</v>
      </c>
    </row>
    <row r="3067" spans="1:20" x14ac:dyDescent="0.2">
      <c r="A3067" t="s">
        <v>8904</v>
      </c>
      <c r="B3067" t="s">
        <v>9947</v>
      </c>
      <c r="C3067" t="s">
        <v>9948</v>
      </c>
      <c r="D3067" t="s">
        <v>9949</v>
      </c>
      <c r="E3067" t="s">
        <v>8825</v>
      </c>
      <c r="F3067" t="s">
        <v>26</v>
      </c>
      <c r="G3067" s="1">
        <v>5</v>
      </c>
      <c r="H3067" s="1">
        <v>1</v>
      </c>
      <c r="I3067" t="s">
        <v>169</v>
      </c>
      <c r="L3067" s="1">
        <v>24</v>
      </c>
      <c r="M3067" s="3">
        <v>51.88</v>
      </c>
      <c r="N3067" s="3">
        <v>2.59</v>
      </c>
      <c r="O3067" s="3">
        <v>0</v>
      </c>
      <c r="P3067" s="3">
        <v>2.4</v>
      </c>
      <c r="Q3067" s="3">
        <v>56.87</v>
      </c>
      <c r="R3067" s="3">
        <f t="shared" si="99"/>
        <v>36.636000000000003</v>
      </c>
      <c r="S3067" s="3">
        <f>VLOOKUP(C3067,[1]page!$C$2:$M$3071,11,0)</f>
        <v>51.77</v>
      </c>
      <c r="T3067" s="6">
        <f t="shared" si="93"/>
        <v>0.10999999999999943</v>
      </c>
    </row>
    <row r="3068" spans="1:20" x14ac:dyDescent="0.2">
      <c r="A3068" t="s">
        <v>8904</v>
      </c>
      <c r="B3068" t="s">
        <v>9950</v>
      </c>
      <c r="C3068" t="s">
        <v>9951</v>
      </c>
      <c r="D3068" t="s">
        <v>9949</v>
      </c>
      <c r="E3068" t="s">
        <v>8825</v>
      </c>
      <c r="F3068" t="s">
        <v>6060</v>
      </c>
      <c r="G3068" s="1">
        <v>5</v>
      </c>
      <c r="H3068" s="1">
        <v>1</v>
      </c>
      <c r="I3068" t="s">
        <v>169</v>
      </c>
      <c r="L3068" s="1">
        <v>1</v>
      </c>
      <c r="M3068" s="3">
        <v>115.86</v>
      </c>
      <c r="N3068" s="3">
        <v>5.79</v>
      </c>
      <c r="O3068" s="3">
        <v>0</v>
      </c>
      <c r="P3068" s="3">
        <v>0</v>
      </c>
      <c r="Q3068" s="3">
        <v>121.65</v>
      </c>
      <c r="S3068" s="3">
        <f>VLOOKUP(C3068,[1]page!$C$2:$M$3071,11,0)</f>
        <v>115.86</v>
      </c>
      <c r="T3068" s="6">
        <f t="shared" si="93"/>
        <v>0</v>
      </c>
    </row>
    <row r="3069" spans="1:20" x14ac:dyDescent="0.2">
      <c r="A3069" t="s">
        <v>8904</v>
      </c>
      <c r="B3069" t="s">
        <v>9952</v>
      </c>
      <c r="C3069" t="s">
        <v>9953</v>
      </c>
      <c r="D3069" t="s">
        <v>9954</v>
      </c>
      <c r="E3069" t="s">
        <v>8825</v>
      </c>
      <c r="F3069" t="s">
        <v>5861</v>
      </c>
      <c r="G3069" s="1">
        <v>5</v>
      </c>
      <c r="H3069" s="1">
        <v>2</v>
      </c>
      <c r="I3069" t="s">
        <v>169</v>
      </c>
      <c r="L3069" s="1">
        <v>12</v>
      </c>
      <c r="M3069" s="3">
        <v>27.49</v>
      </c>
      <c r="N3069" s="3">
        <v>1.37</v>
      </c>
      <c r="O3069" s="3">
        <v>0</v>
      </c>
      <c r="P3069" s="3">
        <v>1.2</v>
      </c>
      <c r="Q3069" s="3">
        <v>30.06</v>
      </c>
      <c r="R3069" s="3">
        <f t="shared" ref="R3069:R3070" si="100">SUM(F3069*0.0043)</f>
        <v>18.318000000000001</v>
      </c>
      <c r="S3069" s="3">
        <f>VLOOKUP(C3069,[1]page!$C$2:$M$3071,11,0)</f>
        <v>27.43</v>
      </c>
      <c r="T3069" s="6">
        <f t="shared" si="93"/>
        <v>5.9999999999998721E-2</v>
      </c>
    </row>
    <row r="3070" spans="1:20" x14ac:dyDescent="0.2">
      <c r="A3070" t="s">
        <v>8904</v>
      </c>
      <c r="B3070" t="s">
        <v>9955</v>
      </c>
      <c r="C3070" t="s">
        <v>9956</v>
      </c>
      <c r="D3070" t="s">
        <v>9954</v>
      </c>
      <c r="E3070" t="s">
        <v>8825</v>
      </c>
      <c r="F3070" t="s">
        <v>26</v>
      </c>
      <c r="G3070" s="1">
        <v>5</v>
      </c>
      <c r="H3070" s="1">
        <v>1</v>
      </c>
      <c r="I3070" t="s">
        <v>169</v>
      </c>
      <c r="L3070" s="1">
        <v>24</v>
      </c>
      <c r="M3070" s="3">
        <v>51.88</v>
      </c>
      <c r="N3070" s="3">
        <v>2.59</v>
      </c>
      <c r="O3070" s="3">
        <v>0</v>
      </c>
      <c r="P3070" s="3">
        <v>2.4</v>
      </c>
      <c r="Q3070" s="3">
        <v>56.87</v>
      </c>
      <c r="R3070" s="3">
        <f t="shared" si="100"/>
        <v>36.636000000000003</v>
      </c>
      <c r="S3070" s="3">
        <f>VLOOKUP(C3070,[1]page!$C$2:$M$3071,11,0)</f>
        <v>51.77</v>
      </c>
      <c r="T3070" s="6">
        <f t="shared" si="93"/>
        <v>0.10999999999999943</v>
      </c>
    </row>
    <row r="3071" spans="1:20" x14ac:dyDescent="0.2">
      <c r="A3071" t="s">
        <v>8904</v>
      </c>
      <c r="B3071" t="s">
        <v>9957</v>
      </c>
      <c r="C3071" t="s">
        <v>9958</v>
      </c>
      <c r="D3071" t="s">
        <v>9959</v>
      </c>
      <c r="E3071" t="s">
        <v>8825</v>
      </c>
      <c r="F3071" t="s">
        <v>5855</v>
      </c>
      <c r="G3071" s="1">
        <v>5</v>
      </c>
      <c r="H3071" s="1">
        <v>24</v>
      </c>
      <c r="I3071" t="s">
        <v>169</v>
      </c>
      <c r="L3071" s="1">
        <v>1</v>
      </c>
      <c r="M3071" s="3">
        <v>3.1</v>
      </c>
      <c r="N3071" s="3">
        <v>0.16</v>
      </c>
      <c r="O3071" s="3">
        <v>0</v>
      </c>
      <c r="P3071" s="3">
        <v>0.1</v>
      </c>
      <c r="Q3071" s="3">
        <v>3.36</v>
      </c>
      <c r="R3071" s="3">
        <v>2.2999999999999998</v>
      </c>
      <c r="S3071" s="3">
        <f>VLOOKUP(C3071,[1]page!$C$2:$M$3071,11,0)</f>
        <v>3.1</v>
      </c>
      <c r="T3071" s="6">
        <f t="shared" si="93"/>
        <v>0</v>
      </c>
    </row>
    <row r="3072" spans="1:20" x14ac:dyDescent="0.2">
      <c r="A3072" t="s">
        <v>8904</v>
      </c>
      <c r="B3072" t="s">
        <v>9960</v>
      </c>
      <c r="C3072" t="s">
        <v>9961</v>
      </c>
      <c r="D3072" t="s">
        <v>9959</v>
      </c>
      <c r="E3072" t="s">
        <v>8825</v>
      </c>
      <c r="F3072" t="s">
        <v>5984</v>
      </c>
      <c r="G3072" s="1">
        <v>5</v>
      </c>
      <c r="H3072" s="1">
        <v>4</v>
      </c>
      <c r="I3072" t="s">
        <v>169</v>
      </c>
      <c r="L3072" s="1">
        <v>6</v>
      </c>
      <c r="M3072" s="3">
        <v>13.99</v>
      </c>
      <c r="N3072" s="3">
        <v>0.7</v>
      </c>
      <c r="O3072" s="3">
        <v>0</v>
      </c>
      <c r="P3072" s="3">
        <v>0.6</v>
      </c>
      <c r="Q3072" s="3">
        <v>15.29</v>
      </c>
      <c r="R3072" s="3">
        <v>9.25</v>
      </c>
      <c r="S3072" s="3">
        <f>VLOOKUP(C3072,[1]page!$C$2:$M$3071,11,0)</f>
        <v>13.96</v>
      </c>
      <c r="T3072" s="6">
        <f t="shared" si="93"/>
        <v>2.9999999999999361E-2</v>
      </c>
    </row>
    <row r="3073" spans="1:20" x14ac:dyDescent="0.2">
      <c r="A3073" t="s">
        <v>8904</v>
      </c>
      <c r="B3073" t="s">
        <v>9962</v>
      </c>
      <c r="C3073" t="s">
        <v>9963</v>
      </c>
      <c r="D3073" t="s">
        <v>9964</v>
      </c>
      <c r="E3073" t="s">
        <v>8825</v>
      </c>
      <c r="F3073" t="s">
        <v>5855</v>
      </c>
      <c r="G3073" s="1">
        <v>5</v>
      </c>
      <c r="H3073" s="1">
        <v>24</v>
      </c>
      <c r="I3073" t="s">
        <v>169</v>
      </c>
      <c r="L3073" s="1">
        <v>1</v>
      </c>
      <c r="M3073" s="3">
        <v>3.1</v>
      </c>
      <c r="N3073" s="3">
        <v>0.16</v>
      </c>
      <c r="O3073" s="3">
        <v>0</v>
      </c>
      <c r="P3073" s="3">
        <v>0.1</v>
      </c>
      <c r="Q3073" s="3">
        <v>3.36</v>
      </c>
      <c r="R3073" s="3">
        <v>2.2999999999999998</v>
      </c>
      <c r="S3073" s="3">
        <f>VLOOKUP(C3073,[1]page!$C$2:$M$3071,11,0)</f>
        <v>3.1</v>
      </c>
      <c r="T3073" s="6">
        <f t="shared" si="93"/>
        <v>0</v>
      </c>
    </row>
    <row r="3074" spans="1:20" x14ac:dyDescent="0.2">
      <c r="A3074" t="s">
        <v>8904</v>
      </c>
      <c r="B3074" t="s">
        <v>9965</v>
      </c>
      <c r="C3074" t="s">
        <v>9966</v>
      </c>
      <c r="D3074" t="s">
        <v>9967</v>
      </c>
      <c r="E3074" t="s">
        <v>8825</v>
      </c>
      <c r="F3074" t="s">
        <v>5855</v>
      </c>
      <c r="G3074" s="1">
        <v>5</v>
      </c>
      <c r="H3074" s="1">
        <v>24</v>
      </c>
      <c r="I3074" t="s">
        <v>169</v>
      </c>
      <c r="L3074" s="1">
        <v>1</v>
      </c>
      <c r="M3074" s="3">
        <v>3.1</v>
      </c>
      <c r="N3074" s="3">
        <v>0.16</v>
      </c>
      <c r="O3074" s="3">
        <v>0</v>
      </c>
      <c r="P3074" s="3">
        <v>0.1</v>
      </c>
      <c r="Q3074" s="3">
        <v>3.36</v>
      </c>
      <c r="R3074" s="3">
        <v>2.2999999999999998</v>
      </c>
      <c r="S3074" s="3">
        <f>VLOOKUP(C3074,[1]page!$C$2:$M$3071,11,0)</f>
        <v>3.1</v>
      </c>
      <c r="T3074" s="6">
        <f t="shared" si="93"/>
        <v>0</v>
      </c>
    </row>
    <row r="3075" spans="1:20" x14ac:dyDescent="0.2">
      <c r="A3075" t="s">
        <v>8904</v>
      </c>
      <c r="B3075" t="s">
        <v>9968</v>
      </c>
      <c r="C3075" t="s">
        <v>9969</v>
      </c>
      <c r="D3075" t="s">
        <v>9967</v>
      </c>
      <c r="E3075" t="s">
        <v>8825</v>
      </c>
      <c r="F3075" t="s">
        <v>5861</v>
      </c>
      <c r="G3075" s="1">
        <v>5</v>
      </c>
      <c r="H3075" s="1">
        <v>2</v>
      </c>
      <c r="I3075" t="s">
        <v>169</v>
      </c>
      <c r="L3075" s="1">
        <v>12</v>
      </c>
      <c r="M3075" s="3">
        <v>28.13</v>
      </c>
      <c r="N3075" s="3">
        <v>1.41</v>
      </c>
      <c r="O3075" s="3">
        <v>0</v>
      </c>
      <c r="P3075" s="3">
        <v>1.2</v>
      </c>
      <c r="Q3075" s="3">
        <v>30.74</v>
      </c>
      <c r="R3075" s="3">
        <f t="shared" ref="R3075:R3076" si="101">SUM(F3075*0.0043)</f>
        <v>18.318000000000001</v>
      </c>
      <c r="S3075" s="3">
        <f>VLOOKUP(C3075,[1]page!$C$2:$M$3071,11,0)</f>
        <v>28.08</v>
      </c>
      <c r="T3075" s="6">
        <f t="shared" si="93"/>
        <v>5.0000000000000711E-2</v>
      </c>
    </row>
    <row r="3076" spans="1:20" x14ac:dyDescent="0.2">
      <c r="A3076" t="s">
        <v>8904</v>
      </c>
      <c r="B3076" t="s">
        <v>9970</v>
      </c>
      <c r="C3076" t="s">
        <v>9971</v>
      </c>
      <c r="D3076" t="s">
        <v>9972</v>
      </c>
      <c r="E3076" t="s">
        <v>8825</v>
      </c>
      <c r="F3076" t="s">
        <v>5861</v>
      </c>
      <c r="G3076" s="1">
        <v>5</v>
      </c>
      <c r="H3076" s="1">
        <v>2</v>
      </c>
      <c r="I3076" t="s">
        <v>169</v>
      </c>
      <c r="L3076" s="1">
        <v>12</v>
      </c>
      <c r="M3076" s="3">
        <v>27.49</v>
      </c>
      <c r="N3076" s="3">
        <v>1.37</v>
      </c>
      <c r="O3076" s="3">
        <v>0</v>
      </c>
      <c r="P3076" s="3">
        <v>1.2</v>
      </c>
      <c r="Q3076" s="3">
        <v>30.06</v>
      </c>
      <c r="R3076" s="3">
        <f t="shared" si="101"/>
        <v>18.318000000000001</v>
      </c>
      <c r="S3076" s="3">
        <f>VLOOKUP(C3076,[1]page!$C$2:$M$3071,11,0)</f>
        <v>27.43</v>
      </c>
      <c r="T3076" s="6">
        <f t="shared" si="93"/>
        <v>5.9999999999998721E-2</v>
      </c>
    </row>
    <row r="3077" spans="1:20" x14ac:dyDescent="0.2">
      <c r="A3077" t="s">
        <v>8904</v>
      </c>
      <c r="B3077" t="s">
        <v>9973</v>
      </c>
      <c r="C3077" t="s">
        <v>9974</v>
      </c>
      <c r="D3077" t="s">
        <v>9975</v>
      </c>
      <c r="E3077" t="s">
        <v>2177</v>
      </c>
      <c r="F3077" t="s">
        <v>9976</v>
      </c>
      <c r="G3077" s="1">
        <v>5</v>
      </c>
      <c r="H3077" s="1">
        <v>6</v>
      </c>
      <c r="I3077" t="s">
        <v>2179</v>
      </c>
      <c r="L3077" s="1">
        <v>4</v>
      </c>
      <c r="M3077" s="3">
        <v>13.51</v>
      </c>
      <c r="N3077" s="3">
        <v>0.68</v>
      </c>
      <c r="O3077" s="3">
        <v>0</v>
      </c>
      <c r="P3077" s="3">
        <v>0.4</v>
      </c>
      <c r="Q3077" s="3">
        <v>14.59</v>
      </c>
      <c r="R3077" s="3">
        <v>5.9</v>
      </c>
      <c r="S3077" s="3">
        <f>VLOOKUP(C3077,[1]page!$C$2:$M$3071,11,0)</f>
        <v>13.49</v>
      </c>
      <c r="T3077" s="6">
        <f t="shared" si="93"/>
        <v>1.9999999999999574E-2</v>
      </c>
    </row>
    <row r="3078" spans="1:20" x14ac:dyDescent="0.2">
      <c r="A3078" t="s">
        <v>8904</v>
      </c>
      <c r="B3078" t="s">
        <v>9977</v>
      </c>
      <c r="C3078" t="s">
        <v>9978</v>
      </c>
      <c r="D3078" t="s">
        <v>9979</v>
      </c>
      <c r="E3078" t="s">
        <v>2177</v>
      </c>
      <c r="F3078" t="s">
        <v>9976</v>
      </c>
      <c r="G3078" s="1">
        <v>5</v>
      </c>
      <c r="H3078" s="1">
        <v>6</v>
      </c>
      <c r="I3078" t="s">
        <v>2179</v>
      </c>
      <c r="L3078" s="1">
        <v>4</v>
      </c>
      <c r="M3078" s="3">
        <v>13.51</v>
      </c>
      <c r="N3078" s="3">
        <v>0.68</v>
      </c>
      <c r="O3078" s="3">
        <v>0</v>
      </c>
      <c r="P3078" s="3">
        <v>0.4</v>
      </c>
      <c r="Q3078" s="3">
        <v>14.59</v>
      </c>
      <c r="R3078" s="3">
        <v>5.9</v>
      </c>
      <c r="S3078" s="3">
        <f>VLOOKUP(C3078,[1]page!$C$2:$M$3071,11,0)</f>
        <v>13.49</v>
      </c>
      <c r="T3078" s="6">
        <f t="shared" si="93"/>
        <v>1.9999999999999574E-2</v>
      </c>
    </row>
    <row r="3079" spans="1:20" x14ac:dyDescent="0.2">
      <c r="A3079" t="s">
        <v>8904</v>
      </c>
      <c r="B3079" t="s">
        <v>9980</v>
      </c>
      <c r="C3079" t="s">
        <v>9981</v>
      </c>
      <c r="D3079" t="s">
        <v>9982</v>
      </c>
      <c r="E3079" t="s">
        <v>2177</v>
      </c>
      <c r="F3079" t="s">
        <v>9976</v>
      </c>
      <c r="G3079" s="1">
        <v>5</v>
      </c>
      <c r="H3079" s="1">
        <v>6</v>
      </c>
      <c r="I3079" t="s">
        <v>2179</v>
      </c>
      <c r="L3079" s="1">
        <v>4</v>
      </c>
      <c r="M3079" s="3">
        <v>13.51</v>
      </c>
      <c r="N3079" s="3">
        <v>0.68</v>
      </c>
      <c r="O3079" s="3">
        <v>0</v>
      </c>
      <c r="P3079" s="3">
        <v>0.4</v>
      </c>
      <c r="Q3079" s="3">
        <v>14.59</v>
      </c>
      <c r="R3079" s="3">
        <v>5.9</v>
      </c>
      <c r="S3079" s="3">
        <f>VLOOKUP(C3079,[1]page!$C$2:$M$3071,11,0)</f>
        <v>13.49</v>
      </c>
      <c r="T3079" s="6">
        <f t="shared" si="93"/>
        <v>1.9999999999999574E-2</v>
      </c>
    </row>
    <row r="3080" spans="1:20" x14ac:dyDescent="0.2">
      <c r="A3080" t="s">
        <v>8904</v>
      </c>
      <c r="B3080" t="s">
        <v>9983</v>
      </c>
      <c r="C3080" t="s">
        <v>9984</v>
      </c>
      <c r="D3080" t="s">
        <v>9985</v>
      </c>
      <c r="E3080" t="s">
        <v>2177</v>
      </c>
      <c r="F3080" t="s">
        <v>9976</v>
      </c>
      <c r="G3080" s="1">
        <v>5</v>
      </c>
      <c r="H3080" s="1">
        <v>6</v>
      </c>
      <c r="I3080" t="s">
        <v>2179</v>
      </c>
      <c r="L3080" s="1">
        <v>4</v>
      </c>
      <c r="M3080" s="3">
        <v>13.51</v>
      </c>
      <c r="N3080" s="3">
        <v>0.68</v>
      </c>
      <c r="O3080" s="3">
        <v>0</v>
      </c>
      <c r="P3080" s="3">
        <v>0.4</v>
      </c>
      <c r="Q3080" s="3">
        <v>14.59</v>
      </c>
      <c r="R3080" s="3">
        <v>5.9</v>
      </c>
      <c r="S3080" s="3">
        <f>VLOOKUP(C3080,[1]page!$C$2:$M$3071,11,0)</f>
        <v>13.49</v>
      </c>
      <c r="T3080" s="6">
        <f t="shared" si="93"/>
        <v>1.9999999999999574E-2</v>
      </c>
    </row>
    <row r="3081" spans="1:20" x14ac:dyDescent="0.2">
      <c r="A3081" t="s">
        <v>8904</v>
      </c>
      <c r="B3081" t="s">
        <v>9986</v>
      </c>
      <c r="C3081" t="s">
        <v>9987</v>
      </c>
      <c r="D3081" t="s">
        <v>9988</v>
      </c>
      <c r="E3081" t="s">
        <v>9989</v>
      </c>
      <c r="F3081" t="s">
        <v>5861</v>
      </c>
      <c r="G3081" s="1">
        <v>5</v>
      </c>
      <c r="H3081" s="1">
        <v>2</v>
      </c>
      <c r="I3081" t="s">
        <v>9990</v>
      </c>
      <c r="L3081" s="1">
        <v>12</v>
      </c>
      <c r="M3081" s="3">
        <v>27.49</v>
      </c>
      <c r="N3081" s="3">
        <v>1.37</v>
      </c>
      <c r="O3081" s="3">
        <v>0</v>
      </c>
      <c r="P3081" s="3">
        <v>1.2</v>
      </c>
      <c r="Q3081" s="3">
        <v>30.06</v>
      </c>
      <c r="R3081" s="3">
        <f t="shared" ref="R3081:R3082" si="102">SUM(F3081*0.0043)</f>
        <v>18.318000000000001</v>
      </c>
      <c r="S3081" s="3">
        <f>VLOOKUP(C3081,[1]page!$C$2:$M$3071,11,0)</f>
        <v>27.49</v>
      </c>
      <c r="T3081" s="6">
        <f t="shared" si="93"/>
        <v>0</v>
      </c>
    </row>
    <row r="3082" spans="1:20" x14ac:dyDescent="0.2">
      <c r="A3082" t="s">
        <v>8904</v>
      </c>
      <c r="B3082" t="s">
        <v>9991</v>
      </c>
      <c r="C3082" t="s">
        <v>9992</v>
      </c>
      <c r="D3082" t="s">
        <v>9993</v>
      </c>
      <c r="E3082" t="s">
        <v>2980</v>
      </c>
      <c r="F3082" t="s">
        <v>5861</v>
      </c>
      <c r="G3082" s="1">
        <v>5</v>
      </c>
      <c r="H3082" s="1">
        <v>2</v>
      </c>
      <c r="I3082" t="s">
        <v>57</v>
      </c>
      <c r="L3082" s="1">
        <v>12</v>
      </c>
      <c r="M3082" s="3">
        <v>27.39</v>
      </c>
      <c r="N3082" s="3">
        <v>1.37</v>
      </c>
      <c r="O3082" s="3">
        <v>0</v>
      </c>
      <c r="P3082" s="3">
        <v>1.2</v>
      </c>
      <c r="Q3082" s="3">
        <v>29.96</v>
      </c>
      <c r="R3082" s="3">
        <f t="shared" si="102"/>
        <v>18.318000000000001</v>
      </c>
      <c r="S3082" s="3">
        <f>VLOOKUP(C3082,[1]page!$C$2:$M$3071,11,0)</f>
        <v>27.33</v>
      </c>
      <c r="T3082" s="6">
        <f t="shared" si="93"/>
        <v>6.0000000000002274E-2</v>
      </c>
    </row>
    <row r="3083" spans="1:20" x14ac:dyDescent="0.2">
      <c r="A3083" t="s">
        <v>8904</v>
      </c>
      <c r="B3083" t="s">
        <v>9994</v>
      </c>
      <c r="C3083" t="s">
        <v>9995</v>
      </c>
      <c r="D3083" t="s">
        <v>9996</v>
      </c>
      <c r="E3083" t="s">
        <v>2881</v>
      </c>
      <c r="F3083" t="s">
        <v>5855</v>
      </c>
      <c r="G3083" s="1">
        <v>5</v>
      </c>
      <c r="H3083" s="1">
        <v>24</v>
      </c>
      <c r="I3083" t="s">
        <v>57</v>
      </c>
      <c r="L3083" s="1">
        <v>1</v>
      </c>
      <c r="M3083" s="3">
        <v>3.12</v>
      </c>
      <c r="N3083" s="3">
        <v>0.16</v>
      </c>
      <c r="O3083" s="3">
        <v>0</v>
      </c>
      <c r="P3083" s="3">
        <v>0.1</v>
      </c>
      <c r="Q3083" s="3">
        <v>3.38</v>
      </c>
      <c r="R3083" s="3">
        <v>2.2999999999999998</v>
      </c>
      <c r="S3083" s="3">
        <f>VLOOKUP(C3083,[1]page!$C$2:$M$3071,11,0)</f>
        <v>3.11</v>
      </c>
      <c r="T3083" s="6">
        <f t="shared" si="93"/>
        <v>1.0000000000000231E-2</v>
      </c>
    </row>
    <row r="3084" spans="1:20" x14ac:dyDescent="0.2">
      <c r="A3084" t="s">
        <v>8904</v>
      </c>
      <c r="B3084" t="s">
        <v>9997</v>
      </c>
      <c r="C3084" t="s">
        <v>9998</v>
      </c>
      <c r="D3084" t="s">
        <v>9996</v>
      </c>
      <c r="E3084" t="s">
        <v>2881</v>
      </c>
      <c r="F3084" t="s">
        <v>5984</v>
      </c>
      <c r="G3084" s="1">
        <v>5</v>
      </c>
      <c r="H3084" s="1">
        <v>4</v>
      </c>
      <c r="I3084" t="s">
        <v>57</v>
      </c>
      <c r="L3084" s="1">
        <v>6</v>
      </c>
      <c r="M3084" s="3">
        <v>14.3</v>
      </c>
      <c r="N3084" s="3">
        <v>0.72</v>
      </c>
      <c r="O3084" s="3">
        <v>0</v>
      </c>
      <c r="P3084" s="3">
        <v>0.6</v>
      </c>
      <c r="Q3084" s="3">
        <v>15.62</v>
      </c>
      <c r="R3084" s="3">
        <v>9.25</v>
      </c>
      <c r="S3084" s="3">
        <f>VLOOKUP(C3084,[1]page!$C$2:$M$3071,11,0)</f>
        <v>14.27</v>
      </c>
      <c r="T3084" s="6">
        <f t="shared" si="93"/>
        <v>3.0000000000001137E-2</v>
      </c>
    </row>
    <row r="3085" spans="1:20" x14ac:dyDescent="0.2">
      <c r="A3085" t="s">
        <v>8904</v>
      </c>
      <c r="B3085" t="s">
        <v>9999</v>
      </c>
      <c r="C3085" t="s">
        <v>10000</v>
      </c>
      <c r="D3085" t="s">
        <v>10001</v>
      </c>
      <c r="E3085" t="s">
        <v>2980</v>
      </c>
      <c r="F3085" t="s">
        <v>5984</v>
      </c>
      <c r="G3085" s="1">
        <v>5</v>
      </c>
      <c r="H3085" s="1">
        <v>4</v>
      </c>
      <c r="I3085" t="s">
        <v>57</v>
      </c>
      <c r="L3085" s="1">
        <v>6</v>
      </c>
      <c r="M3085" s="3">
        <v>14.3</v>
      </c>
      <c r="N3085" s="3">
        <v>0.72</v>
      </c>
      <c r="O3085" s="3">
        <v>0</v>
      </c>
      <c r="P3085" s="3">
        <v>0.6</v>
      </c>
      <c r="Q3085" s="3">
        <v>15.62</v>
      </c>
      <c r="R3085" s="3">
        <v>9.25</v>
      </c>
      <c r="S3085" s="3">
        <f>VLOOKUP(C3085,[1]page!$C$2:$M$3071,11,0)</f>
        <v>14.27</v>
      </c>
      <c r="T3085" s="6">
        <f t="shared" si="93"/>
        <v>3.0000000000001137E-2</v>
      </c>
    </row>
    <row r="3086" spans="1:20" x14ac:dyDescent="0.2">
      <c r="A3086" t="s">
        <v>8904</v>
      </c>
      <c r="B3086" t="s">
        <v>10002</v>
      </c>
      <c r="C3086" t="s">
        <v>10003</v>
      </c>
      <c r="D3086" t="s">
        <v>10004</v>
      </c>
      <c r="E3086" t="s">
        <v>2980</v>
      </c>
      <c r="F3086" t="s">
        <v>5861</v>
      </c>
      <c r="G3086" s="1">
        <v>7</v>
      </c>
      <c r="H3086" s="1">
        <v>2</v>
      </c>
      <c r="I3086" t="s">
        <v>57</v>
      </c>
      <c r="L3086" s="1">
        <v>12</v>
      </c>
      <c r="M3086" s="3">
        <v>29.38</v>
      </c>
      <c r="N3086" s="3">
        <v>1.47</v>
      </c>
      <c r="O3086" s="3">
        <v>0</v>
      </c>
      <c r="P3086" s="3">
        <v>1.2</v>
      </c>
      <c r="Q3086" s="3">
        <v>32.049999999999997</v>
      </c>
      <c r="R3086" s="3">
        <f>SUM(F3086*0.0051)</f>
        <v>21.726000000000003</v>
      </c>
      <c r="S3086" s="3" t="e">
        <f>VLOOKUP(C3086,[1]page!$C$2:$M$3071,11,0)</f>
        <v>#N/A</v>
      </c>
      <c r="T3086" s="6" t="e">
        <f t="shared" si="93"/>
        <v>#N/A</v>
      </c>
    </row>
    <row r="3087" spans="1:20" x14ac:dyDescent="0.2">
      <c r="A3087" t="s">
        <v>8904</v>
      </c>
      <c r="B3087" t="s">
        <v>10005</v>
      </c>
      <c r="C3087" t="s">
        <v>10006</v>
      </c>
      <c r="D3087" t="s">
        <v>10007</v>
      </c>
      <c r="E3087" t="s">
        <v>2881</v>
      </c>
      <c r="F3087" t="s">
        <v>7091</v>
      </c>
      <c r="G3087" s="1">
        <v>5</v>
      </c>
      <c r="H3087" s="1">
        <v>3</v>
      </c>
      <c r="I3087" t="s">
        <v>57</v>
      </c>
      <c r="L3087" s="1">
        <v>8</v>
      </c>
      <c r="M3087" s="3">
        <v>23.24</v>
      </c>
      <c r="N3087" s="3">
        <v>1.1599999999999999</v>
      </c>
      <c r="O3087" s="3">
        <v>0</v>
      </c>
      <c r="P3087" s="3">
        <v>0.8</v>
      </c>
      <c r="Q3087" s="3">
        <v>25.2</v>
      </c>
      <c r="R3087" s="3">
        <v>17.149999999999999</v>
      </c>
      <c r="S3087" s="3">
        <f>VLOOKUP(C3087,[1]page!$C$2:$M$3071,11,0)</f>
        <v>23.2</v>
      </c>
      <c r="T3087" s="6">
        <f t="shared" si="93"/>
        <v>3.9999999999999147E-2</v>
      </c>
    </row>
    <row r="3088" spans="1:20" x14ac:dyDescent="0.2">
      <c r="A3088" t="s">
        <v>8904</v>
      </c>
      <c r="B3088" t="s">
        <v>10008</v>
      </c>
      <c r="C3088" t="s">
        <v>10009</v>
      </c>
      <c r="D3088" t="s">
        <v>10010</v>
      </c>
      <c r="E3088" t="s">
        <v>2980</v>
      </c>
      <c r="F3088" t="s">
        <v>5855</v>
      </c>
      <c r="G3088" s="1">
        <v>5</v>
      </c>
      <c r="H3088" s="1">
        <v>24</v>
      </c>
      <c r="I3088" t="s">
        <v>57</v>
      </c>
      <c r="L3088" s="1">
        <v>1</v>
      </c>
      <c r="M3088" s="3">
        <v>3.12</v>
      </c>
      <c r="N3088" s="3">
        <v>0.16</v>
      </c>
      <c r="O3088" s="3">
        <v>0</v>
      </c>
      <c r="P3088" s="3">
        <v>0.1</v>
      </c>
      <c r="Q3088" s="3">
        <v>3.38</v>
      </c>
      <c r="R3088" s="3">
        <v>2.2999999999999998</v>
      </c>
      <c r="S3088" s="3" t="e">
        <f>VLOOKUP(C3088,[1]page!$C$2:$M$3071,11,0)</f>
        <v>#N/A</v>
      </c>
      <c r="T3088" s="6" t="e">
        <f t="shared" si="93"/>
        <v>#N/A</v>
      </c>
    </row>
    <row r="3089" spans="1:20" x14ac:dyDescent="0.2">
      <c r="A3089" t="s">
        <v>8904</v>
      </c>
      <c r="B3089" t="s">
        <v>10011</v>
      </c>
      <c r="C3089" t="s">
        <v>10012</v>
      </c>
      <c r="D3089" t="s">
        <v>10013</v>
      </c>
      <c r="E3089" t="s">
        <v>2881</v>
      </c>
      <c r="F3089" t="s">
        <v>5855</v>
      </c>
      <c r="G3089" s="1">
        <v>5</v>
      </c>
      <c r="H3089" s="1">
        <v>24</v>
      </c>
      <c r="I3089" t="s">
        <v>57</v>
      </c>
      <c r="L3089" s="1">
        <v>1</v>
      </c>
      <c r="M3089" s="3">
        <v>3.12</v>
      </c>
      <c r="N3089" s="3">
        <v>0.16</v>
      </c>
      <c r="O3089" s="3">
        <v>0</v>
      </c>
      <c r="P3089" s="3">
        <v>0.1</v>
      </c>
      <c r="Q3089" s="3">
        <v>3.38</v>
      </c>
      <c r="R3089" s="3">
        <v>2.2999999999999998</v>
      </c>
      <c r="S3089" s="3">
        <f>VLOOKUP(C3089,[1]page!$C$2:$M$3071,11,0)</f>
        <v>3.11</v>
      </c>
      <c r="T3089" s="6">
        <f t="shared" si="93"/>
        <v>1.0000000000000231E-2</v>
      </c>
    </row>
    <row r="3090" spans="1:20" x14ac:dyDescent="0.2">
      <c r="A3090" t="s">
        <v>8904</v>
      </c>
      <c r="B3090" t="s">
        <v>10014</v>
      </c>
      <c r="C3090" t="s">
        <v>10015</v>
      </c>
      <c r="D3090" t="s">
        <v>10016</v>
      </c>
      <c r="E3090" t="s">
        <v>2881</v>
      </c>
      <c r="F3090" t="s">
        <v>5855</v>
      </c>
      <c r="G3090" s="1">
        <v>5</v>
      </c>
      <c r="H3090" s="1">
        <v>24</v>
      </c>
      <c r="I3090" t="s">
        <v>57</v>
      </c>
      <c r="L3090" s="1">
        <v>1</v>
      </c>
      <c r="M3090" s="3">
        <v>3.12</v>
      </c>
      <c r="N3090" s="3">
        <v>0.16</v>
      </c>
      <c r="O3090" s="3">
        <v>0</v>
      </c>
      <c r="P3090" s="3">
        <v>0.1</v>
      </c>
      <c r="Q3090" s="3">
        <v>3.38</v>
      </c>
      <c r="R3090" s="3">
        <v>2.2999999999999998</v>
      </c>
      <c r="S3090" s="3">
        <f>VLOOKUP(C3090,[1]page!$C$2:$M$3071,11,0)</f>
        <v>3.11</v>
      </c>
      <c r="T3090" s="6">
        <f t="shared" si="93"/>
        <v>1.0000000000000231E-2</v>
      </c>
    </row>
    <row r="3091" spans="1:20" x14ac:dyDescent="0.2">
      <c r="A3091" t="s">
        <v>8904</v>
      </c>
      <c r="B3091" t="s">
        <v>10017</v>
      </c>
      <c r="C3091" t="s">
        <v>10018</v>
      </c>
      <c r="D3091" t="s">
        <v>10016</v>
      </c>
      <c r="E3091" t="s">
        <v>2881</v>
      </c>
      <c r="F3091" t="s">
        <v>5984</v>
      </c>
      <c r="G3091" s="1">
        <v>5</v>
      </c>
      <c r="H3091" s="1">
        <v>4</v>
      </c>
      <c r="I3091" t="s">
        <v>57</v>
      </c>
      <c r="L3091" s="1">
        <v>6</v>
      </c>
      <c r="M3091" s="3">
        <v>14.3</v>
      </c>
      <c r="N3091" s="3">
        <v>0.72</v>
      </c>
      <c r="O3091" s="3">
        <v>0</v>
      </c>
      <c r="P3091" s="3">
        <v>0.6</v>
      </c>
      <c r="Q3091" s="3">
        <v>15.62</v>
      </c>
      <c r="R3091" s="3">
        <v>9.25</v>
      </c>
      <c r="S3091" s="3">
        <f>VLOOKUP(C3091,[1]page!$C$2:$M$3071,11,0)</f>
        <v>14.27</v>
      </c>
      <c r="T3091" s="6">
        <f t="shared" si="93"/>
        <v>3.0000000000001137E-2</v>
      </c>
    </row>
    <row r="3092" spans="1:20" x14ac:dyDescent="0.2">
      <c r="A3092" t="s">
        <v>8904</v>
      </c>
      <c r="B3092" t="s">
        <v>10019</v>
      </c>
      <c r="C3092" t="s">
        <v>10020</v>
      </c>
      <c r="D3092" t="s">
        <v>10021</v>
      </c>
      <c r="E3092" t="s">
        <v>2881</v>
      </c>
      <c r="F3092" t="s">
        <v>5984</v>
      </c>
      <c r="G3092" s="1">
        <v>5</v>
      </c>
      <c r="H3092" s="1">
        <v>4</v>
      </c>
      <c r="I3092" t="s">
        <v>57</v>
      </c>
      <c r="L3092" s="1">
        <v>6</v>
      </c>
      <c r="M3092" s="3">
        <v>14.3</v>
      </c>
      <c r="N3092" s="3">
        <v>0.72</v>
      </c>
      <c r="O3092" s="3">
        <v>0</v>
      </c>
      <c r="P3092" s="3">
        <v>0.6</v>
      </c>
      <c r="Q3092" s="3">
        <v>15.62</v>
      </c>
      <c r="R3092" s="3">
        <v>9.25</v>
      </c>
      <c r="S3092" s="3">
        <f>VLOOKUP(C3092,[1]page!$C$2:$M$3071,11,0)</f>
        <v>14.27</v>
      </c>
      <c r="T3092" s="6">
        <f t="shared" si="93"/>
        <v>3.0000000000001137E-2</v>
      </c>
    </row>
    <row r="3093" spans="1:20" x14ac:dyDescent="0.2">
      <c r="A3093" t="s">
        <v>8904</v>
      </c>
      <c r="B3093" t="s">
        <v>10022</v>
      </c>
      <c r="C3093" t="s">
        <v>10023</v>
      </c>
      <c r="D3093" t="s">
        <v>10024</v>
      </c>
      <c r="E3093" t="s">
        <v>2881</v>
      </c>
      <c r="F3093" t="s">
        <v>5984</v>
      </c>
      <c r="G3093" s="1">
        <v>5</v>
      </c>
      <c r="H3093" s="1">
        <v>4</v>
      </c>
      <c r="I3093" t="s">
        <v>57</v>
      </c>
      <c r="L3093" s="1">
        <v>6</v>
      </c>
      <c r="M3093" s="3">
        <v>14.3</v>
      </c>
      <c r="N3093" s="3">
        <v>0.72</v>
      </c>
      <c r="O3093" s="3">
        <v>0</v>
      </c>
      <c r="P3093" s="3">
        <v>0.6</v>
      </c>
      <c r="Q3093" s="3">
        <v>15.62</v>
      </c>
      <c r="R3093" s="3">
        <v>9.25</v>
      </c>
      <c r="S3093" s="3">
        <f>VLOOKUP(C3093,[1]page!$C$2:$M$3071,11,0)</f>
        <v>14.27</v>
      </c>
      <c r="T3093" s="6">
        <f t="shared" si="93"/>
        <v>3.0000000000001137E-2</v>
      </c>
    </row>
    <row r="3094" spans="1:20" x14ac:dyDescent="0.2">
      <c r="A3094" t="s">
        <v>8904</v>
      </c>
      <c r="B3094" t="s">
        <v>10025</v>
      </c>
      <c r="C3094" t="s">
        <v>10026</v>
      </c>
      <c r="D3094" t="s">
        <v>10027</v>
      </c>
      <c r="E3094" t="s">
        <v>2980</v>
      </c>
      <c r="F3094" t="s">
        <v>5984</v>
      </c>
      <c r="G3094" s="1">
        <v>5</v>
      </c>
      <c r="H3094" s="1">
        <v>4</v>
      </c>
      <c r="I3094" t="s">
        <v>57</v>
      </c>
      <c r="L3094" s="1">
        <v>6</v>
      </c>
      <c r="M3094" s="3">
        <v>14.3</v>
      </c>
      <c r="N3094" s="3">
        <v>0.72</v>
      </c>
      <c r="O3094" s="3">
        <v>0</v>
      </c>
      <c r="P3094" s="3">
        <v>0.6</v>
      </c>
      <c r="Q3094" s="3">
        <v>15.62</v>
      </c>
      <c r="R3094" s="3">
        <v>9.25</v>
      </c>
      <c r="S3094" s="3">
        <f>VLOOKUP(C3094,[1]page!$C$2:$M$3071,11,0)</f>
        <v>14.27</v>
      </c>
      <c r="T3094" s="6">
        <f t="shared" si="93"/>
        <v>3.0000000000001137E-2</v>
      </c>
    </row>
    <row r="3095" spans="1:20" x14ac:dyDescent="0.2">
      <c r="A3095" t="s">
        <v>8904</v>
      </c>
      <c r="B3095" t="s">
        <v>10028</v>
      </c>
      <c r="C3095" t="s">
        <v>10029</v>
      </c>
      <c r="D3095" t="s">
        <v>10030</v>
      </c>
      <c r="E3095" t="s">
        <v>2980</v>
      </c>
      <c r="F3095" t="s">
        <v>5855</v>
      </c>
      <c r="G3095" s="1">
        <v>7</v>
      </c>
      <c r="H3095" s="1">
        <v>24</v>
      </c>
      <c r="I3095" t="s">
        <v>57</v>
      </c>
      <c r="L3095" s="1">
        <v>1</v>
      </c>
      <c r="M3095" s="3">
        <v>3.42</v>
      </c>
      <c r="N3095" s="3">
        <v>0.17</v>
      </c>
      <c r="O3095" s="3">
        <v>0</v>
      </c>
      <c r="P3095" s="3">
        <v>0.1</v>
      </c>
      <c r="Q3095" s="3">
        <v>3.69</v>
      </c>
      <c r="R3095" s="3">
        <v>2.7</v>
      </c>
      <c r="S3095" s="3">
        <f>VLOOKUP(C3095,[1]page!$C$2:$M$3071,11,0)</f>
        <v>3.41</v>
      </c>
      <c r="T3095" s="6">
        <f t="shared" si="93"/>
        <v>9.9999999999997868E-3</v>
      </c>
    </row>
    <row r="3096" spans="1:20" x14ac:dyDescent="0.2">
      <c r="A3096" t="s">
        <v>8904</v>
      </c>
      <c r="B3096" t="s">
        <v>10031</v>
      </c>
      <c r="C3096" t="s">
        <v>10032</v>
      </c>
      <c r="D3096" t="s">
        <v>10033</v>
      </c>
      <c r="E3096" t="s">
        <v>2980</v>
      </c>
      <c r="F3096" t="s">
        <v>5861</v>
      </c>
      <c r="G3096" s="1">
        <v>7</v>
      </c>
      <c r="H3096" s="1">
        <v>2</v>
      </c>
      <c r="I3096" t="s">
        <v>57</v>
      </c>
      <c r="L3096" s="1">
        <v>12</v>
      </c>
      <c r="M3096" s="3">
        <v>27.39</v>
      </c>
      <c r="N3096" s="3">
        <v>1.37</v>
      </c>
      <c r="O3096" s="3">
        <v>0</v>
      </c>
      <c r="P3096" s="3">
        <v>1.2</v>
      </c>
      <c r="Q3096" s="3">
        <v>29.96</v>
      </c>
      <c r="R3096" s="3">
        <f>SUM(F3096*0.0051)</f>
        <v>21.726000000000003</v>
      </c>
      <c r="S3096" s="3">
        <f>VLOOKUP(C3096,[1]page!$C$2:$M$3071,11,0)</f>
        <v>27.33</v>
      </c>
      <c r="T3096" s="6">
        <f t="shared" si="93"/>
        <v>6.0000000000002274E-2</v>
      </c>
    </row>
    <row r="3097" spans="1:20" x14ac:dyDescent="0.2">
      <c r="A3097" t="s">
        <v>8904</v>
      </c>
      <c r="B3097" t="s">
        <v>10034</v>
      </c>
      <c r="C3097" t="s">
        <v>10035</v>
      </c>
      <c r="D3097" t="s">
        <v>10036</v>
      </c>
      <c r="E3097" t="s">
        <v>2881</v>
      </c>
      <c r="F3097" t="s">
        <v>7091</v>
      </c>
      <c r="G3097" s="1">
        <v>5</v>
      </c>
      <c r="H3097" s="1">
        <v>3</v>
      </c>
      <c r="I3097" t="s">
        <v>57</v>
      </c>
      <c r="L3097" s="1">
        <v>8</v>
      </c>
      <c r="M3097" s="3">
        <v>23.24</v>
      </c>
      <c r="N3097" s="3">
        <v>1.1599999999999999</v>
      </c>
      <c r="O3097" s="3">
        <v>0</v>
      </c>
      <c r="P3097" s="3">
        <v>0.8</v>
      </c>
      <c r="Q3097" s="3">
        <v>25.2</v>
      </c>
      <c r="R3097" s="3">
        <v>17.149999999999999</v>
      </c>
      <c r="S3097" s="3">
        <f>VLOOKUP(C3097,[1]page!$C$2:$M$3071,11,0)</f>
        <v>23.2</v>
      </c>
      <c r="T3097" s="6">
        <f t="shared" si="93"/>
        <v>3.9999999999999147E-2</v>
      </c>
    </row>
    <row r="3098" spans="1:20" x14ac:dyDescent="0.2">
      <c r="A3098" t="s">
        <v>8904</v>
      </c>
      <c r="B3098" t="s">
        <v>10037</v>
      </c>
      <c r="C3098" t="s">
        <v>10038</v>
      </c>
      <c r="D3098" t="s">
        <v>10039</v>
      </c>
      <c r="E3098" t="s">
        <v>2881</v>
      </c>
      <c r="F3098" t="s">
        <v>5861</v>
      </c>
      <c r="G3098" s="1">
        <v>5</v>
      </c>
      <c r="H3098" s="1">
        <v>2</v>
      </c>
      <c r="I3098" t="s">
        <v>57</v>
      </c>
      <c r="L3098" s="1">
        <v>12</v>
      </c>
      <c r="M3098" s="3">
        <v>27.39</v>
      </c>
      <c r="N3098" s="3">
        <v>1.37</v>
      </c>
      <c r="O3098" s="3">
        <v>0</v>
      </c>
      <c r="P3098" s="3">
        <v>1.2</v>
      </c>
      <c r="Q3098" s="3">
        <v>29.96</v>
      </c>
      <c r="R3098" s="3">
        <f t="shared" ref="R3098:R3100" si="103">SUM(F3098*0.0043)</f>
        <v>18.318000000000001</v>
      </c>
      <c r="S3098" s="3">
        <f>VLOOKUP(C3098,[1]page!$C$2:$M$3071,11,0)</f>
        <v>27.33</v>
      </c>
      <c r="T3098" s="6">
        <f t="shared" si="93"/>
        <v>6.0000000000002274E-2</v>
      </c>
    </row>
    <row r="3099" spans="1:20" x14ac:dyDescent="0.2">
      <c r="A3099" t="s">
        <v>8904</v>
      </c>
      <c r="B3099" t="s">
        <v>10040</v>
      </c>
      <c r="C3099" t="s">
        <v>10041</v>
      </c>
      <c r="D3099" t="s">
        <v>10039</v>
      </c>
      <c r="E3099" t="s">
        <v>2980</v>
      </c>
      <c r="F3099" t="s">
        <v>7430</v>
      </c>
      <c r="G3099" s="1">
        <v>5</v>
      </c>
      <c r="H3099" s="1">
        <v>1</v>
      </c>
      <c r="I3099" t="s">
        <v>57</v>
      </c>
      <c r="L3099" s="1">
        <v>30</v>
      </c>
      <c r="M3099" s="3">
        <v>60.13</v>
      </c>
      <c r="N3099" s="3">
        <v>3.01</v>
      </c>
      <c r="O3099" s="3">
        <v>0</v>
      </c>
      <c r="P3099" s="3">
        <v>3</v>
      </c>
      <c r="Q3099" s="3">
        <v>66.14</v>
      </c>
      <c r="R3099" s="3">
        <f t="shared" si="103"/>
        <v>45.795000000000002</v>
      </c>
      <c r="S3099" s="3">
        <f>VLOOKUP(C3099,[1]page!$C$2:$M$3071,11,0)</f>
        <v>59.99</v>
      </c>
      <c r="T3099" s="6">
        <f t="shared" si="93"/>
        <v>0.14000000000000057</v>
      </c>
    </row>
    <row r="3100" spans="1:20" x14ac:dyDescent="0.2">
      <c r="A3100" t="s">
        <v>8904</v>
      </c>
      <c r="B3100" t="s">
        <v>10042</v>
      </c>
      <c r="C3100" t="s">
        <v>10043</v>
      </c>
      <c r="D3100" t="s">
        <v>10044</v>
      </c>
      <c r="E3100" t="s">
        <v>2881</v>
      </c>
      <c r="F3100" t="s">
        <v>5861</v>
      </c>
      <c r="G3100" s="1">
        <v>5</v>
      </c>
      <c r="H3100" s="1">
        <v>2</v>
      </c>
      <c r="I3100" t="s">
        <v>57</v>
      </c>
      <c r="L3100" s="1">
        <v>12</v>
      </c>
      <c r="M3100" s="3">
        <v>27.38</v>
      </c>
      <c r="N3100" s="3">
        <v>1.37</v>
      </c>
      <c r="O3100" s="3">
        <v>0</v>
      </c>
      <c r="P3100" s="3">
        <v>1.2</v>
      </c>
      <c r="Q3100" s="3">
        <v>29.95</v>
      </c>
      <c r="R3100" s="3">
        <f t="shared" si="103"/>
        <v>18.318000000000001</v>
      </c>
      <c r="S3100" s="3">
        <f>VLOOKUP(C3100,[1]page!$C$2:$M$3071,11,0)</f>
        <v>27.33</v>
      </c>
      <c r="T3100" s="6">
        <f t="shared" ref="T3100:T3112" si="104">SUM(M3100-S3100)</f>
        <v>5.0000000000000711E-2</v>
      </c>
    </row>
    <row r="3101" spans="1:20" x14ac:dyDescent="0.2">
      <c r="A3101" t="s">
        <v>8904</v>
      </c>
      <c r="B3101" t="s">
        <v>10045</v>
      </c>
      <c r="C3101" t="s">
        <v>10046</v>
      </c>
      <c r="D3101" t="s">
        <v>10047</v>
      </c>
      <c r="E3101" t="s">
        <v>2881</v>
      </c>
      <c r="F3101" t="s">
        <v>7091</v>
      </c>
      <c r="G3101" s="1">
        <v>5</v>
      </c>
      <c r="H3101" s="1">
        <v>3</v>
      </c>
      <c r="I3101" t="s">
        <v>57</v>
      </c>
      <c r="L3101" s="1">
        <v>8</v>
      </c>
      <c r="M3101" s="3">
        <v>23.24</v>
      </c>
      <c r="N3101" s="3">
        <v>1.1599999999999999</v>
      </c>
      <c r="O3101" s="3">
        <v>0</v>
      </c>
      <c r="P3101" s="3">
        <v>0.8</v>
      </c>
      <c r="Q3101" s="3">
        <v>25.2</v>
      </c>
      <c r="R3101" s="3">
        <v>17.149999999999999</v>
      </c>
      <c r="S3101" s="3">
        <f>VLOOKUP(C3101,[1]page!$C$2:$M$3071,11,0)</f>
        <v>23.2</v>
      </c>
      <c r="T3101" s="6">
        <f t="shared" si="104"/>
        <v>3.9999999999999147E-2</v>
      </c>
    </row>
    <row r="3102" spans="1:20" x14ac:dyDescent="0.2">
      <c r="A3102" t="s">
        <v>8904</v>
      </c>
      <c r="B3102" t="s">
        <v>10048</v>
      </c>
      <c r="C3102" t="s">
        <v>10049</v>
      </c>
      <c r="D3102" t="s">
        <v>10050</v>
      </c>
      <c r="E3102" t="s">
        <v>10051</v>
      </c>
      <c r="F3102" t="s">
        <v>5861</v>
      </c>
      <c r="G3102" s="1">
        <v>5</v>
      </c>
      <c r="H3102" s="1">
        <v>2</v>
      </c>
      <c r="I3102" t="s">
        <v>1202</v>
      </c>
      <c r="L3102" s="1">
        <v>12</v>
      </c>
      <c r="M3102" s="3">
        <v>26.82</v>
      </c>
      <c r="N3102" s="3">
        <v>1.34</v>
      </c>
      <c r="O3102" s="3">
        <v>0</v>
      </c>
      <c r="P3102" s="3">
        <v>1.2</v>
      </c>
      <c r="Q3102" s="3">
        <v>29.36</v>
      </c>
      <c r="R3102" s="3">
        <f t="shared" ref="R3102" si="105">SUM(F3102*0.0043)</f>
        <v>18.318000000000001</v>
      </c>
      <c r="S3102" s="3">
        <f>VLOOKUP(C3102,[1]page!$C$2:$M$3071,11,0)</f>
        <v>26.76</v>
      </c>
      <c r="T3102" s="6">
        <f t="shared" si="104"/>
        <v>5.9999999999998721E-2</v>
      </c>
    </row>
    <row r="3103" spans="1:20" x14ac:dyDescent="0.2">
      <c r="A3103" t="s">
        <v>8904</v>
      </c>
      <c r="B3103" t="s">
        <v>10052</v>
      </c>
      <c r="C3103" t="s">
        <v>10053</v>
      </c>
      <c r="D3103" t="s">
        <v>10054</v>
      </c>
      <c r="E3103" t="s">
        <v>9327</v>
      </c>
      <c r="F3103" t="s">
        <v>5984</v>
      </c>
      <c r="G3103" s="1">
        <v>5</v>
      </c>
      <c r="H3103" s="1">
        <v>4</v>
      </c>
      <c r="I3103" t="s">
        <v>183</v>
      </c>
      <c r="L3103" s="1">
        <v>6</v>
      </c>
      <c r="M3103" s="3">
        <v>14.42</v>
      </c>
      <c r="N3103" s="3">
        <v>0.72</v>
      </c>
      <c r="O3103" s="3">
        <v>0</v>
      </c>
      <c r="P3103" s="3">
        <v>0.6</v>
      </c>
      <c r="Q3103" s="3">
        <v>15.74</v>
      </c>
      <c r="R3103" s="3">
        <v>9.25</v>
      </c>
      <c r="S3103" s="3">
        <f>VLOOKUP(C3103,[1]page!$C$2:$M$3071,11,0)</f>
        <v>14.39</v>
      </c>
      <c r="T3103" s="6">
        <f t="shared" si="104"/>
        <v>2.9999999999999361E-2</v>
      </c>
    </row>
    <row r="3104" spans="1:20" x14ac:dyDescent="0.2">
      <c r="A3104" t="s">
        <v>8904</v>
      </c>
      <c r="B3104" t="s">
        <v>10055</v>
      </c>
      <c r="C3104" t="s">
        <v>10056</v>
      </c>
      <c r="D3104" t="s">
        <v>10057</v>
      </c>
      <c r="E3104" t="s">
        <v>9327</v>
      </c>
      <c r="F3104" t="s">
        <v>5984</v>
      </c>
      <c r="G3104" s="1">
        <v>5</v>
      </c>
      <c r="H3104" s="1">
        <v>4</v>
      </c>
      <c r="I3104" t="s">
        <v>183</v>
      </c>
      <c r="L3104" s="1">
        <v>6</v>
      </c>
      <c r="M3104" s="3">
        <v>14.42</v>
      </c>
      <c r="N3104" s="3">
        <v>0.72</v>
      </c>
      <c r="O3104" s="3">
        <v>0</v>
      </c>
      <c r="P3104" s="3">
        <v>0.6</v>
      </c>
      <c r="Q3104" s="3">
        <v>15.74</v>
      </c>
      <c r="R3104" s="3">
        <v>9.25</v>
      </c>
      <c r="S3104" s="3">
        <f>VLOOKUP(C3104,[1]page!$C$2:$M$3071,11,0)</f>
        <v>14.39</v>
      </c>
      <c r="T3104" s="6">
        <f t="shared" si="104"/>
        <v>2.9999999999999361E-2</v>
      </c>
    </row>
    <row r="3105" spans="1:20" x14ac:dyDescent="0.2">
      <c r="A3105" t="s">
        <v>8904</v>
      </c>
      <c r="B3105" t="s">
        <v>10058</v>
      </c>
      <c r="C3105" t="s">
        <v>10059</v>
      </c>
      <c r="D3105" t="s">
        <v>10060</v>
      </c>
      <c r="E3105" t="s">
        <v>9327</v>
      </c>
      <c r="F3105" t="s">
        <v>5855</v>
      </c>
      <c r="G3105" s="1">
        <v>5</v>
      </c>
      <c r="H3105" s="1">
        <v>24</v>
      </c>
      <c r="I3105" t="s">
        <v>183</v>
      </c>
      <c r="L3105" s="1">
        <v>1</v>
      </c>
      <c r="M3105" s="3">
        <v>3.09</v>
      </c>
      <c r="N3105" s="3">
        <v>0.15</v>
      </c>
      <c r="O3105" s="3">
        <v>0</v>
      </c>
      <c r="P3105" s="3">
        <v>0.1</v>
      </c>
      <c r="Q3105" s="3">
        <v>3.34</v>
      </c>
      <c r="R3105" s="3">
        <v>2.2999999999999998</v>
      </c>
      <c r="S3105" s="3">
        <f>VLOOKUP(C3105,[1]page!$C$2:$M$3071,11,0)</f>
        <v>3.09</v>
      </c>
      <c r="T3105" s="6">
        <f t="shared" si="104"/>
        <v>0</v>
      </c>
    </row>
    <row r="3106" spans="1:20" x14ac:dyDescent="0.2">
      <c r="A3106" t="s">
        <v>8904</v>
      </c>
      <c r="B3106" t="s">
        <v>10061</v>
      </c>
      <c r="C3106" t="s">
        <v>10062</v>
      </c>
      <c r="D3106" t="s">
        <v>10063</v>
      </c>
      <c r="E3106" t="s">
        <v>9327</v>
      </c>
      <c r="F3106" t="s">
        <v>5861</v>
      </c>
      <c r="G3106" s="1">
        <v>5</v>
      </c>
      <c r="H3106" s="1">
        <v>2</v>
      </c>
      <c r="I3106" t="s">
        <v>183</v>
      </c>
      <c r="L3106" s="1">
        <v>12</v>
      </c>
      <c r="M3106" s="3">
        <v>27.86</v>
      </c>
      <c r="N3106" s="3">
        <v>1.39</v>
      </c>
      <c r="O3106" s="3">
        <v>0</v>
      </c>
      <c r="P3106" s="3">
        <v>1.2</v>
      </c>
      <c r="Q3106" s="3">
        <v>30.45</v>
      </c>
      <c r="R3106" s="3">
        <f t="shared" ref="R3106" si="106">SUM(F3106*0.0043)</f>
        <v>18.318000000000001</v>
      </c>
      <c r="S3106" s="3">
        <f>VLOOKUP(C3106,[1]page!$C$2:$M$3071,11,0)</f>
        <v>27.81</v>
      </c>
      <c r="T3106" s="6">
        <f t="shared" si="104"/>
        <v>5.0000000000000711E-2</v>
      </c>
    </row>
    <row r="3107" spans="1:20" x14ac:dyDescent="0.2">
      <c r="A3107" t="s">
        <v>8904</v>
      </c>
      <c r="B3107" t="s">
        <v>10064</v>
      </c>
      <c r="C3107" t="s">
        <v>10065</v>
      </c>
      <c r="D3107" t="s">
        <v>10066</v>
      </c>
      <c r="E3107" t="s">
        <v>10067</v>
      </c>
      <c r="F3107" t="s">
        <v>5855</v>
      </c>
      <c r="G3107" s="1">
        <v>7</v>
      </c>
      <c r="H3107" s="1">
        <v>24</v>
      </c>
      <c r="I3107" t="s">
        <v>318</v>
      </c>
      <c r="L3107" s="1">
        <v>1</v>
      </c>
      <c r="M3107" s="3">
        <v>3.36</v>
      </c>
      <c r="N3107" s="3">
        <v>0.17</v>
      </c>
      <c r="O3107" s="3">
        <v>0</v>
      </c>
      <c r="P3107" s="3">
        <v>0.1</v>
      </c>
      <c r="Q3107" s="3">
        <v>3.63</v>
      </c>
      <c r="R3107" s="3">
        <v>2.7</v>
      </c>
      <c r="S3107" s="3">
        <f>VLOOKUP(C3107,[1]page!$C$2:$M$3071,11,0)</f>
        <v>3.36</v>
      </c>
      <c r="T3107" s="6">
        <f t="shared" si="104"/>
        <v>0</v>
      </c>
    </row>
    <row r="3108" spans="1:20" x14ac:dyDescent="0.2">
      <c r="A3108" t="s">
        <v>10068</v>
      </c>
      <c r="B3108" t="s">
        <v>10069</v>
      </c>
      <c r="C3108" t="s">
        <v>10070</v>
      </c>
      <c r="D3108" t="s">
        <v>10071</v>
      </c>
      <c r="E3108" t="s">
        <v>2699</v>
      </c>
      <c r="F3108" t="s">
        <v>3080</v>
      </c>
      <c r="G3108" s="1">
        <v>7</v>
      </c>
      <c r="H3108" s="1">
        <v>8</v>
      </c>
      <c r="I3108" t="s">
        <v>2700</v>
      </c>
      <c r="K3108" t="s">
        <v>20</v>
      </c>
      <c r="L3108" s="1">
        <v>1</v>
      </c>
      <c r="M3108" s="3">
        <v>9.67</v>
      </c>
      <c r="N3108" s="3">
        <v>0.48</v>
      </c>
      <c r="O3108" s="3">
        <v>0</v>
      </c>
      <c r="P3108" s="3">
        <v>0.25</v>
      </c>
      <c r="Q3108" s="3">
        <v>10.4</v>
      </c>
      <c r="R3108" s="3">
        <v>10.55</v>
      </c>
      <c r="S3108" s="3">
        <f>VLOOKUP(C3108,[1]page!$C$2:$M$3071,11,0)</f>
        <v>9.67</v>
      </c>
      <c r="T3108" s="6">
        <f t="shared" si="104"/>
        <v>0</v>
      </c>
    </row>
    <row r="3109" spans="1:20" x14ac:dyDescent="0.2">
      <c r="A3109" t="s">
        <v>10068</v>
      </c>
      <c r="B3109" t="s">
        <v>10072</v>
      </c>
      <c r="C3109" t="s">
        <v>10073</v>
      </c>
      <c r="D3109" t="s">
        <v>10074</v>
      </c>
      <c r="E3109" t="s">
        <v>2699</v>
      </c>
      <c r="F3109" t="s">
        <v>3080</v>
      </c>
      <c r="G3109" s="1">
        <v>7</v>
      </c>
      <c r="H3109" s="1">
        <v>8</v>
      </c>
      <c r="I3109" t="s">
        <v>2700</v>
      </c>
      <c r="K3109" t="s">
        <v>20</v>
      </c>
      <c r="L3109" s="1">
        <v>1</v>
      </c>
      <c r="M3109" s="3">
        <v>9.67</v>
      </c>
      <c r="N3109" s="3">
        <v>0.48</v>
      </c>
      <c r="O3109" s="3">
        <v>0</v>
      </c>
      <c r="P3109" s="3">
        <v>0.25</v>
      </c>
      <c r="Q3109" s="3">
        <v>10.4</v>
      </c>
      <c r="R3109" s="3">
        <v>10.55</v>
      </c>
      <c r="S3109" s="3">
        <f>VLOOKUP(C3109,[1]page!$C$2:$M$3071,11,0)</f>
        <v>9.67</v>
      </c>
      <c r="T3109" s="6">
        <f t="shared" si="104"/>
        <v>0</v>
      </c>
    </row>
    <row r="3110" spans="1:20" x14ac:dyDescent="0.2">
      <c r="A3110" t="s">
        <v>10068</v>
      </c>
      <c r="B3110" t="s">
        <v>10075</v>
      </c>
      <c r="C3110" t="s">
        <v>10076</v>
      </c>
      <c r="D3110" t="s">
        <v>10077</v>
      </c>
      <c r="E3110" t="s">
        <v>2699</v>
      </c>
      <c r="F3110" t="s">
        <v>3080</v>
      </c>
      <c r="G3110" s="1">
        <v>7</v>
      </c>
      <c r="H3110" s="1">
        <v>8</v>
      </c>
      <c r="I3110" t="s">
        <v>2700</v>
      </c>
      <c r="K3110" t="s">
        <v>20</v>
      </c>
      <c r="L3110" s="1">
        <v>1</v>
      </c>
      <c r="M3110" s="3">
        <v>9.67</v>
      </c>
      <c r="N3110" s="3">
        <v>0.48</v>
      </c>
      <c r="O3110" s="3">
        <v>0</v>
      </c>
      <c r="P3110" s="3">
        <v>0.25</v>
      </c>
      <c r="Q3110" s="3">
        <v>10.4</v>
      </c>
      <c r="R3110" s="3">
        <v>10.55</v>
      </c>
      <c r="S3110" s="3">
        <f>VLOOKUP(C3110,[1]page!$C$2:$M$3071,11,0)</f>
        <v>9.67</v>
      </c>
      <c r="T3110" s="6">
        <f t="shared" si="104"/>
        <v>0</v>
      </c>
    </row>
    <row r="3111" spans="1:20" x14ac:dyDescent="0.2">
      <c r="A3111" t="s">
        <v>10068</v>
      </c>
      <c r="B3111" t="s">
        <v>10078</v>
      </c>
      <c r="C3111" t="s">
        <v>10079</v>
      </c>
      <c r="D3111" t="s">
        <v>10080</v>
      </c>
      <c r="E3111" t="s">
        <v>200</v>
      </c>
      <c r="F3111" t="s">
        <v>10081</v>
      </c>
      <c r="G3111" s="1">
        <v>7</v>
      </c>
      <c r="H3111" s="1">
        <v>20</v>
      </c>
      <c r="I3111" t="s">
        <v>201</v>
      </c>
      <c r="L3111" s="1">
        <v>1</v>
      </c>
      <c r="M3111" s="3">
        <v>4</v>
      </c>
      <c r="N3111" s="3">
        <v>0.2</v>
      </c>
      <c r="O3111" s="3">
        <v>0</v>
      </c>
      <c r="P3111" s="3">
        <v>0.2</v>
      </c>
      <c r="Q3111" s="3">
        <v>4.4000000000000004</v>
      </c>
      <c r="R3111" s="3">
        <v>2.0499999999999998</v>
      </c>
      <c r="S3111" s="3">
        <f>VLOOKUP(C3111,[1]page!$C$2:$M$3071,11,0)</f>
        <v>4</v>
      </c>
      <c r="T3111" s="6">
        <f t="shared" si="104"/>
        <v>0</v>
      </c>
    </row>
    <row r="3112" spans="1:20" x14ac:dyDescent="0.2">
      <c r="A3112" t="s">
        <v>10068</v>
      </c>
      <c r="B3112" t="s">
        <v>10082</v>
      </c>
      <c r="C3112" t="s">
        <v>10083</v>
      </c>
      <c r="D3112" t="s">
        <v>10084</v>
      </c>
      <c r="E3112" t="s">
        <v>200</v>
      </c>
      <c r="F3112" t="s">
        <v>10081</v>
      </c>
      <c r="G3112" s="1">
        <v>7</v>
      </c>
      <c r="H3112" s="1">
        <v>20</v>
      </c>
      <c r="I3112" t="s">
        <v>201</v>
      </c>
      <c r="L3112" s="1">
        <v>1</v>
      </c>
      <c r="M3112" s="3">
        <v>4</v>
      </c>
      <c r="N3112" s="3">
        <v>0.2</v>
      </c>
      <c r="O3112" s="3">
        <v>0</v>
      </c>
      <c r="P3112" s="3">
        <v>0.2</v>
      </c>
      <c r="Q3112" s="3">
        <v>4.4000000000000004</v>
      </c>
      <c r="R3112" s="3">
        <v>2.0499999999999998</v>
      </c>
      <c r="S3112" s="3">
        <f>VLOOKUP(C3112,[1]page!$C$2:$M$3071,11,0)</f>
        <v>4</v>
      </c>
      <c r="T3112" s="6">
        <f t="shared" si="104"/>
        <v>0</v>
      </c>
    </row>
  </sheetData>
  <autoFilter ref="A1:T3112" xr:uid="{00000000-0001-0000-0000-000000000000}"/>
  <pageMargins left="0.7" right="0.7" top="0.75" bottom="0.75" header="0.3" footer="0.3"/>
  <pageSetup paperSize="5" scale="51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DFAEA4F7BFB4E9D32295F91927BC3" ma:contentTypeVersion="15" ma:contentTypeDescription="Create a new document." ma:contentTypeScope="" ma:versionID="460b6bf2409e0ded8992703c1acf18fb">
  <xsd:schema xmlns:xsd="http://www.w3.org/2001/XMLSchema" xmlns:xs="http://www.w3.org/2001/XMLSchema" xmlns:p="http://schemas.microsoft.com/office/2006/metadata/properties" xmlns:ns2="529364af-f691-42a7-8c8f-67bbba76e7a8" xmlns:ns3="a6602567-decb-441e-ab2c-93a74981ae6d" targetNamespace="http://schemas.microsoft.com/office/2006/metadata/properties" ma:root="true" ma:fieldsID="9251272ed77efc7abe7b8fdb533db178" ns2:_="" ns3:_="">
    <xsd:import namespace="529364af-f691-42a7-8c8f-67bbba76e7a8"/>
    <xsd:import namespace="a6602567-decb-441e-ab2c-93a74981ae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9364af-f691-42a7-8c8f-67bbba76e7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8614bd6-3b3a-4ec6-9522-4cf85aa194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602567-decb-441e-ab2c-93a74981ae6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a6fbd7d-f5fb-493a-91cc-56dd4888f329}" ma:internalName="TaxCatchAll" ma:showField="CatchAllData" ma:web="a6602567-decb-441e-ab2c-93a74981ae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9364af-f691-42a7-8c8f-67bbba76e7a8">
      <Terms xmlns="http://schemas.microsoft.com/office/infopath/2007/PartnerControls"/>
    </lcf76f155ced4ddcb4097134ff3c332f>
    <TaxCatchAll xmlns="a6602567-decb-441e-ab2c-93a74981ae6d" xsi:nil="true"/>
  </documentManagement>
</p:properties>
</file>

<file path=customXml/itemProps1.xml><?xml version="1.0" encoding="utf-8"?>
<ds:datastoreItem xmlns:ds="http://schemas.openxmlformats.org/officeDocument/2006/customXml" ds:itemID="{10D8E070-8D3E-41B8-9622-4BAAE33E97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0828FA-A90D-41F0-9E73-13F9BE427C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9364af-f691-42a7-8c8f-67bbba76e7a8"/>
    <ds:schemaRef ds:uri="a6602567-decb-441e-ab2c-93a74981ae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93F953-B18F-436D-935F-BCBB786B6584}">
  <ds:schemaRefs>
    <ds:schemaRef ds:uri="http://schemas.microsoft.com/office/2006/metadata/properties"/>
    <ds:schemaRef ds:uri="http://schemas.microsoft.com/office/infopath/2007/PartnerControls"/>
    <ds:schemaRef ds:uri="529364af-f691-42a7-8c8f-67bbba76e7a8"/>
    <ds:schemaRef ds:uri="a6602567-decb-441e-ab2c-93a74981ae6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Nelson, Michelle(SLGA)</dc:creator>
  <cp:lastModifiedBy>Gotsoulias, Tom(SLGA)</cp:lastModifiedBy>
  <cp:lastPrinted>2026-03-11T14:46:33Z</cp:lastPrinted>
  <dcterms:created xsi:type="dcterms:W3CDTF">2026-03-10T19:51:50Z</dcterms:created>
  <dcterms:modified xsi:type="dcterms:W3CDTF">2026-03-11T14:46:40Z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0x010100B85DFAEA4F7BFB4E9D32295F91927BC3</vt:lpwstr>
  </property>
  <property fmtid="{D5CDD505-2E9C-101B-9397-08002B2CF9AE}" pid="3" name="MediaServiceImageTags">
    <vt:lpwstr/>
  </property>
</Properties>
</file>